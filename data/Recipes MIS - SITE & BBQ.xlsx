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aaz Data\Costings\"/>
    </mc:Choice>
  </mc:AlternateContent>
  <bookViews>
    <workbookView xWindow="-120" yWindow="-120" windowWidth="24240" windowHeight="13140" activeTab="2"/>
  </bookViews>
  <sheets>
    <sheet name="Sheet1" sheetId="6" r:id="rId1"/>
    <sheet name="Recipes" sheetId="1" r:id="rId2"/>
    <sheet name="Consolidate" sheetId="3" r:id="rId3"/>
    <sheet name="Average Rates" sheetId="7" r:id="rId4"/>
    <sheet name="Category Wise" sheetId="4" r:id="rId5"/>
    <sheet name="Ingredients" sheetId="5" r:id="rId6"/>
  </sheets>
  <definedNames>
    <definedName name="_xlnm._FilterDatabase" localSheetId="2" hidden="1">Consolidate!$A$2:$H$381</definedName>
    <definedName name="_xlnm._FilterDatabase" localSheetId="5" hidden="1">Ingredients!$A$2:$H$305</definedName>
    <definedName name="_xlnm._FilterDatabase" localSheetId="1" hidden="1">Recipes!$A$2:$L$4414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5" i="3" l="1"/>
  <c r="D415" i="3"/>
  <c r="E415" i="3"/>
  <c r="F415" i="3"/>
  <c r="G415" i="3"/>
  <c r="I415" i="3" s="1"/>
  <c r="H415" i="3"/>
  <c r="K415" i="3"/>
  <c r="L415" i="3"/>
  <c r="M415" i="3" s="1"/>
  <c r="A415" i="3"/>
  <c r="K4432" i="1"/>
  <c r="L4432" i="1" s="1"/>
  <c r="K4433" i="1"/>
  <c r="L4433" i="1"/>
  <c r="K4434" i="1"/>
  <c r="L4434" i="1" s="1"/>
  <c r="K4435" i="1"/>
  <c r="L4435" i="1"/>
  <c r="K4436" i="1"/>
  <c r="L4436" i="1" s="1"/>
  <c r="K4437" i="1"/>
  <c r="L4437" i="1"/>
  <c r="K4438" i="1"/>
  <c r="L4438" i="1" s="1"/>
  <c r="K4439" i="1"/>
  <c r="L4439" i="1"/>
  <c r="K4440" i="1"/>
  <c r="L4440" i="1" s="1"/>
  <c r="K4441" i="1"/>
  <c r="L4441" i="1"/>
  <c r="K4442" i="1"/>
  <c r="L4442" i="1" s="1"/>
  <c r="K4443" i="1"/>
  <c r="L4443" i="1"/>
  <c r="K4444" i="1"/>
  <c r="L4444" i="1" s="1"/>
  <c r="H4432" i="1"/>
  <c r="H4434" i="1"/>
  <c r="H4438" i="1"/>
  <c r="H4442" i="1"/>
  <c r="G4443" i="1"/>
  <c r="H4443" i="1" s="1"/>
  <c r="G4444" i="1"/>
  <c r="H4444" i="1" s="1"/>
  <c r="G4432" i="1"/>
  <c r="G4433" i="1"/>
  <c r="H4433" i="1" s="1"/>
  <c r="G4434" i="1"/>
  <c r="G4435" i="1"/>
  <c r="H4435" i="1" s="1"/>
  <c r="G4436" i="1"/>
  <c r="H4436" i="1" s="1"/>
  <c r="G4437" i="1"/>
  <c r="H4437" i="1" s="1"/>
  <c r="G4438" i="1"/>
  <c r="G4439" i="1"/>
  <c r="H4439" i="1" s="1"/>
  <c r="G4440" i="1"/>
  <c r="H4440" i="1" s="1"/>
  <c r="G4441" i="1"/>
  <c r="H4441" i="1" s="1"/>
  <c r="G4442" i="1"/>
  <c r="C414" i="3"/>
  <c r="D414" i="3"/>
  <c r="E414" i="3"/>
  <c r="H414" i="3" s="1"/>
  <c r="F414" i="3"/>
  <c r="K414" i="3"/>
  <c r="A414" i="3"/>
  <c r="K4431" i="1"/>
  <c r="L4431" i="1" s="1"/>
  <c r="G4431" i="1"/>
  <c r="H4431" i="1" s="1"/>
  <c r="C413" i="3"/>
  <c r="D413" i="3"/>
  <c r="E413" i="3"/>
  <c r="F413" i="3"/>
  <c r="K413" i="3"/>
  <c r="A413" i="3"/>
  <c r="K4415" i="1"/>
  <c r="L4415" i="1" s="1"/>
  <c r="K4416" i="1"/>
  <c r="L4416" i="1"/>
  <c r="K4417" i="1"/>
  <c r="L4417" i="1" s="1"/>
  <c r="K4418" i="1"/>
  <c r="L4418" i="1"/>
  <c r="K4419" i="1"/>
  <c r="L4419" i="1" s="1"/>
  <c r="K4420" i="1"/>
  <c r="L4420" i="1"/>
  <c r="K4421" i="1"/>
  <c r="L4421" i="1" s="1"/>
  <c r="K4422" i="1"/>
  <c r="L4422" i="1"/>
  <c r="K4423" i="1"/>
  <c r="L4423" i="1" s="1"/>
  <c r="K4424" i="1"/>
  <c r="L4424" i="1"/>
  <c r="K4425" i="1"/>
  <c r="L4425" i="1" s="1"/>
  <c r="K4426" i="1"/>
  <c r="L4426" i="1"/>
  <c r="K4427" i="1"/>
  <c r="L4427" i="1" s="1"/>
  <c r="K4428" i="1"/>
  <c r="L4428" i="1"/>
  <c r="K4429" i="1"/>
  <c r="L4429" i="1" s="1"/>
  <c r="K4430" i="1"/>
  <c r="L4430" i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C412" i="3"/>
  <c r="D412" i="3"/>
  <c r="E412" i="3"/>
  <c r="L412" i="3" s="1"/>
  <c r="F412" i="3"/>
  <c r="K412" i="3"/>
  <c r="A412" i="3"/>
  <c r="H4412" i="1"/>
  <c r="F16" i="5"/>
  <c r="K4411" i="1"/>
  <c r="L4411" i="1" s="1"/>
  <c r="K4412" i="1"/>
  <c r="L4412" i="1" s="1"/>
  <c r="K4413" i="1"/>
  <c r="L4413" i="1" s="1"/>
  <c r="K4414" i="1"/>
  <c r="L4414" i="1" s="1"/>
  <c r="G4411" i="1"/>
  <c r="H4411" i="1" s="1"/>
  <c r="G4413" i="1"/>
  <c r="H4413" i="1" s="1"/>
  <c r="G4414" i="1"/>
  <c r="H4414" i="1" s="1"/>
  <c r="C411" i="3"/>
  <c r="D411" i="3"/>
  <c r="E411" i="3"/>
  <c r="F411" i="3"/>
  <c r="A411" i="3"/>
  <c r="K4400" i="1"/>
  <c r="L4400" i="1" s="1"/>
  <c r="K4401" i="1"/>
  <c r="L4401" i="1" s="1"/>
  <c r="K4402" i="1"/>
  <c r="L4402" i="1" s="1"/>
  <c r="K4403" i="1"/>
  <c r="L4403" i="1" s="1"/>
  <c r="K4404" i="1"/>
  <c r="L4404" i="1" s="1"/>
  <c r="K4405" i="1"/>
  <c r="L4405" i="1" s="1"/>
  <c r="K4406" i="1"/>
  <c r="L4406" i="1" s="1"/>
  <c r="K4407" i="1"/>
  <c r="L4407" i="1" s="1"/>
  <c r="K4408" i="1"/>
  <c r="L4408" i="1" s="1"/>
  <c r="K4409" i="1"/>
  <c r="L4409" i="1" s="1"/>
  <c r="K4410" i="1"/>
  <c r="L4410" i="1" s="1"/>
  <c r="G4398" i="1"/>
  <c r="H4398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C410" i="3"/>
  <c r="D410" i="3"/>
  <c r="E410" i="3"/>
  <c r="F410" i="3"/>
  <c r="A410" i="3"/>
  <c r="K4390" i="1"/>
  <c r="L4390" i="1" s="1"/>
  <c r="K4391" i="1"/>
  <c r="L4391" i="1" s="1"/>
  <c r="K4392" i="1"/>
  <c r="L4392" i="1" s="1"/>
  <c r="K4393" i="1"/>
  <c r="L4393" i="1" s="1"/>
  <c r="K4394" i="1"/>
  <c r="L4394" i="1" s="1"/>
  <c r="K4395" i="1"/>
  <c r="L4395" i="1" s="1"/>
  <c r="K4396" i="1"/>
  <c r="L4396" i="1" s="1"/>
  <c r="K4397" i="1"/>
  <c r="L4397" i="1" s="1"/>
  <c r="K4398" i="1"/>
  <c r="L4398" i="1" s="1"/>
  <c r="K4399" i="1"/>
  <c r="L4399" i="1" s="1"/>
  <c r="H4390" i="1"/>
  <c r="H4399" i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14" i="3" l="1"/>
  <c r="I414" i="3" s="1"/>
  <c r="L414" i="3"/>
  <c r="M414" i="3" s="1"/>
  <c r="H413" i="3"/>
  <c r="L413" i="3"/>
  <c r="M413" i="3" s="1"/>
  <c r="G413" i="3"/>
  <c r="G412" i="3"/>
  <c r="G411" i="3"/>
  <c r="M412" i="3"/>
  <c r="H412" i="3"/>
  <c r="K410" i="3"/>
  <c r="L410" i="3"/>
  <c r="H411" i="3"/>
  <c r="K411" i="3"/>
  <c r="L411" i="3"/>
  <c r="G410" i="3"/>
  <c r="H410" i="3"/>
  <c r="I411" i="3" l="1"/>
  <c r="I413" i="3"/>
  <c r="I412" i="3"/>
  <c r="M410" i="3"/>
  <c r="M411" i="3"/>
  <c r="I410" i="3"/>
  <c r="C409" i="3" l="1"/>
  <c r="D409" i="3"/>
  <c r="E409" i="3"/>
  <c r="F409" i="3"/>
  <c r="G4389" i="1"/>
  <c r="H4389" i="1" s="1"/>
  <c r="K4389" i="1"/>
  <c r="L4389" i="1" s="1"/>
  <c r="K4388" i="1"/>
  <c r="L4388" i="1" s="1"/>
  <c r="G4388" i="1"/>
  <c r="H4388" i="1" s="1"/>
  <c r="K4377" i="1"/>
  <c r="L4377" i="1" s="1"/>
  <c r="K4378" i="1"/>
  <c r="L4378" i="1" s="1"/>
  <c r="K4379" i="1"/>
  <c r="L4379" i="1" s="1"/>
  <c r="K4380" i="1"/>
  <c r="L4380" i="1" s="1"/>
  <c r="K4381" i="1"/>
  <c r="L4381" i="1" s="1"/>
  <c r="K4382" i="1"/>
  <c r="L4382" i="1" s="1"/>
  <c r="K4383" i="1"/>
  <c r="L4383" i="1" s="1"/>
  <c r="K4384" i="1"/>
  <c r="L4384" i="1" s="1"/>
  <c r="K4385" i="1"/>
  <c r="L4385" i="1" s="1"/>
  <c r="K4386" i="1"/>
  <c r="L4386" i="1" s="1"/>
  <c r="K4387" i="1"/>
  <c r="L4387" i="1" s="1"/>
  <c r="G4377" i="1"/>
  <c r="H4377" i="1" s="1"/>
  <c r="G4378" i="1"/>
  <c r="H4378" i="1" s="1"/>
  <c r="G4379" i="1"/>
  <c r="H4379" i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A409" i="3"/>
  <c r="C408" i="3"/>
  <c r="D408" i="3"/>
  <c r="E408" i="3"/>
  <c r="L408" i="3" s="1"/>
  <c r="F408" i="3"/>
  <c r="G4367" i="1"/>
  <c r="G4376" i="1"/>
  <c r="H4376" i="1" s="1"/>
  <c r="G4375" i="1"/>
  <c r="H4375" i="1" s="1"/>
  <c r="G4374" i="1"/>
  <c r="H4374" i="1" s="1"/>
  <c r="G4373" i="1"/>
  <c r="H4373" i="1" s="1"/>
  <c r="G4372" i="1"/>
  <c r="H4372" i="1" s="1"/>
  <c r="G4371" i="1"/>
  <c r="H4371" i="1" s="1"/>
  <c r="G4370" i="1"/>
  <c r="H4370" i="1" s="1"/>
  <c r="G4369" i="1"/>
  <c r="G4368" i="1"/>
  <c r="H4368" i="1" s="1"/>
  <c r="H4367" i="1"/>
  <c r="K4367" i="1"/>
  <c r="L4367" i="1" s="1"/>
  <c r="K4368" i="1"/>
  <c r="L4368" i="1" s="1"/>
  <c r="K4369" i="1"/>
  <c r="K4370" i="1"/>
  <c r="L4370" i="1" s="1"/>
  <c r="K4371" i="1"/>
  <c r="L4371" i="1" s="1"/>
  <c r="K4372" i="1"/>
  <c r="L4372" i="1" s="1"/>
  <c r="K4373" i="1"/>
  <c r="L4373" i="1" s="1"/>
  <c r="K4374" i="1"/>
  <c r="L4374" i="1" s="1"/>
  <c r="K4375" i="1"/>
  <c r="L4375" i="1" s="1"/>
  <c r="K4376" i="1"/>
  <c r="L4376" i="1" s="1"/>
  <c r="E4369" i="1"/>
  <c r="H3316" i="1"/>
  <c r="K3316" i="1"/>
  <c r="L3316" i="1" s="1"/>
  <c r="H3317" i="1"/>
  <c r="K3317" i="1"/>
  <c r="L3317" i="1" s="1"/>
  <c r="H3318" i="1"/>
  <c r="K3318" i="1"/>
  <c r="L3318" i="1" s="1"/>
  <c r="H3319" i="1"/>
  <c r="K3319" i="1"/>
  <c r="L3319" i="1" s="1"/>
  <c r="H3320" i="1"/>
  <c r="K3320" i="1"/>
  <c r="L3320" i="1" s="1"/>
  <c r="H3321" i="1"/>
  <c r="K3321" i="1"/>
  <c r="L3321" i="1" s="1"/>
  <c r="H3322" i="1"/>
  <c r="K3322" i="1"/>
  <c r="L3322" i="1" s="1"/>
  <c r="H3323" i="1"/>
  <c r="K3323" i="1"/>
  <c r="L3323" i="1" s="1"/>
  <c r="A408" i="3"/>
  <c r="C407" i="3"/>
  <c r="D407" i="3"/>
  <c r="E407" i="3"/>
  <c r="F407" i="3"/>
  <c r="A407" i="3"/>
  <c r="K4366" i="1"/>
  <c r="L4366" i="1" s="1"/>
  <c r="H4366" i="1"/>
  <c r="L4365" i="1"/>
  <c r="H4365" i="1"/>
  <c r="K4364" i="1"/>
  <c r="L4364" i="1" s="1"/>
  <c r="H4364" i="1"/>
  <c r="K4363" i="1"/>
  <c r="L4363" i="1" s="1"/>
  <c r="H4363" i="1"/>
  <c r="K4346" i="1"/>
  <c r="L4346" i="1" s="1"/>
  <c r="K4347" i="1"/>
  <c r="L4347" i="1" s="1"/>
  <c r="K4348" i="1"/>
  <c r="L4348" i="1" s="1"/>
  <c r="K4349" i="1"/>
  <c r="L4349" i="1" s="1"/>
  <c r="K4350" i="1"/>
  <c r="L4350" i="1" s="1"/>
  <c r="K4351" i="1"/>
  <c r="L4351" i="1" s="1"/>
  <c r="K4352" i="1"/>
  <c r="L4352" i="1" s="1"/>
  <c r="K4353" i="1"/>
  <c r="L4353" i="1" s="1"/>
  <c r="K4354" i="1"/>
  <c r="L4354" i="1" s="1"/>
  <c r="K4355" i="1"/>
  <c r="L4355" i="1" s="1"/>
  <c r="K4356" i="1"/>
  <c r="L4356" i="1" s="1"/>
  <c r="K4357" i="1"/>
  <c r="L4357" i="1" s="1"/>
  <c r="K4358" i="1"/>
  <c r="L4358" i="1" s="1"/>
  <c r="K4359" i="1"/>
  <c r="L4359" i="1" s="1"/>
  <c r="K4360" i="1"/>
  <c r="L4360" i="1" s="1"/>
  <c r="K4361" i="1"/>
  <c r="L4361" i="1" s="1"/>
  <c r="K4362" i="1"/>
  <c r="L4362" i="1" s="1"/>
  <c r="G4362" i="1"/>
  <c r="H4362" i="1" s="1"/>
  <c r="G4361" i="1"/>
  <c r="H4361" i="1" s="1"/>
  <c r="G4360" i="1"/>
  <c r="H4360" i="1" s="1"/>
  <c r="G4359" i="1"/>
  <c r="H4359" i="1" s="1"/>
  <c r="G4358" i="1"/>
  <c r="H4358" i="1" s="1"/>
  <c r="G4357" i="1"/>
  <c r="H4357" i="1" s="1"/>
  <c r="G4356" i="1"/>
  <c r="H4356" i="1" s="1"/>
  <c r="G4355" i="1"/>
  <c r="H4355" i="1" s="1"/>
  <c r="G4354" i="1"/>
  <c r="H4354" i="1" s="1"/>
  <c r="G4353" i="1"/>
  <c r="H4353" i="1" s="1"/>
  <c r="G4352" i="1"/>
  <c r="H4352" i="1" s="1"/>
  <c r="G4351" i="1"/>
  <c r="H4351" i="1" s="1"/>
  <c r="G4350" i="1"/>
  <c r="H4350" i="1" s="1"/>
  <c r="G4349" i="1"/>
  <c r="H4349" i="1" s="1"/>
  <c r="G4348" i="1"/>
  <c r="H4348" i="1" s="1"/>
  <c r="G4347" i="1"/>
  <c r="H4347" i="1" s="1"/>
  <c r="G4346" i="1"/>
  <c r="H4346" i="1" s="1"/>
  <c r="C406" i="3"/>
  <c r="D406" i="3"/>
  <c r="E406" i="3"/>
  <c r="H406" i="3" s="1"/>
  <c r="F406" i="3"/>
  <c r="A406" i="3"/>
  <c r="K4345" i="1"/>
  <c r="L4345" i="1" s="1"/>
  <c r="K406" i="3" s="1"/>
  <c r="H4345" i="1"/>
  <c r="G406" i="3" s="1"/>
  <c r="A405" i="3"/>
  <c r="C405" i="3"/>
  <c r="D405" i="3"/>
  <c r="E405" i="3"/>
  <c r="L405" i="3" s="1"/>
  <c r="F405" i="3"/>
  <c r="K4339" i="1"/>
  <c r="L4339" i="1" s="1"/>
  <c r="K4340" i="1"/>
  <c r="L4340" i="1" s="1"/>
  <c r="K4341" i="1"/>
  <c r="L4341" i="1" s="1"/>
  <c r="K4342" i="1"/>
  <c r="L4342" i="1" s="1"/>
  <c r="K4343" i="1"/>
  <c r="L4343" i="1" s="1"/>
  <c r="K4344" i="1"/>
  <c r="L4344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C404" i="3"/>
  <c r="D404" i="3"/>
  <c r="E404" i="3"/>
  <c r="L404" i="3" s="1"/>
  <c r="F404" i="3"/>
  <c r="A404" i="3"/>
  <c r="K4329" i="1"/>
  <c r="L4329" i="1" s="1"/>
  <c r="K4330" i="1"/>
  <c r="L4330" i="1" s="1"/>
  <c r="K4331" i="1"/>
  <c r="L4331" i="1" s="1"/>
  <c r="K4332" i="1"/>
  <c r="L4332" i="1" s="1"/>
  <c r="K4333" i="1"/>
  <c r="L4333" i="1" s="1"/>
  <c r="K4334" i="1"/>
  <c r="L4334" i="1" s="1"/>
  <c r="K4335" i="1"/>
  <c r="L4335" i="1" s="1"/>
  <c r="K4336" i="1"/>
  <c r="L4336" i="1" s="1"/>
  <c r="K4337" i="1"/>
  <c r="L4337" i="1" s="1"/>
  <c r="K4338" i="1"/>
  <c r="L433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L4369" i="1" l="1"/>
  <c r="H4369" i="1"/>
  <c r="G409" i="3"/>
  <c r="K409" i="3"/>
  <c r="K408" i="3"/>
  <c r="M408" i="3" s="1"/>
  <c r="L409" i="3"/>
  <c r="H409" i="3"/>
  <c r="H408" i="3"/>
  <c r="G408" i="3"/>
  <c r="G407" i="3"/>
  <c r="K407" i="3"/>
  <c r="L407" i="3"/>
  <c r="H407" i="3"/>
  <c r="L406" i="3"/>
  <c r="M406" i="3" s="1"/>
  <c r="G405" i="3"/>
  <c r="I406" i="3"/>
  <c r="K405" i="3"/>
  <c r="M405" i="3" s="1"/>
  <c r="K404" i="3"/>
  <c r="M404" i="3" s="1"/>
  <c r="H405" i="3"/>
  <c r="G404" i="3"/>
  <c r="H404" i="3"/>
  <c r="K4319" i="1"/>
  <c r="L4319" i="1" s="1"/>
  <c r="K4320" i="1"/>
  <c r="L4320" i="1" s="1"/>
  <c r="K4321" i="1"/>
  <c r="L4321" i="1" s="1"/>
  <c r="K4322" i="1"/>
  <c r="L4322" i="1" s="1"/>
  <c r="K4323" i="1"/>
  <c r="L4323" i="1" s="1"/>
  <c r="K4324" i="1"/>
  <c r="L4324" i="1" s="1"/>
  <c r="K4325" i="1"/>
  <c r="L4325" i="1" s="1"/>
  <c r="K4326" i="1"/>
  <c r="L4326" i="1" s="1"/>
  <c r="K4327" i="1"/>
  <c r="L4327" i="1" s="1"/>
  <c r="K4328" i="1"/>
  <c r="L4328" i="1" s="1"/>
  <c r="H4325" i="1"/>
  <c r="G4328" i="1"/>
  <c r="H4328" i="1" s="1"/>
  <c r="G4327" i="1"/>
  <c r="H4327" i="1" s="1"/>
  <c r="G4326" i="1"/>
  <c r="H4326" i="1" s="1"/>
  <c r="G4324" i="1"/>
  <c r="H4324" i="1" s="1"/>
  <c r="G4323" i="1"/>
  <c r="H4323" i="1" s="1"/>
  <c r="G4322" i="1"/>
  <c r="H4322" i="1" s="1"/>
  <c r="G4321" i="1"/>
  <c r="H4321" i="1" s="1"/>
  <c r="G4320" i="1"/>
  <c r="H4320" i="1" s="1"/>
  <c r="G4319" i="1"/>
  <c r="H4319" i="1" s="1"/>
  <c r="I408" i="3" l="1"/>
  <c r="M409" i="3"/>
  <c r="I404" i="3"/>
  <c r="I409" i="3"/>
  <c r="I407" i="3"/>
  <c r="I405" i="3"/>
  <c r="M407" i="3"/>
  <c r="K4305" i="1"/>
  <c r="L4305" i="1" s="1"/>
  <c r="K4306" i="1"/>
  <c r="L4306" i="1" s="1"/>
  <c r="K4307" i="1"/>
  <c r="L4307" i="1" s="1"/>
  <c r="K4308" i="1"/>
  <c r="L4308" i="1" s="1"/>
  <c r="K4309" i="1"/>
  <c r="L4309" i="1" s="1"/>
  <c r="K4310" i="1"/>
  <c r="L4310" i="1" s="1"/>
  <c r="K4311" i="1"/>
  <c r="L4311" i="1" s="1"/>
  <c r="K4312" i="1"/>
  <c r="L4312" i="1" s="1"/>
  <c r="K4313" i="1"/>
  <c r="L4313" i="1" s="1"/>
  <c r="K4314" i="1"/>
  <c r="L4314" i="1" s="1"/>
  <c r="K4315" i="1"/>
  <c r="L4315" i="1" s="1"/>
  <c r="K4316" i="1"/>
  <c r="L4316" i="1" s="1"/>
  <c r="K4317" i="1"/>
  <c r="L4317" i="1" s="1"/>
  <c r="K4318" i="1"/>
  <c r="L4318" i="1" s="1"/>
  <c r="G4318" i="1"/>
  <c r="H4318" i="1" s="1"/>
  <c r="G4317" i="1"/>
  <c r="H4317" i="1" s="1"/>
  <c r="G4316" i="1"/>
  <c r="H4316" i="1" s="1"/>
  <c r="G4315" i="1"/>
  <c r="H4315" i="1" s="1"/>
  <c r="G4314" i="1"/>
  <c r="H4314" i="1" s="1"/>
  <c r="G4313" i="1"/>
  <c r="H4313" i="1" s="1"/>
  <c r="G4312" i="1"/>
  <c r="H4312" i="1" s="1"/>
  <c r="G4311" i="1"/>
  <c r="H4311" i="1" s="1"/>
  <c r="G4310" i="1"/>
  <c r="H4310" i="1" s="1"/>
  <c r="G4309" i="1"/>
  <c r="H4309" i="1" s="1"/>
  <c r="G4308" i="1"/>
  <c r="H4308" i="1" s="1"/>
  <c r="G4307" i="1"/>
  <c r="H4307" i="1" s="1"/>
  <c r="G4306" i="1"/>
  <c r="H4306" i="1" s="1"/>
  <c r="G4305" i="1"/>
  <c r="H4305" i="1" s="1"/>
  <c r="D403" i="3"/>
  <c r="E403" i="3"/>
  <c r="F403" i="3"/>
  <c r="C403" i="3"/>
  <c r="A403" i="3"/>
  <c r="C402" i="3"/>
  <c r="D402" i="3"/>
  <c r="E402" i="3"/>
  <c r="F402" i="3"/>
  <c r="A402" i="3"/>
  <c r="K4304" i="1"/>
  <c r="L4304" i="1" s="1"/>
  <c r="H4304" i="1"/>
  <c r="K4303" i="1"/>
  <c r="L4303" i="1" s="1"/>
  <c r="H4303" i="1"/>
  <c r="K4302" i="1"/>
  <c r="L4302" i="1" s="1"/>
  <c r="H4302" i="1"/>
  <c r="K4301" i="1"/>
  <c r="L4301" i="1" s="1"/>
  <c r="H4301" i="1"/>
  <c r="K4300" i="1"/>
  <c r="L4300" i="1" s="1"/>
  <c r="H4300" i="1"/>
  <c r="K4299" i="1"/>
  <c r="L4299" i="1" s="1"/>
  <c r="H4299" i="1"/>
  <c r="K4298" i="1"/>
  <c r="L4298" i="1" s="1"/>
  <c r="H4298" i="1"/>
  <c r="K4297" i="1"/>
  <c r="L4297" i="1" s="1"/>
  <c r="H4297" i="1"/>
  <c r="K4296" i="1"/>
  <c r="L4296" i="1" s="1"/>
  <c r="H4296" i="1"/>
  <c r="L4295" i="1"/>
  <c r="H4295" i="1"/>
  <c r="K4294" i="1"/>
  <c r="L4294" i="1" s="1"/>
  <c r="H4294" i="1"/>
  <c r="C401" i="3"/>
  <c r="D401" i="3"/>
  <c r="E401" i="3"/>
  <c r="F401" i="3"/>
  <c r="A401" i="3"/>
  <c r="K4285" i="1"/>
  <c r="L4285" i="1" s="1"/>
  <c r="K4286" i="1"/>
  <c r="L4286" i="1" s="1"/>
  <c r="K4287" i="1"/>
  <c r="L4287" i="1" s="1"/>
  <c r="K4288" i="1"/>
  <c r="L4288" i="1" s="1"/>
  <c r="K4289" i="1"/>
  <c r="L4289" i="1" s="1"/>
  <c r="K4290" i="1"/>
  <c r="L4290" i="1" s="1"/>
  <c r="K4291" i="1"/>
  <c r="L4291" i="1" s="1"/>
  <c r="K4292" i="1"/>
  <c r="L4292" i="1" s="1"/>
  <c r="K4293" i="1"/>
  <c r="L4293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K4284" i="1"/>
  <c r="L4284" i="1" s="1"/>
  <c r="G4284" i="1"/>
  <c r="H4284" i="1" s="1"/>
  <c r="K4283" i="1"/>
  <c r="L4283" i="1" s="1"/>
  <c r="G4283" i="1"/>
  <c r="H4283" i="1" s="1"/>
  <c r="K4282" i="1"/>
  <c r="L4282" i="1" s="1"/>
  <c r="G4282" i="1"/>
  <c r="H4282" i="1" s="1"/>
  <c r="K4281" i="1"/>
  <c r="L4281" i="1" s="1"/>
  <c r="G4281" i="1"/>
  <c r="H4281" i="1" s="1"/>
  <c r="K4280" i="1"/>
  <c r="L4280" i="1" s="1"/>
  <c r="G4280" i="1"/>
  <c r="H4280" i="1" s="1"/>
  <c r="K4279" i="1"/>
  <c r="L4279" i="1" s="1"/>
  <c r="G4279" i="1"/>
  <c r="H4279" i="1" s="1"/>
  <c r="K4278" i="1"/>
  <c r="L4278" i="1" s="1"/>
  <c r="G4278" i="1"/>
  <c r="H4278" i="1" s="1"/>
  <c r="K4277" i="1"/>
  <c r="L4277" i="1" s="1"/>
  <c r="G4277" i="1"/>
  <c r="H4277" i="1" s="1"/>
  <c r="K4276" i="1"/>
  <c r="L4276" i="1" s="1"/>
  <c r="G4276" i="1"/>
  <c r="H4276" i="1" s="1"/>
  <c r="K4275" i="1"/>
  <c r="L4275" i="1" s="1"/>
  <c r="G4275" i="1"/>
  <c r="H4275" i="1" s="1"/>
  <c r="K4274" i="1"/>
  <c r="L4274" i="1" s="1"/>
  <c r="G4274" i="1"/>
  <c r="H4274" i="1" s="1"/>
  <c r="G400" i="3" s="1"/>
  <c r="A400" i="3"/>
  <c r="C400" i="3"/>
  <c r="D400" i="3"/>
  <c r="E400" i="3"/>
  <c r="F400" i="3"/>
  <c r="C399" i="3"/>
  <c r="D399" i="3"/>
  <c r="E399" i="3"/>
  <c r="H399" i="3" s="1"/>
  <c r="F399" i="3"/>
  <c r="A399" i="3"/>
  <c r="K4273" i="1"/>
  <c r="L4273" i="1" s="1"/>
  <c r="H4273" i="1"/>
  <c r="K4272" i="1"/>
  <c r="L4272" i="1" s="1"/>
  <c r="H4272" i="1"/>
  <c r="K4271" i="1"/>
  <c r="L4271" i="1" s="1"/>
  <c r="H4271" i="1"/>
  <c r="K4270" i="1"/>
  <c r="L4270" i="1" s="1"/>
  <c r="H4270" i="1"/>
  <c r="K4269" i="1"/>
  <c r="L4269" i="1" s="1"/>
  <c r="H4269" i="1"/>
  <c r="K4268" i="1"/>
  <c r="L4268" i="1" s="1"/>
  <c r="H4268" i="1"/>
  <c r="K4267" i="1"/>
  <c r="L4267" i="1" s="1"/>
  <c r="H4267" i="1"/>
  <c r="K4266" i="1"/>
  <c r="L4266" i="1" s="1"/>
  <c r="H4266" i="1"/>
  <c r="K4265" i="1"/>
  <c r="L4265" i="1" s="1"/>
  <c r="H4265" i="1"/>
  <c r="L4264" i="1"/>
  <c r="H4264" i="1"/>
  <c r="K4263" i="1"/>
  <c r="L4263" i="1" s="1"/>
  <c r="H4263" i="1"/>
  <c r="G399" i="3" s="1"/>
  <c r="K4262" i="1"/>
  <c r="L4262" i="1" s="1"/>
  <c r="H4262" i="1"/>
  <c r="G4256" i="1"/>
  <c r="H4256" i="1" s="1"/>
  <c r="C398" i="3"/>
  <c r="D398" i="3"/>
  <c r="E398" i="3"/>
  <c r="F398" i="3"/>
  <c r="A398" i="3"/>
  <c r="K4250" i="1"/>
  <c r="L4250" i="1" s="1"/>
  <c r="K4251" i="1"/>
  <c r="L4251" i="1" s="1"/>
  <c r="K4252" i="1"/>
  <c r="L4252" i="1" s="1"/>
  <c r="K4253" i="1"/>
  <c r="L4253" i="1" s="1"/>
  <c r="K4254" i="1"/>
  <c r="L4254" i="1" s="1"/>
  <c r="K4255" i="1"/>
  <c r="L4255" i="1" s="1"/>
  <c r="K4256" i="1"/>
  <c r="L4256" i="1" s="1"/>
  <c r="K4257" i="1"/>
  <c r="L4257" i="1" s="1"/>
  <c r="K4258" i="1"/>
  <c r="L4258" i="1" s="1"/>
  <c r="K4259" i="1"/>
  <c r="L4259" i="1" s="1"/>
  <c r="K4260" i="1"/>
  <c r="L4260" i="1" s="1"/>
  <c r="K4261" i="1"/>
  <c r="L4261" i="1" s="1"/>
  <c r="G4250" i="1"/>
  <c r="H4250" i="1" s="1"/>
  <c r="G4251" i="1"/>
  <c r="H4251" i="1" s="1"/>
  <c r="G4252" i="1"/>
  <c r="H4252" i="1" s="1"/>
  <c r="H4253" i="1"/>
  <c r="G4254" i="1"/>
  <c r="H4254" i="1" s="1"/>
  <c r="H4255" i="1"/>
  <c r="G4257" i="1"/>
  <c r="H4257" i="1" s="1"/>
  <c r="G4258" i="1"/>
  <c r="H4258" i="1" s="1"/>
  <c r="G4259" i="1"/>
  <c r="H4259" i="1" s="1"/>
  <c r="H4260" i="1"/>
  <c r="H4261" i="1"/>
  <c r="C397" i="3"/>
  <c r="D397" i="3"/>
  <c r="E397" i="3"/>
  <c r="F397" i="3"/>
  <c r="A397" i="3"/>
  <c r="K4235" i="1"/>
  <c r="L4235" i="1" s="1"/>
  <c r="K4236" i="1"/>
  <c r="L4236" i="1" s="1"/>
  <c r="K4237" i="1"/>
  <c r="L4237" i="1" s="1"/>
  <c r="K4238" i="1"/>
  <c r="L4238" i="1" s="1"/>
  <c r="K4239" i="1"/>
  <c r="L4239" i="1" s="1"/>
  <c r="K4240" i="1"/>
  <c r="L4240" i="1" s="1"/>
  <c r="K4241" i="1"/>
  <c r="L4241" i="1" s="1"/>
  <c r="K4242" i="1"/>
  <c r="L4242" i="1" s="1"/>
  <c r="K4243" i="1"/>
  <c r="L4243" i="1" s="1"/>
  <c r="K4244" i="1"/>
  <c r="L4244" i="1" s="1"/>
  <c r="K4245" i="1"/>
  <c r="L4245" i="1" s="1"/>
  <c r="K4246" i="1"/>
  <c r="L4246" i="1" s="1"/>
  <c r="K4247" i="1"/>
  <c r="L4247" i="1" s="1"/>
  <c r="K4248" i="1"/>
  <c r="L4248" i="1" s="1"/>
  <c r="K4249" i="1"/>
  <c r="L4249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303" i="5"/>
  <c r="E303" i="5"/>
  <c r="K4222" i="1"/>
  <c r="L4222" i="1" s="1"/>
  <c r="K4223" i="1"/>
  <c r="L4223" i="1" s="1"/>
  <c r="K4224" i="1"/>
  <c r="L4224" i="1" s="1"/>
  <c r="K4225" i="1"/>
  <c r="L4225" i="1" s="1"/>
  <c r="K4226" i="1"/>
  <c r="L4226" i="1" s="1"/>
  <c r="K4227" i="1"/>
  <c r="L4227" i="1" s="1"/>
  <c r="K4228" i="1"/>
  <c r="L4228" i="1" s="1"/>
  <c r="K4229" i="1"/>
  <c r="L4229" i="1" s="1"/>
  <c r="K4230" i="1"/>
  <c r="L4230" i="1" s="1"/>
  <c r="K4231" i="1"/>
  <c r="L4231" i="1" s="1"/>
  <c r="K4232" i="1"/>
  <c r="L4232" i="1" s="1"/>
  <c r="K4233" i="1"/>
  <c r="L4233" i="1" s="1"/>
  <c r="K4234" i="1"/>
  <c r="L4234" i="1" s="1"/>
  <c r="G4222" i="1"/>
  <c r="H4222" i="1" s="1"/>
  <c r="H4223" i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C396" i="3"/>
  <c r="D396" i="3"/>
  <c r="E396" i="3"/>
  <c r="F396" i="3"/>
  <c r="A396" i="3"/>
  <c r="G4212" i="1"/>
  <c r="H4212" i="1" s="1"/>
  <c r="K4212" i="1"/>
  <c r="L4212" i="1" s="1"/>
  <c r="G4213" i="1"/>
  <c r="H4213" i="1" s="1"/>
  <c r="K4213" i="1"/>
  <c r="L4213" i="1" s="1"/>
  <c r="G4214" i="1"/>
  <c r="H4214" i="1" s="1"/>
  <c r="K4214" i="1"/>
  <c r="L4214" i="1" s="1"/>
  <c r="G4215" i="1"/>
  <c r="H4215" i="1" s="1"/>
  <c r="K4215" i="1"/>
  <c r="L4215" i="1" s="1"/>
  <c r="G4216" i="1"/>
  <c r="H4216" i="1" s="1"/>
  <c r="K4216" i="1"/>
  <c r="L4216" i="1" s="1"/>
  <c r="G4217" i="1"/>
  <c r="H4217" i="1" s="1"/>
  <c r="K4217" i="1"/>
  <c r="L4217" i="1" s="1"/>
  <c r="G4218" i="1"/>
  <c r="H4218" i="1" s="1"/>
  <c r="K4218" i="1"/>
  <c r="L4218" i="1" s="1"/>
  <c r="G4219" i="1"/>
  <c r="H4219" i="1" s="1"/>
  <c r="K4219" i="1"/>
  <c r="L4219" i="1" s="1"/>
  <c r="G4220" i="1"/>
  <c r="H4220" i="1" s="1"/>
  <c r="K4220" i="1"/>
  <c r="L4220" i="1" s="1"/>
  <c r="G4221" i="1"/>
  <c r="H4221" i="1" s="1"/>
  <c r="K4221" i="1"/>
  <c r="L4221" i="1" s="1"/>
  <c r="K4211" i="1"/>
  <c r="L4211" i="1" s="1"/>
  <c r="G4211" i="1"/>
  <c r="H4211" i="1" s="1"/>
  <c r="C395" i="3"/>
  <c r="D395" i="3"/>
  <c r="E395" i="3"/>
  <c r="F395" i="3"/>
  <c r="A395" i="3"/>
  <c r="K4200" i="1"/>
  <c r="L4200" i="1" s="1"/>
  <c r="K4201" i="1"/>
  <c r="L4201" i="1" s="1"/>
  <c r="K4202" i="1"/>
  <c r="L4202" i="1" s="1"/>
  <c r="K4203" i="1"/>
  <c r="L4203" i="1" s="1"/>
  <c r="K4204" i="1"/>
  <c r="L4204" i="1" s="1"/>
  <c r="K4205" i="1"/>
  <c r="L4205" i="1" s="1"/>
  <c r="K4206" i="1"/>
  <c r="L4206" i="1" s="1"/>
  <c r="K4207" i="1"/>
  <c r="L4207" i="1" s="1"/>
  <c r="K4208" i="1"/>
  <c r="L4208" i="1" s="1"/>
  <c r="K4209" i="1"/>
  <c r="L4209" i="1" s="1"/>
  <c r="K4210" i="1"/>
  <c r="L4210" i="1" s="1"/>
  <c r="H4200" i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C394" i="3"/>
  <c r="D394" i="3"/>
  <c r="E394" i="3"/>
  <c r="H394" i="3" s="1"/>
  <c r="F394" i="3"/>
  <c r="A394" i="3"/>
  <c r="E163" i="5"/>
  <c r="G1916" i="1"/>
  <c r="C393" i="3"/>
  <c r="D393" i="3"/>
  <c r="E393" i="3"/>
  <c r="F393" i="3"/>
  <c r="K4184" i="1"/>
  <c r="L4184" i="1" s="1"/>
  <c r="K4185" i="1"/>
  <c r="L4185" i="1" s="1"/>
  <c r="K4186" i="1"/>
  <c r="L4186" i="1" s="1"/>
  <c r="K4187" i="1"/>
  <c r="L4187" i="1" s="1"/>
  <c r="K4188" i="1"/>
  <c r="L4188" i="1" s="1"/>
  <c r="K4189" i="1"/>
  <c r="L4189" i="1" s="1"/>
  <c r="K4190" i="1"/>
  <c r="L4190" i="1" s="1"/>
  <c r="K4191" i="1"/>
  <c r="L4191" i="1" s="1"/>
  <c r="K4192" i="1"/>
  <c r="L4192" i="1" s="1"/>
  <c r="K4193" i="1"/>
  <c r="L4193" i="1" s="1"/>
  <c r="K4194" i="1"/>
  <c r="L4194" i="1" s="1"/>
  <c r="K4195" i="1"/>
  <c r="L4195" i="1" s="1"/>
  <c r="K4196" i="1"/>
  <c r="L4196" i="1" s="1"/>
  <c r="K4197" i="1"/>
  <c r="L4197" i="1" s="1"/>
  <c r="K4198" i="1"/>
  <c r="L4198" i="1" s="1"/>
  <c r="K4199" i="1"/>
  <c r="L4199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H4190" i="1"/>
  <c r="G4191" i="1"/>
  <c r="H4191" i="1" s="1"/>
  <c r="G4192" i="1"/>
  <c r="H4192" i="1" s="1"/>
  <c r="G4193" i="1"/>
  <c r="H4193" i="1" s="1"/>
  <c r="G4194" i="1"/>
  <c r="H4194" i="1" s="1"/>
  <c r="G4195" i="1"/>
  <c r="H4195" i="1" s="1"/>
  <c r="H4196" i="1"/>
  <c r="G4197" i="1"/>
  <c r="H4197" i="1" s="1"/>
  <c r="G4198" i="1"/>
  <c r="H4198" i="1" s="1"/>
  <c r="G4199" i="1"/>
  <c r="H4199" i="1" s="1"/>
  <c r="A393" i="3"/>
  <c r="K4173" i="1"/>
  <c r="L4173" i="1" s="1"/>
  <c r="H4173" i="1"/>
  <c r="K4183" i="1"/>
  <c r="L4183" i="1" s="1"/>
  <c r="G4183" i="1"/>
  <c r="H4183" i="1" s="1"/>
  <c r="K4182" i="1"/>
  <c r="L4182" i="1" s="1"/>
  <c r="H4182" i="1"/>
  <c r="K4181" i="1"/>
  <c r="L4181" i="1" s="1"/>
  <c r="H4181" i="1"/>
  <c r="K4180" i="1"/>
  <c r="L4180" i="1" s="1"/>
  <c r="H4180" i="1"/>
  <c r="K4179" i="1"/>
  <c r="L4179" i="1" s="1"/>
  <c r="H4179" i="1"/>
  <c r="K4178" i="1"/>
  <c r="L4178" i="1" s="1"/>
  <c r="H4178" i="1"/>
  <c r="K4177" i="1"/>
  <c r="L4177" i="1" s="1"/>
  <c r="H4177" i="1"/>
  <c r="K4176" i="1"/>
  <c r="L4176" i="1" s="1"/>
  <c r="H4176" i="1"/>
  <c r="K4175" i="1"/>
  <c r="L4175" i="1" s="1"/>
  <c r="H4175" i="1"/>
  <c r="L4174" i="1"/>
  <c r="H4174" i="1"/>
  <c r="C392" i="3"/>
  <c r="D392" i="3"/>
  <c r="E392" i="3"/>
  <c r="H392" i="3" s="1"/>
  <c r="F392" i="3"/>
  <c r="A392" i="3"/>
  <c r="C391" i="3"/>
  <c r="D391" i="3"/>
  <c r="E391" i="3"/>
  <c r="F391" i="3"/>
  <c r="A391" i="3"/>
  <c r="G402" i="3" l="1"/>
  <c r="G403" i="3"/>
  <c r="G401" i="3"/>
  <c r="L400" i="3"/>
  <c r="H403" i="3"/>
  <c r="K400" i="3"/>
  <c r="H398" i="3"/>
  <c r="K401" i="3"/>
  <c r="K402" i="3"/>
  <c r="K399" i="3"/>
  <c r="L401" i="3"/>
  <c r="L402" i="3"/>
  <c r="K403" i="3"/>
  <c r="L403" i="3"/>
  <c r="H402" i="3"/>
  <c r="I402" i="3" s="1"/>
  <c r="H401" i="3"/>
  <c r="L399" i="3"/>
  <c r="H400" i="3"/>
  <c r="I400" i="3" s="1"/>
  <c r="I399" i="3"/>
  <c r="G394" i="3"/>
  <c r="I394" i="3" s="1"/>
  <c r="G397" i="3"/>
  <c r="H397" i="3"/>
  <c r="K398" i="3"/>
  <c r="G398" i="3"/>
  <c r="L398" i="3"/>
  <c r="H395" i="3"/>
  <c r="K397" i="3"/>
  <c r="L397" i="3"/>
  <c r="K396" i="3"/>
  <c r="L396" i="3"/>
  <c r="G396" i="3"/>
  <c r="H396" i="3"/>
  <c r="G395" i="3"/>
  <c r="K395" i="3"/>
  <c r="L395" i="3"/>
  <c r="K394" i="3"/>
  <c r="K393" i="3"/>
  <c r="L393" i="3"/>
  <c r="G393" i="3"/>
  <c r="L394" i="3"/>
  <c r="M394" i="3" s="1"/>
  <c r="H393" i="3"/>
  <c r="G392" i="3"/>
  <c r="I392" i="3" s="1"/>
  <c r="K392" i="3"/>
  <c r="L392" i="3"/>
  <c r="I398" i="3" l="1"/>
  <c r="I401" i="3"/>
  <c r="M399" i="3"/>
  <c r="I403" i="3"/>
  <c r="M401" i="3"/>
  <c r="M400" i="3"/>
  <c r="M402" i="3"/>
  <c r="M403" i="3"/>
  <c r="M398" i="3"/>
  <c r="I397" i="3"/>
  <c r="I395" i="3"/>
  <c r="M397" i="3"/>
  <c r="I396" i="3"/>
  <c r="M396" i="3"/>
  <c r="M395" i="3"/>
  <c r="M393" i="3"/>
  <c r="I393" i="3"/>
  <c r="M392" i="3"/>
  <c r="G4172" i="1"/>
  <c r="H4172" i="1" s="1"/>
  <c r="K4172" i="1"/>
  <c r="L4172" i="1" s="1"/>
  <c r="K4171" i="1"/>
  <c r="L4171" i="1" s="1"/>
  <c r="H4171" i="1"/>
  <c r="K4170" i="1"/>
  <c r="L4170" i="1" s="1"/>
  <c r="H4170" i="1"/>
  <c r="K4169" i="1"/>
  <c r="L4169" i="1" s="1"/>
  <c r="H4169" i="1"/>
  <c r="K4168" i="1"/>
  <c r="L4168" i="1" s="1"/>
  <c r="H4168" i="1"/>
  <c r="K4167" i="1"/>
  <c r="L4167" i="1" s="1"/>
  <c r="H4167" i="1"/>
  <c r="K4166" i="1"/>
  <c r="L4166" i="1" s="1"/>
  <c r="H4166" i="1"/>
  <c r="K4165" i="1"/>
  <c r="L4165" i="1" s="1"/>
  <c r="H4165" i="1"/>
  <c r="K4164" i="1"/>
  <c r="L4164" i="1" s="1"/>
  <c r="H4164" i="1"/>
  <c r="L4163" i="1"/>
  <c r="H4163" i="1"/>
  <c r="K4162" i="1"/>
  <c r="L4162" i="1" s="1"/>
  <c r="L391" i="3" s="1"/>
  <c r="H4162" i="1"/>
  <c r="C390" i="3"/>
  <c r="D390" i="3"/>
  <c r="E390" i="3"/>
  <c r="H390" i="3" s="1"/>
  <c r="F390" i="3"/>
  <c r="A390" i="3"/>
  <c r="K4161" i="1"/>
  <c r="L4161" i="1" s="1"/>
  <c r="H4161" i="1"/>
  <c r="K4160" i="1"/>
  <c r="L4160" i="1" s="1"/>
  <c r="H4160" i="1"/>
  <c r="K4159" i="1"/>
  <c r="L4159" i="1" s="1"/>
  <c r="H4159" i="1"/>
  <c r="K4158" i="1"/>
  <c r="L4158" i="1" s="1"/>
  <c r="H4158" i="1"/>
  <c r="K4157" i="1"/>
  <c r="L4157" i="1" s="1"/>
  <c r="H4157" i="1"/>
  <c r="K4156" i="1"/>
  <c r="L4156" i="1" s="1"/>
  <c r="H4156" i="1"/>
  <c r="K4155" i="1"/>
  <c r="L4155" i="1" s="1"/>
  <c r="H4155" i="1"/>
  <c r="K4154" i="1"/>
  <c r="L4154" i="1" s="1"/>
  <c r="H4154" i="1"/>
  <c r="K4153" i="1"/>
  <c r="L4153" i="1" s="1"/>
  <c r="H4153" i="1"/>
  <c r="K4152" i="1"/>
  <c r="L4152" i="1" s="1"/>
  <c r="H4152" i="1"/>
  <c r="K4151" i="1"/>
  <c r="L4151" i="1" s="1"/>
  <c r="H4151" i="1"/>
  <c r="K4150" i="1"/>
  <c r="L4150" i="1" s="1"/>
  <c r="H4150" i="1"/>
  <c r="K4149" i="1"/>
  <c r="L4149" i="1" s="1"/>
  <c r="H4149" i="1"/>
  <c r="A389" i="3"/>
  <c r="C389" i="3"/>
  <c r="D389" i="3"/>
  <c r="E389" i="3"/>
  <c r="F389" i="3"/>
  <c r="G4141" i="1"/>
  <c r="H4141" i="1" s="1"/>
  <c r="K4137" i="1"/>
  <c r="L4137" i="1" s="1"/>
  <c r="K4138" i="1"/>
  <c r="L4138" i="1" s="1"/>
  <c r="K4139" i="1"/>
  <c r="L4139" i="1" s="1"/>
  <c r="K4140" i="1"/>
  <c r="L4140" i="1" s="1"/>
  <c r="K4141" i="1"/>
  <c r="L4141" i="1" s="1"/>
  <c r="K4142" i="1"/>
  <c r="L4142" i="1" s="1"/>
  <c r="K4143" i="1"/>
  <c r="L4143" i="1" s="1"/>
  <c r="K4144" i="1"/>
  <c r="L4144" i="1" s="1"/>
  <c r="K4145" i="1"/>
  <c r="L4145" i="1" s="1"/>
  <c r="K4146" i="1"/>
  <c r="L4146" i="1" s="1"/>
  <c r="K4147" i="1"/>
  <c r="L4147" i="1" s="1"/>
  <c r="K4148" i="1"/>
  <c r="L4148" i="1" s="1"/>
  <c r="G4148" i="1"/>
  <c r="H4148" i="1" s="1"/>
  <c r="G4147" i="1"/>
  <c r="H4147" i="1" s="1"/>
  <c r="G4146" i="1"/>
  <c r="H4146" i="1" s="1"/>
  <c r="G4145" i="1"/>
  <c r="H4145" i="1" s="1"/>
  <c r="G4144" i="1"/>
  <c r="H4144" i="1" s="1"/>
  <c r="G4143" i="1"/>
  <c r="H4143" i="1" s="1"/>
  <c r="H4142" i="1"/>
  <c r="G4140" i="1"/>
  <c r="H4140" i="1" s="1"/>
  <c r="G4139" i="1"/>
  <c r="H4139" i="1" s="1"/>
  <c r="G4138" i="1"/>
  <c r="H4138" i="1" s="1"/>
  <c r="G4137" i="1"/>
  <c r="H4137" i="1" s="1"/>
  <c r="H391" i="3" l="1"/>
  <c r="K389" i="3"/>
  <c r="L389" i="3"/>
  <c r="G389" i="3"/>
  <c r="K390" i="3"/>
  <c r="G390" i="3"/>
  <c r="I390" i="3" s="1"/>
  <c r="K391" i="3"/>
  <c r="M391" i="3" s="1"/>
  <c r="G391" i="3"/>
  <c r="L390" i="3"/>
  <c r="H389" i="3"/>
  <c r="C388" i="3"/>
  <c r="D388" i="3"/>
  <c r="E388" i="3"/>
  <c r="F388" i="3"/>
  <c r="A388" i="3"/>
  <c r="K4136" i="1"/>
  <c r="L4136" i="1" s="1"/>
  <c r="H4136" i="1"/>
  <c r="L4135" i="1"/>
  <c r="H4135" i="1"/>
  <c r="K4134" i="1"/>
  <c r="L4134" i="1" s="1"/>
  <c r="H4134" i="1"/>
  <c r="K4133" i="1"/>
  <c r="L4133" i="1" s="1"/>
  <c r="H4133" i="1"/>
  <c r="K4132" i="1"/>
  <c r="L4132" i="1" s="1"/>
  <c r="H4132" i="1"/>
  <c r="K4131" i="1"/>
  <c r="L4131" i="1" s="1"/>
  <c r="H4131" i="1"/>
  <c r="K4130" i="1"/>
  <c r="L4130" i="1" s="1"/>
  <c r="H4130" i="1"/>
  <c r="K4129" i="1"/>
  <c r="L4129" i="1" s="1"/>
  <c r="H4129" i="1"/>
  <c r="K4128" i="1"/>
  <c r="L4128" i="1" s="1"/>
  <c r="H4128" i="1"/>
  <c r="K4127" i="1"/>
  <c r="L4127" i="1" s="1"/>
  <c r="H4127" i="1"/>
  <c r="K4126" i="1"/>
  <c r="L4126" i="1" s="1"/>
  <c r="H4126" i="1"/>
  <c r="C387" i="3"/>
  <c r="D387" i="3"/>
  <c r="E387" i="3"/>
  <c r="F387" i="3"/>
  <c r="A387" i="3"/>
  <c r="G4118" i="1"/>
  <c r="I391" i="3" l="1"/>
  <c r="I389" i="3"/>
  <c r="M389" i="3"/>
  <c r="M390" i="3"/>
  <c r="H388" i="3"/>
  <c r="K388" i="3"/>
  <c r="G388" i="3"/>
  <c r="L388" i="3"/>
  <c r="M388" i="3" l="1"/>
  <c r="I388" i="3"/>
  <c r="K4111" i="1" l="1"/>
  <c r="L4111" i="1" s="1"/>
  <c r="K4112" i="1"/>
  <c r="L4112" i="1" s="1"/>
  <c r="K4113" i="1"/>
  <c r="L4113" i="1" s="1"/>
  <c r="K4114" i="1"/>
  <c r="L4114" i="1" s="1"/>
  <c r="K4115" i="1"/>
  <c r="L4115" i="1" s="1"/>
  <c r="H4116" i="1"/>
  <c r="L4116" i="1"/>
  <c r="H4117" i="1"/>
  <c r="L4117" i="1"/>
  <c r="K4118" i="1"/>
  <c r="L4118" i="1" s="1"/>
  <c r="K4119" i="1"/>
  <c r="L4119" i="1" s="1"/>
  <c r="K4120" i="1"/>
  <c r="L4120" i="1" s="1"/>
  <c r="K4121" i="1"/>
  <c r="L4121" i="1" s="1"/>
  <c r="K4122" i="1"/>
  <c r="L4122" i="1" s="1"/>
  <c r="K4123" i="1"/>
  <c r="L4123" i="1" s="1"/>
  <c r="K4124" i="1"/>
  <c r="L4124" i="1" s="1"/>
  <c r="K4125" i="1"/>
  <c r="L4125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H4118" i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A386" i="3"/>
  <c r="C386" i="3"/>
  <c r="D386" i="3"/>
  <c r="E386" i="3"/>
  <c r="F386" i="3"/>
  <c r="K4104" i="1"/>
  <c r="L4104" i="1" s="1"/>
  <c r="K4105" i="1"/>
  <c r="L4105" i="1" s="1"/>
  <c r="K4106" i="1"/>
  <c r="L4106" i="1" s="1"/>
  <c r="K4107" i="1"/>
  <c r="L4107" i="1" s="1"/>
  <c r="K4108" i="1"/>
  <c r="L4108" i="1" s="1"/>
  <c r="K4109" i="1"/>
  <c r="L4109" i="1" s="1"/>
  <c r="K4110" i="1"/>
  <c r="L4110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F10" i="6"/>
  <c r="L386" i="3" l="1"/>
  <c r="H386" i="3"/>
  <c r="G387" i="3"/>
  <c r="H387" i="3"/>
  <c r="K387" i="3"/>
  <c r="L387" i="3"/>
  <c r="K386" i="3"/>
  <c r="G386" i="3"/>
  <c r="M386" i="3" l="1"/>
  <c r="M387" i="3"/>
  <c r="I387" i="3"/>
  <c r="I386" i="3"/>
  <c r="C385" i="3" l="1"/>
  <c r="D385" i="3"/>
  <c r="E385" i="3"/>
  <c r="H385" i="3" s="1"/>
  <c r="F385" i="3"/>
  <c r="A385" i="3"/>
  <c r="K4088" i="1"/>
  <c r="L4088" i="1" s="1"/>
  <c r="K4089" i="1"/>
  <c r="L4089" i="1" s="1"/>
  <c r="K4090" i="1"/>
  <c r="L4090" i="1" s="1"/>
  <c r="K4091" i="1"/>
  <c r="L4091" i="1" s="1"/>
  <c r="K4092" i="1"/>
  <c r="L4092" i="1" s="1"/>
  <c r="K4093" i="1"/>
  <c r="L4093" i="1" s="1"/>
  <c r="K4094" i="1"/>
  <c r="L4094" i="1" s="1"/>
  <c r="K4095" i="1"/>
  <c r="L4095" i="1" s="1"/>
  <c r="K4096" i="1"/>
  <c r="L4096" i="1" s="1"/>
  <c r="K4097" i="1"/>
  <c r="L4097" i="1" s="1"/>
  <c r="K4098" i="1"/>
  <c r="L4098" i="1" s="1"/>
  <c r="K4099" i="1"/>
  <c r="L4099" i="1" s="1"/>
  <c r="K4100" i="1"/>
  <c r="L4100" i="1" s="1"/>
  <c r="K4101" i="1"/>
  <c r="L4101" i="1" s="1"/>
  <c r="K4102" i="1"/>
  <c r="L4102" i="1" s="1"/>
  <c r="K4103" i="1"/>
  <c r="L4103" i="1" s="1"/>
  <c r="H4089" i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088" i="1"/>
  <c r="H4088" i="1" s="1"/>
  <c r="K385" i="3" l="1"/>
  <c r="G385" i="3"/>
  <c r="I385" i="3" s="1"/>
  <c r="L385" i="3"/>
  <c r="M385" i="3" s="1"/>
  <c r="L4085" i="1"/>
  <c r="K4086" i="1"/>
  <c r="L4086" i="1" s="1"/>
  <c r="K4087" i="1"/>
  <c r="L4087" i="1" s="1"/>
  <c r="C383" i="3"/>
  <c r="D383" i="3"/>
  <c r="E383" i="3"/>
  <c r="H383" i="3" s="1"/>
  <c r="F383" i="3"/>
  <c r="C384" i="3"/>
  <c r="D384" i="3"/>
  <c r="E384" i="3"/>
  <c r="H384" i="3" s="1"/>
  <c r="F384" i="3"/>
  <c r="A383" i="3"/>
  <c r="A384" i="3"/>
  <c r="H4082" i="1"/>
  <c r="H4083" i="1"/>
  <c r="H4084" i="1"/>
  <c r="H4085" i="1"/>
  <c r="H4086" i="1"/>
  <c r="H4087" i="1"/>
  <c r="L4082" i="1"/>
  <c r="L4083" i="1"/>
  <c r="K4084" i="1"/>
  <c r="L4084" i="1" s="1"/>
  <c r="G383" i="3" l="1"/>
  <c r="I383" i="3" s="1"/>
  <c r="K383" i="3"/>
  <c r="G384" i="3"/>
  <c r="I384" i="3" s="1"/>
  <c r="L383" i="3"/>
  <c r="M383" i="3" s="1"/>
  <c r="K384" i="3"/>
  <c r="L384" i="3"/>
  <c r="M384" i="3" s="1"/>
  <c r="C382" i="3" l="1"/>
  <c r="D382" i="3"/>
  <c r="E382" i="3"/>
  <c r="F382" i="3"/>
  <c r="A382" i="3"/>
  <c r="H382" i="3" l="1"/>
  <c r="L382" i="3"/>
  <c r="K4081" i="1"/>
  <c r="K4080" i="1"/>
  <c r="K4079" i="1"/>
  <c r="K4078" i="1"/>
  <c r="K4077" i="1"/>
  <c r="K4076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8" i="1"/>
  <c r="K4057" i="1"/>
  <c r="K4056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5" i="1"/>
  <c r="K4024" i="1"/>
  <c r="K4023" i="1"/>
  <c r="K4022" i="1"/>
  <c r="K4021" i="1"/>
  <c r="K4020" i="1"/>
  <c r="K4019" i="1"/>
  <c r="K4018" i="1"/>
  <c r="K4017" i="1"/>
  <c r="K4016" i="1"/>
  <c r="K4014" i="1"/>
  <c r="K4012" i="1"/>
  <c r="K4011" i="1"/>
  <c r="K4010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8" i="1"/>
  <c r="K3987" i="1"/>
  <c r="K3986" i="1"/>
  <c r="K3985" i="1"/>
  <c r="K3984" i="1"/>
  <c r="K3983" i="1"/>
  <c r="K3980" i="1"/>
  <c r="K3979" i="1"/>
  <c r="K3978" i="1"/>
  <c r="K3977" i="1"/>
  <c r="K3976" i="1"/>
  <c r="K3975" i="1"/>
  <c r="K3974" i="1"/>
  <c r="K3973" i="1"/>
  <c r="K3972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1" i="1"/>
  <c r="K3950" i="1"/>
  <c r="K3949" i="1"/>
  <c r="K3948" i="1"/>
  <c r="K3947" i="1"/>
  <c r="K3946" i="1"/>
  <c r="K3945" i="1"/>
  <c r="K3944" i="1"/>
  <c r="K3943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79" i="1"/>
  <c r="K3878" i="1"/>
  <c r="K3877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5" i="1"/>
  <c r="K3843" i="1"/>
  <c r="K3842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2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7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8" i="1"/>
  <c r="K3737" i="1"/>
  <c r="K3736" i="1"/>
  <c r="K3735" i="1"/>
  <c r="K3734" i="1"/>
  <c r="K3733" i="1"/>
  <c r="K3732" i="1"/>
  <c r="K3731" i="1"/>
  <c r="K3730" i="1"/>
  <c r="K3728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5" i="1"/>
  <c r="K3684" i="1"/>
  <c r="K3682" i="1"/>
  <c r="K3681" i="1"/>
  <c r="K3680" i="1"/>
  <c r="K3679" i="1"/>
  <c r="K3678" i="1"/>
  <c r="K3677" i="1"/>
  <c r="K3676" i="1"/>
  <c r="K3675" i="1"/>
  <c r="K3674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7" i="1"/>
  <c r="K3626" i="1"/>
  <c r="K3625" i="1"/>
  <c r="K3624" i="1"/>
  <c r="K3623" i="1"/>
  <c r="K3622" i="1"/>
  <c r="K3621" i="1"/>
  <c r="K3620" i="1"/>
  <c r="K3619" i="1"/>
  <c r="K3618" i="1"/>
  <c r="K3617" i="1"/>
  <c r="K3615" i="1"/>
  <c r="K3614" i="1"/>
  <c r="K3613" i="1"/>
  <c r="K3612" i="1"/>
  <c r="K3611" i="1"/>
  <c r="K3610" i="1"/>
  <c r="K3609" i="1"/>
  <c r="K3608" i="1"/>
  <c r="K3607" i="1"/>
  <c r="K3605" i="1"/>
  <c r="K3604" i="1"/>
  <c r="K3603" i="1"/>
  <c r="K3602" i="1"/>
  <c r="K3601" i="1"/>
  <c r="K3600" i="1"/>
  <c r="K3599" i="1"/>
  <c r="K3598" i="1"/>
  <c r="K3596" i="1"/>
  <c r="K3595" i="1"/>
  <c r="K3594" i="1"/>
  <c r="K3593" i="1"/>
  <c r="K3592" i="1"/>
  <c r="K3591" i="1"/>
  <c r="K3590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6" i="1"/>
  <c r="K3535" i="1"/>
  <c r="K3534" i="1"/>
  <c r="K3533" i="1"/>
  <c r="K3532" i="1"/>
  <c r="K3531" i="1"/>
  <c r="K3529" i="1"/>
  <c r="K3528" i="1"/>
  <c r="K3527" i="1"/>
  <c r="K3526" i="1"/>
  <c r="K3525" i="1"/>
  <c r="K3524" i="1"/>
  <c r="K3523" i="1"/>
  <c r="K3522" i="1"/>
  <c r="K3521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0" i="1"/>
  <c r="K3489" i="1"/>
  <c r="K3488" i="1"/>
  <c r="K3487" i="1"/>
  <c r="K3486" i="1"/>
  <c r="K3485" i="1"/>
  <c r="K3484" i="1"/>
  <c r="K3482" i="1"/>
  <c r="K3481" i="1"/>
  <c r="K3480" i="1"/>
  <c r="K3479" i="1"/>
  <c r="K3478" i="1"/>
  <c r="K3477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5" i="1"/>
  <c r="K3433" i="1"/>
  <c r="K3432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7" i="1"/>
  <c r="K3416" i="1"/>
  <c r="K3415" i="1"/>
  <c r="K3414" i="1"/>
  <c r="K3413" i="1"/>
  <c r="K3412" i="1"/>
  <c r="K3411" i="1"/>
  <c r="K3410" i="1"/>
  <c r="K3409" i="1"/>
  <c r="K3408" i="1"/>
  <c r="K3406" i="1"/>
  <c r="K3405" i="1"/>
  <c r="K3404" i="1"/>
  <c r="K3403" i="1"/>
  <c r="K3402" i="1"/>
  <c r="K3401" i="1"/>
  <c r="K3400" i="1"/>
  <c r="K3398" i="1"/>
  <c r="K3397" i="1"/>
  <c r="K3396" i="1"/>
  <c r="K3395" i="1"/>
  <c r="K3394" i="1"/>
  <c r="K3393" i="1"/>
  <c r="K3392" i="1"/>
  <c r="K3391" i="1"/>
  <c r="K3390" i="1"/>
  <c r="K3389" i="1"/>
  <c r="K3388" i="1"/>
  <c r="K3386" i="1"/>
  <c r="K3385" i="1"/>
  <c r="K3384" i="1"/>
  <c r="K3383" i="1"/>
  <c r="K3382" i="1"/>
  <c r="K3381" i="1"/>
  <c r="K3380" i="1"/>
  <c r="K3379" i="1"/>
  <c r="K3378" i="1"/>
  <c r="K3376" i="1"/>
  <c r="K3375" i="1"/>
  <c r="K3374" i="1"/>
  <c r="K3373" i="1"/>
  <c r="K3372" i="1"/>
  <c r="K3371" i="1"/>
  <c r="K3370" i="1"/>
  <c r="K3369" i="1"/>
  <c r="K3368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6" i="1"/>
  <c r="K3335" i="1"/>
  <c r="K3334" i="1"/>
  <c r="K3333" i="1"/>
  <c r="K3332" i="1"/>
  <c r="K3331" i="1"/>
  <c r="K3330" i="1"/>
  <c r="K3329" i="1"/>
  <c r="K3327" i="1"/>
  <c r="K3326" i="1"/>
  <c r="K3325" i="1"/>
  <c r="K3324" i="1"/>
  <c r="K3315" i="1"/>
  <c r="K3313" i="1"/>
  <c r="K3312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5" i="1"/>
  <c r="K3284" i="1"/>
  <c r="K3283" i="1"/>
  <c r="K3282" i="1"/>
  <c r="K3281" i="1"/>
  <c r="K3280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4" i="1"/>
  <c r="K3262" i="1"/>
  <c r="K3261" i="1"/>
  <c r="K3260" i="1"/>
  <c r="K3259" i="1"/>
  <c r="K3258" i="1"/>
  <c r="K3257" i="1"/>
  <c r="K3256" i="1"/>
  <c r="K3255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1" i="1"/>
  <c r="K3200" i="1"/>
  <c r="K3199" i="1"/>
  <c r="K3198" i="1"/>
  <c r="K3197" i="1"/>
  <c r="K3196" i="1"/>
  <c r="K3195" i="1"/>
  <c r="K3193" i="1"/>
  <c r="K3192" i="1"/>
  <c r="K3191" i="1"/>
  <c r="K3190" i="1"/>
  <c r="K3189" i="1"/>
  <c r="K3188" i="1"/>
  <c r="K3187" i="1"/>
  <c r="K3186" i="1"/>
  <c r="K3185" i="1"/>
  <c r="K3184" i="1"/>
  <c r="K3183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49" i="1"/>
  <c r="K3148" i="1"/>
  <c r="K3147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0" i="1"/>
  <c r="K3049" i="1"/>
  <c r="K3048" i="1"/>
  <c r="K3047" i="1"/>
  <c r="K3046" i="1"/>
  <c r="K3045" i="1"/>
  <c r="K3044" i="1"/>
  <c r="K3043" i="1"/>
  <c r="K3042" i="1"/>
  <c r="K3041" i="1"/>
  <c r="K3040" i="1"/>
  <c r="K3038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2" i="1"/>
  <c r="K2961" i="1"/>
  <c r="K2960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8" i="1"/>
  <c r="K2937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1" i="1"/>
  <c r="K2860" i="1"/>
  <c r="K2859" i="1"/>
  <c r="K2857" i="1"/>
  <c r="K2856" i="1"/>
  <c r="K2855" i="1"/>
  <c r="K2854" i="1"/>
  <c r="K2853" i="1"/>
  <c r="K2852" i="1"/>
  <c r="K2851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2" i="1"/>
  <c r="K2821" i="1"/>
  <c r="K2820" i="1"/>
  <c r="K2819" i="1"/>
  <c r="K2818" i="1"/>
  <c r="K2817" i="1"/>
  <c r="K2816" i="1"/>
  <c r="K2815" i="1"/>
  <c r="K2814" i="1"/>
  <c r="K2813" i="1"/>
  <c r="K2812" i="1"/>
  <c r="K2810" i="1"/>
  <c r="K2809" i="1"/>
  <c r="K2808" i="1"/>
  <c r="K2807" i="1"/>
  <c r="K2806" i="1"/>
  <c r="K2805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69" i="1"/>
  <c r="K2768" i="1"/>
  <c r="K2767" i="1"/>
  <c r="K2766" i="1"/>
  <c r="K2765" i="1"/>
  <c r="K2763" i="1"/>
  <c r="K2762" i="1"/>
  <c r="K2761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5" i="1"/>
  <c r="K2664" i="1"/>
  <c r="K2663" i="1"/>
  <c r="K2662" i="1"/>
  <c r="K2660" i="1"/>
  <c r="K2659" i="1"/>
  <c r="K2658" i="1"/>
  <c r="K2657" i="1"/>
  <c r="K2656" i="1"/>
  <c r="K2655" i="1"/>
  <c r="K2654" i="1"/>
  <c r="K2653" i="1"/>
  <c r="K2651" i="1"/>
  <c r="K2650" i="1"/>
  <c r="K2649" i="1"/>
  <c r="K2648" i="1"/>
  <c r="K2647" i="1"/>
  <c r="K2646" i="1"/>
  <c r="K2645" i="1"/>
  <c r="K2644" i="1"/>
  <c r="K2643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4" i="1"/>
  <c r="K2563" i="1"/>
  <c r="K2562" i="1"/>
  <c r="K2561" i="1"/>
  <c r="K2559" i="1"/>
  <c r="K2558" i="1"/>
  <c r="K2557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1" i="1"/>
  <c r="K2530" i="1"/>
  <c r="K2529" i="1"/>
  <c r="K2528" i="1"/>
  <c r="K2527" i="1"/>
  <c r="K2526" i="1"/>
  <c r="K2525" i="1"/>
  <c r="K2524" i="1"/>
  <c r="K2523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5" i="1"/>
  <c r="K2454" i="1"/>
  <c r="K2453" i="1"/>
  <c r="K2451" i="1"/>
  <c r="K2450" i="1"/>
  <c r="K2449" i="1"/>
  <c r="K2448" i="1"/>
  <c r="K2447" i="1"/>
  <c r="K2446" i="1"/>
  <c r="K2445" i="1"/>
  <c r="K2444" i="1"/>
  <c r="K2442" i="1"/>
  <c r="K2441" i="1"/>
  <c r="K2439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7" i="1"/>
  <c r="K2375" i="1"/>
  <c r="K2374" i="1"/>
  <c r="K2373" i="1"/>
  <c r="K2372" i="1"/>
  <c r="K2371" i="1"/>
  <c r="K2370" i="1"/>
  <c r="K2369" i="1"/>
  <c r="K2367" i="1"/>
  <c r="K2366" i="1"/>
  <c r="K2365" i="1"/>
  <c r="K2364" i="1"/>
  <c r="K2363" i="1"/>
  <c r="K2361" i="1"/>
  <c r="K2360" i="1"/>
  <c r="K2359" i="1"/>
  <c r="K2358" i="1"/>
  <c r="K2357" i="1"/>
  <c r="K2356" i="1"/>
  <c r="K2355" i="1"/>
  <c r="K2354" i="1"/>
  <c r="K2353" i="1"/>
  <c r="K2352" i="1"/>
  <c r="K2351" i="1"/>
  <c r="K2349" i="1"/>
  <c r="K2348" i="1"/>
  <c r="K2347" i="1"/>
  <c r="K2346" i="1"/>
  <c r="K2345" i="1"/>
  <c r="K2344" i="1"/>
  <c r="K2343" i="1"/>
  <c r="K2342" i="1"/>
  <c r="K2341" i="1"/>
  <c r="K2340" i="1"/>
  <c r="K2339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6" i="1"/>
  <c r="K2315" i="1"/>
  <c r="K2314" i="1"/>
  <c r="K2313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8" i="1"/>
  <c r="K2257" i="1"/>
  <c r="K2256" i="1"/>
  <c r="K2255" i="1"/>
  <c r="K2254" i="1"/>
  <c r="K2253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6" i="1"/>
  <c r="K2165" i="1"/>
  <c r="K2163" i="1"/>
  <c r="K2162" i="1"/>
  <c r="K2161" i="1"/>
  <c r="K2160" i="1"/>
  <c r="K2159" i="1"/>
  <c r="K2158" i="1"/>
  <c r="K2157" i="1"/>
  <c r="K2154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19" i="1"/>
  <c r="K2118" i="1"/>
  <c r="K2117" i="1"/>
  <c r="K2116" i="1"/>
  <c r="K2115" i="1"/>
  <c r="K2114" i="1"/>
  <c r="K2113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7" i="1"/>
  <c r="K2096" i="1"/>
  <c r="K2095" i="1"/>
  <c r="K2094" i="1"/>
  <c r="K2093" i="1"/>
  <c r="K2092" i="1"/>
  <c r="K2091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39" i="1"/>
  <c r="K2038" i="1"/>
  <c r="K2037" i="1"/>
  <c r="K2036" i="1"/>
  <c r="K2035" i="1"/>
  <c r="K2034" i="1"/>
  <c r="K2033" i="1"/>
  <c r="K2032" i="1"/>
  <c r="K2031" i="1"/>
  <c r="K2030" i="1"/>
  <c r="K2029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6" i="1"/>
  <c r="K1945" i="1"/>
  <c r="K1944" i="1"/>
  <c r="K1943" i="1"/>
  <c r="K1942" i="1"/>
  <c r="K1941" i="1"/>
  <c r="K1940" i="1"/>
  <c r="K1939" i="1"/>
  <c r="K1938" i="1"/>
  <c r="K1936" i="1"/>
  <c r="K1935" i="1"/>
  <c r="K1934" i="1"/>
  <c r="K1932" i="1"/>
  <c r="K1931" i="1"/>
  <c r="K1930" i="1"/>
  <c r="K1929" i="1"/>
  <c r="K1928" i="1"/>
  <c r="K1927" i="1"/>
  <c r="K1926" i="1"/>
  <c r="K1923" i="1"/>
  <c r="K1922" i="1"/>
  <c r="K1921" i="1"/>
  <c r="K1920" i="1"/>
  <c r="K1919" i="1"/>
  <c r="K1918" i="1"/>
  <c r="K1917" i="1"/>
  <c r="K1916" i="1"/>
  <c r="K1915" i="1"/>
  <c r="K1914" i="1"/>
  <c r="K1912" i="1"/>
  <c r="K1911" i="1"/>
  <c r="K1910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5" i="1"/>
  <c r="K1854" i="1"/>
  <c r="K1853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1" i="1"/>
  <c r="K1800" i="1"/>
  <c r="K1799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8" i="1"/>
  <c r="K1777" i="1"/>
  <c r="K1776" i="1"/>
  <c r="K1775" i="1"/>
  <c r="K1774" i="1"/>
  <c r="K1773" i="1"/>
  <c r="K1772" i="1"/>
  <c r="K1771" i="1"/>
  <c r="K1770" i="1"/>
  <c r="K1769" i="1"/>
  <c r="K1768" i="1"/>
  <c r="K1766" i="1"/>
  <c r="K1765" i="1"/>
  <c r="K1764" i="1"/>
  <c r="K1763" i="1"/>
  <c r="K1762" i="1"/>
  <c r="K1761" i="1"/>
  <c r="K1760" i="1"/>
  <c r="K1759" i="1"/>
  <c r="K1758" i="1"/>
  <c r="K1757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3" i="1"/>
  <c r="K1722" i="1"/>
  <c r="K1721" i="1"/>
  <c r="K1720" i="1"/>
  <c r="K1719" i="1"/>
  <c r="K1718" i="1"/>
  <c r="K1717" i="1"/>
  <c r="K1716" i="1"/>
  <c r="K1713" i="1"/>
  <c r="K1712" i="1"/>
  <c r="K1711" i="1"/>
  <c r="K1710" i="1"/>
  <c r="K1709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7" i="1"/>
  <c r="K1646" i="1"/>
  <c r="K1645" i="1"/>
  <c r="K1644" i="1"/>
  <c r="K1643" i="1"/>
  <c r="K1642" i="1"/>
  <c r="K1641" i="1"/>
  <c r="K1640" i="1"/>
  <c r="K1639" i="1"/>
  <c r="K1638" i="1"/>
  <c r="K1637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4" i="1"/>
  <c r="K1603" i="1"/>
  <c r="K1602" i="1"/>
  <c r="K1601" i="1"/>
  <c r="K1600" i="1"/>
  <c r="K1599" i="1"/>
  <c r="K1598" i="1"/>
  <c r="K1597" i="1"/>
  <c r="K1596" i="1"/>
  <c r="K1595" i="1"/>
  <c r="K1594" i="1"/>
  <c r="K1592" i="1"/>
  <c r="K1591" i="1"/>
  <c r="K1590" i="1"/>
  <c r="K1589" i="1"/>
  <c r="K1588" i="1"/>
  <c r="K1587" i="1"/>
  <c r="K1586" i="1"/>
  <c r="K1585" i="1"/>
  <c r="K1584" i="1"/>
  <c r="K1583" i="1"/>
  <c r="K1581" i="1"/>
  <c r="K1580" i="1"/>
  <c r="K1579" i="1"/>
  <c r="K1578" i="1"/>
  <c r="K1577" i="1"/>
  <c r="K1575" i="1"/>
  <c r="K1574" i="1"/>
  <c r="K1573" i="1"/>
  <c r="K1572" i="1"/>
  <c r="K1571" i="1"/>
  <c r="K1570" i="1"/>
  <c r="K1569" i="1"/>
  <c r="K1568" i="1"/>
  <c r="K1567" i="1"/>
  <c r="K1566" i="1"/>
  <c r="K1564" i="1"/>
  <c r="K1563" i="1"/>
  <c r="K1562" i="1"/>
  <c r="K1561" i="1"/>
  <c r="K1559" i="1"/>
  <c r="K1558" i="1"/>
  <c r="K1557" i="1"/>
  <c r="K1556" i="1"/>
  <c r="K1555" i="1"/>
  <c r="K1554" i="1"/>
  <c r="K1553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7" i="1"/>
  <c r="K1506" i="1"/>
  <c r="K1505" i="1"/>
  <c r="K1504" i="1"/>
  <c r="K1503" i="1"/>
  <c r="K1502" i="1"/>
  <c r="K1499" i="1"/>
  <c r="K1498" i="1"/>
  <c r="K1495" i="1"/>
  <c r="K1494" i="1"/>
  <c r="K1493" i="1"/>
  <c r="K1492" i="1"/>
  <c r="K1491" i="1"/>
  <c r="K1490" i="1"/>
  <c r="K1489" i="1"/>
  <c r="K1487" i="1"/>
  <c r="K1486" i="1"/>
  <c r="K1485" i="1"/>
  <c r="K1483" i="1"/>
  <c r="K1482" i="1"/>
  <c r="K1481" i="1"/>
  <c r="K1480" i="1"/>
  <c r="K1479" i="1"/>
  <c r="K1478" i="1"/>
  <c r="K1477" i="1"/>
  <c r="K1476" i="1"/>
  <c r="K1475" i="1"/>
  <c r="K1474" i="1"/>
  <c r="K1473" i="1"/>
  <c r="K1471" i="1"/>
  <c r="K1470" i="1"/>
  <c r="K1469" i="1"/>
  <c r="K1468" i="1"/>
  <c r="K1467" i="1"/>
  <c r="K1466" i="1"/>
  <c r="K1465" i="1"/>
  <c r="K1464" i="1"/>
  <c r="K1463" i="1"/>
  <c r="K1462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5" i="1"/>
  <c r="K1424" i="1"/>
  <c r="K1423" i="1"/>
  <c r="K1422" i="1"/>
  <c r="K1421" i="1"/>
  <c r="K1420" i="1"/>
  <c r="K1419" i="1"/>
  <c r="K1418" i="1"/>
  <c r="K1417" i="1"/>
  <c r="K1416" i="1"/>
  <c r="K1414" i="1"/>
  <c r="K1413" i="1"/>
  <c r="K1412" i="1"/>
  <c r="K1411" i="1"/>
  <c r="K1409" i="1"/>
  <c r="K1408" i="1"/>
  <c r="K1407" i="1"/>
  <c r="K1406" i="1"/>
  <c r="K1405" i="1"/>
  <c r="K1404" i="1"/>
  <c r="K1403" i="1"/>
  <c r="K1402" i="1"/>
  <c r="K1400" i="1"/>
  <c r="K1399" i="1"/>
  <c r="K1398" i="1"/>
  <c r="K1397" i="1"/>
  <c r="K1396" i="1"/>
  <c r="K1395" i="1"/>
  <c r="K1394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1" i="1"/>
  <c r="K1360" i="1"/>
  <c r="K1359" i="1"/>
  <c r="K1358" i="1"/>
  <c r="K1357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0" i="1"/>
  <c r="K1329" i="1"/>
  <c r="K1328" i="1"/>
  <c r="K1327" i="1"/>
  <c r="K1326" i="1"/>
  <c r="K1324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6" i="1"/>
  <c r="K1305" i="1"/>
  <c r="K1304" i="1"/>
  <c r="K1303" i="1"/>
  <c r="K1302" i="1"/>
  <c r="K1301" i="1"/>
  <c r="K1300" i="1"/>
  <c r="K1299" i="1"/>
  <c r="K1298" i="1"/>
  <c r="K1297" i="1"/>
  <c r="K1295" i="1"/>
  <c r="K1294" i="1"/>
  <c r="K1293" i="1"/>
  <c r="K1292" i="1"/>
  <c r="K1291" i="1"/>
  <c r="K1290" i="1"/>
  <c r="K1289" i="1"/>
  <c r="K1288" i="1"/>
  <c r="K1287" i="1"/>
  <c r="K1286" i="1"/>
  <c r="K1284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4" i="1"/>
  <c r="K1263" i="1"/>
  <c r="K1262" i="1"/>
  <c r="K1261" i="1"/>
  <c r="K1259" i="1"/>
  <c r="K1258" i="1"/>
  <c r="K1257" i="1"/>
  <c r="K1256" i="1"/>
  <c r="K1255" i="1"/>
  <c r="K1254" i="1"/>
  <c r="K1253" i="1"/>
  <c r="K1252" i="1"/>
  <c r="K1251" i="1"/>
  <c r="K1249" i="1"/>
  <c r="K1248" i="1"/>
  <c r="K1247" i="1"/>
  <c r="K1246" i="1"/>
  <c r="K1245" i="1"/>
  <c r="K1244" i="1"/>
  <c r="K1243" i="1"/>
  <c r="K1242" i="1"/>
  <c r="K1241" i="1"/>
  <c r="K1239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4" i="1"/>
  <c r="K1213" i="1"/>
  <c r="K1212" i="1"/>
  <c r="K1211" i="1"/>
  <c r="K1210" i="1"/>
  <c r="K1209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4" i="1"/>
  <c r="K1183" i="1"/>
  <c r="K1182" i="1"/>
  <c r="K1180" i="1"/>
  <c r="K1179" i="1"/>
  <c r="K1178" i="1"/>
  <c r="K1177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59" i="1"/>
  <c r="K1158" i="1"/>
  <c r="K1157" i="1"/>
  <c r="K1155" i="1"/>
  <c r="K1154" i="1"/>
  <c r="K1153" i="1"/>
  <c r="K1152" i="1"/>
  <c r="K1151" i="1"/>
  <c r="K1150" i="1"/>
  <c r="K1149" i="1"/>
  <c r="K1147" i="1"/>
  <c r="K1146" i="1"/>
  <c r="K1145" i="1"/>
  <c r="K1144" i="1"/>
  <c r="K1143" i="1"/>
  <c r="K1142" i="1"/>
  <c r="K1141" i="1"/>
  <c r="K1140" i="1"/>
  <c r="K1138" i="1"/>
  <c r="K1137" i="1"/>
  <c r="K1136" i="1"/>
  <c r="K1135" i="1"/>
  <c r="K1134" i="1"/>
  <c r="K1133" i="1"/>
  <c r="K1132" i="1"/>
  <c r="K1131" i="1"/>
  <c r="K1130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5" i="1"/>
  <c r="K1094" i="1"/>
  <c r="K1093" i="1"/>
  <c r="K1092" i="1"/>
  <c r="K1091" i="1"/>
  <c r="K1090" i="1"/>
  <c r="K1089" i="1"/>
  <c r="K1088" i="1"/>
  <c r="K1087" i="1"/>
  <c r="K1086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1" i="1"/>
  <c r="K1070" i="1"/>
  <c r="K1068" i="1"/>
  <c r="K1067" i="1"/>
  <c r="K1066" i="1"/>
  <c r="K1065" i="1"/>
  <c r="K1064" i="1"/>
  <c r="K1063" i="1"/>
  <c r="K1062" i="1"/>
  <c r="K1061" i="1"/>
  <c r="K1059" i="1"/>
  <c r="K1058" i="1"/>
  <c r="K1057" i="1"/>
  <c r="K1056" i="1"/>
  <c r="K1055" i="1"/>
  <c r="K1054" i="1"/>
  <c r="K1053" i="1"/>
  <c r="K1052" i="1"/>
  <c r="K1051" i="1"/>
  <c r="K1050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8" i="1"/>
  <c r="K947" i="1"/>
  <c r="K946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6" i="1"/>
  <c r="K915" i="1"/>
  <c r="K914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3" i="1"/>
  <c r="K891" i="1"/>
  <c r="K890" i="1"/>
  <c r="K889" i="1"/>
  <c r="K888" i="1"/>
  <c r="K887" i="1"/>
  <c r="K886" i="1"/>
  <c r="K885" i="1"/>
  <c r="K884" i="1"/>
  <c r="K882" i="1"/>
  <c r="K881" i="1"/>
  <c r="K880" i="1"/>
  <c r="K879" i="1"/>
  <c r="K878" i="1"/>
  <c r="K877" i="1"/>
  <c r="K876" i="1"/>
  <c r="K875" i="1"/>
  <c r="K874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5" i="1"/>
  <c r="K844" i="1"/>
  <c r="K843" i="1"/>
  <c r="K842" i="1"/>
  <c r="K840" i="1"/>
  <c r="K839" i="1"/>
  <c r="K838" i="1"/>
  <c r="K837" i="1"/>
  <c r="K835" i="1"/>
  <c r="K834" i="1"/>
  <c r="K833" i="1"/>
  <c r="K832" i="1"/>
  <c r="K831" i="1"/>
  <c r="K830" i="1"/>
  <c r="K829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3" i="1"/>
  <c r="K772" i="1"/>
  <c r="K770" i="1"/>
  <c r="K769" i="1"/>
  <c r="K768" i="1"/>
  <c r="K767" i="1"/>
  <c r="K766" i="1"/>
  <c r="K765" i="1"/>
  <c r="K764" i="1"/>
  <c r="K762" i="1"/>
  <c r="K761" i="1"/>
  <c r="K760" i="1"/>
  <c r="K759" i="1"/>
  <c r="K758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1" i="1"/>
  <c r="K740" i="1"/>
  <c r="K739" i="1"/>
  <c r="K738" i="1"/>
  <c r="K736" i="1"/>
  <c r="K735" i="1"/>
  <c r="K734" i="1"/>
  <c r="K733" i="1"/>
  <c r="K732" i="1"/>
  <c r="K731" i="1"/>
  <c r="K730" i="1"/>
  <c r="K728" i="1"/>
  <c r="K727" i="1"/>
  <c r="K726" i="1"/>
  <c r="K725" i="1"/>
  <c r="K724" i="1"/>
  <c r="K723" i="1"/>
  <c r="K721" i="1"/>
  <c r="K720" i="1"/>
  <c r="K719" i="1"/>
  <c r="K718" i="1"/>
  <c r="K716" i="1"/>
  <c r="K715" i="1"/>
  <c r="K713" i="1"/>
  <c r="K712" i="1"/>
  <c r="K711" i="1"/>
  <c r="K710" i="1"/>
  <c r="K709" i="1"/>
  <c r="K708" i="1"/>
  <c r="K706" i="1"/>
  <c r="K705" i="1"/>
  <c r="K702" i="1"/>
  <c r="K701" i="1"/>
  <c r="K700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59" i="1"/>
  <c r="K658" i="1"/>
  <c r="K657" i="1"/>
  <c r="K656" i="1"/>
  <c r="K655" i="1"/>
  <c r="K654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4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0" i="1"/>
  <c r="K609" i="1"/>
  <c r="K608" i="1"/>
  <c r="K607" i="1"/>
  <c r="K606" i="1"/>
  <c r="K605" i="1"/>
  <c r="K604" i="1"/>
  <c r="K602" i="1"/>
  <c r="K601" i="1"/>
  <c r="K599" i="1"/>
  <c r="K598" i="1"/>
  <c r="K597" i="1"/>
  <c r="K596" i="1"/>
  <c r="K595" i="1"/>
  <c r="K594" i="1"/>
  <c r="K593" i="1"/>
  <c r="K592" i="1"/>
  <c r="K591" i="1"/>
  <c r="K590" i="1"/>
  <c r="K589" i="1"/>
  <c r="K587" i="1"/>
  <c r="K586" i="1"/>
  <c r="K585" i="1"/>
  <c r="K583" i="1"/>
  <c r="K582" i="1"/>
  <c r="K581" i="1"/>
  <c r="K580" i="1"/>
  <c r="K579" i="1"/>
  <c r="K578" i="1"/>
  <c r="K577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2" i="1"/>
  <c r="K561" i="1"/>
  <c r="K560" i="1"/>
  <c r="K559" i="1"/>
  <c r="K558" i="1"/>
  <c r="K557" i="1"/>
  <c r="K556" i="1"/>
  <c r="K555" i="1"/>
  <c r="K554" i="1"/>
  <c r="K553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1" i="1"/>
  <c r="K530" i="1"/>
  <c r="K529" i="1"/>
  <c r="K528" i="1"/>
  <c r="K527" i="1"/>
  <c r="K526" i="1"/>
  <c r="K525" i="1"/>
  <c r="K524" i="1"/>
  <c r="K523" i="1"/>
  <c r="K522" i="1"/>
  <c r="K521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0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89" i="1"/>
  <c r="K188" i="1"/>
  <c r="K187" i="1"/>
  <c r="K186" i="1"/>
  <c r="K185" i="1"/>
  <c r="K184" i="1"/>
  <c r="K183" i="1"/>
  <c r="K182" i="1"/>
  <c r="K181" i="1"/>
  <c r="K180" i="1"/>
  <c r="K179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4" i="1"/>
  <c r="K83" i="1"/>
  <c r="K82" i="1"/>
  <c r="K81" i="1"/>
  <c r="K80" i="1"/>
  <c r="K79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C381" i="3" l="1"/>
  <c r="D381" i="3"/>
  <c r="E381" i="3"/>
  <c r="H381" i="3" s="1"/>
  <c r="F381" i="3"/>
  <c r="L4072" i="1"/>
  <c r="L4073" i="1"/>
  <c r="L4074" i="1"/>
  <c r="L4076" i="1"/>
  <c r="L4077" i="1"/>
  <c r="L4078" i="1"/>
  <c r="L4079" i="1"/>
  <c r="L4080" i="1"/>
  <c r="L4081" i="1"/>
  <c r="G4074" i="1"/>
  <c r="H4074" i="1" s="1"/>
  <c r="H4075" i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73" i="1"/>
  <c r="H4073" i="1" s="1"/>
  <c r="H4072" i="1"/>
  <c r="G381" i="3" l="1"/>
  <c r="L381" i="3"/>
  <c r="H4" i="5"/>
  <c r="F3" i="5"/>
  <c r="K4075" i="1" s="1"/>
  <c r="L4075" i="1" s="1"/>
  <c r="K381" i="3" s="1"/>
  <c r="H5" i="5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8" i="1"/>
  <c r="L4057" i="1"/>
  <c r="L4056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5" i="1"/>
  <c r="L4024" i="1"/>
  <c r="L4023" i="1"/>
  <c r="L4022" i="1"/>
  <c r="L4021" i="1"/>
  <c r="L4020" i="1"/>
  <c r="L4019" i="1"/>
  <c r="L4018" i="1"/>
  <c r="L4017" i="1"/>
  <c r="L4016" i="1"/>
  <c r="L4014" i="1"/>
  <c r="L4012" i="1"/>
  <c r="L4011" i="1"/>
  <c r="L4010" i="1"/>
  <c r="L4008" i="1"/>
  <c r="L4007" i="1"/>
  <c r="L4006" i="1"/>
  <c r="L4005" i="1"/>
  <c r="L4004" i="1"/>
  <c r="L4003" i="1"/>
  <c r="L4002" i="1"/>
  <c r="L4001" i="1"/>
  <c r="L4000" i="1"/>
  <c r="L3999" i="1"/>
  <c r="K374" i="3" s="1"/>
  <c r="L3998" i="1"/>
  <c r="L3997" i="1"/>
  <c r="L3996" i="1"/>
  <c r="L3995" i="1"/>
  <c r="L3994" i="1"/>
  <c r="L3993" i="1"/>
  <c r="L3992" i="1"/>
  <c r="L3991" i="1"/>
  <c r="L3990" i="1"/>
  <c r="L3988" i="1"/>
  <c r="L3987" i="1"/>
  <c r="L3986" i="1"/>
  <c r="L3985" i="1"/>
  <c r="L3984" i="1"/>
  <c r="L3983" i="1"/>
  <c r="L3979" i="1"/>
  <c r="L3978" i="1"/>
  <c r="L3977" i="1"/>
  <c r="L3976" i="1"/>
  <c r="L3975" i="1"/>
  <c r="L3974" i="1"/>
  <c r="L3973" i="1"/>
  <c r="L3972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1" i="1"/>
  <c r="L3950" i="1"/>
  <c r="L3949" i="1"/>
  <c r="L3948" i="1"/>
  <c r="L3947" i="1"/>
  <c r="L3946" i="1"/>
  <c r="L3945" i="1"/>
  <c r="L3944" i="1"/>
  <c r="L3943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79" i="1"/>
  <c r="L3878" i="1"/>
  <c r="L3877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3" i="1"/>
  <c r="L3842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2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7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8" i="1"/>
  <c r="L3737" i="1"/>
  <c r="L3736" i="1"/>
  <c r="L3735" i="1"/>
  <c r="L3734" i="1"/>
  <c r="L3733" i="1"/>
  <c r="L3732" i="1"/>
  <c r="L3731" i="1"/>
  <c r="L3730" i="1"/>
  <c r="L3728" i="1"/>
  <c r="L3726" i="1"/>
  <c r="L3725" i="1"/>
  <c r="L3724" i="1"/>
  <c r="K297" i="3" s="1"/>
  <c r="L3723" i="1"/>
  <c r="L3722" i="1"/>
  <c r="L3721" i="1"/>
  <c r="L3720" i="1"/>
  <c r="L3719" i="1"/>
  <c r="L3718" i="1"/>
  <c r="L3717" i="1"/>
  <c r="L3716" i="1"/>
  <c r="L3715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5" i="1"/>
  <c r="L3684" i="1"/>
  <c r="K4" i="3" s="1"/>
  <c r="L3682" i="1"/>
  <c r="L3681" i="1"/>
  <c r="L3680" i="1"/>
  <c r="L3679" i="1"/>
  <c r="L3678" i="1"/>
  <c r="L3677" i="1"/>
  <c r="L3676" i="1"/>
  <c r="L3675" i="1"/>
  <c r="L3674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7" i="1"/>
  <c r="L3626" i="1"/>
  <c r="L3625" i="1"/>
  <c r="L3624" i="1"/>
  <c r="L3623" i="1"/>
  <c r="L3622" i="1"/>
  <c r="L3621" i="1"/>
  <c r="L3620" i="1"/>
  <c r="L3619" i="1"/>
  <c r="L3618" i="1"/>
  <c r="L3617" i="1"/>
  <c r="L3615" i="1"/>
  <c r="L3614" i="1"/>
  <c r="L3613" i="1"/>
  <c r="L3612" i="1"/>
  <c r="L3611" i="1"/>
  <c r="L3610" i="1"/>
  <c r="L3609" i="1"/>
  <c r="L3608" i="1"/>
  <c r="L3607" i="1"/>
  <c r="L3605" i="1"/>
  <c r="L3604" i="1"/>
  <c r="L3603" i="1"/>
  <c r="L3602" i="1"/>
  <c r="L3601" i="1"/>
  <c r="L3600" i="1"/>
  <c r="L3599" i="1"/>
  <c r="L3598" i="1"/>
  <c r="L3596" i="1"/>
  <c r="L3595" i="1"/>
  <c r="L3594" i="1"/>
  <c r="L3593" i="1"/>
  <c r="L3592" i="1"/>
  <c r="L3591" i="1"/>
  <c r="L3590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6" i="1"/>
  <c r="L3535" i="1"/>
  <c r="L3534" i="1"/>
  <c r="L3533" i="1"/>
  <c r="L3532" i="1"/>
  <c r="L3531" i="1"/>
  <c r="L3529" i="1"/>
  <c r="L3528" i="1"/>
  <c r="L3527" i="1"/>
  <c r="L3526" i="1"/>
  <c r="L3525" i="1"/>
  <c r="L3524" i="1"/>
  <c r="L3523" i="1"/>
  <c r="L3522" i="1"/>
  <c r="L3521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K149" i="3" s="1"/>
  <c r="L3500" i="1"/>
  <c r="K232" i="3" s="1"/>
  <c r="L3499" i="1"/>
  <c r="K212" i="3" s="1"/>
  <c r="L3498" i="1"/>
  <c r="L3497" i="1"/>
  <c r="L3496" i="1"/>
  <c r="L3495" i="1"/>
  <c r="L3494" i="1"/>
  <c r="L3493" i="1"/>
  <c r="L3492" i="1"/>
  <c r="L3490" i="1"/>
  <c r="L3489" i="1"/>
  <c r="L3488" i="1"/>
  <c r="L3487" i="1"/>
  <c r="L3486" i="1"/>
  <c r="L3485" i="1"/>
  <c r="L3484" i="1"/>
  <c r="L3482" i="1"/>
  <c r="L3481" i="1"/>
  <c r="L3480" i="1"/>
  <c r="L3479" i="1"/>
  <c r="L3478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5" i="1"/>
  <c r="L3433" i="1"/>
  <c r="L3432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7" i="1"/>
  <c r="L3416" i="1"/>
  <c r="L3415" i="1"/>
  <c r="L3414" i="1"/>
  <c r="L3413" i="1"/>
  <c r="L3412" i="1"/>
  <c r="L3411" i="1"/>
  <c r="L3410" i="1"/>
  <c r="L3409" i="1"/>
  <c r="L3408" i="1"/>
  <c r="L3406" i="1"/>
  <c r="L3405" i="1"/>
  <c r="L3404" i="1"/>
  <c r="L3403" i="1"/>
  <c r="L3402" i="1"/>
  <c r="L3401" i="1"/>
  <c r="L3400" i="1"/>
  <c r="L3398" i="1"/>
  <c r="L3397" i="1"/>
  <c r="L3396" i="1"/>
  <c r="L3395" i="1"/>
  <c r="L3394" i="1"/>
  <c r="L3393" i="1"/>
  <c r="L3392" i="1"/>
  <c r="L3391" i="1"/>
  <c r="L3390" i="1"/>
  <c r="L3389" i="1"/>
  <c r="L3388" i="1"/>
  <c r="L3386" i="1"/>
  <c r="L3385" i="1"/>
  <c r="L3384" i="1"/>
  <c r="L3383" i="1"/>
  <c r="L3382" i="1"/>
  <c r="L3381" i="1"/>
  <c r="L3380" i="1"/>
  <c r="L3379" i="1"/>
  <c r="L3378" i="1"/>
  <c r="L3376" i="1"/>
  <c r="L3375" i="1"/>
  <c r="L3374" i="1"/>
  <c r="L3373" i="1"/>
  <c r="L3372" i="1"/>
  <c r="L3371" i="1"/>
  <c r="L3370" i="1"/>
  <c r="L3369" i="1"/>
  <c r="L3368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6" i="1"/>
  <c r="L3335" i="1"/>
  <c r="L3334" i="1"/>
  <c r="L3333" i="1"/>
  <c r="L3332" i="1"/>
  <c r="L3331" i="1"/>
  <c r="L3330" i="1"/>
  <c r="L3329" i="1"/>
  <c r="L3327" i="1"/>
  <c r="L3326" i="1"/>
  <c r="L3325" i="1"/>
  <c r="L3324" i="1"/>
  <c r="L3315" i="1"/>
  <c r="L3313" i="1"/>
  <c r="L3312" i="1"/>
  <c r="L3310" i="1"/>
  <c r="L3309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5" i="1"/>
  <c r="L3284" i="1"/>
  <c r="L3283" i="1"/>
  <c r="L3282" i="1"/>
  <c r="L3281" i="1"/>
  <c r="L3280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4" i="1"/>
  <c r="L3262" i="1"/>
  <c r="L3261" i="1"/>
  <c r="L3260" i="1"/>
  <c r="L3259" i="1"/>
  <c r="L3258" i="1"/>
  <c r="L3257" i="1"/>
  <c r="L3256" i="1"/>
  <c r="L3255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K205" i="3" s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1" i="1"/>
  <c r="L3200" i="1"/>
  <c r="L3199" i="1"/>
  <c r="L3198" i="1"/>
  <c r="L3197" i="1"/>
  <c r="L3196" i="1"/>
  <c r="L3195" i="1"/>
  <c r="L3193" i="1"/>
  <c r="L3192" i="1"/>
  <c r="L3191" i="1"/>
  <c r="L3190" i="1"/>
  <c r="L3189" i="1"/>
  <c r="L3188" i="1"/>
  <c r="L3187" i="1"/>
  <c r="L3186" i="1"/>
  <c r="L3185" i="1"/>
  <c r="L3184" i="1"/>
  <c r="L3183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49" i="1"/>
  <c r="L3148" i="1"/>
  <c r="L3147" i="1"/>
  <c r="L3145" i="1"/>
  <c r="L3144" i="1"/>
  <c r="K296" i="3" s="1"/>
  <c r="L3143" i="1"/>
  <c r="K61" i="3" s="1"/>
  <c r="L3142" i="1"/>
  <c r="K219" i="3" s="1"/>
  <c r="L3141" i="1"/>
  <c r="L3140" i="1"/>
  <c r="L3139" i="1"/>
  <c r="L3138" i="1"/>
  <c r="L3137" i="1"/>
  <c r="L3136" i="1"/>
  <c r="L3135" i="1"/>
  <c r="L3134" i="1"/>
  <c r="L3133" i="1"/>
  <c r="L3132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3" i="1"/>
  <c r="L3102" i="1"/>
  <c r="K166" i="3" s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0" i="1"/>
  <c r="L3049" i="1"/>
  <c r="L3048" i="1"/>
  <c r="L3047" i="1"/>
  <c r="L3046" i="1"/>
  <c r="L3045" i="1"/>
  <c r="L3044" i="1"/>
  <c r="L3043" i="1"/>
  <c r="L3042" i="1"/>
  <c r="L3041" i="1"/>
  <c r="L3040" i="1"/>
  <c r="L3038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K350" i="3" s="1"/>
  <c r="L3020" i="1"/>
  <c r="K227" i="3" s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K242" i="3" s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2" i="1"/>
  <c r="L2961" i="1"/>
  <c r="L2960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8" i="1"/>
  <c r="L2937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1" i="1"/>
  <c r="L2860" i="1"/>
  <c r="L2859" i="1"/>
  <c r="L2857" i="1"/>
  <c r="L2856" i="1"/>
  <c r="L2855" i="1"/>
  <c r="L2854" i="1"/>
  <c r="L2853" i="1"/>
  <c r="L2852" i="1"/>
  <c r="L2851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2" i="1"/>
  <c r="L2821" i="1"/>
  <c r="L2820" i="1"/>
  <c r="L2819" i="1"/>
  <c r="L2818" i="1"/>
  <c r="L2817" i="1"/>
  <c r="L2816" i="1"/>
  <c r="L2815" i="1"/>
  <c r="L2814" i="1"/>
  <c r="L2813" i="1"/>
  <c r="L2812" i="1"/>
  <c r="L2810" i="1"/>
  <c r="L2809" i="1"/>
  <c r="L2808" i="1"/>
  <c r="L2807" i="1"/>
  <c r="L2806" i="1"/>
  <c r="L2805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69" i="1"/>
  <c r="L2768" i="1"/>
  <c r="L2767" i="1"/>
  <c r="L2766" i="1"/>
  <c r="L2765" i="1"/>
  <c r="L2763" i="1"/>
  <c r="L2762" i="1"/>
  <c r="L2761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K343" i="3" s="1"/>
  <c r="L2739" i="1"/>
  <c r="L2738" i="1"/>
  <c r="L2737" i="1"/>
  <c r="L2736" i="1"/>
  <c r="L2735" i="1"/>
  <c r="L2734" i="1"/>
  <c r="L2733" i="1"/>
  <c r="L2732" i="1"/>
  <c r="L2731" i="1"/>
  <c r="L2730" i="1"/>
  <c r="L2729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5" i="1"/>
  <c r="L2664" i="1"/>
  <c r="L2663" i="1"/>
  <c r="L2662" i="1"/>
  <c r="L2660" i="1"/>
  <c r="L2659" i="1"/>
  <c r="L2658" i="1"/>
  <c r="L2657" i="1"/>
  <c r="L2656" i="1"/>
  <c r="L2655" i="1"/>
  <c r="L2654" i="1"/>
  <c r="L2653" i="1"/>
  <c r="L2651" i="1"/>
  <c r="L2650" i="1"/>
  <c r="L2649" i="1"/>
  <c r="L2648" i="1"/>
  <c r="L2647" i="1"/>
  <c r="L2646" i="1"/>
  <c r="L2645" i="1"/>
  <c r="L2644" i="1"/>
  <c r="L2643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4" i="1"/>
  <c r="L2563" i="1"/>
  <c r="L2562" i="1"/>
  <c r="L2561" i="1"/>
  <c r="L2559" i="1"/>
  <c r="L2558" i="1"/>
  <c r="L2557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1" i="1"/>
  <c r="L2530" i="1"/>
  <c r="L2529" i="1"/>
  <c r="L2528" i="1"/>
  <c r="L2527" i="1"/>
  <c r="L2526" i="1"/>
  <c r="L2525" i="1"/>
  <c r="L2524" i="1"/>
  <c r="L2523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K161" i="3" s="1"/>
  <c r="L2464" i="1"/>
  <c r="L2463" i="1"/>
  <c r="L2462" i="1"/>
  <c r="L2461" i="1"/>
  <c r="L2460" i="1"/>
  <c r="L2459" i="1"/>
  <c r="L2458" i="1"/>
  <c r="L2457" i="1"/>
  <c r="L2455" i="1"/>
  <c r="L2454" i="1"/>
  <c r="L2453" i="1"/>
  <c r="L2451" i="1"/>
  <c r="L2450" i="1"/>
  <c r="L2449" i="1"/>
  <c r="L2448" i="1"/>
  <c r="L2447" i="1"/>
  <c r="L2446" i="1"/>
  <c r="L2445" i="1"/>
  <c r="L2444" i="1"/>
  <c r="L2442" i="1"/>
  <c r="L2441" i="1"/>
  <c r="L2439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7" i="1"/>
  <c r="L2375" i="1"/>
  <c r="L2374" i="1"/>
  <c r="L2373" i="1"/>
  <c r="L2372" i="1"/>
  <c r="L2371" i="1"/>
  <c r="L2370" i="1"/>
  <c r="L2369" i="1"/>
  <c r="L2367" i="1"/>
  <c r="L2366" i="1"/>
  <c r="L2365" i="1"/>
  <c r="L2364" i="1"/>
  <c r="L2363" i="1"/>
  <c r="L2361" i="1"/>
  <c r="L2360" i="1"/>
  <c r="L2359" i="1"/>
  <c r="L2358" i="1"/>
  <c r="L2357" i="1"/>
  <c r="L2356" i="1"/>
  <c r="L2355" i="1"/>
  <c r="L2354" i="1"/>
  <c r="L2353" i="1"/>
  <c r="L2352" i="1"/>
  <c r="L2351" i="1"/>
  <c r="L2349" i="1"/>
  <c r="L2348" i="1"/>
  <c r="L2347" i="1"/>
  <c r="L2346" i="1"/>
  <c r="L2345" i="1"/>
  <c r="L2344" i="1"/>
  <c r="L2343" i="1"/>
  <c r="L2342" i="1"/>
  <c r="K184" i="3" s="1"/>
  <c r="L2341" i="1"/>
  <c r="L2340" i="1"/>
  <c r="L2339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6" i="1"/>
  <c r="L2315" i="1"/>
  <c r="L2314" i="1"/>
  <c r="L2313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8" i="1"/>
  <c r="L2257" i="1"/>
  <c r="L2256" i="1"/>
  <c r="L2255" i="1"/>
  <c r="L2254" i="1"/>
  <c r="L2253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6" i="1"/>
  <c r="L2165" i="1"/>
  <c r="L2163" i="1"/>
  <c r="L2162" i="1"/>
  <c r="L2161" i="1"/>
  <c r="L2160" i="1"/>
  <c r="L2159" i="1"/>
  <c r="L2158" i="1"/>
  <c r="L2157" i="1"/>
  <c r="L2154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19" i="1"/>
  <c r="L2118" i="1"/>
  <c r="L2117" i="1"/>
  <c r="L2116" i="1"/>
  <c r="L2115" i="1"/>
  <c r="L2114" i="1"/>
  <c r="L2113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7" i="1"/>
  <c r="L2096" i="1"/>
  <c r="L2095" i="1"/>
  <c r="L2094" i="1"/>
  <c r="L2093" i="1"/>
  <c r="L2092" i="1"/>
  <c r="L2091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39" i="1"/>
  <c r="L2038" i="1"/>
  <c r="L2037" i="1"/>
  <c r="L2036" i="1"/>
  <c r="L2035" i="1"/>
  <c r="L2034" i="1"/>
  <c r="L2033" i="1"/>
  <c r="L2032" i="1"/>
  <c r="L2031" i="1"/>
  <c r="L2030" i="1"/>
  <c r="L2029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6" i="1"/>
  <c r="L1945" i="1"/>
  <c r="L1944" i="1"/>
  <c r="L1943" i="1"/>
  <c r="L1942" i="1"/>
  <c r="L1941" i="1"/>
  <c r="L1940" i="1"/>
  <c r="L1939" i="1"/>
  <c r="L1938" i="1"/>
  <c r="L1936" i="1"/>
  <c r="L1935" i="1"/>
  <c r="L1934" i="1"/>
  <c r="L1932" i="1"/>
  <c r="L1931" i="1"/>
  <c r="L1930" i="1"/>
  <c r="L1929" i="1"/>
  <c r="L1928" i="1"/>
  <c r="L1927" i="1"/>
  <c r="L1926" i="1"/>
  <c r="L1923" i="1"/>
  <c r="L1922" i="1"/>
  <c r="L1921" i="1"/>
  <c r="L1920" i="1"/>
  <c r="L1919" i="1"/>
  <c r="L1918" i="1"/>
  <c r="L1917" i="1"/>
  <c r="L1916" i="1"/>
  <c r="L1915" i="1"/>
  <c r="L1914" i="1"/>
  <c r="L1912" i="1"/>
  <c r="L1911" i="1"/>
  <c r="L1910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5" i="1"/>
  <c r="L1854" i="1"/>
  <c r="L1853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1" i="1"/>
  <c r="L1800" i="1"/>
  <c r="L1799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8" i="1"/>
  <c r="L1777" i="1"/>
  <c r="L1776" i="1"/>
  <c r="L1775" i="1"/>
  <c r="L1774" i="1"/>
  <c r="L1773" i="1"/>
  <c r="L1772" i="1"/>
  <c r="L1771" i="1"/>
  <c r="L1770" i="1"/>
  <c r="L1769" i="1"/>
  <c r="L1768" i="1"/>
  <c r="L1766" i="1"/>
  <c r="L1765" i="1"/>
  <c r="L1764" i="1"/>
  <c r="L1763" i="1"/>
  <c r="L1762" i="1"/>
  <c r="L1761" i="1"/>
  <c r="L1760" i="1"/>
  <c r="L1759" i="1"/>
  <c r="L1758" i="1"/>
  <c r="L1757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3" i="1"/>
  <c r="L1722" i="1"/>
  <c r="L1721" i="1"/>
  <c r="L1720" i="1"/>
  <c r="L1719" i="1"/>
  <c r="L1718" i="1"/>
  <c r="L1717" i="1"/>
  <c r="L1716" i="1"/>
  <c r="L1713" i="1"/>
  <c r="L1712" i="1"/>
  <c r="L1711" i="1"/>
  <c r="L1710" i="1"/>
  <c r="L1709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7" i="1"/>
  <c r="L1646" i="1"/>
  <c r="L1645" i="1"/>
  <c r="L1644" i="1"/>
  <c r="L1643" i="1"/>
  <c r="L1642" i="1"/>
  <c r="L1641" i="1"/>
  <c r="L1640" i="1"/>
  <c r="L1639" i="1"/>
  <c r="L1638" i="1"/>
  <c r="L1637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4" i="1"/>
  <c r="L1603" i="1"/>
  <c r="L1602" i="1"/>
  <c r="L1601" i="1"/>
  <c r="L1600" i="1"/>
  <c r="L1599" i="1"/>
  <c r="L1598" i="1"/>
  <c r="L1597" i="1"/>
  <c r="L1596" i="1"/>
  <c r="L1595" i="1"/>
  <c r="L1594" i="1"/>
  <c r="L1592" i="1"/>
  <c r="L1591" i="1"/>
  <c r="L1590" i="1"/>
  <c r="L1589" i="1"/>
  <c r="L1588" i="1"/>
  <c r="L1587" i="1"/>
  <c r="L1586" i="1"/>
  <c r="L1585" i="1"/>
  <c r="L1584" i="1"/>
  <c r="L1583" i="1"/>
  <c r="L1581" i="1"/>
  <c r="L1580" i="1"/>
  <c r="L1579" i="1"/>
  <c r="L1578" i="1"/>
  <c r="L1577" i="1"/>
  <c r="L1575" i="1"/>
  <c r="L1574" i="1"/>
  <c r="L1573" i="1"/>
  <c r="L1572" i="1"/>
  <c r="L1571" i="1"/>
  <c r="L1570" i="1"/>
  <c r="L1569" i="1"/>
  <c r="L1568" i="1"/>
  <c r="L1567" i="1"/>
  <c r="L1566" i="1"/>
  <c r="L1564" i="1"/>
  <c r="L1563" i="1"/>
  <c r="L1562" i="1"/>
  <c r="L1561" i="1"/>
  <c r="L1559" i="1"/>
  <c r="L1558" i="1"/>
  <c r="L1557" i="1"/>
  <c r="L1556" i="1"/>
  <c r="L1555" i="1"/>
  <c r="L1554" i="1"/>
  <c r="L1553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7" i="1"/>
  <c r="L1506" i="1"/>
  <c r="L1505" i="1"/>
  <c r="L1504" i="1"/>
  <c r="L1503" i="1"/>
  <c r="L1502" i="1"/>
  <c r="L1499" i="1"/>
  <c r="L1498" i="1"/>
  <c r="L1495" i="1"/>
  <c r="L1494" i="1"/>
  <c r="L1493" i="1"/>
  <c r="L1492" i="1"/>
  <c r="L1491" i="1"/>
  <c r="L1490" i="1"/>
  <c r="L1489" i="1"/>
  <c r="L1488" i="1"/>
  <c r="L1487" i="1"/>
  <c r="L1486" i="1"/>
  <c r="L1485" i="1"/>
  <c r="L1483" i="1"/>
  <c r="L1482" i="1"/>
  <c r="L1481" i="1"/>
  <c r="L1480" i="1"/>
  <c r="L1479" i="1"/>
  <c r="L1478" i="1"/>
  <c r="L1477" i="1"/>
  <c r="L1476" i="1"/>
  <c r="L1475" i="1"/>
  <c r="L1474" i="1"/>
  <c r="L1473" i="1"/>
  <c r="L1471" i="1"/>
  <c r="L1470" i="1"/>
  <c r="L1469" i="1"/>
  <c r="L1468" i="1"/>
  <c r="L1467" i="1"/>
  <c r="L1466" i="1"/>
  <c r="L1465" i="1"/>
  <c r="L1464" i="1"/>
  <c r="L1463" i="1"/>
  <c r="L1462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K250" i="3" s="1"/>
  <c r="L1446" i="1"/>
  <c r="K251" i="3" s="1"/>
  <c r="L1445" i="1"/>
  <c r="K148" i="3" s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5" i="1"/>
  <c r="L1424" i="1"/>
  <c r="L1423" i="1"/>
  <c r="L1422" i="1"/>
  <c r="L1421" i="1"/>
  <c r="L1420" i="1"/>
  <c r="L1419" i="1"/>
  <c r="L1418" i="1"/>
  <c r="L1417" i="1"/>
  <c r="L1416" i="1"/>
  <c r="L1414" i="1"/>
  <c r="L1413" i="1"/>
  <c r="L1412" i="1"/>
  <c r="L1411" i="1"/>
  <c r="L1409" i="1"/>
  <c r="L1408" i="1"/>
  <c r="L1407" i="1"/>
  <c r="L1406" i="1"/>
  <c r="L1405" i="1"/>
  <c r="L1404" i="1"/>
  <c r="L1403" i="1"/>
  <c r="L1402" i="1"/>
  <c r="L1400" i="1"/>
  <c r="L1399" i="1"/>
  <c r="L1398" i="1"/>
  <c r="L1397" i="1"/>
  <c r="L1396" i="1"/>
  <c r="L1395" i="1"/>
  <c r="L1394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1" i="1"/>
  <c r="L1360" i="1"/>
  <c r="L1359" i="1"/>
  <c r="L1358" i="1"/>
  <c r="L1357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0" i="1"/>
  <c r="L1329" i="1"/>
  <c r="L1328" i="1"/>
  <c r="L1327" i="1"/>
  <c r="L1326" i="1"/>
  <c r="L1324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6" i="1"/>
  <c r="L1305" i="1"/>
  <c r="L1304" i="1"/>
  <c r="L1303" i="1"/>
  <c r="L1302" i="1"/>
  <c r="L1301" i="1"/>
  <c r="L1300" i="1"/>
  <c r="L1299" i="1"/>
  <c r="L1298" i="1"/>
  <c r="L1297" i="1"/>
  <c r="L1295" i="1"/>
  <c r="L1294" i="1"/>
  <c r="L1293" i="1"/>
  <c r="L1292" i="1"/>
  <c r="L1291" i="1"/>
  <c r="L1290" i="1"/>
  <c r="L1289" i="1"/>
  <c r="L1288" i="1"/>
  <c r="L1287" i="1"/>
  <c r="L1286" i="1"/>
  <c r="L1284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4" i="1"/>
  <c r="L1263" i="1"/>
  <c r="L1262" i="1"/>
  <c r="L1261" i="1"/>
  <c r="L1259" i="1"/>
  <c r="L1258" i="1"/>
  <c r="L1257" i="1"/>
  <c r="L1256" i="1"/>
  <c r="L1255" i="1"/>
  <c r="L1254" i="1"/>
  <c r="L1253" i="1"/>
  <c r="L1252" i="1"/>
  <c r="L1251" i="1"/>
  <c r="L1249" i="1"/>
  <c r="L1248" i="1"/>
  <c r="L1247" i="1"/>
  <c r="L1246" i="1"/>
  <c r="L1245" i="1"/>
  <c r="L1244" i="1"/>
  <c r="L1243" i="1"/>
  <c r="L1242" i="1"/>
  <c r="L1241" i="1"/>
  <c r="L1239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4" i="1"/>
  <c r="L1213" i="1"/>
  <c r="L1212" i="1"/>
  <c r="L1211" i="1"/>
  <c r="L1210" i="1"/>
  <c r="L1209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4" i="1"/>
  <c r="L1183" i="1"/>
  <c r="L1182" i="1"/>
  <c r="L1180" i="1"/>
  <c r="L1179" i="1"/>
  <c r="L1178" i="1"/>
  <c r="L1177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5" i="1"/>
  <c r="L1154" i="1"/>
  <c r="L1153" i="1"/>
  <c r="L1152" i="1"/>
  <c r="L1151" i="1"/>
  <c r="L1150" i="1"/>
  <c r="L1149" i="1"/>
  <c r="L1147" i="1"/>
  <c r="L1146" i="1"/>
  <c r="L1145" i="1"/>
  <c r="L1144" i="1"/>
  <c r="L1143" i="1"/>
  <c r="L1142" i="1"/>
  <c r="L1141" i="1"/>
  <c r="L1140" i="1"/>
  <c r="L1138" i="1"/>
  <c r="L1137" i="1"/>
  <c r="L1136" i="1"/>
  <c r="L1135" i="1"/>
  <c r="L1134" i="1"/>
  <c r="L1133" i="1"/>
  <c r="L1132" i="1"/>
  <c r="L1131" i="1"/>
  <c r="L1130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5" i="1"/>
  <c r="L1094" i="1"/>
  <c r="L1093" i="1"/>
  <c r="L1092" i="1"/>
  <c r="L1091" i="1"/>
  <c r="L1090" i="1"/>
  <c r="L1089" i="1"/>
  <c r="L1088" i="1"/>
  <c r="L1087" i="1"/>
  <c r="L1086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1" i="1"/>
  <c r="L1070" i="1"/>
  <c r="L1068" i="1"/>
  <c r="L1067" i="1"/>
  <c r="L1066" i="1"/>
  <c r="L1065" i="1"/>
  <c r="L1064" i="1"/>
  <c r="L1063" i="1"/>
  <c r="L1062" i="1"/>
  <c r="L1061" i="1"/>
  <c r="L1059" i="1"/>
  <c r="L1058" i="1"/>
  <c r="L1057" i="1"/>
  <c r="L1056" i="1"/>
  <c r="L1055" i="1"/>
  <c r="L1054" i="1"/>
  <c r="L1053" i="1"/>
  <c r="L1052" i="1"/>
  <c r="L1051" i="1"/>
  <c r="L1050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8" i="1"/>
  <c r="L947" i="1"/>
  <c r="L946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6" i="1"/>
  <c r="L915" i="1"/>
  <c r="L914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3" i="1"/>
  <c r="L891" i="1"/>
  <c r="L890" i="1"/>
  <c r="L889" i="1"/>
  <c r="L888" i="1"/>
  <c r="L887" i="1"/>
  <c r="L886" i="1"/>
  <c r="L885" i="1"/>
  <c r="L884" i="1"/>
  <c r="L882" i="1"/>
  <c r="L881" i="1"/>
  <c r="L880" i="1"/>
  <c r="L879" i="1"/>
  <c r="L878" i="1"/>
  <c r="L877" i="1"/>
  <c r="L876" i="1"/>
  <c r="L875" i="1"/>
  <c r="L874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5" i="1"/>
  <c r="L844" i="1"/>
  <c r="L843" i="1"/>
  <c r="L842" i="1"/>
  <c r="L840" i="1"/>
  <c r="L839" i="1"/>
  <c r="L838" i="1"/>
  <c r="L837" i="1"/>
  <c r="L835" i="1"/>
  <c r="L834" i="1"/>
  <c r="L833" i="1"/>
  <c r="L832" i="1"/>
  <c r="L831" i="1"/>
  <c r="L830" i="1"/>
  <c r="L829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3" i="1"/>
  <c r="L772" i="1"/>
  <c r="L770" i="1"/>
  <c r="L769" i="1"/>
  <c r="L768" i="1"/>
  <c r="L767" i="1"/>
  <c r="L766" i="1"/>
  <c r="L765" i="1"/>
  <c r="L764" i="1"/>
  <c r="L762" i="1"/>
  <c r="L761" i="1"/>
  <c r="L760" i="1"/>
  <c r="L759" i="1"/>
  <c r="L758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1" i="1"/>
  <c r="L740" i="1"/>
  <c r="L739" i="1"/>
  <c r="L738" i="1"/>
  <c r="L736" i="1"/>
  <c r="L735" i="1"/>
  <c r="L734" i="1"/>
  <c r="L733" i="1"/>
  <c r="L732" i="1"/>
  <c r="L731" i="1"/>
  <c r="L730" i="1"/>
  <c r="L728" i="1"/>
  <c r="L727" i="1"/>
  <c r="L726" i="1"/>
  <c r="L725" i="1"/>
  <c r="L724" i="1"/>
  <c r="L723" i="1"/>
  <c r="L721" i="1"/>
  <c r="L720" i="1"/>
  <c r="L719" i="1"/>
  <c r="L718" i="1"/>
  <c r="L716" i="1"/>
  <c r="L715" i="1"/>
  <c r="L713" i="1"/>
  <c r="L712" i="1"/>
  <c r="L711" i="1"/>
  <c r="L710" i="1"/>
  <c r="L709" i="1"/>
  <c r="L706" i="1"/>
  <c r="L702" i="1"/>
  <c r="L701" i="1"/>
  <c r="L700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59" i="1"/>
  <c r="L658" i="1"/>
  <c r="L657" i="1"/>
  <c r="L656" i="1"/>
  <c r="L655" i="1"/>
  <c r="L654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4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0" i="1"/>
  <c r="L609" i="1"/>
  <c r="L608" i="1"/>
  <c r="L607" i="1"/>
  <c r="L606" i="1"/>
  <c r="L605" i="1"/>
  <c r="L604" i="1"/>
  <c r="L603" i="1"/>
  <c r="L602" i="1"/>
  <c r="L601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3" i="1"/>
  <c r="L582" i="1"/>
  <c r="L581" i="1"/>
  <c r="L580" i="1"/>
  <c r="L579" i="1"/>
  <c r="L578" i="1"/>
  <c r="L577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2" i="1"/>
  <c r="L561" i="1"/>
  <c r="L560" i="1"/>
  <c r="L559" i="1"/>
  <c r="L558" i="1"/>
  <c r="L557" i="1"/>
  <c r="L556" i="1"/>
  <c r="L555" i="1"/>
  <c r="L554" i="1"/>
  <c r="L553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1" i="1"/>
  <c r="L530" i="1"/>
  <c r="L529" i="1"/>
  <c r="L528" i="1"/>
  <c r="L527" i="1"/>
  <c r="L526" i="1"/>
  <c r="L525" i="1"/>
  <c r="L524" i="1"/>
  <c r="L523" i="1"/>
  <c r="L522" i="1"/>
  <c r="L521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0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89" i="1"/>
  <c r="L188" i="1"/>
  <c r="L187" i="1"/>
  <c r="L186" i="1"/>
  <c r="L185" i="1"/>
  <c r="L184" i="1"/>
  <c r="L183" i="1"/>
  <c r="L182" i="1"/>
  <c r="L181" i="1"/>
  <c r="L180" i="1"/>
  <c r="L179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4" i="1"/>
  <c r="L83" i="1"/>
  <c r="L82" i="1"/>
  <c r="L81" i="1"/>
  <c r="L80" i="1"/>
  <c r="L79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3" i="1"/>
  <c r="L3" i="1" s="1"/>
  <c r="I381" i="3" l="1"/>
  <c r="M381" i="3"/>
  <c r="K206" i="3"/>
  <c r="K380" i="3"/>
  <c r="K50" i="3"/>
  <c r="K108" i="3"/>
  <c r="K271" i="3"/>
  <c r="K281" i="3"/>
  <c r="K289" i="3"/>
  <c r="K247" i="3"/>
  <c r="K253" i="3"/>
  <c r="K170" i="3"/>
  <c r="K256" i="3"/>
  <c r="K214" i="3"/>
  <c r="K90" i="3"/>
  <c r="K185" i="3"/>
  <c r="K68" i="3"/>
  <c r="K363" i="3"/>
  <c r="K362" i="3"/>
  <c r="K259" i="3"/>
  <c r="K21" i="3"/>
  <c r="K23" i="3"/>
  <c r="K60" i="3"/>
  <c r="K351" i="3"/>
  <c r="K249" i="3"/>
  <c r="K367" i="3"/>
  <c r="K265" i="3"/>
  <c r="K361" i="3"/>
  <c r="K192" i="3"/>
  <c r="K276" i="3"/>
  <c r="K220" i="3"/>
  <c r="K269" i="3"/>
  <c r="K204" i="3"/>
  <c r="K349" i="3"/>
  <c r="K245" i="3"/>
  <c r="K208" i="3"/>
  <c r="K252" i="3"/>
  <c r="K337" i="3"/>
  <c r="K15" i="3"/>
  <c r="K200" i="3"/>
  <c r="K216" i="3"/>
  <c r="K213" i="3"/>
  <c r="K308" i="3"/>
  <c r="K333" i="3"/>
  <c r="K260" i="3"/>
  <c r="K312" i="3"/>
  <c r="K273" i="3"/>
  <c r="K304" i="3"/>
  <c r="K244" i="3"/>
  <c r="K264" i="3"/>
  <c r="K353" i="3"/>
  <c r="K309" i="3"/>
  <c r="K196" i="3"/>
  <c r="K344" i="3"/>
  <c r="K370" i="3"/>
  <c r="K3" i="3"/>
  <c r="K48" i="3"/>
  <c r="K172" i="3"/>
  <c r="K179" i="3"/>
  <c r="K186" i="3"/>
  <c r="K207" i="3"/>
  <c r="K275" i="3"/>
  <c r="K120" i="3"/>
  <c r="K235" i="3"/>
  <c r="K56" i="3"/>
  <c r="K190" i="3"/>
  <c r="K70" i="3"/>
  <c r="K339" i="3"/>
  <c r="K24" i="3"/>
  <c r="K201" i="3"/>
  <c r="K246" i="3"/>
  <c r="K354" i="3"/>
  <c r="K165" i="3"/>
  <c r="K19" i="3"/>
  <c r="K97" i="3"/>
  <c r="K81" i="3"/>
  <c r="K91" i="3"/>
  <c r="K101" i="3"/>
  <c r="K127" i="3"/>
  <c r="K57" i="3"/>
  <c r="K37" i="3"/>
  <c r="K327" i="3"/>
  <c r="K222" i="3"/>
  <c r="K202" i="3"/>
  <c r="K342" i="3"/>
  <c r="K20" i="3"/>
  <c r="K355" i="3"/>
  <c r="K290" i="3"/>
  <c r="K294" i="3"/>
  <c r="K26" i="3"/>
  <c r="K307" i="3"/>
  <c r="K94" i="3"/>
  <c r="K358" i="3"/>
  <c r="K254" i="3"/>
  <c r="K334" i="3"/>
  <c r="K129" i="3"/>
  <c r="K169" i="3"/>
  <c r="K66" i="3"/>
  <c r="K27" i="3"/>
  <c r="K33" i="3"/>
  <c r="K84" i="3"/>
  <c r="K103" i="3"/>
  <c r="K115" i="3"/>
  <c r="K134" i="3"/>
  <c r="K139" i="3"/>
  <c r="K182" i="3"/>
  <c r="K318" i="3"/>
  <c r="K347" i="3"/>
  <c r="K303" i="3"/>
  <c r="K322" i="3"/>
  <c r="K69" i="3"/>
  <c r="K311" i="3"/>
  <c r="K199" i="3"/>
  <c r="K338" i="3"/>
  <c r="K335" i="3"/>
  <c r="K164" i="3"/>
  <c r="C380" i="3" l="1"/>
  <c r="D380" i="3"/>
  <c r="E380" i="3"/>
  <c r="F380" i="3"/>
  <c r="H4071" i="1"/>
  <c r="H4070" i="1"/>
  <c r="H4069" i="1"/>
  <c r="H4068" i="1"/>
  <c r="H4067" i="1"/>
  <c r="H4066" i="1"/>
  <c r="H4065" i="1"/>
  <c r="H4064" i="1"/>
  <c r="C378" i="3"/>
  <c r="D378" i="3"/>
  <c r="E378" i="3"/>
  <c r="F378" i="3"/>
  <c r="C379" i="3"/>
  <c r="D379" i="3"/>
  <c r="E379" i="3"/>
  <c r="F379" i="3"/>
  <c r="H4063" i="1"/>
  <c r="H4062" i="1"/>
  <c r="H4061" i="1"/>
  <c r="H4060" i="1"/>
  <c r="H4059" i="1"/>
  <c r="H4058" i="1"/>
  <c r="H4057" i="1"/>
  <c r="H4056" i="1"/>
  <c r="H4054" i="1"/>
  <c r="H4055" i="1"/>
  <c r="H4046" i="1"/>
  <c r="H4047" i="1"/>
  <c r="H4048" i="1"/>
  <c r="H4049" i="1"/>
  <c r="H4050" i="1"/>
  <c r="H4051" i="1"/>
  <c r="H4052" i="1"/>
  <c r="H4053" i="1"/>
  <c r="C377" i="3"/>
  <c r="D377" i="3"/>
  <c r="E377" i="3"/>
  <c r="F377" i="3"/>
  <c r="H4039" i="1"/>
  <c r="H4038" i="1"/>
  <c r="H4040" i="1"/>
  <c r="H4041" i="1"/>
  <c r="H4042" i="1"/>
  <c r="H4043" i="1"/>
  <c r="H4044" i="1"/>
  <c r="H4045" i="1"/>
  <c r="H4037" i="1"/>
  <c r="H377" i="3" l="1"/>
  <c r="L377" i="3"/>
  <c r="H379" i="3"/>
  <c r="L379" i="3"/>
  <c r="H378" i="3"/>
  <c r="L378" i="3"/>
  <c r="H380" i="3"/>
  <c r="L380" i="3"/>
  <c r="M380" i="3" s="1"/>
  <c r="G379" i="3"/>
  <c r="G380" i="3"/>
  <c r="G378" i="3"/>
  <c r="G377" i="3"/>
  <c r="I377" i="3" l="1"/>
  <c r="I378" i="3"/>
  <c r="I380" i="3"/>
  <c r="I379" i="3"/>
  <c r="C376" i="3"/>
  <c r="D376" i="3"/>
  <c r="E376" i="3"/>
  <c r="F376" i="3"/>
  <c r="H4026" i="1"/>
  <c r="H4027" i="1"/>
  <c r="H4028" i="1"/>
  <c r="H4029" i="1"/>
  <c r="H4030" i="1"/>
  <c r="H4031" i="1"/>
  <c r="H4032" i="1"/>
  <c r="H4033" i="1"/>
  <c r="H4034" i="1"/>
  <c r="H4035" i="1"/>
  <c r="H4036" i="1"/>
  <c r="H4025" i="1"/>
  <c r="C375" i="3"/>
  <c r="D375" i="3"/>
  <c r="E375" i="3"/>
  <c r="F375" i="3"/>
  <c r="H4015" i="1"/>
  <c r="H4023" i="1"/>
  <c r="H4024" i="1"/>
  <c r="H4016" i="1"/>
  <c r="H4017" i="1"/>
  <c r="H4018" i="1"/>
  <c r="H4019" i="1"/>
  <c r="H4020" i="1"/>
  <c r="H4021" i="1"/>
  <c r="H4022" i="1"/>
  <c r="H4014" i="1"/>
  <c r="H1460" i="1"/>
  <c r="H4004" i="1"/>
  <c r="H4000" i="1"/>
  <c r="H4001" i="1"/>
  <c r="H4002" i="1"/>
  <c r="H4003" i="1"/>
  <c r="H4005" i="1"/>
  <c r="H4006" i="1"/>
  <c r="H4007" i="1"/>
  <c r="H4008" i="1"/>
  <c r="H4009" i="1"/>
  <c r="H4010" i="1"/>
  <c r="H4011" i="1"/>
  <c r="H4012" i="1"/>
  <c r="H4013" i="1"/>
  <c r="F240" i="5"/>
  <c r="F252" i="5"/>
  <c r="F5" i="5"/>
  <c r="L1461" i="1"/>
  <c r="K146" i="3" s="1"/>
  <c r="F279" i="5"/>
  <c r="F4" i="5"/>
  <c r="F160" i="5"/>
  <c r="F112" i="5"/>
  <c r="F59" i="5"/>
  <c r="F61" i="5"/>
  <c r="D183" i="3"/>
  <c r="G382" i="3" l="1"/>
  <c r="I382" i="3" s="1"/>
  <c r="H375" i="3"/>
  <c r="L375" i="3"/>
  <c r="H376" i="3"/>
  <c r="L376" i="3"/>
  <c r="L122" i="1"/>
  <c r="K85" i="3" s="1"/>
  <c r="L215" i="1"/>
  <c r="K130" i="3" s="1"/>
  <c r="L322" i="1"/>
  <c r="K183" i="3" s="1"/>
  <c r="L465" i="1"/>
  <c r="K278" i="3" s="1"/>
  <c r="L563" i="1"/>
  <c r="K305" i="3" s="1"/>
  <c r="L611" i="1"/>
  <c r="K46" i="3" s="1"/>
  <c r="L660" i="1"/>
  <c r="K326" i="3" s="1"/>
  <c r="L828" i="1"/>
  <c r="K340" i="3" s="1"/>
  <c r="L873" i="1"/>
  <c r="L913" i="1"/>
  <c r="L992" i="1"/>
  <c r="K177" i="3" s="1"/>
  <c r="L1096" i="1"/>
  <c r="K98" i="3" s="1"/>
  <c r="L1185" i="1"/>
  <c r="K285" i="3" s="1"/>
  <c r="L1240" i="1"/>
  <c r="K364" i="3" s="1"/>
  <c r="L1283" i="1"/>
  <c r="K174" i="3" s="1"/>
  <c r="L1323" i="1"/>
  <c r="K95" i="3" s="1"/>
  <c r="L1362" i="1"/>
  <c r="K284" i="3" s="1"/>
  <c r="L1415" i="1"/>
  <c r="L1484" i="1"/>
  <c r="K317" i="3" s="1"/>
  <c r="L1501" i="1"/>
  <c r="L1593" i="1"/>
  <c r="K277" i="3" s="1"/>
  <c r="L1648" i="1"/>
  <c r="K282" i="3" s="1"/>
  <c r="L1724" i="1"/>
  <c r="K181" i="3" s="1"/>
  <c r="L1779" i="1"/>
  <c r="K180" i="3" s="1"/>
  <c r="L1852" i="1"/>
  <c r="K77" i="3" s="1"/>
  <c r="L1909" i="1"/>
  <c r="K30" i="3" s="1"/>
  <c r="L1978" i="1"/>
  <c r="K263" i="3" s="1"/>
  <c r="L2040" i="1"/>
  <c r="K107" i="3" s="1"/>
  <c r="L2098" i="1"/>
  <c r="K160" i="3" s="1"/>
  <c r="L2312" i="1"/>
  <c r="K287" i="3" s="1"/>
  <c r="L2362" i="1"/>
  <c r="K360" i="3" s="1"/>
  <c r="L2407" i="1"/>
  <c r="K299" i="3" s="1"/>
  <c r="L2532" i="1"/>
  <c r="K83" i="3" s="1"/>
  <c r="L2565" i="1"/>
  <c r="K111" i="3" s="1"/>
  <c r="L2687" i="1"/>
  <c r="K241" i="3" s="1"/>
  <c r="L2804" i="1"/>
  <c r="L2858" i="1"/>
  <c r="L2939" i="1"/>
  <c r="K11" i="3" s="1"/>
  <c r="L3037" i="1"/>
  <c r="K122" i="3" s="1"/>
  <c r="L3131" i="1"/>
  <c r="K110" i="3" s="1"/>
  <c r="L3194" i="1"/>
  <c r="K369" i="3" s="1"/>
  <c r="L3286" i="1"/>
  <c r="K168" i="3" s="1"/>
  <c r="L3337" i="1"/>
  <c r="K34" i="3" s="1"/>
  <c r="L3431" i="1"/>
  <c r="L3476" i="1"/>
  <c r="K187" i="3" s="1"/>
  <c r="L3652" i="1"/>
  <c r="K112" i="3" s="1"/>
  <c r="L3700" i="1"/>
  <c r="K357" i="3" s="1"/>
  <c r="L3739" i="1"/>
  <c r="K255" i="3" s="1"/>
  <c r="L3793" i="1"/>
  <c r="K31" i="3" s="1"/>
  <c r="L3844" i="1"/>
  <c r="L3880" i="1"/>
  <c r="K73" i="3" s="1"/>
  <c r="L3942" i="1"/>
  <c r="K35" i="3" s="1"/>
  <c r="L4015" i="1"/>
  <c r="K375" i="3" s="1"/>
  <c r="L4059" i="1"/>
  <c r="K379" i="3" s="1"/>
  <c r="M379" i="3" s="1"/>
  <c r="L144" i="1"/>
  <c r="K96" i="3" s="1"/>
  <c r="L520" i="1"/>
  <c r="K319" i="3" s="1"/>
  <c r="L576" i="1"/>
  <c r="K176" i="3" s="1"/>
  <c r="L699" i="1"/>
  <c r="L836" i="1"/>
  <c r="K302" i="3" s="1"/>
  <c r="L1285" i="1"/>
  <c r="K280" i="3" s="1"/>
  <c r="L1605" i="1"/>
  <c r="K154" i="3" s="1"/>
  <c r="L1742" i="1"/>
  <c r="K86" i="3" s="1"/>
  <c r="L1856" i="1"/>
  <c r="K51" i="3" s="1"/>
  <c r="L1913" i="1"/>
  <c r="K300" i="3" s="1"/>
  <c r="L1993" i="1"/>
  <c r="K286" i="3" s="1"/>
  <c r="L2112" i="1"/>
  <c r="K226" i="3" s="1"/>
  <c r="L2652" i="1"/>
  <c r="K313" i="3" s="1"/>
  <c r="L2811" i="1"/>
  <c r="L3146" i="1"/>
  <c r="K167" i="3" s="1"/>
  <c r="L3399" i="1"/>
  <c r="K74" i="3" s="1"/>
  <c r="L3673" i="1"/>
  <c r="K261" i="3" s="1"/>
  <c r="L3811" i="1"/>
  <c r="K114" i="3" s="1"/>
  <c r="L3846" i="1"/>
  <c r="L3895" i="1"/>
  <c r="K12" i="3" s="1"/>
  <c r="L3989" i="1"/>
  <c r="K373" i="3" s="1"/>
  <c r="L4026" i="1"/>
  <c r="K376" i="3" s="1"/>
  <c r="L635" i="1"/>
  <c r="K175" i="3" s="1"/>
  <c r="L945" i="1"/>
  <c r="L1030" i="1"/>
  <c r="K43" i="3" s="1"/>
  <c r="L1129" i="1"/>
  <c r="L1215" i="1"/>
  <c r="K316" i="3" s="1"/>
  <c r="L1296" i="1"/>
  <c r="L1401" i="1"/>
  <c r="K17" i="3" s="1"/>
  <c r="L1675" i="1"/>
  <c r="K279" i="3" s="1"/>
  <c r="L1756" i="1"/>
  <c r="K106" i="3" s="1"/>
  <c r="L1873" i="1"/>
  <c r="K82" i="3" s="1"/>
  <c r="L17" i="1"/>
  <c r="K5" i="3" s="1"/>
  <c r="L236" i="1"/>
  <c r="K132" i="3" s="1"/>
  <c r="L633" i="1"/>
  <c r="K328" i="3" s="1"/>
  <c r="L1009" i="1"/>
  <c r="K38" i="3" s="1"/>
  <c r="L1110" i="1"/>
  <c r="K116" i="3" s="1"/>
  <c r="L1156" i="1"/>
  <c r="K178" i="3" s="1"/>
  <c r="L1208" i="1"/>
  <c r="K117" i="3" s="1"/>
  <c r="L1250" i="1"/>
  <c r="L1325" i="1"/>
  <c r="L1393" i="1"/>
  <c r="K223" i="3" s="1"/>
  <c r="L1496" i="1"/>
  <c r="L1508" i="1"/>
  <c r="K152" i="3" s="1"/>
  <c r="L1565" i="1"/>
  <c r="K67" i="3" s="1"/>
  <c r="L1661" i="1"/>
  <c r="K7" i="3" s="1"/>
  <c r="L1708" i="1"/>
  <c r="L1937" i="1"/>
  <c r="L2053" i="1"/>
  <c r="K283" i="3" s="1"/>
  <c r="L2317" i="1"/>
  <c r="K28" i="3" s="1"/>
  <c r="L2368" i="1"/>
  <c r="K158" i="3" s="1"/>
  <c r="L2456" i="1"/>
  <c r="L2555" i="1"/>
  <c r="K62" i="3" s="1"/>
  <c r="L2587" i="1"/>
  <c r="K258" i="3" s="1"/>
  <c r="L2707" i="1"/>
  <c r="K230" i="3" s="1"/>
  <c r="L2959" i="1"/>
  <c r="L3039" i="1"/>
  <c r="K118" i="3" s="1"/>
  <c r="L3202" i="1"/>
  <c r="K314" i="3" s="1"/>
  <c r="L3352" i="1"/>
  <c r="K272" i="3" s="1"/>
  <c r="L3434" i="1"/>
  <c r="L3537" i="1"/>
  <c r="K329" i="3" s="1"/>
  <c r="L3606" i="1"/>
  <c r="K54" i="3" s="1"/>
  <c r="L3714" i="1"/>
  <c r="K124" i="3" s="1"/>
  <c r="L178" i="1"/>
  <c r="K105" i="3" s="1"/>
  <c r="L378" i="1"/>
  <c r="K104" i="3" s="1"/>
  <c r="L532" i="1"/>
  <c r="K325" i="3" s="1"/>
  <c r="L584" i="1"/>
  <c r="K89" i="3" s="1"/>
  <c r="L841" i="1"/>
  <c r="L1072" i="1"/>
  <c r="K40" i="3" s="1"/>
  <c r="L1176" i="1"/>
  <c r="L1260" i="1"/>
  <c r="L1497" i="1"/>
  <c r="L1521" i="1"/>
  <c r="K155" i="3" s="1"/>
  <c r="L1619" i="1"/>
  <c r="K42" i="3" s="1"/>
  <c r="L1714" i="1"/>
  <c r="L1802" i="1"/>
  <c r="L1947" i="1"/>
  <c r="K100" i="3" s="1"/>
  <c r="L190" i="1"/>
  <c r="K142" i="3" s="1"/>
  <c r="L600" i="1"/>
  <c r="K234" i="3" s="1"/>
  <c r="L1181" i="1"/>
  <c r="L1356" i="1"/>
  <c r="K72" i="3" s="1"/>
  <c r="L1552" i="1"/>
  <c r="K39" i="3" s="1"/>
  <c r="L2028" i="1"/>
  <c r="K99" i="3" s="1"/>
  <c r="L2153" i="1"/>
  <c r="K140" i="3" s="1"/>
  <c r="L2297" i="1"/>
  <c r="K45" i="3" s="1"/>
  <c r="L2378" i="1"/>
  <c r="K29" i="3" s="1"/>
  <c r="L2522" i="1"/>
  <c r="K150" i="3" s="1"/>
  <c r="L2622" i="1"/>
  <c r="K22" i="3" s="1"/>
  <c r="L2850" i="1"/>
  <c r="K156" i="3" s="1"/>
  <c r="L3004" i="1"/>
  <c r="K153" i="3" s="1"/>
  <c r="L3182" i="1"/>
  <c r="K131" i="3" s="1"/>
  <c r="L3279" i="1"/>
  <c r="K14" i="3" s="1"/>
  <c r="L3377" i="1"/>
  <c r="K352" i="3" s="1"/>
  <c r="L3463" i="1"/>
  <c r="K52" i="3" s="1"/>
  <c r="L3686" i="1"/>
  <c r="K151" i="3" s="1"/>
  <c r="L3771" i="1"/>
  <c r="K58" i="3" s="1"/>
  <c r="L3876" i="1"/>
  <c r="K128" i="3" s="1"/>
  <c r="L4055" i="1"/>
  <c r="K378" i="3" s="1"/>
  <c r="M378" i="3" s="1"/>
  <c r="L1767" i="1"/>
  <c r="K79" i="3" s="1"/>
  <c r="L2075" i="1"/>
  <c r="K173" i="3" s="1"/>
  <c r="L2440" i="1"/>
  <c r="L3216" i="1"/>
  <c r="K189" i="3" s="1"/>
  <c r="L3616" i="1"/>
  <c r="K291" i="3" s="1"/>
  <c r="L3813" i="1"/>
  <c r="K365" i="3" s="1"/>
  <c r="L653" i="1"/>
  <c r="K224" i="3" s="1"/>
  <c r="L2338" i="1"/>
  <c r="K157" i="3" s="1"/>
  <c r="L2771" i="1"/>
  <c r="L2889" i="1"/>
  <c r="K209" i="3" s="1"/>
  <c r="L3051" i="1"/>
  <c r="K119" i="3" s="1"/>
  <c r="L3407" i="1"/>
  <c r="K10" i="3" s="1"/>
  <c r="L3912" i="1"/>
  <c r="K76" i="3" s="1"/>
  <c r="L391" i="1"/>
  <c r="K238" i="3" s="1"/>
  <c r="L1085" i="1"/>
  <c r="K49" i="3" s="1"/>
  <c r="L1265" i="1"/>
  <c r="K267" i="3" s="1"/>
  <c r="L1636" i="1"/>
  <c r="K109" i="3" s="1"/>
  <c r="L1819" i="1"/>
  <c r="K225" i="3" s="1"/>
  <c r="L1965" i="1"/>
  <c r="K36" i="3" s="1"/>
  <c r="L2090" i="1"/>
  <c r="K55" i="3" s="1"/>
  <c r="L2167" i="1"/>
  <c r="K44" i="3" s="1"/>
  <c r="L2350" i="1"/>
  <c r="K53" i="3" s="1"/>
  <c r="L2560" i="1"/>
  <c r="L2936" i="1"/>
  <c r="K231" i="3" s="1"/>
  <c r="L3104" i="1"/>
  <c r="K135" i="3" s="1"/>
  <c r="L3253" i="1"/>
  <c r="L3328" i="1"/>
  <c r="K188" i="3" s="1"/>
  <c r="L3418" i="1"/>
  <c r="K16" i="3" s="1"/>
  <c r="L3520" i="1"/>
  <c r="L3628" i="1"/>
  <c r="K8" i="3" s="1"/>
  <c r="L3729" i="1"/>
  <c r="K13" i="3" s="1"/>
  <c r="L3841" i="1"/>
  <c r="K113" i="3" s="1"/>
  <c r="L3927" i="1"/>
  <c r="K93" i="3" s="1"/>
  <c r="L4013" i="1"/>
  <c r="L85" i="1"/>
  <c r="K75" i="3" s="1"/>
  <c r="L552" i="1"/>
  <c r="K41" i="3" s="1"/>
  <c r="L894" i="1"/>
  <c r="K293" i="3" s="1"/>
  <c r="L1500" i="1"/>
  <c r="L1691" i="1"/>
  <c r="K71" i="3" s="1"/>
  <c r="L1894" i="1"/>
  <c r="K274" i="3" s="1"/>
  <c r="L2012" i="1"/>
  <c r="K270" i="3" s="1"/>
  <c r="L2120" i="1"/>
  <c r="K257" i="3" s="1"/>
  <c r="L2282" i="1"/>
  <c r="K123" i="3" s="1"/>
  <c r="L2376" i="1"/>
  <c r="K310" i="3" s="1"/>
  <c r="L2606" i="1"/>
  <c r="K306" i="3" s="1"/>
  <c r="L2728" i="1"/>
  <c r="K133" i="3" s="1"/>
  <c r="L2823" i="1"/>
  <c r="K292" i="3" s="1"/>
  <c r="L3150" i="1"/>
  <c r="K324" i="3" s="1"/>
  <c r="L3265" i="1"/>
  <c r="L3367" i="1"/>
  <c r="K92" i="3" s="1"/>
  <c r="L3436" i="1"/>
  <c r="K121" i="3" s="1"/>
  <c r="L3565" i="1"/>
  <c r="K336" i="3" s="1"/>
  <c r="L3683" i="1"/>
  <c r="K198" i="3" s="1"/>
  <c r="L3758" i="1"/>
  <c r="K80" i="3" s="1"/>
  <c r="L3862" i="1"/>
  <c r="K137" i="3" s="1"/>
  <c r="L3971" i="1"/>
  <c r="K371" i="3" s="1"/>
  <c r="L271" i="1"/>
  <c r="K138" i="3" s="1"/>
  <c r="L1049" i="1"/>
  <c r="L1238" i="1"/>
  <c r="K239" i="3" s="1"/>
  <c r="L1582" i="1"/>
  <c r="L1925" i="1"/>
  <c r="L2164" i="1"/>
  <c r="K217" i="3" s="1"/>
  <c r="L3314" i="1"/>
  <c r="L3491" i="1"/>
  <c r="K348" i="3" s="1"/>
  <c r="L3727" i="1"/>
  <c r="K366" i="3" s="1"/>
  <c r="L4009" i="1"/>
  <c r="K382" i="3" s="1"/>
  <c r="M382" i="3" s="1"/>
  <c r="K3387" i="1"/>
  <c r="L3387" i="1" s="1"/>
  <c r="K248" i="3" s="1"/>
  <c r="K1426" i="1"/>
  <c r="L1426" i="1" s="1"/>
  <c r="K63" i="3" s="1"/>
  <c r="K2259" i="1"/>
  <c r="L2259" i="1" s="1"/>
  <c r="K65" i="3" s="1"/>
  <c r="K360" i="1"/>
  <c r="L360" i="1" s="1"/>
  <c r="K215" i="3" s="1"/>
  <c r="K3589" i="1"/>
  <c r="L3589" i="1" s="1"/>
  <c r="K356" i="3" s="1"/>
  <c r="K788" i="1"/>
  <c r="L788" i="1" s="1"/>
  <c r="K171" i="3" s="1"/>
  <c r="K1410" i="1"/>
  <c r="L1410" i="1" s="1"/>
  <c r="K197" i="3" s="1"/>
  <c r="K4040" i="1"/>
  <c r="L4040" i="1" s="1"/>
  <c r="K377" i="3" s="1"/>
  <c r="M377" i="3" s="1"/>
  <c r="K707" i="1"/>
  <c r="L707" i="1" s="1"/>
  <c r="K729" i="1"/>
  <c r="L729" i="1" s="1"/>
  <c r="K229" i="3" s="1"/>
  <c r="K763" i="1"/>
  <c r="L763" i="1" s="1"/>
  <c r="K346" i="3" s="1"/>
  <c r="K1148" i="1"/>
  <c r="L1148" i="1" s="1"/>
  <c r="K1560" i="1"/>
  <c r="L1560" i="1" s="1"/>
  <c r="K321" i="3" s="1"/>
  <c r="K1707" i="1"/>
  <c r="L1707" i="1" s="1"/>
  <c r="K194" i="3" s="1"/>
  <c r="K1933" i="1"/>
  <c r="L1933" i="1" s="1"/>
  <c r="K2155" i="1"/>
  <c r="L2155" i="1" s="1"/>
  <c r="K2452" i="1"/>
  <c r="L2452" i="1" s="1"/>
  <c r="K233" i="3" s="1"/>
  <c r="K2642" i="1"/>
  <c r="L2642" i="1" s="1"/>
  <c r="K298" i="3" s="1"/>
  <c r="K2764" i="1"/>
  <c r="L2764" i="1" s="1"/>
  <c r="K3254" i="1"/>
  <c r="L3254" i="1" s="1"/>
  <c r="K3597" i="1"/>
  <c r="L3597" i="1" s="1"/>
  <c r="K163" i="3" s="1"/>
  <c r="K737" i="1"/>
  <c r="L737" i="1" s="1"/>
  <c r="K332" i="3" s="1"/>
  <c r="K1069" i="1"/>
  <c r="L1069" i="1" s="1"/>
  <c r="K2438" i="1"/>
  <c r="L2438" i="1" s="1"/>
  <c r="K714" i="1"/>
  <c r="L714" i="1" s="1"/>
  <c r="K145" i="3" s="1"/>
  <c r="K771" i="1"/>
  <c r="L771" i="1" s="1"/>
  <c r="K341" i="3" s="1"/>
  <c r="K1798" i="1"/>
  <c r="L1798" i="1" s="1"/>
  <c r="K3756" i="1"/>
  <c r="L3756" i="1" s="1"/>
  <c r="K18" i="3" s="1"/>
  <c r="K3952" i="1"/>
  <c r="L3952" i="1" s="1"/>
  <c r="K345" i="3" s="1"/>
  <c r="K703" i="1"/>
  <c r="L703" i="1" s="1"/>
  <c r="K717" i="1"/>
  <c r="L717" i="1" s="1"/>
  <c r="K191" i="3" s="1"/>
  <c r="K742" i="1"/>
  <c r="L742" i="1" s="1"/>
  <c r="K236" i="3" s="1"/>
  <c r="K774" i="1"/>
  <c r="L774" i="1" s="1"/>
  <c r="K295" i="3" s="1"/>
  <c r="K892" i="1"/>
  <c r="L892" i="1" s="1"/>
  <c r="K1331" i="1"/>
  <c r="L1331" i="1" s="1"/>
  <c r="K757" i="1"/>
  <c r="L757" i="1" s="1"/>
  <c r="K193" i="3" s="1"/>
  <c r="K1715" i="1"/>
  <c r="L1715" i="1" s="1"/>
  <c r="K1924" i="1"/>
  <c r="L1924" i="1" s="1"/>
  <c r="K2760" i="1"/>
  <c r="L2760" i="1" s="1"/>
  <c r="K323" i="3" s="1"/>
  <c r="K3981" i="1"/>
  <c r="L3981" i="1" s="1"/>
  <c r="K2661" i="1"/>
  <c r="L2661" i="1" s="1"/>
  <c r="K141" i="3" s="1"/>
  <c r="K704" i="1"/>
  <c r="L704" i="1" s="1"/>
  <c r="K1472" i="1"/>
  <c r="L1472" i="1" s="1"/>
  <c r="K210" i="3" s="1"/>
  <c r="K2666" i="1"/>
  <c r="L2666" i="1" s="1"/>
  <c r="K211" i="3" s="1"/>
  <c r="K2772" i="1"/>
  <c r="L2772" i="1" s="1"/>
  <c r="K722" i="1"/>
  <c r="L722" i="1" s="1"/>
  <c r="K228" i="3" s="1"/>
  <c r="K2556" i="1"/>
  <c r="L2556" i="1" s="1"/>
  <c r="K2770" i="1"/>
  <c r="L2770" i="1" s="1"/>
  <c r="K2443" i="1"/>
  <c r="L2443" i="1" s="1"/>
  <c r="K2508" i="1"/>
  <c r="L2508" i="1" s="1"/>
  <c r="K25" i="3" s="1"/>
  <c r="K3263" i="1"/>
  <c r="L3263" i="1" s="1"/>
  <c r="K3483" i="1"/>
  <c r="L3483" i="1" s="1"/>
  <c r="K78" i="1"/>
  <c r="L78" i="1" s="1"/>
  <c r="K87" i="3" s="1"/>
  <c r="K3311" i="1"/>
  <c r="L3311" i="1" s="1"/>
  <c r="K1576" i="1"/>
  <c r="L1576" i="1" s="1"/>
  <c r="K2252" i="1"/>
  <c r="L2252" i="1" s="1"/>
  <c r="K147" i="3" s="1"/>
  <c r="K3982" i="1"/>
  <c r="L3982" i="1" s="1"/>
  <c r="K2156" i="1"/>
  <c r="L2156" i="1" s="1"/>
  <c r="K269" i="1"/>
  <c r="L269" i="1" s="1"/>
  <c r="K136" i="3" s="1"/>
  <c r="K1060" i="1"/>
  <c r="L1060" i="1" s="1"/>
  <c r="K3530" i="1"/>
  <c r="L3530" i="1" s="1"/>
  <c r="K883" i="1"/>
  <c r="L883" i="1" s="1"/>
  <c r="K2862" i="1"/>
  <c r="L2862" i="1" s="1"/>
  <c r="K917" i="1"/>
  <c r="L917" i="1" s="1"/>
  <c r="K949" i="1"/>
  <c r="L949" i="1" s="1"/>
  <c r="K846" i="1"/>
  <c r="L846" i="1" s="1"/>
  <c r="K1139" i="1"/>
  <c r="L1139" i="1" s="1"/>
  <c r="K1307" i="1"/>
  <c r="L1307" i="1" s="1"/>
  <c r="K2963" i="1"/>
  <c r="L2963" i="1" s="1"/>
  <c r="G375" i="3"/>
  <c r="G376" i="3"/>
  <c r="E374" i="3"/>
  <c r="C374" i="3"/>
  <c r="D374" i="3"/>
  <c r="F374" i="3"/>
  <c r="H3999" i="1"/>
  <c r="H3998" i="1"/>
  <c r="C373" i="3"/>
  <c r="D373" i="3"/>
  <c r="E373" i="3"/>
  <c r="F373" i="3"/>
  <c r="H3987" i="1"/>
  <c r="H3997" i="1"/>
  <c r="H3996" i="1"/>
  <c r="H3995" i="1"/>
  <c r="H3994" i="1"/>
  <c r="H3993" i="1"/>
  <c r="H3992" i="1"/>
  <c r="H3991" i="1"/>
  <c r="H3990" i="1"/>
  <c r="H3989" i="1"/>
  <c r="H3988" i="1"/>
  <c r="C372" i="3"/>
  <c r="D372" i="3"/>
  <c r="E372" i="3"/>
  <c r="F372" i="3"/>
  <c r="E3980" i="1"/>
  <c r="H3979" i="1"/>
  <c r="H3986" i="1"/>
  <c r="H3985" i="1"/>
  <c r="H3984" i="1"/>
  <c r="H3983" i="1"/>
  <c r="H3982" i="1"/>
  <c r="H3981" i="1"/>
  <c r="C371" i="3"/>
  <c r="D371" i="3"/>
  <c r="E371" i="3"/>
  <c r="F371" i="3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C370" i="3"/>
  <c r="D370" i="3"/>
  <c r="E370" i="3"/>
  <c r="F370" i="3"/>
  <c r="H3961" i="1"/>
  <c r="H3960" i="1"/>
  <c r="H3959" i="1"/>
  <c r="H3958" i="1"/>
  <c r="H3957" i="1"/>
  <c r="H3956" i="1"/>
  <c r="H3955" i="1"/>
  <c r="K243" i="3" l="1"/>
  <c r="H3980" i="1"/>
  <c r="L3980" i="1"/>
  <c r="K143" i="3"/>
  <c r="K368" i="3"/>
  <c r="K262" i="3"/>
  <c r="K301" i="3"/>
  <c r="K221" i="3"/>
  <c r="K240" i="3"/>
  <c r="I376" i="3"/>
  <c r="I375" i="3"/>
  <c r="M375" i="3"/>
  <c r="H370" i="3"/>
  <c r="L370" i="3"/>
  <c r="M370" i="3" s="1"/>
  <c r="H373" i="3"/>
  <c r="L373" i="3"/>
  <c r="M373" i="3" s="1"/>
  <c r="H374" i="3"/>
  <c r="L374" i="3"/>
  <c r="M374" i="3" s="1"/>
  <c r="K203" i="3"/>
  <c r="K372" i="3"/>
  <c r="K195" i="3"/>
  <c r="K6" i="3"/>
  <c r="K125" i="3"/>
  <c r="K88" i="3"/>
  <c r="K32" i="3"/>
  <c r="K144" i="3"/>
  <c r="K266" i="3"/>
  <c r="K315" i="3"/>
  <c r="K78" i="3"/>
  <c r="K59" i="3"/>
  <c r="K268" i="3"/>
  <c r="H371" i="3"/>
  <c r="L371" i="3"/>
  <c r="M371" i="3" s="1"/>
  <c r="H372" i="3"/>
  <c r="L372" i="3"/>
  <c r="K331" i="3"/>
  <c r="K330" i="3"/>
  <c r="K237" i="3"/>
  <c r="K320" i="3"/>
  <c r="K126" i="3"/>
  <c r="K47" i="3"/>
  <c r="K288" i="3"/>
  <c r="M376" i="3"/>
  <c r="K9" i="3"/>
  <c r="K359" i="3"/>
  <c r="G374" i="3"/>
  <c r="G373" i="3"/>
  <c r="G372" i="3"/>
  <c r="G370" i="3"/>
  <c r="G371" i="3"/>
  <c r="I372" i="3" l="1"/>
  <c r="I371" i="3"/>
  <c r="I370" i="3"/>
  <c r="I374" i="3"/>
  <c r="M372" i="3"/>
  <c r="I373" i="3"/>
  <c r="C360" i="3"/>
  <c r="F369" i="3"/>
  <c r="E369" i="3"/>
  <c r="D369" i="3"/>
  <c r="C369" i="3"/>
  <c r="F368" i="3"/>
  <c r="E368" i="3"/>
  <c r="D368" i="3"/>
  <c r="C368" i="3"/>
  <c r="F367" i="3"/>
  <c r="E367" i="3"/>
  <c r="D367" i="3"/>
  <c r="C367" i="3"/>
  <c r="F366" i="3"/>
  <c r="E366" i="3"/>
  <c r="D366" i="3"/>
  <c r="C366" i="3"/>
  <c r="F365" i="3"/>
  <c r="E365" i="3"/>
  <c r="D365" i="3"/>
  <c r="C365" i="3"/>
  <c r="F364" i="3"/>
  <c r="E364" i="3"/>
  <c r="D364" i="3"/>
  <c r="C364" i="3"/>
  <c r="F363" i="3"/>
  <c r="E363" i="3"/>
  <c r="D363" i="3"/>
  <c r="C363" i="3"/>
  <c r="F362" i="3"/>
  <c r="E362" i="3"/>
  <c r="D362" i="3"/>
  <c r="C362" i="3"/>
  <c r="F361" i="3"/>
  <c r="E361" i="3"/>
  <c r="D361" i="3"/>
  <c r="C361" i="3"/>
  <c r="F360" i="3"/>
  <c r="E360" i="3"/>
  <c r="D360" i="3"/>
  <c r="F359" i="3"/>
  <c r="E359" i="3"/>
  <c r="D359" i="3"/>
  <c r="C359" i="3"/>
  <c r="F358" i="3"/>
  <c r="E358" i="3"/>
  <c r="D358" i="3"/>
  <c r="C358" i="3"/>
  <c r="F357" i="3"/>
  <c r="E357" i="3"/>
  <c r="D357" i="3"/>
  <c r="C357" i="3"/>
  <c r="F356" i="3"/>
  <c r="E356" i="3"/>
  <c r="D356" i="3"/>
  <c r="C356" i="3"/>
  <c r="F355" i="3"/>
  <c r="E355" i="3"/>
  <c r="D355" i="3"/>
  <c r="C355" i="3"/>
  <c r="F354" i="3"/>
  <c r="E354" i="3"/>
  <c r="D354" i="3"/>
  <c r="C354" i="3"/>
  <c r="F353" i="3"/>
  <c r="E353" i="3"/>
  <c r="D353" i="3"/>
  <c r="C353" i="3"/>
  <c r="F352" i="3"/>
  <c r="E352" i="3"/>
  <c r="L352" i="3" s="1"/>
  <c r="M352" i="3" s="1"/>
  <c r="D352" i="3"/>
  <c r="C352" i="3"/>
  <c r="F351" i="3"/>
  <c r="E351" i="3"/>
  <c r="D351" i="3"/>
  <c r="C351" i="3"/>
  <c r="F350" i="3"/>
  <c r="E350" i="3"/>
  <c r="D350" i="3"/>
  <c r="C350" i="3"/>
  <c r="F349" i="3"/>
  <c r="E349" i="3"/>
  <c r="D349" i="3"/>
  <c r="C349" i="3"/>
  <c r="F348" i="3"/>
  <c r="E348" i="3"/>
  <c r="D348" i="3"/>
  <c r="C348" i="3"/>
  <c r="F347" i="3"/>
  <c r="E347" i="3"/>
  <c r="L347" i="3" s="1"/>
  <c r="M347" i="3" s="1"/>
  <c r="D347" i="3"/>
  <c r="C347" i="3"/>
  <c r="F346" i="3"/>
  <c r="E346" i="3"/>
  <c r="D346" i="3"/>
  <c r="C346" i="3"/>
  <c r="F345" i="3"/>
  <c r="E345" i="3"/>
  <c r="D345" i="3"/>
  <c r="C345" i="3"/>
  <c r="F344" i="3"/>
  <c r="E344" i="3"/>
  <c r="D344" i="3"/>
  <c r="C344" i="3"/>
  <c r="F343" i="3"/>
  <c r="E343" i="3"/>
  <c r="D343" i="3"/>
  <c r="C343" i="3"/>
  <c r="F342" i="3"/>
  <c r="E342" i="3"/>
  <c r="D342" i="3"/>
  <c r="C342" i="3"/>
  <c r="F341" i="3"/>
  <c r="E341" i="3"/>
  <c r="D341" i="3"/>
  <c r="C341" i="3"/>
  <c r="F340" i="3"/>
  <c r="E340" i="3"/>
  <c r="D340" i="3"/>
  <c r="C340" i="3"/>
  <c r="F339" i="3"/>
  <c r="E339" i="3"/>
  <c r="D339" i="3"/>
  <c r="C339" i="3"/>
  <c r="F338" i="3"/>
  <c r="E338" i="3"/>
  <c r="D338" i="3"/>
  <c r="C338" i="3"/>
  <c r="F337" i="3"/>
  <c r="E337" i="3"/>
  <c r="D337" i="3"/>
  <c r="C337" i="3"/>
  <c r="F336" i="3"/>
  <c r="E336" i="3"/>
  <c r="D336" i="3"/>
  <c r="C336" i="3"/>
  <c r="F335" i="3"/>
  <c r="E335" i="3"/>
  <c r="L335" i="3" s="1"/>
  <c r="M335" i="3" s="1"/>
  <c r="D335" i="3"/>
  <c r="C335" i="3"/>
  <c r="F334" i="3"/>
  <c r="E334" i="3"/>
  <c r="H334" i="3" s="1"/>
  <c r="D334" i="3"/>
  <c r="C334" i="3"/>
  <c r="F333" i="3"/>
  <c r="E333" i="3"/>
  <c r="D333" i="3"/>
  <c r="C333" i="3"/>
  <c r="F332" i="3"/>
  <c r="E332" i="3"/>
  <c r="D332" i="3"/>
  <c r="C332" i="3"/>
  <c r="F331" i="3"/>
  <c r="E331" i="3"/>
  <c r="D331" i="3"/>
  <c r="C331" i="3"/>
  <c r="F330" i="3"/>
  <c r="E330" i="3"/>
  <c r="D330" i="3"/>
  <c r="C330" i="3"/>
  <c r="F329" i="3"/>
  <c r="E329" i="3"/>
  <c r="D329" i="3"/>
  <c r="C329" i="3"/>
  <c r="F328" i="3"/>
  <c r="E328" i="3"/>
  <c r="D328" i="3"/>
  <c r="C328" i="3"/>
  <c r="F327" i="3"/>
  <c r="E327" i="3"/>
  <c r="D327" i="3"/>
  <c r="C327" i="3"/>
  <c r="F326" i="3"/>
  <c r="E326" i="3"/>
  <c r="D326" i="3"/>
  <c r="C326" i="3"/>
  <c r="F325" i="3"/>
  <c r="E325" i="3"/>
  <c r="D325" i="3"/>
  <c r="C325" i="3"/>
  <c r="F324" i="3"/>
  <c r="E324" i="3"/>
  <c r="D324" i="3"/>
  <c r="C324" i="3"/>
  <c r="F323" i="3"/>
  <c r="E323" i="3"/>
  <c r="D323" i="3"/>
  <c r="C323" i="3"/>
  <c r="F322" i="3"/>
  <c r="E322" i="3"/>
  <c r="D322" i="3"/>
  <c r="C322" i="3"/>
  <c r="F321" i="3"/>
  <c r="E321" i="3"/>
  <c r="D321" i="3"/>
  <c r="C321" i="3"/>
  <c r="F320" i="3"/>
  <c r="E320" i="3"/>
  <c r="D320" i="3"/>
  <c r="C320" i="3"/>
  <c r="F319" i="3"/>
  <c r="E319" i="3"/>
  <c r="L319" i="3" s="1"/>
  <c r="M319" i="3" s="1"/>
  <c r="D319" i="3"/>
  <c r="C319" i="3"/>
  <c r="F318" i="3"/>
  <c r="E318" i="3"/>
  <c r="L318" i="3" s="1"/>
  <c r="M318" i="3" s="1"/>
  <c r="D318" i="3"/>
  <c r="C318" i="3"/>
  <c r="F317" i="3"/>
  <c r="E317" i="3"/>
  <c r="D317" i="3"/>
  <c r="C317" i="3"/>
  <c r="F316" i="3"/>
  <c r="E316" i="3"/>
  <c r="D316" i="3"/>
  <c r="C316" i="3"/>
  <c r="F315" i="3"/>
  <c r="E315" i="3"/>
  <c r="D315" i="3"/>
  <c r="C315" i="3"/>
  <c r="F314" i="3"/>
  <c r="E314" i="3"/>
  <c r="D314" i="3"/>
  <c r="C314" i="3"/>
  <c r="F313" i="3"/>
  <c r="E313" i="3"/>
  <c r="D313" i="3"/>
  <c r="C313" i="3"/>
  <c r="F312" i="3"/>
  <c r="E312" i="3"/>
  <c r="D312" i="3"/>
  <c r="C312" i="3"/>
  <c r="F311" i="3"/>
  <c r="E311" i="3"/>
  <c r="D311" i="3"/>
  <c r="C311" i="3"/>
  <c r="F310" i="3"/>
  <c r="E310" i="3"/>
  <c r="D310" i="3"/>
  <c r="C310" i="3"/>
  <c r="F309" i="3"/>
  <c r="E309" i="3"/>
  <c r="D309" i="3"/>
  <c r="C309" i="3"/>
  <c r="F308" i="3"/>
  <c r="E308" i="3"/>
  <c r="D308" i="3"/>
  <c r="C308" i="3"/>
  <c r="F307" i="3"/>
  <c r="E307" i="3"/>
  <c r="D307" i="3"/>
  <c r="C307" i="3"/>
  <c r="F306" i="3"/>
  <c r="E306" i="3"/>
  <c r="D306" i="3"/>
  <c r="C306" i="3"/>
  <c r="F305" i="3"/>
  <c r="E305" i="3"/>
  <c r="D305" i="3"/>
  <c r="C305" i="3"/>
  <c r="F304" i="3"/>
  <c r="E304" i="3"/>
  <c r="D304" i="3"/>
  <c r="C304" i="3"/>
  <c r="F303" i="3"/>
  <c r="E303" i="3"/>
  <c r="D303" i="3"/>
  <c r="C303" i="3"/>
  <c r="F302" i="3"/>
  <c r="E302" i="3"/>
  <c r="D302" i="3"/>
  <c r="C302" i="3"/>
  <c r="F301" i="3"/>
  <c r="E301" i="3"/>
  <c r="D301" i="3"/>
  <c r="C301" i="3"/>
  <c r="F300" i="3"/>
  <c r="E300" i="3"/>
  <c r="D300" i="3"/>
  <c r="C300" i="3"/>
  <c r="F299" i="3"/>
  <c r="E299" i="3"/>
  <c r="D299" i="3"/>
  <c r="C299" i="3"/>
  <c r="F298" i="3"/>
  <c r="E298" i="3"/>
  <c r="D298" i="3"/>
  <c r="C298" i="3"/>
  <c r="F297" i="3"/>
  <c r="E297" i="3"/>
  <c r="D297" i="3"/>
  <c r="C297" i="3"/>
  <c r="F296" i="3"/>
  <c r="E296" i="3"/>
  <c r="D296" i="3"/>
  <c r="C296" i="3"/>
  <c r="F295" i="3"/>
  <c r="E295" i="3"/>
  <c r="D295" i="3"/>
  <c r="C295" i="3"/>
  <c r="F294" i="3"/>
  <c r="E294" i="3"/>
  <c r="D294" i="3"/>
  <c r="C294" i="3"/>
  <c r="F293" i="3"/>
  <c r="E293" i="3"/>
  <c r="L293" i="3" s="1"/>
  <c r="M293" i="3" s="1"/>
  <c r="D293" i="3"/>
  <c r="C293" i="3"/>
  <c r="F292" i="3"/>
  <c r="E292" i="3"/>
  <c r="L292" i="3" s="1"/>
  <c r="M292" i="3" s="1"/>
  <c r="D292" i="3"/>
  <c r="C292" i="3"/>
  <c r="F291" i="3"/>
  <c r="E291" i="3"/>
  <c r="L291" i="3" s="1"/>
  <c r="M291" i="3" s="1"/>
  <c r="D291" i="3"/>
  <c r="C291" i="3"/>
  <c r="F290" i="3"/>
  <c r="E290" i="3"/>
  <c r="L290" i="3" s="1"/>
  <c r="M290" i="3" s="1"/>
  <c r="D290" i="3"/>
  <c r="C290" i="3"/>
  <c r="F289" i="3"/>
  <c r="E289" i="3"/>
  <c r="D289" i="3"/>
  <c r="C289" i="3"/>
  <c r="F288" i="3"/>
  <c r="E288" i="3"/>
  <c r="L288" i="3" s="1"/>
  <c r="M288" i="3" s="1"/>
  <c r="D288" i="3"/>
  <c r="C288" i="3"/>
  <c r="F287" i="3"/>
  <c r="E287" i="3"/>
  <c r="L287" i="3" s="1"/>
  <c r="M287" i="3" s="1"/>
  <c r="D287" i="3"/>
  <c r="C287" i="3"/>
  <c r="F286" i="3"/>
  <c r="E286" i="3"/>
  <c r="D286" i="3"/>
  <c r="C286" i="3"/>
  <c r="F285" i="3"/>
  <c r="E285" i="3"/>
  <c r="L285" i="3" s="1"/>
  <c r="M285" i="3" s="1"/>
  <c r="D285" i="3"/>
  <c r="C285" i="3"/>
  <c r="F284" i="3"/>
  <c r="E284" i="3"/>
  <c r="L284" i="3" s="1"/>
  <c r="M284" i="3" s="1"/>
  <c r="D284" i="3"/>
  <c r="C284" i="3"/>
  <c r="F283" i="3"/>
  <c r="E283" i="3"/>
  <c r="L283" i="3" s="1"/>
  <c r="M283" i="3" s="1"/>
  <c r="D283" i="3"/>
  <c r="C283" i="3"/>
  <c r="F282" i="3"/>
  <c r="E282" i="3"/>
  <c r="D282" i="3"/>
  <c r="C282" i="3"/>
  <c r="F281" i="3"/>
  <c r="E281" i="3"/>
  <c r="L281" i="3" s="1"/>
  <c r="M281" i="3" s="1"/>
  <c r="D281" i="3"/>
  <c r="C281" i="3"/>
  <c r="F280" i="3"/>
  <c r="E280" i="3"/>
  <c r="L280" i="3" s="1"/>
  <c r="M280" i="3" s="1"/>
  <c r="D280" i="3"/>
  <c r="C280" i="3"/>
  <c r="F279" i="3"/>
  <c r="E279" i="3"/>
  <c r="L279" i="3" s="1"/>
  <c r="M279" i="3" s="1"/>
  <c r="D279" i="3"/>
  <c r="C279" i="3"/>
  <c r="F278" i="3"/>
  <c r="E278" i="3"/>
  <c r="L278" i="3" s="1"/>
  <c r="M278" i="3" s="1"/>
  <c r="D278" i="3"/>
  <c r="C278" i="3"/>
  <c r="F277" i="3"/>
  <c r="E277" i="3"/>
  <c r="L277" i="3" s="1"/>
  <c r="M277" i="3" s="1"/>
  <c r="D277" i="3"/>
  <c r="C277" i="3"/>
  <c r="F276" i="3"/>
  <c r="E276" i="3"/>
  <c r="L276" i="3" s="1"/>
  <c r="M276" i="3" s="1"/>
  <c r="D276" i="3"/>
  <c r="C276" i="3"/>
  <c r="F275" i="3"/>
  <c r="E275" i="3"/>
  <c r="L275" i="3" s="1"/>
  <c r="M275" i="3" s="1"/>
  <c r="D275" i="3"/>
  <c r="C275" i="3"/>
  <c r="F274" i="3"/>
  <c r="E274" i="3"/>
  <c r="L274" i="3" s="1"/>
  <c r="M274" i="3" s="1"/>
  <c r="D274" i="3"/>
  <c r="C274" i="3"/>
  <c r="F273" i="3"/>
  <c r="E273" i="3"/>
  <c r="L273" i="3" s="1"/>
  <c r="M273" i="3" s="1"/>
  <c r="D273" i="3"/>
  <c r="C273" i="3"/>
  <c r="F272" i="3"/>
  <c r="E272" i="3"/>
  <c r="L272" i="3" s="1"/>
  <c r="M272" i="3" s="1"/>
  <c r="D272" i="3"/>
  <c r="C272" i="3"/>
  <c r="F271" i="3"/>
  <c r="E271" i="3"/>
  <c r="D271" i="3"/>
  <c r="C271" i="3"/>
  <c r="F270" i="3"/>
  <c r="E270" i="3"/>
  <c r="L270" i="3" s="1"/>
  <c r="M270" i="3" s="1"/>
  <c r="D270" i="3"/>
  <c r="C270" i="3"/>
  <c r="F269" i="3"/>
  <c r="E269" i="3"/>
  <c r="L269" i="3" s="1"/>
  <c r="M269" i="3" s="1"/>
  <c r="D269" i="3"/>
  <c r="C269" i="3"/>
  <c r="F268" i="3"/>
  <c r="E268" i="3"/>
  <c r="L268" i="3" s="1"/>
  <c r="M268" i="3" s="1"/>
  <c r="D268" i="3"/>
  <c r="C268" i="3"/>
  <c r="F267" i="3"/>
  <c r="E267" i="3"/>
  <c r="L267" i="3" s="1"/>
  <c r="M267" i="3" s="1"/>
  <c r="D267" i="3"/>
  <c r="C267" i="3"/>
  <c r="F266" i="3"/>
  <c r="E266" i="3"/>
  <c r="L266" i="3" s="1"/>
  <c r="M266" i="3" s="1"/>
  <c r="D266" i="3"/>
  <c r="C266" i="3"/>
  <c r="F265" i="3"/>
  <c r="E265" i="3"/>
  <c r="L265" i="3" s="1"/>
  <c r="M265" i="3" s="1"/>
  <c r="D265" i="3"/>
  <c r="C265" i="3"/>
  <c r="F264" i="3"/>
  <c r="E264" i="3"/>
  <c r="L264" i="3" s="1"/>
  <c r="M264" i="3" s="1"/>
  <c r="D264" i="3"/>
  <c r="C264" i="3"/>
  <c r="F263" i="3"/>
  <c r="E263" i="3"/>
  <c r="L263" i="3" s="1"/>
  <c r="M263" i="3" s="1"/>
  <c r="D263" i="3"/>
  <c r="C263" i="3"/>
  <c r="F262" i="3"/>
  <c r="E262" i="3"/>
  <c r="D262" i="3"/>
  <c r="C262" i="3"/>
  <c r="F261" i="3"/>
  <c r="E261" i="3"/>
  <c r="D261" i="3"/>
  <c r="C261" i="3"/>
  <c r="F260" i="3"/>
  <c r="E260" i="3"/>
  <c r="D260" i="3"/>
  <c r="C260" i="3"/>
  <c r="F259" i="3"/>
  <c r="E259" i="3"/>
  <c r="D259" i="3"/>
  <c r="C259" i="3"/>
  <c r="F258" i="3"/>
  <c r="E258" i="3"/>
  <c r="D258" i="3"/>
  <c r="C258" i="3"/>
  <c r="F257" i="3"/>
  <c r="E257" i="3"/>
  <c r="D257" i="3"/>
  <c r="C257" i="3"/>
  <c r="F256" i="3"/>
  <c r="E256" i="3"/>
  <c r="D256" i="3"/>
  <c r="C256" i="3"/>
  <c r="F255" i="3"/>
  <c r="E255" i="3"/>
  <c r="D255" i="3"/>
  <c r="C255" i="3"/>
  <c r="F254" i="3"/>
  <c r="E254" i="3"/>
  <c r="D254" i="3"/>
  <c r="C254" i="3"/>
  <c r="F253" i="3"/>
  <c r="E253" i="3"/>
  <c r="D253" i="3"/>
  <c r="C253" i="3"/>
  <c r="F252" i="3"/>
  <c r="E252" i="3"/>
  <c r="D252" i="3"/>
  <c r="C252" i="3"/>
  <c r="F251" i="3"/>
  <c r="E251" i="3"/>
  <c r="D251" i="3"/>
  <c r="C251" i="3"/>
  <c r="F250" i="3"/>
  <c r="E250" i="3"/>
  <c r="D250" i="3"/>
  <c r="C250" i="3"/>
  <c r="F249" i="3"/>
  <c r="E249" i="3"/>
  <c r="L249" i="3" s="1"/>
  <c r="M249" i="3" s="1"/>
  <c r="D249" i="3"/>
  <c r="C249" i="3"/>
  <c r="F248" i="3"/>
  <c r="E248" i="3"/>
  <c r="D248" i="3"/>
  <c r="C248" i="3"/>
  <c r="F247" i="3"/>
  <c r="E247" i="3"/>
  <c r="D247" i="3"/>
  <c r="C247" i="3"/>
  <c r="F246" i="3"/>
  <c r="E246" i="3"/>
  <c r="D246" i="3"/>
  <c r="C246" i="3"/>
  <c r="F245" i="3"/>
  <c r="E245" i="3"/>
  <c r="D245" i="3"/>
  <c r="C245" i="3"/>
  <c r="F244" i="3"/>
  <c r="E244" i="3"/>
  <c r="D244" i="3"/>
  <c r="C244" i="3"/>
  <c r="F243" i="3"/>
  <c r="E243" i="3"/>
  <c r="D243" i="3"/>
  <c r="C243" i="3"/>
  <c r="F242" i="3"/>
  <c r="E242" i="3"/>
  <c r="D242" i="3"/>
  <c r="C242" i="3"/>
  <c r="F241" i="3"/>
  <c r="E241" i="3"/>
  <c r="D241" i="3"/>
  <c r="C241" i="3"/>
  <c r="F240" i="3"/>
  <c r="E240" i="3"/>
  <c r="L240" i="3" s="1"/>
  <c r="M240" i="3" s="1"/>
  <c r="D240" i="3"/>
  <c r="C240" i="3"/>
  <c r="F239" i="3"/>
  <c r="E239" i="3"/>
  <c r="L239" i="3" s="1"/>
  <c r="M239" i="3" s="1"/>
  <c r="D239" i="3"/>
  <c r="C239" i="3"/>
  <c r="F238" i="3"/>
  <c r="E238" i="3"/>
  <c r="L238" i="3" s="1"/>
  <c r="M238" i="3" s="1"/>
  <c r="D238" i="3"/>
  <c r="C238" i="3"/>
  <c r="F237" i="3"/>
  <c r="E237" i="3"/>
  <c r="D237" i="3"/>
  <c r="C237" i="3"/>
  <c r="F236" i="3"/>
  <c r="E236" i="3"/>
  <c r="D236" i="3"/>
  <c r="C236" i="3"/>
  <c r="F235" i="3"/>
  <c r="E235" i="3"/>
  <c r="D235" i="3"/>
  <c r="C235" i="3"/>
  <c r="F234" i="3"/>
  <c r="E234" i="3"/>
  <c r="L234" i="3" s="1"/>
  <c r="M234" i="3" s="1"/>
  <c r="D234" i="3"/>
  <c r="C234" i="3"/>
  <c r="F233" i="3"/>
  <c r="E233" i="3"/>
  <c r="D233" i="3"/>
  <c r="C233" i="3"/>
  <c r="F232" i="3"/>
  <c r="E232" i="3"/>
  <c r="D232" i="3"/>
  <c r="C232" i="3"/>
  <c r="F231" i="3"/>
  <c r="E231" i="3"/>
  <c r="D231" i="3"/>
  <c r="C231" i="3"/>
  <c r="F230" i="3"/>
  <c r="E230" i="3"/>
  <c r="L230" i="3" s="1"/>
  <c r="M230" i="3" s="1"/>
  <c r="D230" i="3"/>
  <c r="C230" i="3"/>
  <c r="F229" i="3"/>
  <c r="E229" i="3"/>
  <c r="D229" i="3"/>
  <c r="C229" i="3"/>
  <c r="F228" i="3"/>
  <c r="E228" i="3"/>
  <c r="D228" i="3"/>
  <c r="C228" i="3"/>
  <c r="F227" i="3"/>
  <c r="E227" i="3"/>
  <c r="D227" i="3"/>
  <c r="C227" i="3"/>
  <c r="F226" i="3"/>
  <c r="E226" i="3"/>
  <c r="D226" i="3"/>
  <c r="C226" i="3"/>
  <c r="F225" i="3"/>
  <c r="E225" i="3"/>
  <c r="D225" i="3"/>
  <c r="C225" i="3"/>
  <c r="F224" i="3"/>
  <c r="E224" i="3"/>
  <c r="D224" i="3"/>
  <c r="C224" i="3"/>
  <c r="F223" i="3"/>
  <c r="E223" i="3"/>
  <c r="D223" i="3"/>
  <c r="C223" i="3"/>
  <c r="F222" i="3"/>
  <c r="E222" i="3"/>
  <c r="D222" i="3"/>
  <c r="C222" i="3"/>
  <c r="F221" i="3"/>
  <c r="E221" i="3"/>
  <c r="D221" i="3"/>
  <c r="C221" i="3"/>
  <c r="F220" i="3"/>
  <c r="E220" i="3"/>
  <c r="D220" i="3"/>
  <c r="C220" i="3"/>
  <c r="F219" i="3"/>
  <c r="E219" i="3"/>
  <c r="D219" i="3"/>
  <c r="C219" i="3"/>
  <c r="F218" i="3"/>
  <c r="E218" i="3"/>
  <c r="D218" i="3"/>
  <c r="C218" i="3"/>
  <c r="F217" i="3"/>
  <c r="E217" i="3"/>
  <c r="D217" i="3"/>
  <c r="C217" i="3"/>
  <c r="F216" i="3"/>
  <c r="E216" i="3"/>
  <c r="L216" i="3" s="1"/>
  <c r="M216" i="3" s="1"/>
  <c r="D216" i="3"/>
  <c r="C216" i="3"/>
  <c r="F215" i="3"/>
  <c r="E215" i="3"/>
  <c r="L215" i="3" s="1"/>
  <c r="M215" i="3" s="1"/>
  <c r="D215" i="3"/>
  <c r="C215" i="3"/>
  <c r="F214" i="3"/>
  <c r="E214" i="3"/>
  <c r="D214" i="3"/>
  <c r="C214" i="3"/>
  <c r="F213" i="3"/>
  <c r="E213" i="3"/>
  <c r="D213" i="3"/>
  <c r="C213" i="3"/>
  <c r="F212" i="3"/>
  <c r="E212" i="3"/>
  <c r="D212" i="3"/>
  <c r="C212" i="3"/>
  <c r="F211" i="3"/>
  <c r="E211" i="3"/>
  <c r="D211" i="3"/>
  <c r="C211" i="3"/>
  <c r="F210" i="3"/>
  <c r="E210" i="3"/>
  <c r="D210" i="3"/>
  <c r="C210" i="3"/>
  <c r="F209" i="3"/>
  <c r="E209" i="3"/>
  <c r="D209" i="3"/>
  <c r="C209" i="3"/>
  <c r="F208" i="3"/>
  <c r="E208" i="3"/>
  <c r="D208" i="3"/>
  <c r="C208" i="3"/>
  <c r="F207" i="3"/>
  <c r="E207" i="3"/>
  <c r="D207" i="3"/>
  <c r="C207" i="3"/>
  <c r="F206" i="3"/>
  <c r="E206" i="3"/>
  <c r="D206" i="3"/>
  <c r="C206" i="3"/>
  <c r="F205" i="3"/>
  <c r="E205" i="3"/>
  <c r="D205" i="3"/>
  <c r="C205" i="3"/>
  <c r="F204" i="3"/>
  <c r="E204" i="3"/>
  <c r="D204" i="3"/>
  <c r="C204" i="3"/>
  <c r="F203" i="3"/>
  <c r="E203" i="3"/>
  <c r="D203" i="3"/>
  <c r="C203" i="3"/>
  <c r="F202" i="3"/>
  <c r="E202" i="3"/>
  <c r="D202" i="3"/>
  <c r="C202" i="3"/>
  <c r="F201" i="3"/>
  <c r="E201" i="3"/>
  <c r="D201" i="3"/>
  <c r="C201" i="3"/>
  <c r="F200" i="3"/>
  <c r="E200" i="3"/>
  <c r="D200" i="3"/>
  <c r="C200" i="3"/>
  <c r="F199" i="3"/>
  <c r="E199" i="3"/>
  <c r="D199" i="3"/>
  <c r="C199" i="3"/>
  <c r="F198" i="3"/>
  <c r="E198" i="3"/>
  <c r="D198" i="3"/>
  <c r="C198" i="3"/>
  <c r="F197" i="3"/>
  <c r="E197" i="3"/>
  <c r="D197" i="3"/>
  <c r="C197" i="3"/>
  <c r="F196" i="3"/>
  <c r="E196" i="3"/>
  <c r="D196" i="3"/>
  <c r="C196" i="3"/>
  <c r="F195" i="3"/>
  <c r="E195" i="3"/>
  <c r="D195" i="3"/>
  <c r="C195" i="3"/>
  <c r="F194" i="3"/>
  <c r="E194" i="3"/>
  <c r="D194" i="3"/>
  <c r="C194" i="3"/>
  <c r="F193" i="3"/>
  <c r="E193" i="3"/>
  <c r="D193" i="3"/>
  <c r="C193" i="3"/>
  <c r="F192" i="3"/>
  <c r="E192" i="3"/>
  <c r="D192" i="3"/>
  <c r="C192" i="3"/>
  <c r="F191" i="3"/>
  <c r="E191" i="3"/>
  <c r="D191" i="3"/>
  <c r="C191" i="3"/>
  <c r="F190" i="3"/>
  <c r="E190" i="3"/>
  <c r="D190" i="3"/>
  <c r="C190" i="3"/>
  <c r="F189" i="3"/>
  <c r="E189" i="3"/>
  <c r="L189" i="3" s="1"/>
  <c r="M189" i="3" s="1"/>
  <c r="D189" i="3"/>
  <c r="C189" i="3"/>
  <c r="F188" i="3"/>
  <c r="E188" i="3"/>
  <c r="D188" i="3"/>
  <c r="C188" i="3"/>
  <c r="F187" i="3"/>
  <c r="E187" i="3"/>
  <c r="D187" i="3"/>
  <c r="C187" i="3"/>
  <c r="F186" i="3"/>
  <c r="E186" i="3"/>
  <c r="D186" i="3"/>
  <c r="C186" i="3"/>
  <c r="F185" i="3"/>
  <c r="E185" i="3"/>
  <c r="D185" i="3"/>
  <c r="C185" i="3"/>
  <c r="F184" i="3"/>
  <c r="E184" i="3"/>
  <c r="D184" i="3"/>
  <c r="C184" i="3"/>
  <c r="F183" i="3"/>
  <c r="E183" i="3"/>
  <c r="C183" i="3"/>
  <c r="F182" i="3"/>
  <c r="E182" i="3"/>
  <c r="L182" i="3" s="1"/>
  <c r="M182" i="3" s="1"/>
  <c r="D182" i="3"/>
  <c r="C182" i="3"/>
  <c r="F181" i="3"/>
  <c r="E181" i="3"/>
  <c r="L181" i="3" s="1"/>
  <c r="M181" i="3" s="1"/>
  <c r="D181" i="3"/>
  <c r="C181" i="3"/>
  <c r="F180" i="3"/>
  <c r="E180" i="3"/>
  <c r="L180" i="3" s="1"/>
  <c r="M180" i="3" s="1"/>
  <c r="D180" i="3"/>
  <c r="C180" i="3"/>
  <c r="F179" i="3"/>
  <c r="E179" i="3"/>
  <c r="L179" i="3" s="1"/>
  <c r="M179" i="3" s="1"/>
  <c r="D179" i="3"/>
  <c r="C179" i="3"/>
  <c r="F178" i="3"/>
  <c r="E178" i="3"/>
  <c r="L178" i="3" s="1"/>
  <c r="M178" i="3" s="1"/>
  <c r="D178" i="3"/>
  <c r="C178" i="3"/>
  <c r="F177" i="3"/>
  <c r="E177" i="3"/>
  <c r="L177" i="3" s="1"/>
  <c r="M177" i="3" s="1"/>
  <c r="D177" i="3"/>
  <c r="C177" i="3"/>
  <c r="F176" i="3"/>
  <c r="E176" i="3"/>
  <c r="L176" i="3" s="1"/>
  <c r="M176" i="3" s="1"/>
  <c r="D176" i="3"/>
  <c r="C176" i="3"/>
  <c r="F175" i="3"/>
  <c r="E175" i="3"/>
  <c r="L175" i="3" s="1"/>
  <c r="M175" i="3" s="1"/>
  <c r="D175" i="3"/>
  <c r="C175" i="3"/>
  <c r="F174" i="3"/>
  <c r="E174" i="3"/>
  <c r="L174" i="3" s="1"/>
  <c r="M174" i="3" s="1"/>
  <c r="D174" i="3"/>
  <c r="C174" i="3"/>
  <c r="F173" i="3"/>
  <c r="E173" i="3"/>
  <c r="L173" i="3" s="1"/>
  <c r="M173" i="3" s="1"/>
  <c r="D173" i="3"/>
  <c r="C173" i="3"/>
  <c r="F172" i="3"/>
  <c r="E172" i="3"/>
  <c r="L172" i="3" s="1"/>
  <c r="M172" i="3" s="1"/>
  <c r="D172" i="3"/>
  <c r="C172" i="3"/>
  <c r="F171" i="3"/>
  <c r="E171" i="3"/>
  <c r="D171" i="3"/>
  <c r="C171" i="3"/>
  <c r="F170" i="3"/>
  <c r="E170" i="3"/>
  <c r="D170" i="3"/>
  <c r="C170" i="3"/>
  <c r="F169" i="3"/>
  <c r="E169" i="3"/>
  <c r="D169" i="3"/>
  <c r="C169" i="3"/>
  <c r="F168" i="3"/>
  <c r="E168" i="3"/>
  <c r="D168" i="3"/>
  <c r="C168" i="3"/>
  <c r="F167" i="3"/>
  <c r="E167" i="3"/>
  <c r="D167" i="3"/>
  <c r="C167" i="3"/>
  <c r="F166" i="3"/>
  <c r="E166" i="3"/>
  <c r="D166" i="3"/>
  <c r="C166" i="3"/>
  <c r="F165" i="3"/>
  <c r="E165" i="3"/>
  <c r="D165" i="3"/>
  <c r="C165" i="3"/>
  <c r="F164" i="3"/>
  <c r="E164" i="3"/>
  <c r="D164" i="3"/>
  <c r="C164" i="3"/>
  <c r="F163" i="3"/>
  <c r="E163" i="3"/>
  <c r="D163" i="3"/>
  <c r="C163" i="3"/>
  <c r="F162" i="3"/>
  <c r="E162" i="3"/>
  <c r="D162" i="3"/>
  <c r="C162" i="3"/>
  <c r="F161" i="3"/>
  <c r="E161" i="3"/>
  <c r="D161" i="3"/>
  <c r="C161" i="3"/>
  <c r="F160" i="3"/>
  <c r="E160" i="3"/>
  <c r="D160" i="3"/>
  <c r="C160" i="3"/>
  <c r="F159" i="3"/>
  <c r="E159" i="3"/>
  <c r="D159" i="3"/>
  <c r="C159" i="3"/>
  <c r="F158" i="3"/>
  <c r="E158" i="3"/>
  <c r="D158" i="3"/>
  <c r="C158" i="3"/>
  <c r="F157" i="3"/>
  <c r="E157" i="3"/>
  <c r="D157" i="3"/>
  <c r="C157" i="3"/>
  <c r="F156" i="3"/>
  <c r="E156" i="3"/>
  <c r="D156" i="3"/>
  <c r="C156" i="3"/>
  <c r="F155" i="3"/>
  <c r="E155" i="3"/>
  <c r="D155" i="3"/>
  <c r="C155" i="3"/>
  <c r="F154" i="3"/>
  <c r="E154" i="3"/>
  <c r="L154" i="3" s="1"/>
  <c r="M154" i="3" s="1"/>
  <c r="D154" i="3"/>
  <c r="C154" i="3"/>
  <c r="F153" i="3"/>
  <c r="E153" i="3"/>
  <c r="D153" i="3"/>
  <c r="C153" i="3"/>
  <c r="F152" i="3"/>
  <c r="E152" i="3"/>
  <c r="D152" i="3"/>
  <c r="C152" i="3"/>
  <c r="F151" i="3"/>
  <c r="E151" i="3"/>
  <c r="D151" i="3"/>
  <c r="C151" i="3"/>
  <c r="F150" i="3"/>
  <c r="E150" i="3"/>
  <c r="D150" i="3"/>
  <c r="C150" i="3"/>
  <c r="F149" i="3"/>
  <c r="E149" i="3"/>
  <c r="D149" i="3"/>
  <c r="C149" i="3"/>
  <c r="F148" i="3"/>
  <c r="E148" i="3"/>
  <c r="D148" i="3"/>
  <c r="C148" i="3"/>
  <c r="F147" i="3"/>
  <c r="E147" i="3"/>
  <c r="D147" i="3"/>
  <c r="C147" i="3"/>
  <c r="F146" i="3"/>
  <c r="E146" i="3"/>
  <c r="D146" i="3"/>
  <c r="C146" i="3"/>
  <c r="F145" i="3"/>
  <c r="E145" i="3"/>
  <c r="D145" i="3"/>
  <c r="C145" i="3"/>
  <c r="F144" i="3"/>
  <c r="E144" i="3"/>
  <c r="D144" i="3"/>
  <c r="C144" i="3"/>
  <c r="F143" i="3"/>
  <c r="E143" i="3"/>
  <c r="D143" i="3"/>
  <c r="C143" i="3"/>
  <c r="F142" i="3"/>
  <c r="E142" i="3"/>
  <c r="D142" i="3"/>
  <c r="C142" i="3"/>
  <c r="F141" i="3"/>
  <c r="E141" i="3"/>
  <c r="D141" i="3"/>
  <c r="C141" i="3"/>
  <c r="F140" i="3"/>
  <c r="E140" i="3"/>
  <c r="D140" i="3"/>
  <c r="C140" i="3"/>
  <c r="F139" i="3"/>
  <c r="E139" i="3"/>
  <c r="D139" i="3"/>
  <c r="C139" i="3"/>
  <c r="F138" i="3"/>
  <c r="E138" i="3"/>
  <c r="D138" i="3"/>
  <c r="C138" i="3"/>
  <c r="F137" i="3"/>
  <c r="E137" i="3"/>
  <c r="D137" i="3"/>
  <c r="C137" i="3"/>
  <c r="F136" i="3"/>
  <c r="E136" i="3"/>
  <c r="L136" i="3" s="1"/>
  <c r="M136" i="3" s="1"/>
  <c r="D136" i="3"/>
  <c r="C136" i="3"/>
  <c r="F135" i="3"/>
  <c r="E135" i="3"/>
  <c r="D135" i="3"/>
  <c r="C135" i="3"/>
  <c r="F134" i="3"/>
  <c r="E134" i="3"/>
  <c r="L134" i="3" s="1"/>
  <c r="M134" i="3" s="1"/>
  <c r="D134" i="3"/>
  <c r="C134" i="3"/>
  <c r="F133" i="3"/>
  <c r="E133" i="3"/>
  <c r="L133" i="3" s="1"/>
  <c r="M133" i="3" s="1"/>
  <c r="D133" i="3"/>
  <c r="C133" i="3"/>
  <c r="F132" i="3"/>
  <c r="E132" i="3"/>
  <c r="L132" i="3" s="1"/>
  <c r="M132" i="3" s="1"/>
  <c r="D132" i="3"/>
  <c r="C132" i="3"/>
  <c r="F131" i="3"/>
  <c r="E131" i="3"/>
  <c r="L131" i="3" s="1"/>
  <c r="M131" i="3" s="1"/>
  <c r="D131" i="3"/>
  <c r="C131" i="3"/>
  <c r="F130" i="3"/>
  <c r="E130" i="3"/>
  <c r="L130" i="3" s="1"/>
  <c r="M130" i="3" s="1"/>
  <c r="D130" i="3"/>
  <c r="C130" i="3"/>
  <c r="F129" i="3"/>
  <c r="E129" i="3"/>
  <c r="L129" i="3" s="1"/>
  <c r="M129" i="3" s="1"/>
  <c r="D129" i="3"/>
  <c r="C129" i="3"/>
  <c r="F128" i="3"/>
  <c r="E128" i="3"/>
  <c r="D128" i="3"/>
  <c r="C128" i="3"/>
  <c r="F127" i="3"/>
  <c r="E127" i="3"/>
  <c r="L127" i="3" s="1"/>
  <c r="M127" i="3" s="1"/>
  <c r="D127" i="3"/>
  <c r="C127" i="3"/>
  <c r="F126" i="3"/>
  <c r="E126" i="3"/>
  <c r="D126" i="3"/>
  <c r="C126" i="3"/>
  <c r="F125" i="3"/>
  <c r="E125" i="3"/>
  <c r="D125" i="3"/>
  <c r="C125" i="3"/>
  <c r="F124" i="3"/>
  <c r="E124" i="3"/>
  <c r="L124" i="3" s="1"/>
  <c r="M124" i="3" s="1"/>
  <c r="D124" i="3"/>
  <c r="C124" i="3"/>
  <c r="F123" i="3"/>
  <c r="E123" i="3"/>
  <c r="D123" i="3"/>
  <c r="C123" i="3"/>
  <c r="F122" i="3"/>
  <c r="E122" i="3"/>
  <c r="L122" i="3" s="1"/>
  <c r="M122" i="3" s="1"/>
  <c r="D122" i="3"/>
  <c r="C122" i="3"/>
  <c r="F121" i="3"/>
  <c r="E121" i="3"/>
  <c r="D121" i="3"/>
  <c r="C121" i="3"/>
  <c r="F120" i="3"/>
  <c r="E120" i="3"/>
  <c r="D120" i="3"/>
  <c r="C120" i="3"/>
  <c r="F119" i="3"/>
  <c r="E119" i="3"/>
  <c r="D119" i="3"/>
  <c r="C119" i="3"/>
  <c r="F118" i="3"/>
  <c r="E118" i="3"/>
  <c r="D118" i="3"/>
  <c r="C118" i="3"/>
  <c r="F117" i="3"/>
  <c r="E117" i="3"/>
  <c r="D117" i="3"/>
  <c r="C117" i="3"/>
  <c r="F116" i="3"/>
  <c r="E116" i="3"/>
  <c r="D116" i="3"/>
  <c r="C116" i="3"/>
  <c r="F115" i="3"/>
  <c r="E115" i="3"/>
  <c r="D115" i="3"/>
  <c r="C115" i="3"/>
  <c r="F114" i="3"/>
  <c r="E114" i="3"/>
  <c r="D114" i="3"/>
  <c r="C114" i="3"/>
  <c r="F113" i="3"/>
  <c r="E113" i="3"/>
  <c r="D113" i="3"/>
  <c r="C113" i="3"/>
  <c r="F112" i="3"/>
  <c r="E112" i="3"/>
  <c r="L112" i="3" s="1"/>
  <c r="M112" i="3" s="1"/>
  <c r="D112" i="3"/>
  <c r="C112" i="3"/>
  <c r="F111" i="3"/>
  <c r="E111" i="3"/>
  <c r="L111" i="3" s="1"/>
  <c r="M111" i="3" s="1"/>
  <c r="D111" i="3"/>
  <c r="C111" i="3"/>
  <c r="F110" i="3"/>
  <c r="E110" i="3"/>
  <c r="L110" i="3" s="1"/>
  <c r="M110" i="3" s="1"/>
  <c r="D110" i="3"/>
  <c r="C110" i="3"/>
  <c r="F109" i="3"/>
  <c r="E109" i="3"/>
  <c r="D109" i="3"/>
  <c r="C109" i="3"/>
  <c r="F108" i="3"/>
  <c r="E108" i="3"/>
  <c r="L108" i="3" s="1"/>
  <c r="M108" i="3" s="1"/>
  <c r="D108" i="3"/>
  <c r="C108" i="3"/>
  <c r="F107" i="3"/>
  <c r="E107" i="3"/>
  <c r="L107" i="3" s="1"/>
  <c r="M107" i="3" s="1"/>
  <c r="D107" i="3"/>
  <c r="C107" i="3"/>
  <c r="F106" i="3"/>
  <c r="E106" i="3"/>
  <c r="L106" i="3" s="1"/>
  <c r="M106" i="3" s="1"/>
  <c r="D106" i="3"/>
  <c r="C106" i="3"/>
  <c r="F105" i="3"/>
  <c r="E105" i="3"/>
  <c r="D105" i="3"/>
  <c r="C105" i="3"/>
  <c r="F104" i="3"/>
  <c r="E104" i="3"/>
  <c r="D104" i="3"/>
  <c r="C104" i="3"/>
  <c r="F103" i="3"/>
  <c r="E103" i="3"/>
  <c r="L103" i="3" s="1"/>
  <c r="M103" i="3" s="1"/>
  <c r="D103" i="3"/>
  <c r="C103" i="3"/>
  <c r="F102" i="3"/>
  <c r="E102" i="3"/>
  <c r="D102" i="3"/>
  <c r="C102" i="3"/>
  <c r="F101" i="3"/>
  <c r="E101" i="3"/>
  <c r="L101" i="3" s="1"/>
  <c r="M101" i="3" s="1"/>
  <c r="D101" i="3"/>
  <c r="C101" i="3"/>
  <c r="F100" i="3"/>
  <c r="E100" i="3"/>
  <c r="L100" i="3" s="1"/>
  <c r="M100" i="3" s="1"/>
  <c r="D100" i="3"/>
  <c r="C100" i="3"/>
  <c r="F99" i="3"/>
  <c r="E99" i="3"/>
  <c r="D99" i="3"/>
  <c r="C99" i="3"/>
  <c r="F98" i="3"/>
  <c r="E98" i="3"/>
  <c r="D98" i="3"/>
  <c r="C98" i="3"/>
  <c r="F97" i="3"/>
  <c r="E97" i="3"/>
  <c r="L97" i="3" s="1"/>
  <c r="M97" i="3" s="1"/>
  <c r="D97" i="3"/>
  <c r="C97" i="3"/>
  <c r="F96" i="3"/>
  <c r="E96" i="3"/>
  <c r="L96" i="3" s="1"/>
  <c r="M96" i="3" s="1"/>
  <c r="D96" i="3"/>
  <c r="C96" i="3"/>
  <c r="F95" i="3"/>
  <c r="E95" i="3"/>
  <c r="L95" i="3" s="1"/>
  <c r="M95" i="3" s="1"/>
  <c r="D95" i="3"/>
  <c r="C95" i="3"/>
  <c r="F94" i="3"/>
  <c r="E94" i="3"/>
  <c r="D94" i="3"/>
  <c r="C94" i="3"/>
  <c r="F93" i="3"/>
  <c r="E93" i="3"/>
  <c r="D93" i="3"/>
  <c r="C93" i="3"/>
  <c r="F92" i="3"/>
  <c r="E92" i="3"/>
  <c r="D92" i="3"/>
  <c r="C92" i="3"/>
  <c r="F91" i="3"/>
  <c r="E91" i="3"/>
  <c r="D91" i="3"/>
  <c r="C91" i="3"/>
  <c r="F90" i="3"/>
  <c r="E90" i="3"/>
  <c r="L90" i="3" s="1"/>
  <c r="M90" i="3" s="1"/>
  <c r="D90" i="3"/>
  <c r="C90" i="3"/>
  <c r="F89" i="3"/>
  <c r="E89" i="3"/>
  <c r="L89" i="3" s="1"/>
  <c r="M89" i="3" s="1"/>
  <c r="D89" i="3"/>
  <c r="C89" i="3"/>
  <c r="F88" i="3"/>
  <c r="E88" i="3"/>
  <c r="D88" i="3"/>
  <c r="C88" i="3"/>
  <c r="F87" i="3"/>
  <c r="E87" i="3"/>
  <c r="L87" i="3" s="1"/>
  <c r="M87" i="3" s="1"/>
  <c r="D87" i="3"/>
  <c r="C87" i="3"/>
  <c r="F86" i="3"/>
  <c r="E86" i="3"/>
  <c r="D86" i="3"/>
  <c r="C86" i="3"/>
  <c r="F85" i="3"/>
  <c r="E85" i="3"/>
  <c r="D85" i="3"/>
  <c r="C85" i="3"/>
  <c r="F84" i="3"/>
  <c r="E84" i="3"/>
  <c r="L84" i="3" s="1"/>
  <c r="M84" i="3" s="1"/>
  <c r="D84" i="3"/>
  <c r="C84" i="3"/>
  <c r="F83" i="3"/>
  <c r="E83" i="3"/>
  <c r="D83" i="3"/>
  <c r="C83" i="3"/>
  <c r="F82" i="3"/>
  <c r="E82" i="3"/>
  <c r="D82" i="3"/>
  <c r="C82" i="3"/>
  <c r="F81" i="3"/>
  <c r="E81" i="3"/>
  <c r="D81" i="3"/>
  <c r="C81" i="3"/>
  <c r="F80" i="3"/>
  <c r="E80" i="3"/>
  <c r="D80" i="3"/>
  <c r="C80" i="3"/>
  <c r="F79" i="3"/>
  <c r="E79" i="3"/>
  <c r="L79" i="3" s="1"/>
  <c r="M79" i="3" s="1"/>
  <c r="D79" i="3"/>
  <c r="C79" i="3"/>
  <c r="F78" i="3"/>
  <c r="E78" i="3"/>
  <c r="D78" i="3"/>
  <c r="C78" i="3"/>
  <c r="F77" i="3"/>
  <c r="E77" i="3"/>
  <c r="D77" i="3"/>
  <c r="C77" i="3"/>
  <c r="F76" i="3"/>
  <c r="E76" i="3"/>
  <c r="D76" i="3"/>
  <c r="C76" i="3"/>
  <c r="F75" i="3"/>
  <c r="E75" i="3"/>
  <c r="D75" i="3"/>
  <c r="C75" i="3"/>
  <c r="F74" i="3"/>
  <c r="E74" i="3"/>
  <c r="D74" i="3"/>
  <c r="C74" i="3"/>
  <c r="F73" i="3"/>
  <c r="E73" i="3"/>
  <c r="D73" i="3"/>
  <c r="C73" i="3"/>
  <c r="F72" i="3"/>
  <c r="E72" i="3"/>
  <c r="D72" i="3"/>
  <c r="C72" i="3"/>
  <c r="F71" i="3"/>
  <c r="E71" i="3"/>
  <c r="D71" i="3"/>
  <c r="C71" i="3"/>
  <c r="F70" i="3"/>
  <c r="E70" i="3"/>
  <c r="D70" i="3"/>
  <c r="C70" i="3"/>
  <c r="F69" i="3"/>
  <c r="E69" i="3"/>
  <c r="D69" i="3"/>
  <c r="C69" i="3"/>
  <c r="F68" i="3"/>
  <c r="E68" i="3"/>
  <c r="L68" i="3" s="1"/>
  <c r="M68" i="3" s="1"/>
  <c r="D68" i="3"/>
  <c r="C68" i="3"/>
  <c r="F67" i="3"/>
  <c r="E67" i="3"/>
  <c r="D67" i="3"/>
  <c r="C67" i="3"/>
  <c r="F66" i="3"/>
  <c r="E66" i="3"/>
  <c r="D66" i="3"/>
  <c r="C66" i="3"/>
  <c r="F65" i="3"/>
  <c r="E65" i="3"/>
  <c r="D65" i="3"/>
  <c r="C65" i="3"/>
  <c r="F64" i="3"/>
  <c r="E64" i="3"/>
  <c r="D64" i="3"/>
  <c r="C64" i="3"/>
  <c r="F63" i="3"/>
  <c r="E63" i="3"/>
  <c r="D63" i="3"/>
  <c r="C63" i="3"/>
  <c r="F62" i="3"/>
  <c r="E62" i="3"/>
  <c r="D62" i="3"/>
  <c r="C62" i="3"/>
  <c r="F61" i="3"/>
  <c r="E61" i="3"/>
  <c r="D61" i="3"/>
  <c r="C61" i="3"/>
  <c r="F60" i="3"/>
  <c r="E60" i="3"/>
  <c r="D60" i="3"/>
  <c r="C60" i="3"/>
  <c r="F59" i="3"/>
  <c r="E59" i="3"/>
  <c r="D59" i="3"/>
  <c r="C59" i="3"/>
  <c r="F58" i="3"/>
  <c r="E58" i="3"/>
  <c r="D58" i="3"/>
  <c r="C58" i="3"/>
  <c r="F57" i="3"/>
  <c r="E57" i="3"/>
  <c r="D57" i="3"/>
  <c r="C57" i="3"/>
  <c r="F56" i="3"/>
  <c r="E56" i="3"/>
  <c r="D56" i="3"/>
  <c r="C56" i="3"/>
  <c r="F55" i="3"/>
  <c r="E55" i="3"/>
  <c r="D55" i="3"/>
  <c r="C55" i="3"/>
  <c r="F54" i="3"/>
  <c r="E54" i="3"/>
  <c r="D54" i="3"/>
  <c r="C54" i="3"/>
  <c r="F53" i="3"/>
  <c r="E53" i="3"/>
  <c r="D53" i="3"/>
  <c r="C53" i="3"/>
  <c r="F52" i="3"/>
  <c r="E52" i="3"/>
  <c r="D52" i="3"/>
  <c r="C52" i="3"/>
  <c r="F51" i="3"/>
  <c r="E51" i="3"/>
  <c r="L51" i="3" s="1"/>
  <c r="M51" i="3" s="1"/>
  <c r="D51" i="3"/>
  <c r="C51" i="3"/>
  <c r="F50" i="3"/>
  <c r="E50" i="3"/>
  <c r="D50" i="3"/>
  <c r="C50" i="3"/>
  <c r="F49" i="3"/>
  <c r="E49" i="3"/>
  <c r="L49" i="3" s="1"/>
  <c r="M49" i="3" s="1"/>
  <c r="D49" i="3"/>
  <c r="C49" i="3"/>
  <c r="F48" i="3"/>
  <c r="E48" i="3"/>
  <c r="L48" i="3" s="1"/>
  <c r="M48" i="3" s="1"/>
  <c r="D48" i="3"/>
  <c r="C48" i="3"/>
  <c r="F47" i="3"/>
  <c r="E47" i="3"/>
  <c r="L47" i="3" s="1"/>
  <c r="M47" i="3" s="1"/>
  <c r="D47" i="3"/>
  <c r="C47" i="3"/>
  <c r="F46" i="3"/>
  <c r="E46" i="3"/>
  <c r="L46" i="3" s="1"/>
  <c r="M46" i="3" s="1"/>
  <c r="D46" i="3"/>
  <c r="C46" i="3"/>
  <c r="F45" i="3"/>
  <c r="E45" i="3"/>
  <c r="L45" i="3" s="1"/>
  <c r="M45" i="3" s="1"/>
  <c r="D45" i="3"/>
  <c r="C45" i="3"/>
  <c r="F44" i="3"/>
  <c r="E44" i="3"/>
  <c r="L44" i="3" s="1"/>
  <c r="M44" i="3" s="1"/>
  <c r="D44" i="3"/>
  <c r="C44" i="3"/>
  <c r="F43" i="3"/>
  <c r="E43" i="3"/>
  <c r="L43" i="3" s="1"/>
  <c r="M43" i="3" s="1"/>
  <c r="D43" i="3"/>
  <c r="C43" i="3"/>
  <c r="F42" i="3"/>
  <c r="E42" i="3"/>
  <c r="L42" i="3" s="1"/>
  <c r="M42" i="3" s="1"/>
  <c r="D42" i="3"/>
  <c r="C42" i="3"/>
  <c r="F41" i="3"/>
  <c r="E41" i="3"/>
  <c r="L41" i="3" s="1"/>
  <c r="M41" i="3" s="1"/>
  <c r="D41" i="3"/>
  <c r="C41" i="3"/>
  <c r="F40" i="3"/>
  <c r="E40" i="3"/>
  <c r="L40" i="3" s="1"/>
  <c r="M40" i="3" s="1"/>
  <c r="D40" i="3"/>
  <c r="C40" i="3"/>
  <c r="F39" i="3"/>
  <c r="E39" i="3"/>
  <c r="L39" i="3" s="1"/>
  <c r="M39" i="3" s="1"/>
  <c r="D39" i="3"/>
  <c r="C39" i="3"/>
  <c r="F38" i="3"/>
  <c r="E38" i="3"/>
  <c r="L38" i="3" s="1"/>
  <c r="M38" i="3" s="1"/>
  <c r="D38" i="3"/>
  <c r="C38" i="3"/>
  <c r="F37" i="3"/>
  <c r="E37" i="3"/>
  <c r="L37" i="3" s="1"/>
  <c r="M37" i="3" s="1"/>
  <c r="D37" i="3"/>
  <c r="C37" i="3"/>
  <c r="F36" i="3"/>
  <c r="E36" i="3"/>
  <c r="L36" i="3" s="1"/>
  <c r="M36" i="3" s="1"/>
  <c r="D36" i="3"/>
  <c r="C36" i="3"/>
  <c r="F35" i="3"/>
  <c r="E35" i="3"/>
  <c r="L35" i="3" s="1"/>
  <c r="M35" i="3" s="1"/>
  <c r="D35" i="3"/>
  <c r="C35" i="3"/>
  <c r="F34" i="3"/>
  <c r="E34" i="3"/>
  <c r="L34" i="3" s="1"/>
  <c r="M34" i="3" s="1"/>
  <c r="D34" i="3"/>
  <c r="C34" i="3"/>
  <c r="F33" i="3"/>
  <c r="E33" i="3"/>
  <c r="D33" i="3"/>
  <c r="C33" i="3"/>
  <c r="F32" i="3"/>
  <c r="E32" i="3"/>
  <c r="L32" i="3" s="1"/>
  <c r="M32" i="3" s="1"/>
  <c r="D32" i="3"/>
  <c r="C32" i="3"/>
  <c r="F31" i="3"/>
  <c r="E31" i="3"/>
  <c r="L31" i="3" s="1"/>
  <c r="M31" i="3" s="1"/>
  <c r="D31" i="3"/>
  <c r="C31" i="3"/>
  <c r="F30" i="3"/>
  <c r="E30" i="3"/>
  <c r="L30" i="3" s="1"/>
  <c r="M30" i="3" s="1"/>
  <c r="D30" i="3"/>
  <c r="C30" i="3"/>
  <c r="F29" i="3"/>
  <c r="E29" i="3"/>
  <c r="L29" i="3" s="1"/>
  <c r="M29" i="3" s="1"/>
  <c r="D29" i="3"/>
  <c r="C29" i="3"/>
  <c r="F28" i="3"/>
  <c r="E28" i="3"/>
  <c r="L28" i="3" s="1"/>
  <c r="M28" i="3" s="1"/>
  <c r="D28" i="3"/>
  <c r="C28" i="3"/>
  <c r="F27" i="3"/>
  <c r="E27" i="3"/>
  <c r="L27" i="3" s="1"/>
  <c r="M27" i="3" s="1"/>
  <c r="D27" i="3"/>
  <c r="C27" i="3"/>
  <c r="F26" i="3"/>
  <c r="E26" i="3"/>
  <c r="D26" i="3"/>
  <c r="C26" i="3"/>
  <c r="F25" i="3"/>
  <c r="E25" i="3"/>
  <c r="D25" i="3"/>
  <c r="C25" i="3"/>
  <c r="F24" i="3"/>
  <c r="E24" i="3"/>
  <c r="D24" i="3"/>
  <c r="C24" i="3"/>
  <c r="F23" i="3"/>
  <c r="E23" i="3"/>
  <c r="D23" i="3"/>
  <c r="C23" i="3"/>
  <c r="F22" i="3"/>
  <c r="E22" i="3"/>
  <c r="D22" i="3"/>
  <c r="C22" i="3"/>
  <c r="F21" i="3"/>
  <c r="E21" i="3"/>
  <c r="D21" i="3"/>
  <c r="C21" i="3"/>
  <c r="F20" i="3"/>
  <c r="E20" i="3"/>
  <c r="D20" i="3"/>
  <c r="C20" i="3"/>
  <c r="F19" i="3"/>
  <c r="E19" i="3"/>
  <c r="L19" i="3" s="1"/>
  <c r="M19" i="3" s="1"/>
  <c r="D19" i="3"/>
  <c r="C19" i="3"/>
  <c r="F18" i="3"/>
  <c r="E18" i="3"/>
  <c r="D18" i="3"/>
  <c r="C18" i="3"/>
  <c r="F17" i="3"/>
  <c r="E17" i="3"/>
  <c r="D17" i="3"/>
  <c r="C17" i="3"/>
  <c r="F16" i="3"/>
  <c r="E16" i="3"/>
  <c r="D16" i="3"/>
  <c r="C16" i="3"/>
  <c r="F15" i="3"/>
  <c r="E15" i="3"/>
  <c r="D15" i="3"/>
  <c r="C15" i="3"/>
  <c r="F14" i="3"/>
  <c r="E14" i="3"/>
  <c r="D14" i="3"/>
  <c r="C14" i="3"/>
  <c r="F13" i="3"/>
  <c r="E13" i="3"/>
  <c r="D13" i="3"/>
  <c r="C13" i="3"/>
  <c r="F12" i="3"/>
  <c r="E12" i="3"/>
  <c r="D12" i="3"/>
  <c r="C12" i="3"/>
  <c r="F11" i="3"/>
  <c r="E11" i="3"/>
  <c r="D11" i="3"/>
  <c r="C11" i="3"/>
  <c r="F10" i="3"/>
  <c r="E10" i="3"/>
  <c r="D10" i="3"/>
  <c r="C10" i="3"/>
  <c r="F9" i="3"/>
  <c r="E9" i="3"/>
  <c r="D9" i="3"/>
  <c r="C9" i="3"/>
  <c r="F8" i="3"/>
  <c r="E8" i="3"/>
  <c r="D8" i="3"/>
  <c r="C8" i="3"/>
  <c r="F7" i="3"/>
  <c r="E7" i="3"/>
  <c r="D7" i="3"/>
  <c r="C7" i="3"/>
  <c r="F6" i="3"/>
  <c r="E6" i="3"/>
  <c r="D6" i="3"/>
  <c r="C6" i="3"/>
  <c r="F5" i="3"/>
  <c r="E5" i="3"/>
  <c r="D5" i="3"/>
  <c r="C5" i="3"/>
  <c r="F4" i="3"/>
  <c r="E4" i="3"/>
  <c r="D4" i="3"/>
  <c r="C4" i="3"/>
  <c r="F3" i="3"/>
  <c r="E3" i="3"/>
  <c r="D3" i="3"/>
  <c r="C3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E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15" i="1"/>
  <c r="H3314" i="1"/>
  <c r="H3313" i="1"/>
  <c r="H3312" i="1"/>
  <c r="H3311" i="1"/>
  <c r="H3310" i="1"/>
  <c r="H3309" i="1"/>
  <c r="E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E708" i="1"/>
  <c r="H707" i="1"/>
  <c r="H706" i="1"/>
  <c r="E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708" i="1" l="1"/>
  <c r="L708" i="1"/>
  <c r="K162" i="3" s="1"/>
  <c r="H3477" i="1"/>
  <c r="L3477" i="1"/>
  <c r="K102" i="3" s="1"/>
  <c r="D47" i="7" s="1"/>
  <c r="H705" i="1"/>
  <c r="L705" i="1"/>
  <c r="K64" i="3" s="1"/>
  <c r="D27" i="7" s="1"/>
  <c r="H3845" i="1"/>
  <c r="L3845" i="1"/>
  <c r="K159" i="3" s="1"/>
  <c r="H3308" i="1"/>
  <c r="L3308" i="1"/>
  <c r="K218" i="3" s="1"/>
  <c r="D43" i="7" s="1"/>
  <c r="D72" i="7"/>
  <c r="D81" i="7"/>
  <c r="D68" i="7"/>
  <c r="D84" i="7"/>
  <c r="D74" i="7"/>
  <c r="D21" i="7"/>
  <c r="D31" i="7"/>
  <c r="D24" i="7"/>
  <c r="D10" i="7"/>
  <c r="D14" i="7"/>
  <c r="D29" i="7"/>
  <c r="D9" i="7"/>
  <c r="D17" i="7"/>
  <c r="D15" i="7"/>
  <c r="D8" i="7"/>
  <c r="D69" i="7"/>
  <c r="D88" i="7"/>
  <c r="D80" i="7"/>
  <c r="D87" i="7"/>
  <c r="D25" i="7"/>
  <c r="D86" i="7"/>
  <c r="D19" i="7"/>
  <c r="D77" i="7"/>
  <c r="D23" i="7"/>
  <c r="D11" i="7"/>
  <c r="D20" i="7"/>
  <c r="D71" i="7"/>
  <c r="D70" i="7"/>
  <c r="D12" i="7"/>
  <c r="D6" i="7"/>
  <c r="D78" i="7"/>
  <c r="D83" i="7"/>
  <c r="D85" i="7"/>
  <c r="D18" i="7"/>
  <c r="D22" i="7"/>
  <c r="D82" i="7"/>
  <c r="D30" i="7"/>
  <c r="D7" i="7"/>
  <c r="D13" i="7"/>
  <c r="D16" i="7"/>
  <c r="D4" i="7"/>
  <c r="D79" i="7"/>
  <c r="D5" i="7"/>
  <c r="D75" i="7"/>
  <c r="D53" i="7"/>
  <c r="D28" i="7"/>
  <c r="D26" i="7"/>
  <c r="D73" i="7"/>
  <c r="D40" i="7"/>
  <c r="D59" i="7"/>
  <c r="D46" i="7"/>
  <c r="D35" i="7"/>
  <c r="D32" i="7"/>
  <c r="D55" i="7"/>
  <c r="D37" i="7"/>
  <c r="D49" i="7"/>
  <c r="D61" i="7"/>
  <c r="D65" i="7"/>
  <c r="D42" i="7"/>
  <c r="D58" i="7"/>
  <c r="L88" i="3"/>
  <c r="M88" i="3" s="1"/>
  <c r="D76" i="7"/>
  <c r="L5" i="3"/>
  <c r="M5" i="3" s="1"/>
  <c r="D52" i="7"/>
  <c r="D45" i="7"/>
  <c r="D57" i="7"/>
  <c r="D39" i="7"/>
  <c r="D34" i="7"/>
  <c r="D44" i="7"/>
  <c r="D67" i="7"/>
  <c r="D33" i="7"/>
  <c r="D51" i="7"/>
  <c r="D63" i="7"/>
  <c r="L33" i="3"/>
  <c r="M33" i="3" s="1"/>
  <c r="D36" i="7"/>
  <c r="D48" i="7"/>
  <c r="D60" i="7"/>
  <c r="D64" i="7"/>
  <c r="D41" i="7"/>
  <c r="D54" i="7"/>
  <c r="L50" i="3"/>
  <c r="M50" i="3" s="1"/>
  <c r="D56" i="7"/>
  <c r="D38" i="7"/>
  <c r="D50" i="7"/>
  <c r="D62" i="7"/>
  <c r="D66" i="7"/>
  <c r="H3" i="3"/>
  <c r="L3" i="3"/>
  <c r="M3" i="3" s="1"/>
  <c r="H4" i="3"/>
  <c r="L4" i="3"/>
  <c r="M4" i="3" s="1"/>
  <c r="H20" i="3"/>
  <c r="L20" i="3"/>
  <c r="M20" i="3" s="1"/>
  <c r="H21" i="3"/>
  <c r="L21" i="3"/>
  <c r="M21" i="3" s="1"/>
  <c r="H22" i="3"/>
  <c r="L22" i="3"/>
  <c r="M22" i="3" s="1"/>
  <c r="H23" i="3"/>
  <c r="L23" i="3"/>
  <c r="M23" i="3" s="1"/>
  <c r="H24" i="3"/>
  <c r="L24" i="3"/>
  <c r="M24" i="3" s="1"/>
  <c r="H25" i="3"/>
  <c r="L25" i="3"/>
  <c r="M25" i="3" s="1"/>
  <c r="H26" i="3"/>
  <c r="L26" i="3"/>
  <c r="M26" i="3" s="1"/>
  <c r="H6" i="3"/>
  <c r="L6" i="3"/>
  <c r="M6" i="3" s="1"/>
  <c r="H7" i="3"/>
  <c r="L7" i="3"/>
  <c r="M7" i="3" s="1"/>
  <c r="H8" i="3"/>
  <c r="L8" i="3"/>
  <c r="M8" i="3" s="1"/>
  <c r="H9" i="3"/>
  <c r="L9" i="3"/>
  <c r="M9" i="3" s="1"/>
  <c r="H10" i="3"/>
  <c r="L10" i="3"/>
  <c r="M10" i="3" s="1"/>
  <c r="H11" i="3"/>
  <c r="L11" i="3"/>
  <c r="M11" i="3" s="1"/>
  <c r="H12" i="3"/>
  <c r="L12" i="3"/>
  <c r="M12" i="3" s="1"/>
  <c r="H13" i="3"/>
  <c r="L13" i="3"/>
  <c r="M13" i="3" s="1"/>
  <c r="H14" i="3"/>
  <c r="L14" i="3"/>
  <c r="M14" i="3" s="1"/>
  <c r="H15" i="3"/>
  <c r="L15" i="3"/>
  <c r="M15" i="3" s="1"/>
  <c r="H16" i="3"/>
  <c r="L16" i="3"/>
  <c r="M16" i="3" s="1"/>
  <c r="H17" i="3"/>
  <c r="L17" i="3"/>
  <c r="M17" i="3" s="1"/>
  <c r="H18" i="3"/>
  <c r="L18" i="3"/>
  <c r="M18" i="3" s="1"/>
  <c r="H60" i="3"/>
  <c r="L60" i="3"/>
  <c r="M60" i="3" s="1"/>
  <c r="H61" i="3"/>
  <c r="L61" i="3"/>
  <c r="M61" i="3" s="1"/>
  <c r="H62" i="3"/>
  <c r="L62" i="3"/>
  <c r="M62" i="3" s="1"/>
  <c r="H63" i="3"/>
  <c r="L63" i="3"/>
  <c r="M63" i="3" s="1"/>
  <c r="H64" i="3"/>
  <c r="L64" i="3"/>
  <c r="M64" i="3" s="1"/>
  <c r="H65" i="3"/>
  <c r="L65" i="3"/>
  <c r="M65" i="3" s="1"/>
  <c r="H66" i="3"/>
  <c r="L66" i="3"/>
  <c r="M66" i="3" s="1"/>
  <c r="H67" i="3"/>
  <c r="L67" i="3"/>
  <c r="M67" i="3" s="1"/>
  <c r="H80" i="3"/>
  <c r="L80" i="3"/>
  <c r="M80" i="3" s="1"/>
  <c r="H81" i="3"/>
  <c r="L81" i="3"/>
  <c r="M81" i="3" s="1"/>
  <c r="H82" i="3"/>
  <c r="L82" i="3"/>
  <c r="M82" i="3" s="1"/>
  <c r="H83" i="3"/>
  <c r="L83" i="3"/>
  <c r="M83" i="3" s="1"/>
  <c r="H98" i="3"/>
  <c r="L98" i="3"/>
  <c r="M98" i="3" s="1"/>
  <c r="H99" i="3"/>
  <c r="L99" i="3"/>
  <c r="M99" i="3" s="1"/>
  <c r="H104" i="3"/>
  <c r="L104" i="3"/>
  <c r="M104" i="3" s="1"/>
  <c r="H105" i="3"/>
  <c r="L105" i="3"/>
  <c r="M105" i="3" s="1"/>
  <c r="H113" i="3"/>
  <c r="L113" i="3"/>
  <c r="M113" i="3" s="1"/>
  <c r="H115" i="3"/>
  <c r="L115" i="3"/>
  <c r="M115" i="3" s="1"/>
  <c r="H116" i="3"/>
  <c r="L116" i="3"/>
  <c r="M116" i="3" s="1"/>
  <c r="H117" i="3"/>
  <c r="L117" i="3"/>
  <c r="M117" i="3" s="1"/>
  <c r="H118" i="3"/>
  <c r="L118" i="3"/>
  <c r="M118" i="3" s="1"/>
  <c r="H119" i="3"/>
  <c r="L119" i="3"/>
  <c r="M119" i="3" s="1"/>
  <c r="H120" i="3"/>
  <c r="L120" i="3"/>
  <c r="M120" i="3" s="1"/>
  <c r="H121" i="3"/>
  <c r="L121" i="3"/>
  <c r="M121" i="3" s="1"/>
  <c r="H126" i="3"/>
  <c r="L126" i="3"/>
  <c r="M126" i="3" s="1"/>
  <c r="H128" i="3"/>
  <c r="L128" i="3"/>
  <c r="M128" i="3" s="1"/>
  <c r="H135" i="3"/>
  <c r="L135" i="3"/>
  <c r="M135" i="3" s="1"/>
  <c r="H153" i="3"/>
  <c r="L153" i="3"/>
  <c r="M153" i="3" s="1"/>
  <c r="H360" i="3"/>
  <c r="L360" i="3"/>
  <c r="M360" i="3" s="1"/>
  <c r="H361" i="3"/>
  <c r="L361" i="3"/>
  <c r="M361" i="3" s="1"/>
  <c r="H362" i="3"/>
  <c r="L362" i="3"/>
  <c r="M362" i="3" s="1"/>
  <c r="H363" i="3"/>
  <c r="L363" i="3"/>
  <c r="M363" i="3" s="1"/>
  <c r="H364" i="3"/>
  <c r="L364" i="3"/>
  <c r="M364" i="3" s="1"/>
  <c r="H365" i="3"/>
  <c r="L365" i="3"/>
  <c r="M365" i="3" s="1"/>
  <c r="H366" i="3"/>
  <c r="L366" i="3"/>
  <c r="M366" i="3" s="1"/>
  <c r="H367" i="3"/>
  <c r="L367" i="3"/>
  <c r="M367" i="3" s="1"/>
  <c r="H368" i="3"/>
  <c r="L368" i="3"/>
  <c r="M368" i="3" s="1"/>
  <c r="H369" i="3"/>
  <c r="L369" i="3"/>
  <c r="M369" i="3" s="1"/>
  <c r="H183" i="3"/>
  <c r="L183" i="3"/>
  <c r="M183" i="3" s="1"/>
  <c r="H184" i="3"/>
  <c r="L184" i="3"/>
  <c r="M184" i="3" s="1"/>
  <c r="H185" i="3"/>
  <c r="L185" i="3"/>
  <c r="M185" i="3" s="1"/>
  <c r="H186" i="3"/>
  <c r="L186" i="3"/>
  <c r="M186" i="3" s="1"/>
  <c r="H187" i="3"/>
  <c r="L187" i="3"/>
  <c r="M187" i="3" s="1"/>
  <c r="H188" i="3"/>
  <c r="L188" i="3"/>
  <c r="M188" i="3" s="1"/>
  <c r="H190" i="3"/>
  <c r="L190" i="3"/>
  <c r="M190" i="3" s="1"/>
  <c r="H191" i="3"/>
  <c r="L191" i="3"/>
  <c r="M191" i="3" s="1"/>
  <c r="H192" i="3"/>
  <c r="L192" i="3"/>
  <c r="M192" i="3" s="1"/>
  <c r="H193" i="3"/>
  <c r="L193" i="3"/>
  <c r="M193" i="3" s="1"/>
  <c r="H194" i="3"/>
  <c r="L194" i="3"/>
  <c r="M194" i="3" s="1"/>
  <c r="H195" i="3"/>
  <c r="L195" i="3"/>
  <c r="M195" i="3" s="1"/>
  <c r="H196" i="3"/>
  <c r="L196" i="3"/>
  <c r="M196" i="3" s="1"/>
  <c r="H197" i="3"/>
  <c r="L197" i="3"/>
  <c r="M197" i="3" s="1"/>
  <c r="H198" i="3"/>
  <c r="L198" i="3"/>
  <c r="M198" i="3" s="1"/>
  <c r="H199" i="3"/>
  <c r="L199" i="3"/>
  <c r="M199" i="3" s="1"/>
  <c r="H200" i="3"/>
  <c r="L200" i="3"/>
  <c r="M200" i="3" s="1"/>
  <c r="H201" i="3"/>
  <c r="L201" i="3"/>
  <c r="M201" i="3" s="1"/>
  <c r="H202" i="3"/>
  <c r="L202" i="3"/>
  <c r="M202" i="3" s="1"/>
  <c r="H203" i="3"/>
  <c r="L203" i="3"/>
  <c r="M203" i="3" s="1"/>
  <c r="H204" i="3"/>
  <c r="L204" i="3"/>
  <c r="M204" i="3" s="1"/>
  <c r="H205" i="3"/>
  <c r="L205" i="3"/>
  <c r="M205" i="3" s="1"/>
  <c r="H206" i="3"/>
  <c r="L206" i="3"/>
  <c r="M206" i="3" s="1"/>
  <c r="H207" i="3"/>
  <c r="L207" i="3"/>
  <c r="M207" i="3" s="1"/>
  <c r="H208" i="3"/>
  <c r="L208" i="3"/>
  <c r="M208" i="3" s="1"/>
  <c r="H209" i="3"/>
  <c r="L209" i="3"/>
  <c r="M209" i="3" s="1"/>
  <c r="H210" i="3"/>
  <c r="L210" i="3"/>
  <c r="M210" i="3" s="1"/>
  <c r="H211" i="3"/>
  <c r="L211" i="3"/>
  <c r="M211" i="3" s="1"/>
  <c r="H212" i="3"/>
  <c r="L212" i="3"/>
  <c r="M212" i="3" s="1"/>
  <c r="H213" i="3"/>
  <c r="L213" i="3"/>
  <c r="M213" i="3" s="1"/>
  <c r="H214" i="3"/>
  <c r="L214" i="3"/>
  <c r="M214" i="3" s="1"/>
  <c r="H217" i="3"/>
  <c r="L217" i="3"/>
  <c r="M217" i="3" s="1"/>
  <c r="H218" i="3"/>
  <c r="L218" i="3"/>
  <c r="M218" i="3" s="1"/>
  <c r="H219" i="3"/>
  <c r="L219" i="3"/>
  <c r="M219" i="3" s="1"/>
  <c r="H220" i="3"/>
  <c r="L220" i="3"/>
  <c r="M220" i="3" s="1"/>
  <c r="H221" i="3"/>
  <c r="L221" i="3"/>
  <c r="M221" i="3" s="1"/>
  <c r="H222" i="3"/>
  <c r="L222" i="3"/>
  <c r="M222" i="3" s="1"/>
  <c r="H223" i="3"/>
  <c r="L223" i="3"/>
  <c r="M223" i="3" s="1"/>
  <c r="H224" i="3"/>
  <c r="L224" i="3"/>
  <c r="M224" i="3" s="1"/>
  <c r="H225" i="3"/>
  <c r="L225" i="3"/>
  <c r="M225" i="3" s="1"/>
  <c r="H226" i="3"/>
  <c r="L226" i="3"/>
  <c r="M226" i="3" s="1"/>
  <c r="H227" i="3"/>
  <c r="L227" i="3"/>
  <c r="M227" i="3" s="1"/>
  <c r="H228" i="3"/>
  <c r="L228" i="3"/>
  <c r="M228" i="3" s="1"/>
  <c r="H229" i="3"/>
  <c r="L229" i="3"/>
  <c r="M229" i="3" s="1"/>
  <c r="H231" i="3"/>
  <c r="L231" i="3"/>
  <c r="M231" i="3" s="1"/>
  <c r="H232" i="3"/>
  <c r="L232" i="3"/>
  <c r="M232" i="3" s="1"/>
  <c r="H233" i="3"/>
  <c r="L233" i="3"/>
  <c r="M233" i="3" s="1"/>
  <c r="H235" i="3"/>
  <c r="L235" i="3"/>
  <c r="M235" i="3" s="1"/>
  <c r="H236" i="3"/>
  <c r="L236" i="3"/>
  <c r="M236" i="3" s="1"/>
  <c r="H237" i="3"/>
  <c r="L237" i="3"/>
  <c r="M237" i="3" s="1"/>
  <c r="H241" i="3"/>
  <c r="L241" i="3"/>
  <c r="M241" i="3" s="1"/>
  <c r="H242" i="3"/>
  <c r="L242" i="3"/>
  <c r="M242" i="3" s="1"/>
  <c r="H243" i="3"/>
  <c r="L243" i="3"/>
  <c r="M243" i="3" s="1"/>
  <c r="H244" i="3"/>
  <c r="L244" i="3"/>
  <c r="M244" i="3" s="1"/>
  <c r="H245" i="3"/>
  <c r="L245" i="3"/>
  <c r="M245" i="3" s="1"/>
  <c r="H246" i="3"/>
  <c r="L246" i="3"/>
  <c r="M246" i="3" s="1"/>
  <c r="H247" i="3"/>
  <c r="L247" i="3"/>
  <c r="M247" i="3" s="1"/>
  <c r="H248" i="3"/>
  <c r="L248" i="3"/>
  <c r="M248" i="3" s="1"/>
  <c r="H250" i="3"/>
  <c r="L250" i="3"/>
  <c r="M250" i="3" s="1"/>
  <c r="H251" i="3"/>
  <c r="L251" i="3"/>
  <c r="M251" i="3" s="1"/>
  <c r="H252" i="3"/>
  <c r="L252" i="3"/>
  <c r="M252" i="3" s="1"/>
  <c r="H253" i="3"/>
  <c r="L253" i="3"/>
  <c r="M253" i="3" s="1"/>
  <c r="H254" i="3"/>
  <c r="L254" i="3"/>
  <c r="M254" i="3" s="1"/>
  <c r="H255" i="3"/>
  <c r="L255" i="3"/>
  <c r="M255" i="3" s="1"/>
  <c r="H256" i="3"/>
  <c r="L256" i="3"/>
  <c r="M256" i="3" s="1"/>
  <c r="H257" i="3"/>
  <c r="L257" i="3"/>
  <c r="M257" i="3" s="1"/>
  <c r="H258" i="3"/>
  <c r="L258" i="3"/>
  <c r="M258" i="3" s="1"/>
  <c r="H259" i="3"/>
  <c r="L259" i="3"/>
  <c r="M259" i="3" s="1"/>
  <c r="H260" i="3"/>
  <c r="L260" i="3"/>
  <c r="M260" i="3" s="1"/>
  <c r="H261" i="3"/>
  <c r="L261" i="3"/>
  <c r="M261" i="3" s="1"/>
  <c r="H262" i="3"/>
  <c r="L262" i="3"/>
  <c r="M262" i="3" s="1"/>
  <c r="H271" i="3"/>
  <c r="L271" i="3"/>
  <c r="M271" i="3" s="1"/>
  <c r="H282" i="3"/>
  <c r="L282" i="3"/>
  <c r="M282" i="3" s="1"/>
  <c r="H286" i="3"/>
  <c r="L286" i="3"/>
  <c r="M286" i="3" s="1"/>
  <c r="H289" i="3"/>
  <c r="L289" i="3"/>
  <c r="M289" i="3" s="1"/>
  <c r="H294" i="3"/>
  <c r="L294" i="3"/>
  <c r="M294" i="3" s="1"/>
  <c r="H295" i="3"/>
  <c r="L295" i="3"/>
  <c r="M295" i="3" s="1"/>
  <c r="H296" i="3"/>
  <c r="L296" i="3"/>
  <c r="M296" i="3" s="1"/>
  <c r="H297" i="3"/>
  <c r="L297" i="3"/>
  <c r="M297" i="3" s="1"/>
  <c r="H298" i="3"/>
  <c r="L298" i="3"/>
  <c r="M298" i="3" s="1"/>
  <c r="H299" i="3"/>
  <c r="L299" i="3"/>
  <c r="M299" i="3" s="1"/>
  <c r="H300" i="3"/>
  <c r="L300" i="3"/>
  <c r="M300" i="3" s="1"/>
  <c r="H301" i="3"/>
  <c r="L301" i="3"/>
  <c r="M301" i="3" s="1"/>
  <c r="H302" i="3"/>
  <c r="L302" i="3"/>
  <c r="M302" i="3" s="1"/>
  <c r="H303" i="3"/>
  <c r="L303" i="3"/>
  <c r="M303" i="3" s="1"/>
  <c r="H304" i="3"/>
  <c r="L304" i="3"/>
  <c r="M304" i="3" s="1"/>
  <c r="H305" i="3"/>
  <c r="L305" i="3"/>
  <c r="M305" i="3" s="1"/>
  <c r="H306" i="3"/>
  <c r="L306" i="3"/>
  <c r="M306" i="3" s="1"/>
  <c r="H307" i="3"/>
  <c r="L307" i="3"/>
  <c r="M307" i="3" s="1"/>
  <c r="H308" i="3"/>
  <c r="L308" i="3"/>
  <c r="M308" i="3" s="1"/>
  <c r="H309" i="3"/>
  <c r="L309" i="3"/>
  <c r="M309" i="3" s="1"/>
  <c r="H310" i="3"/>
  <c r="L310" i="3"/>
  <c r="M310" i="3" s="1"/>
  <c r="H311" i="3"/>
  <c r="L311" i="3"/>
  <c r="M311" i="3" s="1"/>
  <c r="H312" i="3"/>
  <c r="L312" i="3"/>
  <c r="M312" i="3" s="1"/>
  <c r="H313" i="3"/>
  <c r="L313" i="3"/>
  <c r="M313" i="3" s="1"/>
  <c r="H314" i="3"/>
  <c r="L314" i="3"/>
  <c r="M314" i="3" s="1"/>
  <c r="H315" i="3"/>
  <c r="L315" i="3"/>
  <c r="M315" i="3" s="1"/>
  <c r="H316" i="3"/>
  <c r="L316" i="3"/>
  <c r="M316" i="3" s="1"/>
  <c r="H317" i="3"/>
  <c r="L317" i="3"/>
  <c r="M317" i="3" s="1"/>
  <c r="H320" i="3"/>
  <c r="L320" i="3"/>
  <c r="M320" i="3" s="1"/>
  <c r="H321" i="3"/>
  <c r="L321" i="3"/>
  <c r="M321" i="3" s="1"/>
  <c r="H322" i="3"/>
  <c r="L322" i="3"/>
  <c r="M322" i="3" s="1"/>
  <c r="H323" i="3"/>
  <c r="L323" i="3"/>
  <c r="M323" i="3" s="1"/>
  <c r="H324" i="3"/>
  <c r="L324" i="3"/>
  <c r="M324" i="3" s="1"/>
  <c r="H325" i="3"/>
  <c r="L325" i="3"/>
  <c r="M325" i="3" s="1"/>
  <c r="H326" i="3"/>
  <c r="L326" i="3"/>
  <c r="M326" i="3" s="1"/>
  <c r="H327" i="3"/>
  <c r="L327" i="3"/>
  <c r="M327" i="3" s="1"/>
  <c r="H328" i="3"/>
  <c r="L328" i="3"/>
  <c r="M328" i="3" s="1"/>
  <c r="H329" i="3"/>
  <c r="L329" i="3"/>
  <c r="M329" i="3" s="1"/>
  <c r="H330" i="3"/>
  <c r="L330" i="3"/>
  <c r="M330" i="3" s="1"/>
  <c r="H331" i="3"/>
  <c r="L331" i="3"/>
  <c r="M331" i="3" s="1"/>
  <c r="H332" i="3"/>
  <c r="L332" i="3"/>
  <c r="M332" i="3" s="1"/>
  <c r="H333" i="3"/>
  <c r="L333" i="3"/>
  <c r="M333" i="3" s="1"/>
  <c r="L334" i="3"/>
  <c r="M334" i="3" s="1"/>
  <c r="H336" i="3"/>
  <c r="L336" i="3"/>
  <c r="M336" i="3" s="1"/>
  <c r="H337" i="3"/>
  <c r="L337" i="3"/>
  <c r="M337" i="3" s="1"/>
  <c r="H338" i="3"/>
  <c r="L338" i="3"/>
  <c r="M338" i="3" s="1"/>
  <c r="H339" i="3"/>
  <c r="L339" i="3"/>
  <c r="M339" i="3" s="1"/>
  <c r="H340" i="3"/>
  <c r="L340" i="3"/>
  <c r="M340" i="3" s="1"/>
  <c r="H341" i="3"/>
  <c r="L341" i="3"/>
  <c r="M341" i="3" s="1"/>
  <c r="H342" i="3"/>
  <c r="L342" i="3"/>
  <c r="M342" i="3" s="1"/>
  <c r="H343" i="3"/>
  <c r="L343" i="3"/>
  <c r="M343" i="3" s="1"/>
  <c r="H344" i="3"/>
  <c r="L344" i="3"/>
  <c r="M344" i="3" s="1"/>
  <c r="H345" i="3"/>
  <c r="L345" i="3"/>
  <c r="M345" i="3" s="1"/>
  <c r="H346" i="3"/>
  <c r="L346" i="3"/>
  <c r="M346" i="3" s="1"/>
  <c r="H348" i="3"/>
  <c r="L348" i="3"/>
  <c r="M348" i="3" s="1"/>
  <c r="H349" i="3"/>
  <c r="L349" i="3"/>
  <c r="M349" i="3" s="1"/>
  <c r="H350" i="3"/>
  <c r="L350" i="3"/>
  <c r="M350" i="3" s="1"/>
  <c r="H351" i="3"/>
  <c r="L351" i="3"/>
  <c r="M351" i="3" s="1"/>
  <c r="H353" i="3"/>
  <c r="L353" i="3"/>
  <c r="M353" i="3" s="1"/>
  <c r="H354" i="3"/>
  <c r="L354" i="3"/>
  <c r="M354" i="3" s="1"/>
  <c r="H355" i="3"/>
  <c r="L355" i="3"/>
  <c r="M355" i="3" s="1"/>
  <c r="H356" i="3"/>
  <c r="L356" i="3"/>
  <c r="M356" i="3" s="1"/>
  <c r="H357" i="3"/>
  <c r="L357" i="3"/>
  <c r="M357" i="3" s="1"/>
  <c r="H358" i="3"/>
  <c r="L358" i="3"/>
  <c r="M358" i="3" s="1"/>
  <c r="H359" i="3"/>
  <c r="L359" i="3"/>
  <c r="M359" i="3" s="1"/>
  <c r="H52" i="3"/>
  <c r="L52" i="3"/>
  <c r="M52" i="3" s="1"/>
  <c r="H53" i="3"/>
  <c r="L53" i="3"/>
  <c r="M53" i="3" s="1"/>
  <c r="H54" i="3"/>
  <c r="L54" i="3"/>
  <c r="M54" i="3" s="1"/>
  <c r="H55" i="3"/>
  <c r="L55" i="3"/>
  <c r="M55" i="3" s="1"/>
  <c r="H56" i="3"/>
  <c r="L56" i="3"/>
  <c r="M56" i="3" s="1"/>
  <c r="H57" i="3"/>
  <c r="L57" i="3"/>
  <c r="M57" i="3" s="1"/>
  <c r="H58" i="3"/>
  <c r="L58" i="3"/>
  <c r="M58" i="3" s="1"/>
  <c r="H59" i="3"/>
  <c r="L59" i="3"/>
  <c r="M59" i="3" s="1"/>
  <c r="H69" i="3"/>
  <c r="L69" i="3"/>
  <c r="M69" i="3" s="1"/>
  <c r="H70" i="3"/>
  <c r="L70" i="3"/>
  <c r="M70" i="3" s="1"/>
  <c r="H71" i="3"/>
  <c r="L71" i="3"/>
  <c r="M71" i="3" s="1"/>
  <c r="H72" i="3"/>
  <c r="L72" i="3"/>
  <c r="M72" i="3" s="1"/>
  <c r="H73" i="3"/>
  <c r="L73" i="3"/>
  <c r="M73" i="3" s="1"/>
  <c r="H74" i="3"/>
  <c r="L74" i="3"/>
  <c r="M74" i="3" s="1"/>
  <c r="H75" i="3"/>
  <c r="L75" i="3"/>
  <c r="M75" i="3" s="1"/>
  <c r="H76" i="3"/>
  <c r="L76" i="3"/>
  <c r="M76" i="3" s="1"/>
  <c r="H77" i="3"/>
  <c r="L77" i="3"/>
  <c r="M77" i="3" s="1"/>
  <c r="H78" i="3"/>
  <c r="L78" i="3"/>
  <c r="M78" i="3" s="1"/>
  <c r="H85" i="3"/>
  <c r="L85" i="3"/>
  <c r="M85" i="3" s="1"/>
  <c r="H86" i="3"/>
  <c r="L86" i="3"/>
  <c r="M86" i="3" s="1"/>
  <c r="H91" i="3"/>
  <c r="L91" i="3"/>
  <c r="M91" i="3" s="1"/>
  <c r="H92" i="3"/>
  <c r="L92" i="3"/>
  <c r="M92" i="3" s="1"/>
  <c r="H93" i="3"/>
  <c r="L93" i="3"/>
  <c r="M93" i="3" s="1"/>
  <c r="H94" i="3"/>
  <c r="L94" i="3"/>
  <c r="M94" i="3" s="1"/>
  <c r="H109" i="3"/>
  <c r="L109" i="3"/>
  <c r="M109" i="3" s="1"/>
  <c r="H114" i="3"/>
  <c r="L114" i="3"/>
  <c r="M114" i="3" s="1"/>
  <c r="H123" i="3"/>
  <c r="L123" i="3"/>
  <c r="M123" i="3" s="1"/>
  <c r="H125" i="3"/>
  <c r="L125" i="3"/>
  <c r="M125" i="3" s="1"/>
  <c r="H137" i="3"/>
  <c r="L137" i="3"/>
  <c r="M137" i="3" s="1"/>
  <c r="H138" i="3"/>
  <c r="L138" i="3"/>
  <c r="M138" i="3" s="1"/>
  <c r="H139" i="3"/>
  <c r="L139" i="3"/>
  <c r="M139" i="3" s="1"/>
  <c r="H140" i="3"/>
  <c r="L140" i="3"/>
  <c r="M140" i="3" s="1"/>
  <c r="H141" i="3"/>
  <c r="L141" i="3"/>
  <c r="M141" i="3" s="1"/>
  <c r="H142" i="3"/>
  <c r="L142" i="3"/>
  <c r="M142" i="3" s="1"/>
  <c r="H143" i="3"/>
  <c r="L143" i="3"/>
  <c r="M143" i="3" s="1"/>
  <c r="H144" i="3"/>
  <c r="L144" i="3"/>
  <c r="M144" i="3" s="1"/>
  <c r="H145" i="3"/>
  <c r="L145" i="3"/>
  <c r="M145" i="3" s="1"/>
  <c r="H146" i="3"/>
  <c r="L146" i="3"/>
  <c r="M146" i="3" s="1"/>
  <c r="H147" i="3"/>
  <c r="L147" i="3"/>
  <c r="M147" i="3" s="1"/>
  <c r="H148" i="3"/>
  <c r="L148" i="3"/>
  <c r="M148" i="3" s="1"/>
  <c r="H149" i="3"/>
  <c r="L149" i="3"/>
  <c r="M149" i="3" s="1"/>
  <c r="H150" i="3"/>
  <c r="L150" i="3"/>
  <c r="M150" i="3" s="1"/>
  <c r="H151" i="3"/>
  <c r="L151" i="3"/>
  <c r="M151" i="3" s="1"/>
  <c r="H152" i="3"/>
  <c r="L152" i="3"/>
  <c r="M152" i="3" s="1"/>
  <c r="H155" i="3"/>
  <c r="L155" i="3"/>
  <c r="M155" i="3" s="1"/>
  <c r="H156" i="3"/>
  <c r="L156" i="3"/>
  <c r="M156" i="3" s="1"/>
  <c r="H157" i="3"/>
  <c r="L157" i="3"/>
  <c r="M157" i="3" s="1"/>
  <c r="H158" i="3"/>
  <c r="L158" i="3"/>
  <c r="M158" i="3" s="1"/>
  <c r="H159" i="3"/>
  <c r="L159" i="3"/>
  <c r="M159" i="3" s="1"/>
  <c r="H160" i="3"/>
  <c r="L160" i="3"/>
  <c r="M160" i="3" s="1"/>
  <c r="H161" i="3"/>
  <c r="L161" i="3"/>
  <c r="M161" i="3" s="1"/>
  <c r="H162" i="3"/>
  <c r="L162" i="3"/>
  <c r="M162" i="3" s="1"/>
  <c r="H163" i="3"/>
  <c r="L163" i="3"/>
  <c r="M163" i="3" s="1"/>
  <c r="H164" i="3"/>
  <c r="L164" i="3"/>
  <c r="M164" i="3" s="1"/>
  <c r="H165" i="3"/>
  <c r="L165" i="3"/>
  <c r="M165" i="3" s="1"/>
  <c r="H166" i="3"/>
  <c r="L166" i="3"/>
  <c r="M166" i="3" s="1"/>
  <c r="H167" i="3"/>
  <c r="L167" i="3"/>
  <c r="M167" i="3" s="1"/>
  <c r="H168" i="3"/>
  <c r="L168" i="3"/>
  <c r="M168" i="3" s="1"/>
  <c r="H169" i="3"/>
  <c r="L169" i="3"/>
  <c r="M169" i="3" s="1"/>
  <c r="H170" i="3"/>
  <c r="L170" i="3"/>
  <c r="M170" i="3" s="1"/>
  <c r="H171" i="3"/>
  <c r="L171" i="3"/>
  <c r="M171" i="3" s="1"/>
  <c r="H239" i="3"/>
  <c r="H30" i="3"/>
  <c r="H32" i="3"/>
  <c r="H39" i="3"/>
  <c r="H40" i="3"/>
  <c r="H41" i="3"/>
  <c r="H172" i="3"/>
  <c r="H173" i="3"/>
  <c r="H174" i="3"/>
  <c r="H175" i="3"/>
  <c r="H176" i="3"/>
  <c r="H177" i="3"/>
  <c r="H178" i="3"/>
  <c r="H179" i="3"/>
  <c r="H180" i="3"/>
  <c r="H181" i="3"/>
  <c r="H182" i="3"/>
  <c r="H189" i="3"/>
  <c r="H216" i="3"/>
  <c r="H230" i="3"/>
  <c r="H234" i="3"/>
  <c r="H240" i="3"/>
  <c r="H249" i="3"/>
  <c r="H264" i="3"/>
  <c r="H265" i="3"/>
  <c r="H268" i="3"/>
  <c r="H272" i="3"/>
  <c r="H274" i="3"/>
  <c r="H275" i="3"/>
  <c r="H276" i="3"/>
  <c r="H277" i="3"/>
  <c r="H279" i="3"/>
  <c r="H283" i="3"/>
  <c r="H291" i="3"/>
  <c r="H318" i="3"/>
  <c r="H319" i="3"/>
  <c r="H335" i="3"/>
  <c r="H28" i="3"/>
  <c r="H33" i="3"/>
  <c r="H37" i="3"/>
  <c r="H49" i="3"/>
  <c r="H266" i="3"/>
  <c r="H281" i="3"/>
  <c r="H284" i="3"/>
  <c r="H292" i="3"/>
  <c r="H293" i="3"/>
  <c r="H215" i="3"/>
  <c r="H238" i="3"/>
  <c r="H267" i="3"/>
  <c r="H270" i="3"/>
  <c r="H35" i="3"/>
  <c r="H38" i="3"/>
  <c r="H29" i="3"/>
  <c r="H31" i="3"/>
  <c r="H34" i="3"/>
  <c r="H263" i="3"/>
  <c r="H269" i="3"/>
  <c r="H278" i="3"/>
  <c r="H280" i="3"/>
  <c r="H287" i="3"/>
  <c r="H347" i="3"/>
  <c r="H352" i="3"/>
  <c r="H273" i="3"/>
  <c r="H285" i="3"/>
  <c r="H288" i="3"/>
  <c r="H290" i="3"/>
  <c r="H5" i="3"/>
  <c r="H19" i="3"/>
  <c r="H27" i="3"/>
  <c r="H36" i="3"/>
  <c r="H42" i="3"/>
  <c r="H43" i="3"/>
  <c r="H44" i="3"/>
  <c r="H45" i="3"/>
  <c r="H46" i="3"/>
  <c r="H47" i="3"/>
  <c r="H48" i="3"/>
  <c r="H50" i="3"/>
  <c r="H51" i="3"/>
  <c r="H68" i="3"/>
  <c r="H79" i="3"/>
  <c r="H84" i="3"/>
  <c r="H87" i="3"/>
  <c r="H88" i="3"/>
  <c r="H89" i="3"/>
  <c r="H90" i="3"/>
  <c r="H95" i="3"/>
  <c r="H96" i="3"/>
  <c r="H97" i="3"/>
  <c r="H100" i="3"/>
  <c r="H101" i="3"/>
  <c r="H102" i="3"/>
  <c r="H103" i="3"/>
  <c r="H106" i="3"/>
  <c r="H107" i="3"/>
  <c r="H108" i="3"/>
  <c r="H110" i="3"/>
  <c r="H111" i="3"/>
  <c r="H112" i="3"/>
  <c r="H122" i="3"/>
  <c r="H124" i="3"/>
  <c r="H127" i="3"/>
  <c r="H129" i="3"/>
  <c r="H130" i="3"/>
  <c r="H131" i="3"/>
  <c r="H132" i="3"/>
  <c r="H133" i="3"/>
  <c r="H134" i="3"/>
  <c r="H136" i="3"/>
  <c r="H154" i="3"/>
  <c r="A152" i="3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C71" i="7"/>
  <c r="G242" i="3"/>
  <c r="I242" i="3" s="1"/>
  <c r="G166" i="3"/>
  <c r="G219" i="3"/>
  <c r="I219" i="3" s="1"/>
  <c r="G148" i="3"/>
  <c r="G251" i="3"/>
  <c r="I251" i="3" s="1"/>
  <c r="G343" i="3"/>
  <c r="I343" i="3" s="1"/>
  <c r="G227" i="3"/>
  <c r="G4" i="3"/>
  <c r="G161" i="3"/>
  <c r="G350" i="3"/>
  <c r="I350" i="3" s="1"/>
  <c r="G162" i="3"/>
  <c r="G206" i="3"/>
  <c r="G33" i="3"/>
  <c r="G96" i="3"/>
  <c r="G136" i="3"/>
  <c r="G273" i="3"/>
  <c r="G318" i="3"/>
  <c r="G41" i="3"/>
  <c r="I41" i="3" s="1"/>
  <c r="G70" i="3"/>
  <c r="I70" i="3" s="1"/>
  <c r="G145" i="3"/>
  <c r="G229" i="3"/>
  <c r="I229" i="3" s="1"/>
  <c r="G245" i="3"/>
  <c r="I245" i="3" s="1"/>
  <c r="G253" i="3"/>
  <c r="I253" i="3" s="1"/>
  <c r="G256" i="3"/>
  <c r="I256" i="3" s="1"/>
  <c r="G177" i="3"/>
  <c r="G316" i="3"/>
  <c r="I316" i="3" s="1"/>
  <c r="G339" i="3"/>
  <c r="I339" i="3" s="1"/>
  <c r="G213" i="3"/>
  <c r="I213" i="3" s="1"/>
  <c r="G312" i="3"/>
  <c r="I312" i="3" s="1"/>
  <c r="G90" i="3"/>
  <c r="G152" i="3"/>
  <c r="G42" i="3"/>
  <c r="G194" i="3"/>
  <c r="I194" i="3" s="1"/>
  <c r="G181" i="3"/>
  <c r="G82" i="3"/>
  <c r="I82" i="3" s="1"/>
  <c r="G300" i="3"/>
  <c r="I300" i="3" s="1"/>
  <c r="G45" i="3"/>
  <c r="G53" i="3"/>
  <c r="I53" i="3" s="1"/>
  <c r="G252" i="3"/>
  <c r="I252" i="3" s="1"/>
  <c r="G196" i="3"/>
  <c r="I196" i="3" s="1"/>
  <c r="G331" i="3"/>
  <c r="I331" i="3" s="1"/>
  <c r="G313" i="3"/>
  <c r="I313" i="3" s="1"/>
  <c r="G230" i="3"/>
  <c r="G335" i="3"/>
  <c r="G292" i="3"/>
  <c r="I292" i="3" s="1"/>
  <c r="G209" i="3"/>
  <c r="I209" i="3" s="1"/>
  <c r="G153" i="3"/>
  <c r="I153" i="3" s="1"/>
  <c r="G122" i="3"/>
  <c r="G110" i="3"/>
  <c r="G129" i="3"/>
  <c r="G66" i="3"/>
  <c r="G14" i="3"/>
  <c r="I14" i="3" s="1"/>
  <c r="G10" i="3"/>
  <c r="I10" i="3" s="1"/>
  <c r="G121" i="3"/>
  <c r="I121" i="3" s="1"/>
  <c r="G329" i="3"/>
  <c r="I329" i="3" s="1"/>
  <c r="G356" i="3"/>
  <c r="I356" i="3" s="1"/>
  <c r="G58" i="3"/>
  <c r="G114" i="3"/>
  <c r="I114" i="3" s="1"/>
  <c r="G113" i="3"/>
  <c r="I113" i="3" s="1"/>
  <c r="G137" i="3"/>
  <c r="G128" i="3"/>
  <c r="I128" i="3" s="1"/>
  <c r="G73" i="3"/>
  <c r="G93" i="3"/>
  <c r="I93" i="3" s="1"/>
  <c r="G75" i="3"/>
  <c r="G85" i="3"/>
  <c r="G115" i="3"/>
  <c r="I115" i="3" s="1"/>
  <c r="G139" i="3"/>
  <c r="I139" i="3" s="1"/>
  <c r="G215" i="3"/>
  <c r="G108" i="3"/>
  <c r="G271" i="3"/>
  <c r="I271" i="3" s="1"/>
  <c r="G349" i="3"/>
  <c r="I349" i="3" s="1"/>
  <c r="G224" i="3"/>
  <c r="I224" i="3" s="1"/>
  <c r="G57" i="3"/>
  <c r="G332" i="3"/>
  <c r="I332" i="3" s="1"/>
  <c r="G341" i="3"/>
  <c r="I341" i="3" s="1"/>
  <c r="G200" i="3"/>
  <c r="I200" i="3" s="1"/>
  <c r="G69" i="3"/>
  <c r="G125" i="3"/>
  <c r="I125" i="3" s="1"/>
  <c r="G98" i="3"/>
  <c r="I98" i="3" s="1"/>
  <c r="G117" i="3"/>
  <c r="I117" i="3" s="1"/>
  <c r="G72" i="3"/>
  <c r="I72" i="3" s="1"/>
  <c r="G24" i="3"/>
  <c r="I24" i="3" s="1"/>
  <c r="G327" i="3"/>
  <c r="I327" i="3" s="1"/>
  <c r="G311" i="3"/>
  <c r="I311" i="3" s="1"/>
  <c r="G146" i="3"/>
  <c r="I146" i="3" s="1"/>
  <c r="G317" i="3"/>
  <c r="I317" i="3" s="1"/>
  <c r="G321" i="3"/>
  <c r="I321" i="3" s="1"/>
  <c r="G185" i="3"/>
  <c r="I185" i="3" s="1"/>
  <c r="G106" i="3"/>
  <c r="G100" i="3"/>
  <c r="G363" i="3"/>
  <c r="I363" i="3" s="1"/>
  <c r="G65" i="3"/>
  <c r="I65" i="3" s="1"/>
  <c r="G28" i="3"/>
  <c r="G158" i="3"/>
  <c r="G29" i="3"/>
  <c r="G233" i="3"/>
  <c r="I233" i="3" s="1"/>
  <c r="G141" i="3"/>
  <c r="G323" i="3"/>
  <c r="I323" i="3" s="1"/>
  <c r="G156" i="3"/>
  <c r="G97" i="3"/>
  <c r="G118" i="3"/>
  <c r="I118" i="3" s="1"/>
  <c r="G60" i="3"/>
  <c r="I60" i="3" s="1"/>
  <c r="G369" i="3"/>
  <c r="I369" i="3" s="1"/>
  <c r="G169" i="3"/>
  <c r="G333" i="3"/>
  <c r="I333" i="3" s="1"/>
  <c r="G352" i="3"/>
  <c r="G74" i="3"/>
  <c r="I74" i="3" s="1"/>
  <c r="G52" i="3"/>
  <c r="G112" i="3"/>
  <c r="G357" i="3"/>
  <c r="I357" i="3" s="1"/>
  <c r="G18" i="3"/>
  <c r="G365" i="3"/>
  <c r="I365" i="3" s="1"/>
  <c r="G76" i="3"/>
  <c r="I76" i="3" s="1"/>
  <c r="G294" i="3"/>
  <c r="I294" i="3" s="1"/>
  <c r="G212" i="3"/>
  <c r="I212" i="3" s="1"/>
  <c r="G5" i="3"/>
  <c r="G50" i="3"/>
  <c r="G81" i="3"/>
  <c r="I81" i="3" s="1"/>
  <c r="G91" i="3"/>
  <c r="I91" i="3" s="1"/>
  <c r="G105" i="3"/>
  <c r="I105" i="3" s="1"/>
  <c r="G269" i="3"/>
  <c r="I269" i="3" s="1"/>
  <c r="G176" i="3"/>
  <c r="G303" i="3"/>
  <c r="I303" i="3" s="1"/>
  <c r="G59" i="3"/>
  <c r="I59" i="3" s="1"/>
  <c r="G228" i="3"/>
  <c r="I228" i="3" s="1"/>
  <c r="G236" i="3"/>
  <c r="I236" i="3" s="1"/>
  <c r="G193" i="3"/>
  <c r="I193" i="3" s="1"/>
  <c r="G293" i="3"/>
  <c r="G216" i="3"/>
  <c r="G284" i="3"/>
  <c r="G223" i="3"/>
  <c r="I223" i="3" s="1"/>
  <c r="G199" i="3"/>
  <c r="I199" i="3" s="1"/>
  <c r="G201" i="3"/>
  <c r="I201" i="3" s="1"/>
  <c r="G109" i="3"/>
  <c r="G237" i="3"/>
  <c r="I237" i="3" s="1"/>
  <c r="G77" i="3"/>
  <c r="G243" i="3"/>
  <c r="I243" i="3" s="1"/>
  <c r="G160" i="3"/>
  <c r="G257" i="3"/>
  <c r="I257" i="3" s="1"/>
  <c r="G6" i="3"/>
  <c r="I6" i="3" s="1"/>
  <c r="G123" i="3"/>
  <c r="G157" i="3"/>
  <c r="G244" i="3"/>
  <c r="I244" i="3" s="1"/>
  <c r="G195" i="3"/>
  <c r="I195" i="3" s="1"/>
  <c r="G83" i="3"/>
  <c r="I83" i="3" s="1"/>
  <c r="G21" i="3"/>
  <c r="G344" i="3"/>
  <c r="I344" i="3" s="1"/>
  <c r="G94" i="3"/>
  <c r="I94" i="3" s="1"/>
  <c r="G203" i="3"/>
  <c r="I203" i="3" s="1"/>
  <c r="G164" i="3"/>
  <c r="G131" i="3"/>
  <c r="G249" i="3"/>
  <c r="G168" i="3"/>
  <c r="G367" i="3"/>
  <c r="I367" i="3" s="1"/>
  <c r="G192" i="3"/>
  <c r="I192" i="3" s="1"/>
  <c r="G261" i="3"/>
  <c r="I261" i="3" s="1"/>
  <c r="G235" i="3"/>
  <c r="I235" i="3" s="1"/>
  <c r="G184" i="3"/>
  <c r="I184" i="3" s="1"/>
  <c r="G132" i="3"/>
  <c r="G207" i="3"/>
  <c r="G3" i="3"/>
  <c r="G87" i="3"/>
  <c r="G127" i="3"/>
  <c r="G186" i="3"/>
  <c r="I186" i="3" s="1"/>
  <c r="G275" i="3"/>
  <c r="G130" i="3"/>
  <c r="G138" i="3"/>
  <c r="I138" i="3" s="1"/>
  <c r="G179" i="3"/>
  <c r="G104" i="3"/>
  <c r="I104" i="3" s="1"/>
  <c r="G325" i="3"/>
  <c r="I325" i="3" s="1"/>
  <c r="G175" i="3"/>
  <c r="G247" i="3"/>
  <c r="I247" i="3" s="1"/>
  <c r="G170" i="3"/>
  <c r="G171" i="3"/>
  <c r="G32" i="3"/>
  <c r="G43" i="3"/>
  <c r="G116" i="3"/>
  <c r="I116" i="3" s="1"/>
  <c r="G285" i="3"/>
  <c r="G267" i="3"/>
  <c r="G301" i="3"/>
  <c r="I301" i="3" s="1"/>
  <c r="G221" i="3"/>
  <c r="G277" i="3"/>
  <c r="G279" i="3"/>
  <c r="G262" i="3"/>
  <c r="I262" i="3" s="1"/>
  <c r="G140" i="3"/>
  <c r="I140" i="3" s="1"/>
  <c r="G217" i="3"/>
  <c r="I217" i="3" s="1"/>
  <c r="G287" i="3"/>
  <c r="G299" i="3"/>
  <c r="I299" i="3" s="1"/>
  <c r="G309" i="3"/>
  <c r="I309" i="3" s="1"/>
  <c r="G307" i="3"/>
  <c r="I307" i="3" s="1"/>
  <c r="G22" i="3"/>
  <c r="I22" i="3" s="1"/>
  <c r="G358" i="3"/>
  <c r="I358" i="3" s="1"/>
  <c r="G19" i="3"/>
  <c r="G144" i="3"/>
  <c r="I144" i="3" s="1"/>
  <c r="G167" i="3"/>
  <c r="G351" i="3"/>
  <c r="I351" i="3" s="1"/>
  <c r="G34" i="3"/>
  <c r="G163" i="3"/>
  <c r="G124" i="3"/>
  <c r="G255" i="3"/>
  <c r="I255" i="3" s="1"/>
  <c r="G80" i="3"/>
  <c r="I80" i="3" s="1"/>
  <c r="G12" i="3"/>
  <c r="I12" i="3" s="1"/>
  <c r="G35" i="3"/>
  <c r="I35" i="3" s="1"/>
  <c r="G120" i="3"/>
  <c r="I120" i="3" s="1"/>
  <c r="G326" i="3"/>
  <c r="I326" i="3" s="1"/>
  <c r="G56" i="3"/>
  <c r="I56" i="3" s="1"/>
  <c r="G191" i="3"/>
  <c r="I191" i="3" s="1"/>
  <c r="G295" i="3"/>
  <c r="I295" i="3" s="1"/>
  <c r="G214" i="3"/>
  <c r="I214" i="3" s="1"/>
  <c r="G178" i="3"/>
  <c r="G266" i="3"/>
  <c r="G222" i="3"/>
  <c r="G210" i="3"/>
  <c r="G155" i="3"/>
  <c r="G67" i="3"/>
  <c r="I67" i="3" s="1"/>
  <c r="G154" i="3"/>
  <c r="G7" i="3"/>
  <c r="I7" i="3" s="1"/>
  <c r="G51" i="3"/>
  <c r="G286" i="3"/>
  <c r="I286" i="3" s="1"/>
  <c r="G270" i="3"/>
  <c r="G99" i="3"/>
  <c r="I99" i="3" s="1"/>
  <c r="G107" i="3"/>
  <c r="G202" i="3"/>
  <c r="I202" i="3" s="1"/>
  <c r="G226" i="3"/>
  <c r="I226" i="3" s="1"/>
  <c r="G44" i="3"/>
  <c r="I44" i="3" s="1"/>
  <c r="G246" i="3"/>
  <c r="I246" i="3" s="1"/>
  <c r="G147" i="3"/>
  <c r="I147" i="3" s="1"/>
  <c r="G310" i="3"/>
  <c r="I310" i="3" s="1"/>
  <c r="G259" i="3"/>
  <c r="I259" i="3" s="1"/>
  <c r="G258" i="3"/>
  <c r="I258" i="3" s="1"/>
  <c r="G306" i="3"/>
  <c r="I306" i="3" s="1"/>
  <c r="G211" i="3"/>
  <c r="I211" i="3" s="1"/>
  <c r="G23" i="3"/>
  <c r="I23" i="3" s="1"/>
  <c r="G254" i="3"/>
  <c r="I254" i="3" s="1"/>
  <c r="G11" i="3"/>
  <c r="I11" i="3" s="1"/>
  <c r="G119" i="3"/>
  <c r="I119" i="3" s="1"/>
  <c r="G334" i="3"/>
  <c r="I334" i="3" s="1"/>
  <c r="G218" i="3"/>
  <c r="G16" i="3"/>
  <c r="I16" i="3" s="1"/>
  <c r="G187" i="3"/>
  <c r="I187" i="3" s="1"/>
  <c r="G27" i="3"/>
  <c r="G330" i="3"/>
  <c r="I330" i="3" s="1"/>
  <c r="G8" i="3"/>
  <c r="I8" i="3" s="1"/>
  <c r="G198" i="3"/>
  <c r="I198" i="3" s="1"/>
  <c r="G31" i="3"/>
  <c r="G159" i="3"/>
  <c r="G61" i="3"/>
  <c r="I61" i="3" s="1"/>
  <c r="G238" i="3"/>
  <c r="I238" i="3" s="1"/>
  <c r="G347" i="3"/>
  <c r="G234" i="3"/>
  <c r="G190" i="3"/>
  <c r="I190" i="3" s="1"/>
  <c r="G48" i="3"/>
  <c r="G84" i="3"/>
  <c r="G183" i="3"/>
  <c r="G278" i="3"/>
  <c r="G319" i="3"/>
  <c r="G64" i="3"/>
  <c r="I64" i="3" s="1"/>
  <c r="G302" i="3"/>
  <c r="I302" i="3" s="1"/>
  <c r="G40" i="3"/>
  <c r="G239" i="3"/>
  <c r="G315" i="3"/>
  <c r="G68" i="3"/>
  <c r="G36" i="3"/>
  <c r="G263" i="3"/>
  <c r="I263" i="3" s="1"/>
  <c r="G283" i="3"/>
  <c r="G342" i="3"/>
  <c r="I342" i="3" s="1"/>
  <c r="G20" i="3"/>
  <c r="I20" i="3" s="1"/>
  <c r="G355" i="3"/>
  <c r="I355" i="3" s="1"/>
  <c r="G290" i="3"/>
  <c r="G354" i="3"/>
  <c r="I354" i="3" s="1"/>
  <c r="G338" i="3"/>
  <c r="I338" i="3" s="1"/>
  <c r="G359" i="3"/>
  <c r="I359" i="3" s="1"/>
  <c r="G231" i="3"/>
  <c r="I231" i="3" s="1"/>
  <c r="G88" i="3"/>
  <c r="G92" i="3"/>
  <c r="I92" i="3" s="1"/>
  <c r="G291" i="3"/>
  <c r="G149" i="3"/>
  <c r="G13" i="3"/>
  <c r="I13" i="3" s="1"/>
  <c r="G89" i="3"/>
  <c r="G172" i="3"/>
  <c r="G180" i="3"/>
  <c r="G188" i="3"/>
  <c r="I188" i="3" s="1"/>
  <c r="G204" i="3"/>
  <c r="I204" i="3" s="1"/>
  <c r="G208" i="3"/>
  <c r="I208" i="3" s="1"/>
  <c r="G220" i="3"/>
  <c r="G232" i="3"/>
  <c r="G240" i="3"/>
  <c r="G248" i="3"/>
  <c r="I248" i="3" s="1"/>
  <c r="G260" i="3"/>
  <c r="I260" i="3" s="1"/>
  <c r="G264" i="3"/>
  <c r="G268" i="3"/>
  <c r="G272" i="3"/>
  <c r="G276" i="3"/>
  <c r="G280" i="3"/>
  <c r="G288" i="3"/>
  <c r="G296" i="3"/>
  <c r="G304" i="3"/>
  <c r="I304" i="3" s="1"/>
  <c r="G308" i="3"/>
  <c r="I308" i="3" s="1"/>
  <c r="G320" i="3"/>
  <c r="G324" i="3"/>
  <c r="I324" i="3" s="1"/>
  <c r="G328" i="3"/>
  <c r="I328" i="3" s="1"/>
  <c r="G336" i="3"/>
  <c r="I336" i="3" s="1"/>
  <c r="G340" i="3"/>
  <c r="I340" i="3" s="1"/>
  <c r="G348" i="3"/>
  <c r="I348" i="3" s="1"/>
  <c r="G361" i="3"/>
  <c r="I361" i="3" s="1"/>
  <c r="G366" i="3"/>
  <c r="I366" i="3" s="1"/>
  <c r="G25" i="3"/>
  <c r="I25" i="3" s="1"/>
  <c r="G49" i="3"/>
  <c r="G133" i="3"/>
  <c r="G9" i="3"/>
  <c r="G37" i="3"/>
  <c r="G101" i="3"/>
  <c r="G26" i="3"/>
  <c r="I26" i="3" s="1"/>
  <c r="G30" i="3"/>
  <c r="G38" i="3"/>
  <c r="G46" i="3"/>
  <c r="G54" i="3"/>
  <c r="G62" i="3"/>
  <c r="I62" i="3" s="1"/>
  <c r="G78" i="3"/>
  <c r="I78" i="3" s="1"/>
  <c r="G86" i="3"/>
  <c r="I86" i="3" s="1"/>
  <c r="G102" i="3"/>
  <c r="G126" i="3"/>
  <c r="I126" i="3" s="1"/>
  <c r="G134" i="3"/>
  <c r="G142" i="3"/>
  <c r="I142" i="3" s="1"/>
  <c r="G150" i="3"/>
  <c r="G165" i="3"/>
  <c r="G173" i="3"/>
  <c r="G189" i="3"/>
  <c r="G197" i="3"/>
  <c r="I197" i="3" s="1"/>
  <c r="G205" i="3"/>
  <c r="G225" i="3"/>
  <c r="I225" i="3" s="1"/>
  <c r="G241" i="3"/>
  <c r="I241" i="3" s="1"/>
  <c r="G265" i="3"/>
  <c r="I265" i="3" s="1"/>
  <c r="G281" i="3"/>
  <c r="G289" i="3"/>
  <c r="I289" i="3" s="1"/>
  <c r="G297" i="3"/>
  <c r="G305" i="3"/>
  <c r="I305" i="3" s="1"/>
  <c r="G337" i="3"/>
  <c r="I337" i="3" s="1"/>
  <c r="G345" i="3"/>
  <c r="I345" i="3" s="1"/>
  <c r="G353" i="3"/>
  <c r="I353" i="3" s="1"/>
  <c r="G362" i="3"/>
  <c r="G15" i="3"/>
  <c r="I15" i="3" s="1"/>
  <c r="G39" i="3"/>
  <c r="G47" i="3"/>
  <c r="G55" i="3"/>
  <c r="I55" i="3" s="1"/>
  <c r="G63" i="3"/>
  <c r="I63" i="3" s="1"/>
  <c r="G71" i="3"/>
  <c r="I71" i="3" s="1"/>
  <c r="G79" i="3"/>
  <c r="G95" i="3"/>
  <c r="G103" i="3"/>
  <c r="G111" i="3"/>
  <c r="G135" i="3"/>
  <c r="I135" i="3" s="1"/>
  <c r="G143" i="3"/>
  <c r="G151" i="3"/>
  <c r="G174" i="3"/>
  <c r="G182" i="3"/>
  <c r="G250" i="3"/>
  <c r="I250" i="3" s="1"/>
  <c r="G274" i="3"/>
  <c r="G282" i="3"/>
  <c r="I282" i="3" s="1"/>
  <c r="G298" i="3"/>
  <c r="I298" i="3" s="1"/>
  <c r="G314" i="3"/>
  <c r="I314" i="3" s="1"/>
  <c r="G322" i="3"/>
  <c r="G346" i="3"/>
  <c r="G364" i="3"/>
  <c r="I364" i="3" s="1"/>
  <c r="G368" i="3"/>
  <c r="I368" i="3" s="1"/>
  <c r="G17" i="3"/>
  <c r="I17" i="3" s="1"/>
  <c r="G360" i="3"/>
  <c r="I360" i="3" s="1"/>
  <c r="C33" i="4"/>
  <c r="C31" i="4"/>
  <c r="C32" i="4"/>
  <c r="C34" i="4"/>
  <c r="I347" i="3" l="1"/>
  <c r="I43" i="3"/>
  <c r="I32" i="3"/>
  <c r="I110" i="3"/>
  <c r="I47" i="3"/>
  <c r="I275" i="3"/>
  <c r="I77" i="3"/>
  <c r="I52" i="3"/>
  <c r="I75" i="3"/>
  <c r="I137" i="3"/>
  <c r="I168" i="3"/>
  <c r="I158" i="3"/>
  <c r="I54" i="3"/>
  <c r="I123" i="3"/>
  <c r="I141" i="3"/>
  <c r="I69" i="3"/>
  <c r="I85" i="3"/>
  <c r="I58" i="3"/>
  <c r="I30" i="3"/>
  <c r="I151" i="3"/>
  <c r="I159" i="3"/>
  <c r="I155" i="3"/>
  <c r="I163" i="3"/>
  <c r="I157" i="3"/>
  <c r="I109" i="3"/>
  <c r="I73" i="3"/>
  <c r="I145" i="3"/>
  <c r="I165" i="3"/>
  <c r="L102" i="3"/>
  <c r="M102" i="3" s="1"/>
  <c r="I161" i="3"/>
  <c r="I156" i="3"/>
  <c r="I27" i="3"/>
  <c r="I170" i="3"/>
  <c r="C32" i="7"/>
  <c r="I171" i="3"/>
  <c r="I167" i="3"/>
  <c r="I100" i="3"/>
  <c r="I176" i="3"/>
  <c r="I172" i="3"/>
  <c r="I169" i="3"/>
  <c r="I164" i="3"/>
  <c r="I160" i="3"/>
  <c r="I166" i="3"/>
  <c r="I39" i="3"/>
  <c r="I173" i="3"/>
  <c r="I152" i="3"/>
  <c r="I162" i="3"/>
  <c r="I272" i="3"/>
  <c r="I249" i="3"/>
  <c r="I239" i="3"/>
  <c r="I335" i="3"/>
  <c r="I267" i="3"/>
  <c r="I234" i="3"/>
  <c r="I178" i="3"/>
  <c r="I49" i="3"/>
  <c r="I174" i="3"/>
  <c r="I40" i="3"/>
  <c r="I189" i="3"/>
  <c r="I352" i="3"/>
  <c r="I274" i="3"/>
  <c r="I264" i="3"/>
  <c r="I122" i="3"/>
  <c r="I68" i="3"/>
  <c r="I285" i="3"/>
  <c r="I279" i="3"/>
  <c r="I281" i="3"/>
  <c r="I280" i="3"/>
  <c r="I277" i="3"/>
  <c r="I95" i="3"/>
  <c r="I133" i="3"/>
  <c r="I180" i="3"/>
  <c r="I216" i="3"/>
  <c r="I46" i="3"/>
  <c r="I101" i="3"/>
  <c r="I102" i="3"/>
  <c r="I276" i="3"/>
  <c r="I19" i="3"/>
  <c r="I319" i="3"/>
  <c r="I111" i="3"/>
  <c r="I38" i="3"/>
  <c r="I37" i="3"/>
  <c r="I268" i="3"/>
  <c r="I240" i="3"/>
  <c r="I287" i="3"/>
  <c r="I290" i="3"/>
  <c r="I84" i="3"/>
  <c r="I31" i="3"/>
  <c r="I50" i="3"/>
  <c r="I28" i="3"/>
  <c r="I106" i="3"/>
  <c r="I45" i="3"/>
  <c r="I270" i="3"/>
  <c r="I293" i="3"/>
  <c r="I36" i="3"/>
  <c r="I278" i="3"/>
  <c r="I266" i="3"/>
  <c r="I175" i="3"/>
  <c r="I230" i="3"/>
  <c r="I130" i="3"/>
  <c r="I284" i="3"/>
  <c r="I181" i="3"/>
  <c r="I96" i="3"/>
  <c r="I108" i="3"/>
  <c r="I177" i="3"/>
  <c r="I79" i="3"/>
  <c r="I48" i="3"/>
  <c r="I97" i="3"/>
  <c r="I134" i="3"/>
  <c r="I288" i="3"/>
  <c r="I89" i="3"/>
  <c r="I124" i="3"/>
  <c r="I127" i="3"/>
  <c r="I132" i="3"/>
  <c r="I131" i="3"/>
  <c r="I29" i="3"/>
  <c r="I136" i="3"/>
  <c r="I103" i="3"/>
  <c r="I154" i="3"/>
  <c r="I34" i="3"/>
  <c r="I33" i="3"/>
  <c r="I215" i="3"/>
  <c r="I112" i="3"/>
  <c r="I5" i="3"/>
  <c r="I42" i="3"/>
  <c r="I273" i="3"/>
  <c r="I107" i="3"/>
  <c r="I51" i="3"/>
  <c r="I87" i="3"/>
  <c r="I129" i="3"/>
  <c r="I143" i="3"/>
  <c r="C80" i="7"/>
  <c r="I362" i="3"/>
  <c r="C7" i="7"/>
  <c r="I150" i="3"/>
  <c r="C66" i="7"/>
  <c r="I220" i="3"/>
  <c r="C9" i="7"/>
  <c r="I149" i="3"/>
  <c r="C58" i="7"/>
  <c r="I283" i="3"/>
  <c r="C67" i="7"/>
  <c r="I315" i="3"/>
  <c r="C30" i="7"/>
  <c r="I210" i="3"/>
  <c r="C72" i="7"/>
  <c r="I221" i="3"/>
  <c r="C20" i="7"/>
  <c r="I3" i="3"/>
  <c r="C69" i="7"/>
  <c r="I57" i="3"/>
  <c r="C64" i="7"/>
  <c r="I318" i="3"/>
  <c r="C52" i="7"/>
  <c r="I182" i="3"/>
  <c r="C15" i="7"/>
  <c r="I297" i="3"/>
  <c r="C14" i="7"/>
  <c r="I296" i="3"/>
  <c r="C59" i="7"/>
  <c r="I291" i="3"/>
  <c r="C23" i="7"/>
  <c r="I222" i="3"/>
  <c r="C56" i="7"/>
  <c r="I179" i="3"/>
  <c r="C88" i="7"/>
  <c r="I207" i="3"/>
  <c r="C19" i="7"/>
  <c r="I206" i="3"/>
  <c r="C21" i="7"/>
  <c r="I4" i="3"/>
  <c r="C8" i="7"/>
  <c r="I148" i="3"/>
  <c r="C16" i="7"/>
  <c r="I346" i="3"/>
  <c r="C75" i="7"/>
  <c r="I320" i="3"/>
  <c r="C18" i="7"/>
  <c r="I18" i="3"/>
  <c r="C77" i="7"/>
  <c r="I66" i="3"/>
  <c r="C24" i="7"/>
  <c r="I227" i="3"/>
  <c r="C25" i="7"/>
  <c r="I322" i="3"/>
  <c r="C10" i="7"/>
  <c r="I205" i="3"/>
  <c r="C68" i="7"/>
  <c r="I9" i="3"/>
  <c r="C31" i="7"/>
  <c r="I232" i="3"/>
  <c r="C76" i="7"/>
  <c r="I88" i="3"/>
  <c r="C6" i="7"/>
  <c r="I183" i="3"/>
  <c r="C43" i="7"/>
  <c r="I218" i="3"/>
  <c r="C53" i="7"/>
  <c r="I21" i="3"/>
  <c r="C46" i="7"/>
  <c r="I90" i="3"/>
  <c r="C17" i="7"/>
  <c r="C47" i="7"/>
  <c r="C11" i="7"/>
  <c r="C13" i="7"/>
  <c r="C50" i="7"/>
  <c r="C40" i="7"/>
  <c r="C79" i="7"/>
  <c r="C29" i="7"/>
  <c r="C51" i="7"/>
  <c r="C83" i="7"/>
  <c r="C22" i="7"/>
  <c r="C27" i="7"/>
  <c r="C48" i="7"/>
  <c r="C34" i="7"/>
  <c r="C28" i="7"/>
  <c r="C82" i="7"/>
  <c r="C57" i="7"/>
  <c r="C38" i="7"/>
  <c r="C12" i="7"/>
  <c r="C39" i="7"/>
  <c r="C70" i="7"/>
  <c r="C36" i="7"/>
  <c r="C54" i="7"/>
  <c r="C60" i="7"/>
  <c r="C61" i="7"/>
  <c r="C4" i="7"/>
  <c r="C73" i="7"/>
  <c r="C84" i="7"/>
  <c r="C26" i="7"/>
  <c r="C45" i="7"/>
  <c r="C78" i="7"/>
  <c r="C42" i="7"/>
  <c r="C63" i="7"/>
  <c r="C49" i="7"/>
  <c r="C81" i="7"/>
  <c r="C85" i="7"/>
  <c r="C33" i="7"/>
  <c r="C55" i="7"/>
  <c r="C74" i="7"/>
  <c r="C44" i="7"/>
  <c r="C37" i="7"/>
  <c r="C35" i="7"/>
  <c r="C41" i="7"/>
  <c r="C5" i="7"/>
  <c r="C87" i="7"/>
  <c r="C62" i="7"/>
  <c r="C65" i="7"/>
  <c r="C86" i="7"/>
  <c r="C7" i="4"/>
  <c r="C24" i="4"/>
  <c r="C20" i="4" l="1"/>
  <c r="C25" i="4"/>
  <c r="C14" i="4"/>
  <c r="C23" i="4"/>
  <c r="C10" i="4"/>
  <c r="C22" i="4"/>
  <c r="C8" i="4"/>
  <c r="C4" i="4"/>
  <c r="C6" i="4"/>
  <c r="C30" i="4"/>
  <c r="C11" i="4"/>
  <c r="C29" i="4"/>
  <c r="C17" i="4" l="1"/>
  <c r="C26" i="4"/>
  <c r="C18" i="4"/>
  <c r="C5" i="4"/>
  <c r="C3" i="4"/>
  <c r="C28" i="4"/>
  <c r="C13" i="4"/>
  <c r="C9" i="4"/>
  <c r="C27" i="4"/>
  <c r="C19" i="4"/>
  <c r="C16" i="4"/>
  <c r="C12" i="4"/>
  <c r="C21" i="4"/>
  <c r="C15" i="4"/>
  <c r="C36" i="4" l="1"/>
</calcChain>
</file>

<file path=xl/sharedStrings.xml><?xml version="1.0" encoding="utf-8"?>
<sst xmlns="http://schemas.openxmlformats.org/spreadsheetml/2006/main" count="30821" uniqueCount="1072">
  <si>
    <t>Recipes Consolidate</t>
  </si>
  <si>
    <t>Dish Name</t>
  </si>
  <si>
    <t>Ingredients</t>
  </si>
  <si>
    <t>Qty</t>
  </si>
  <si>
    <t>Amount</t>
  </si>
  <si>
    <t>Achar</t>
  </si>
  <si>
    <t>Apple Vinegar</t>
  </si>
  <si>
    <t>Mint (Podina)</t>
  </si>
  <si>
    <t>Red Chili Cutter</t>
  </si>
  <si>
    <t>Kalongi Seed</t>
  </si>
  <si>
    <t>Sugar</t>
  </si>
  <si>
    <t>Kukree</t>
  </si>
  <si>
    <t>Cauliflower (Phool Gobi)</t>
  </si>
  <si>
    <t>Brinjal (Bengan)</t>
  </si>
  <si>
    <t>Cucumber (Kheera)</t>
  </si>
  <si>
    <t>Carrot</t>
  </si>
  <si>
    <t>Garlic (Lehsan)</t>
  </si>
  <si>
    <t>Radish (Mooli)</t>
  </si>
  <si>
    <t>Turnip</t>
  </si>
  <si>
    <t>UOM</t>
  </si>
  <si>
    <t>Afghani Chicken Boti</t>
  </si>
  <si>
    <t>Olive Oil Mundial</t>
  </si>
  <si>
    <t>Hub Salt 800gm</t>
  </si>
  <si>
    <t>Ginger (Adrak)</t>
  </si>
  <si>
    <t>Onion (Piyaz)</t>
  </si>
  <si>
    <t>Beef Chapli Kabab</t>
  </si>
  <si>
    <t>Egg</t>
  </si>
  <si>
    <t>Sweet Soda</t>
  </si>
  <si>
    <t>Tomato</t>
  </si>
  <si>
    <t>Green Chilli (Hari Mirch)</t>
  </si>
  <si>
    <t>Makai Ata White</t>
  </si>
  <si>
    <t>Amchoor Powder.</t>
  </si>
  <si>
    <t>Zafrani Masala Pkt</t>
  </si>
  <si>
    <t>Anardana (1kg)</t>
  </si>
  <si>
    <t>Zeera Seeds</t>
  </si>
  <si>
    <t>Coriander (Dhanya)</t>
  </si>
  <si>
    <t>Beef Chappli Kabab Cut</t>
  </si>
  <si>
    <t>Beef Seekh Kabab</t>
  </si>
  <si>
    <t>Red Chili Seed</t>
  </si>
  <si>
    <t>Coconut Powder</t>
  </si>
  <si>
    <t>Jaifal Seed</t>
  </si>
  <si>
    <t>Origanum 500gms</t>
  </si>
  <si>
    <t>Kachree Seeds</t>
  </si>
  <si>
    <t>Hot Spice Powder.</t>
  </si>
  <si>
    <t>Fat S Kabab</t>
  </si>
  <si>
    <t>Javetri</t>
  </si>
  <si>
    <t>Beef Muqaddam Multiuse</t>
  </si>
  <si>
    <t>Beef Steak</t>
  </si>
  <si>
    <t>Black Paper Seed</t>
  </si>
  <si>
    <t>Maida Flour</t>
  </si>
  <si>
    <t>Lemon</t>
  </si>
  <si>
    <t>Mustard Paste</t>
  </si>
  <si>
    <t>D.p Sauce</t>
  </si>
  <si>
    <t>Hp Souce</t>
  </si>
  <si>
    <t>Tullo Oil 16 Ltr</t>
  </si>
  <si>
    <t>Ajwaen</t>
  </si>
  <si>
    <t>Kasuri Methi 200Gm</t>
  </si>
  <si>
    <t>Haldi Powder</t>
  </si>
  <si>
    <t>Beef Brain Raw</t>
  </si>
  <si>
    <t>Brain Masala</t>
  </si>
  <si>
    <t>Dhaniya Seeds</t>
  </si>
  <si>
    <t>Chadder Cheese</t>
  </si>
  <si>
    <t>Fat Afk</t>
  </si>
  <si>
    <t>Chicken Boneless Cut - Multi Use</t>
  </si>
  <si>
    <t>Chicken Cheese Kabab</t>
  </si>
  <si>
    <t>Pappya (Papita)</t>
  </si>
  <si>
    <t>Red Chilli Powder</t>
  </si>
  <si>
    <t>Chicken Behari</t>
  </si>
  <si>
    <t>White Paper Seed</t>
  </si>
  <si>
    <t>Chicken Boti</t>
  </si>
  <si>
    <t>Chicken Chapli Kabab</t>
  </si>
  <si>
    <t>Zarda Colour Pkt</t>
  </si>
  <si>
    <t>White Vineger 800 Ml</t>
  </si>
  <si>
    <t>Yogurt</t>
  </si>
  <si>
    <t>Corn Flour</t>
  </si>
  <si>
    <t>Besun Kg</t>
  </si>
  <si>
    <t>Imli Tamarind Kg</t>
  </si>
  <si>
    <t>Chicken Chargha</t>
  </si>
  <si>
    <t>Chicken Corn Soup</t>
  </si>
  <si>
    <t>Sweet Corn Large</t>
  </si>
  <si>
    <t>Chicken Ginger</t>
  </si>
  <si>
    <t>Chicken Handi</t>
  </si>
  <si>
    <t>Chicken Jalfrezi</t>
  </si>
  <si>
    <t>Chicken Karahi</t>
  </si>
  <si>
    <t>Chicken Powder Kg</t>
  </si>
  <si>
    <t>Chicken White Karahi</t>
  </si>
  <si>
    <t>Chicken Namkeen Boti</t>
  </si>
  <si>
    <t>Chicken Reshmi Kabab</t>
  </si>
  <si>
    <t>Peanut</t>
  </si>
  <si>
    <t>Black Pepper Powder Kg</t>
  </si>
  <si>
    <t>Chicken Satay</t>
  </si>
  <si>
    <t>Worster Sauce Botl</t>
  </si>
  <si>
    <t>Soya Souce 5 Ltr</t>
  </si>
  <si>
    <t>Basmati Rice</t>
  </si>
  <si>
    <t>Cabbage (Band Gobi)</t>
  </si>
  <si>
    <t>Capsium (Shimla Mirch)</t>
  </si>
  <si>
    <t>Spring Onion (Hari Piyaz)</t>
  </si>
  <si>
    <t>Chicken Shashlik</t>
  </si>
  <si>
    <t>Tahina Sauce</t>
  </si>
  <si>
    <t>Chicken Shishtouk</t>
  </si>
  <si>
    <t>Chili Sauce 5 Ltr</t>
  </si>
  <si>
    <t>Cheese Slice 1kg</t>
  </si>
  <si>
    <t>Chicken Steak</t>
  </si>
  <si>
    <t>Red Chilli</t>
  </si>
  <si>
    <t>Chicken Tawa</t>
  </si>
  <si>
    <t>American Vinegar 500 Ml</t>
  </si>
  <si>
    <t>Chicken Tikka</t>
  </si>
  <si>
    <t>French Fries Raw</t>
  </si>
  <si>
    <t>Chicken Wings</t>
  </si>
  <si>
    <t>Daal Mong</t>
  </si>
  <si>
    <t>Daal Special</t>
  </si>
  <si>
    <t>Finger Fish</t>
  </si>
  <si>
    <t>Beef Fat Raw</t>
  </si>
  <si>
    <t>Pangasius Raw</t>
  </si>
  <si>
    <t>Fish Kabab</t>
  </si>
  <si>
    <t>Fish Tikka</t>
  </si>
  <si>
    <t>French Fries</t>
  </si>
  <si>
    <t>Fried Fish</t>
  </si>
  <si>
    <t>Fried Fish Cut</t>
  </si>
  <si>
    <t>Chicken Liver Raw</t>
  </si>
  <si>
    <t>Grilled Chicken Liver</t>
  </si>
  <si>
    <t>Taffu</t>
  </si>
  <si>
    <t>Prawn Masala Cut</t>
  </si>
  <si>
    <t>Hot &amp; Sour Soup</t>
  </si>
  <si>
    <t>Mutton Boneless Cut</t>
  </si>
  <si>
    <t>White Paper Powder Kg</t>
  </si>
  <si>
    <t>Kachree Powder Kg</t>
  </si>
  <si>
    <t>Zafran</t>
  </si>
  <si>
    <t>Irani Joja Boti Cut</t>
  </si>
  <si>
    <t>Irani Joja Boti</t>
  </si>
  <si>
    <t>Mustad Powder</t>
  </si>
  <si>
    <t>Jumbo Prawn</t>
  </si>
  <si>
    <t>Black Kishmish</t>
  </si>
  <si>
    <t>Almond (badam)</t>
  </si>
  <si>
    <t>Sela Rice</t>
  </si>
  <si>
    <t>Chicken Kabuli Pulao</t>
  </si>
  <si>
    <t>Mutton Heart</t>
  </si>
  <si>
    <t>Mutton Brain</t>
  </si>
  <si>
    <t>Mutton Kidney</t>
  </si>
  <si>
    <t>Katakat</t>
  </si>
  <si>
    <t>Lahori Chop Cut</t>
  </si>
  <si>
    <t>Chicken Malai Tikka</t>
  </si>
  <si>
    <t>Torai (Ridged Gourd)</t>
  </si>
  <si>
    <t>Mehro</t>
  </si>
  <si>
    <t>Lady Finger (Bhindi)</t>
  </si>
  <si>
    <t>Mix Vegetable</t>
  </si>
  <si>
    <t>Banana</t>
  </si>
  <si>
    <t>Golden Apple.</t>
  </si>
  <si>
    <t>Curry Leaf (Kari Patta)</t>
  </si>
  <si>
    <t>Mulligatawny Soup</t>
  </si>
  <si>
    <t>Mutton Boti</t>
  </si>
  <si>
    <t>Mutton Chops</t>
  </si>
  <si>
    <t>Mutton Gola Kabab</t>
  </si>
  <si>
    <t>Mutton Kabab</t>
  </si>
  <si>
    <t>Mutton Karahi</t>
  </si>
  <si>
    <t>Mutton Leg Prep</t>
  </si>
  <si>
    <t>Mutton Ribs</t>
  </si>
  <si>
    <t>Cheese Round 200gm</t>
  </si>
  <si>
    <t>Spinach (Palak)</t>
  </si>
  <si>
    <t>Palak Paneer</t>
  </si>
  <si>
    <t>Chicken Paneer Tikka</t>
  </si>
  <si>
    <t>Prawn Kabab</t>
  </si>
  <si>
    <t>Prawn Masala</t>
  </si>
  <si>
    <t>Red Snapper</t>
  </si>
  <si>
    <t>Food Colour Small</t>
  </si>
  <si>
    <t>Red Snapper RAW</t>
  </si>
  <si>
    <t>Nestle Milk Cream 200 Gm</t>
  </si>
  <si>
    <t>Tenderloin Steak</t>
  </si>
  <si>
    <t>Tomato Soup</t>
  </si>
  <si>
    <t>Colocasia (Arvi)</t>
  </si>
  <si>
    <t>Green Peas</t>
  </si>
  <si>
    <t>Potato (Aalo)</t>
  </si>
  <si>
    <t>Vegetable Seekh Kabab</t>
  </si>
  <si>
    <t>(Pcs)</t>
  </si>
  <si>
    <t>(Kg)</t>
  </si>
  <si>
    <t>(Ord)</t>
  </si>
  <si>
    <t>KG</t>
  </si>
  <si>
    <t>Litre</t>
  </si>
  <si>
    <t>Beef Kandhari Pulao</t>
  </si>
  <si>
    <t>Kg</t>
  </si>
  <si>
    <t>Peri Bites</t>
  </si>
  <si>
    <t>kg</t>
  </si>
  <si>
    <t>Mozzarella Cheese Block 2kg</t>
  </si>
  <si>
    <t>Mayonnaise 1KG</t>
  </si>
  <si>
    <t>Fish Cutlets</t>
  </si>
  <si>
    <t>DHANYA POWDER KG</t>
  </si>
  <si>
    <t>Lemon Essence</t>
  </si>
  <si>
    <t>Bread Crums Kg</t>
  </si>
  <si>
    <t>Chicken Chilli With Sauce</t>
  </si>
  <si>
    <t>Chicken Stock</t>
  </si>
  <si>
    <t>Ltr</t>
  </si>
  <si>
    <t>Chicken Haleem</t>
  </si>
  <si>
    <t>FRESH YOGURT PCS</t>
  </si>
  <si>
    <t>Wheat (gundum)</t>
  </si>
  <si>
    <t>Daal Chana</t>
  </si>
  <si>
    <t>Daal Masoor Black</t>
  </si>
  <si>
    <t>Jow Wheat Kg</t>
  </si>
  <si>
    <t>Kung Pao Chicken</t>
  </si>
  <si>
    <t>Ketchup 1Ltr Pkt</t>
  </si>
  <si>
    <t>Chilli Sauce 750ML</t>
  </si>
  <si>
    <t>Beef Qeema</t>
  </si>
  <si>
    <t>Sesame Chicken</t>
  </si>
  <si>
    <t>Mineral Plus 19 Liter</t>
  </si>
  <si>
    <t>White Till</t>
  </si>
  <si>
    <t>Fish Curry</t>
  </si>
  <si>
    <t>Rai Dana</t>
  </si>
  <si>
    <t>Kandhari Naan</t>
  </si>
  <si>
    <t>Milk Powder Kg</t>
  </si>
  <si>
    <t>Yeast</t>
  </si>
  <si>
    <t>Roghni Naan</t>
  </si>
  <si>
    <t>Laal Roti</t>
  </si>
  <si>
    <t>Pastry</t>
  </si>
  <si>
    <t>Fruit Cocktail</t>
  </si>
  <si>
    <t>Pinapple Slice</t>
  </si>
  <si>
    <t>Bread Stick</t>
  </si>
  <si>
    <t>Fruit Cake</t>
  </si>
  <si>
    <t>Pickele Fruit (ashrafi)</t>
  </si>
  <si>
    <t>Cheese Cake</t>
  </si>
  <si>
    <t>Comelle Milk</t>
  </si>
  <si>
    <t>CREAM CHEESE BOX</t>
  </si>
  <si>
    <t>Gelatine Powder</t>
  </si>
  <si>
    <t>Bread White</t>
  </si>
  <si>
    <t>Eka Powder</t>
  </si>
  <si>
    <t>Masosa Cake</t>
  </si>
  <si>
    <t>Suji Kg</t>
  </si>
  <si>
    <t>Brownie</t>
  </si>
  <si>
    <t>Coco Powder 200Gm Pkt</t>
  </si>
  <si>
    <t>Caramel Pudding</t>
  </si>
  <si>
    <t>Diet Pudding</t>
  </si>
  <si>
    <t>Sugar Sucral</t>
  </si>
  <si>
    <t>Chocolate Moose</t>
  </si>
  <si>
    <t>Chocolate Block KG</t>
  </si>
  <si>
    <t>Chocolate Essence Bottle</t>
  </si>
  <si>
    <t>VANILA CUSTARD-285GMS</t>
  </si>
  <si>
    <t>Kheer</t>
  </si>
  <si>
    <t>Cardamom (s) Kg</t>
  </si>
  <si>
    <t>Pista</t>
  </si>
  <si>
    <t>Khoya Kheer</t>
  </si>
  <si>
    <t>Khoya</t>
  </si>
  <si>
    <t>Sheer Khorma</t>
  </si>
  <si>
    <t>Vermicelli Brown</t>
  </si>
  <si>
    <t>Lab-e-Shereen</t>
  </si>
  <si>
    <t>Chocolate Chip Pkt</t>
  </si>
  <si>
    <t>Vermicely Colour</t>
  </si>
  <si>
    <t>Rooh Afza</t>
  </si>
  <si>
    <t>Mango Pastry</t>
  </si>
  <si>
    <t>Mango</t>
  </si>
  <si>
    <t>Fruit Tart</t>
  </si>
  <si>
    <t>Tea</t>
  </si>
  <si>
    <t>Tapal Tea 1000gm</t>
  </si>
  <si>
    <t>Nos</t>
  </si>
  <si>
    <t>Mint Lemonade</t>
  </si>
  <si>
    <t>Bunch</t>
  </si>
  <si>
    <t>Pcs</t>
  </si>
  <si>
    <t>Ice Cube</t>
  </si>
  <si>
    <t>Sweet Lassi</t>
  </si>
  <si>
    <t>Falsa Juice</t>
  </si>
  <si>
    <t>Falsa</t>
  </si>
  <si>
    <t>Black Salt</t>
  </si>
  <si>
    <t>Fattoush Salad</t>
  </si>
  <si>
    <t>Ice Berg</t>
  </si>
  <si>
    <t>Greek Salad</t>
  </si>
  <si>
    <t>Lettuce (Salad Patta)</t>
  </si>
  <si>
    <t>Pkt</t>
  </si>
  <si>
    <t>Peanut Salad</t>
  </si>
  <si>
    <t>Apple (amri)</t>
  </si>
  <si>
    <t>Hawaian Salad</t>
  </si>
  <si>
    <t>Hummus Salad</t>
  </si>
  <si>
    <t>White Chana Small</t>
  </si>
  <si>
    <t>Mix Fruit Salad</t>
  </si>
  <si>
    <t>Melon (garma)</t>
  </si>
  <si>
    <t>Water Melon</t>
  </si>
  <si>
    <t>Peach</t>
  </si>
  <si>
    <t>Plum</t>
  </si>
  <si>
    <t>Raita</t>
  </si>
  <si>
    <t>Imli Sauce</t>
  </si>
  <si>
    <t>Green Salad</t>
  </si>
  <si>
    <t>Beetroot (Chukhander)</t>
  </si>
  <si>
    <t>Suji Ka Halwa</t>
  </si>
  <si>
    <t>Banaspati Ghee 16 Kg</t>
  </si>
  <si>
    <t>White Kishmish</t>
  </si>
  <si>
    <t>Chapati</t>
  </si>
  <si>
    <t>Beef Biryani</t>
  </si>
  <si>
    <t>Beef Qorma</t>
  </si>
  <si>
    <t>Mutton Stew</t>
  </si>
  <si>
    <t>Mutton Biryani</t>
  </si>
  <si>
    <t>Chicken Biryani</t>
  </si>
  <si>
    <t>Beef Gola Kabab With Imli Chatni</t>
  </si>
  <si>
    <t>Fish Fry</t>
  </si>
  <si>
    <t>Beef Haleem</t>
  </si>
  <si>
    <t>Beef Nihari</t>
  </si>
  <si>
    <t>Chicken Qorma</t>
  </si>
  <si>
    <t>Beef Kabuli Pulao</t>
  </si>
  <si>
    <t>Beef Shami Kabab</t>
  </si>
  <si>
    <t>Chicken Green</t>
  </si>
  <si>
    <t>Chicken Nihari</t>
  </si>
  <si>
    <t>Fried Onion</t>
  </si>
  <si>
    <t>pkt</t>
  </si>
  <si>
    <t>Long Seed</t>
  </si>
  <si>
    <t>Rohe kewra zafrani</t>
  </si>
  <si>
    <t>Bottle</t>
  </si>
  <si>
    <t>BIRYANI ESSANCE BOTL</t>
  </si>
  <si>
    <t>Phool Badyan</t>
  </si>
  <si>
    <t>Dar Cheeni</t>
  </si>
  <si>
    <t>Tez Leaf</t>
  </si>
  <si>
    <t>Chat Masala Kg</t>
  </si>
  <si>
    <t>Cardamom (l) Kg</t>
  </si>
  <si>
    <t>gadi</t>
  </si>
  <si>
    <t>Seekh Kabab Masala</t>
  </si>
  <si>
    <t>Koyla Shopper</t>
  </si>
  <si>
    <t>Nestle LEMON powder JUICE 500gm</t>
  </si>
  <si>
    <t>Daal Mash</t>
  </si>
  <si>
    <t>Nihari Masala</t>
  </si>
  <si>
    <t>Fine Flour</t>
  </si>
  <si>
    <t>PCK</t>
  </si>
  <si>
    <t>PKT</t>
  </si>
  <si>
    <t>Zeera Powder Kg</t>
  </si>
  <si>
    <t>LTR</t>
  </si>
  <si>
    <t>Mutton Qorma</t>
  </si>
  <si>
    <t>Fish Hot Sauce</t>
  </si>
  <si>
    <t>Chicken Wings With Honey Sauce</t>
  </si>
  <si>
    <t>Alfredo Pasta</t>
  </si>
  <si>
    <t>ALFREDO PASTA PKT</t>
  </si>
  <si>
    <t>Oregano Pwd</t>
  </si>
  <si>
    <t>Chicken Nuggets</t>
  </si>
  <si>
    <t>Prawn Cashew Nut</t>
  </si>
  <si>
    <t>Small Prawn Raw</t>
  </si>
  <si>
    <t>Kajo Kg</t>
  </si>
  <si>
    <t>Lahori Fish</t>
  </si>
  <si>
    <t>White Chicken Karahi</t>
  </si>
  <si>
    <t>Mutton Aloo Gosht</t>
  </si>
  <si>
    <t>Mutton Bhindi Gosht</t>
  </si>
  <si>
    <t>Fish Cake</t>
  </si>
  <si>
    <t>Mutton Kunna</t>
  </si>
  <si>
    <t>Dagi Mirch Powder Kg</t>
  </si>
  <si>
    <t>Black Zeera</t>
  </si>
  <si>
    <t>Prawn Biryani</t>
  </si>
  <si>
    <t>Tiger Prawn Raw</t>
  </si>
  <si>
    <t>Chicken Finger</t>
  </si>
  <si>
    <t>Paneer Reshmi Handi (Chicken)</t>
  </si>
  <si>
    <t>Desi Ghee 1kg</t>
  </si>
  <si>
    <t>Puck Cheese</t>
  </si>
  <si>
    <t>Mutton Hunzai Kabab</t>
  </si>
  <si>
    <t>Irani Zafrani Butter Rice</t>
  </si>
  <si>
    <t>Chicken Achari Boti</t>
  </si>
  <si>
    <t>Chatni &amp; Sauces</t>
  </si>
  <si>
    <t>Side Dish</t>
  </si>
  <si>
    <t>Soup</t>
  </si>
  <si>
    <t>Appetizer</t>
  </si>
  <si>
    <t>Main Course</t>
  </si>
  <si>
    <t>BBQ</t>
  </si>
  <si>
    <t>Fried</t>
  </si>
  <si>
    <t>Gravy</t>
  </si>
  <si>
    <t>Rice</t>
  </si>
  <si>
    <t>Without Meat</t>
  </si>
  <si>
    <t>Roti &amp; Paratha</t>
  </si>
  <si>
    <t>Dessert</t>
  </si>
  <si>
    <t>Bakery</t>
  </si>
  <si>
    <t>Beverages</t>
  </si>
  <si>
    <t>Lassi</t>
  </si>
  <si>
    <t>Namkeen Lassi</t>
  </si>
  <si>
    <t>Fresh Juice</t>
  </si>
  <si>
    <t>Salad</t>
  </si>
  <si>
    <t>Halwa</t>
  </si>
  <si>
    <t>Fried &amp; Gravy</t>
  </si>
  <si>
    <t>With Meat</t>
  </si>
  <si>
    <t>Irani Koubida Kabab (Beef)</t>
  </si>
  <si>
    <t>Lahori Chop Cut (Mutton)</t>
  </si>
  <si>
    <t>Mutton Nalli Pulao</t>
  </si>
  <si>
    <t>Strawberry Juice</t>
  </si>
  <si>
    <t>Straw Berry</t>
  </si>
  <si>
    <t>Paratha</t>
  </si>
  <si>
    <t>Chaat Masala 100 gm</t>
  </si>
  <si>
    <t>Bali Soup</t>
  </si>
  <si>
    <t>Fresh Mushroom kg</t>
  </si>
  <si>
    <t>CHICKEN CUBES</t>
  </si>
  <si>
    <t>pcs</t>
  </si>
  <si>
    <t>Ratatoulle (Lauke, Loki)</t>
  </si>
  <si>
    <t>Kachumber Salad</t>
  </si>
  <si>
    <t>Apple Mix Fruit</t>
  </si>
  <si>
    <t>Apple Gaja</t>
  </si>
  <si>
    <t>Red Bean Kg</t>
  </si>
  <si>
    <t>Russian Salad</t>
  </si>
  <si>
    <t>Kachumber Raita</t>
  </si>
  <si>
    <t>Cabbage &amp; Carrot Salad</t>
  </si>
  <si>
    <t>Plum Chatni</t>
  </si>
  <si>
    <t>Green Chatni</t>
  </si>
  <si>
    <t>Imli Chatni</t>
  </si>
  <si>
    <t>Cold Drink Regular</t>
  </si>
  <si>
    <t>Mineral Water 500ml</t>
  </si>
  <si>
    <t>Mineral Water 500 Ml</t>
  </si>
  <si>
    <t>Crate</t>
  </si>
  <si>
    <t>Mineral Water 1.5 Ltr</t>
  </si>
  <si>
    <t>Mineral Water 1.5 Litre</t>
  </si>
  <si>
    <t>Plum Juice</t>
  </si>
  <si>
    <t>Green Tea</t>
  </si>
  <si>
    <t>Green Tea Bags</t>
  </si>
  <si>
    <t>Brown Suger Sachet.</t>
  </si>
  <si>
    <t>Coffee</t>
  </si>
  <si>
    <t>Everyday Milk Powder</t>
  </si>
  <si>
    <t>Nescafe 220gm Coffee</t>
  </si>
  <si>
    <t>Chicken Chowmien</t>
  </si>
  <si>
    <t>Spageti.</t>
  </si>
  <si>
    <t>Ice Cream</t>
  </si>
  <si>
    <t>Prawn Chilli With Sauce</t>
  </si>
  <si>
    <t>Chandan Kabab</t>
  </si>
  <si>
    <t>Puri</t>
  </si>
  <si>
    <t>Kachori</t>
  </si>
  <si>
    <t>PCS</t>
  </si>
  <si>
    <t>Daal Lobia</t>
  </si>
  <si>
    <t>Beef Kabab Fry</t>
  </si>
  <si>
    <t>Rabri Kheer</t>
  </si>
  <si>
    <t>blk</t>
  </si>
  <si>
    <t>Chana Curry</t>
  </si>
  <si>
    <t>BLK</t>
  </si>
  <si>
    <t>BTL</t>
  </si>
  <si>
    <t>Mutton Kabuli Pulao</t>
  </si>
  <si>
    <t>Daal Gosht (Mutton)</t>
  </si>
  <si>
    <t>Beef Kofta Curry</t>
  </si>
  <si>
    <t>Chicken Masala Curry</t>
  </si>
  <si>
    <t>Mutton Lemon Chop</t>
  </si>
  <si>
    <t>Aloo Bhujia</t>
  </si>
  <si>
    <t>Mutton Koyla Karahi</t>
  </si>
  <si>
    <t>Chicken Achari</t>
  </si>
  <si>
    <t>Gajar Ka Halwa</t>
  </si>
  <si>
    <t>Lachha Paratha</t>
  </si>
  <si>
    <t>Fresh Green Salad</t>
  </si>
  <si>
    <t>Fish Tempura</t>
  </si>
  <si>
    <t>Fish</t>
  </si>
  <si>
    <t>Chicken Chaska Karahi</t>
  </si>
  <si>
    <t>Chicken Lemon</t>
  </si>
  <si>
    <t>Chicken Black Pepper</t>
  </si>
  <si>
    <t>Fish Lahori</t>
  </si>
  <si>
    <t>Zarda</t>
  </si>
  <si>
    <t>SMALL</t>
  </si>
  <si>
    <t>Kari Pakora</t>
  </si>
  <si>
    <t>Chicken Behari Tikka</t>
  </si>
  <si>
    <t>Beef Stew</t>
  </si>
  <si>
    <t>Chicken Broast</t>
  </si>
  <si>
    <t>Mutton Grill Chops</t>
  </si>
  <si>
    <t>Beef Behari Boti</t>
  </si>
  <si>
    <t>Paneer Reshmi Handi</t>
  </si>
  <si>
    <t>Loki Ka Halwa</t>
  </si>
  <si>
    <t>Mutanjan</t>
  </si>
  <si>
    <t>Beef Ginger</t>
  </si>
  <si>
    <t>Mutton Paya</t>
  </si>
  <si>
    <t>Mutton Chargha Dasti</t>
  </si>
  <si>
    <t>Chicken Green Karahi</t>
  </si>
  <si>
    <t>Chicken Makhni</t>
  </si>
  <si>
    <t>Mutton Makhni</t>
  </si>
  <si>
    <t>Doodh Dulaari</t>
  </si>
  <si>
    <t>Fish Biscuits</t>
  </si>
  <si>
    <t>PACK</t>
  </si>
  <si>
    <t>Vermicelli Zarda</t>
  </si>
  <si>
    <t>Dry</t>
  </si>
  <si>
    <t>Milked</t>
  </si>
  <si>
    <t>Grilled</t>
  </si>
  <si>
    <t>Dish Type</t>
  </si>
  <si>
    <t>Bisco Ghee 16kg</t>
  </si>
  <si>
    <t>Walnut (akhrot)</t>
  </si>
  <si>
    <t>Vinegar Dittu Botl</t>
  </si>
  <si>
    <t>Cham Cham</t>
  </si>
  <si>
    <t>WHITE CHUNA POWDER</t>
  </si>
  <si>
    <t>Plate</t>
  </si>
  <si>
    <t>Chicken Vegetable Fried Rice</t>
  </si>
  <si>
    <t>Daal Masoor Lal</t>
  </si>
  <si>
    <t>Dar Cheeni Powder Kg</t>
  </si>
  <si>
    <t>Ice Block</t>
  </si>
  <si>
    <t>Vinegar Hainz Botl</t>
  </si>
  <si>
    <t>SHAN TIKKA MASALA PKT</t>
  </si>
  <si>
    <t>Kash Kash Seed</t>
  </si>
  <si>
    <t>Mutton Chops RAW</t>
  </si>
  <si>
    <t>Rasgulla</t>
  </si>
  <si>
    <t>Rabri</t>
  </si>
  <si>
    <t>Strawbery Jelly 80gm</t>
  </si>
  <si>
    <t>Rice Ata</t>
  </si>
  <si>
    <t>Sonf Seed</t>
  </si>
  <si>
    <t>Sount (Sukha adrak kg</t>
  </si>
  <si>
    <t>TEMPURA PKT</t>
  </si>
  <si>
    <t>S. #</t>
  </si>
  <si>
    <t>Dish Category</t>
  </si>
  <si>
    <t>No Of Count</t>
  </si>
  <si>
    <t>Category Wise Summary</t>
  </si>
  <si>
    <t>Dish UOM</t>
  </si>
  <si>
    <t>Cup</t>
  </si>
  <si>
    <t>Glass</t>
  </si>
  <si>
    <t>Bowl</t>
  </si>
  <si>
    <t>Inner</t>
  </si>
  <si>
    <t>Meat Type</t>
  </si>
  <si>
    <t>Chicken Boneless</t>
  </si>
  <si>
    <t>Beef Boneless</t>
  </si>
  <si>
    <t>Chicken Bone In</t>
  </si>
  <si>
    <t>Prawn</t>
  </si>
  <si>
    <t>Mutton Palak Gosht</t>
  </si>
  <si>
    <t>Beef Palak Gosht</t>
  </si>
  <si>
    <t>Manto</t>
  </si>
  <si>
    <t>Tabouleh</t>
  </si>
  <si>
    <t>Parsley</t>
  </si>
  <si>
    <t>Baba Ganoush</t>
  </si>
  <si>
    <t>Turkish Salad</t>
  </si>
  <si>
    <t>Anar Sauce</t>
  </si>
  <si>
    <t>Quaker Porridge Tin</t>
  </si>
  <si>
    <t>Capsium Imported</t>
  </si>
  <si>
    <t>Mutton Seekh Kabab</t>
  </si>
  <si>
    <t>Mutton Boneless</t>
  </si>
  <si>
    <t>Cold Canapies</t>
  </si>
  <si>
    <t>Cherry</t>
  </si>
  <si>
    <t>Tin</t>
  </si>
  <si>
    <t>Bot</t>
  </si>
  <si>
    <t>Ceasar Salad</t>
  </si>
  <si>
    <t>Tabasco Sauce</t>
  </si>
  <si>
    <t>Mutton Achar Gosht</t>
  </si>
  <si>
    <t>Chicken Kg</t>
  </si>
  <si>
    <t>Mutton Fat</t>
  </si>
  <si>
    <t>Mutton Cube</t>
  </si>
  <si>
    <t>Mutton Leg</t>
  </si>
  <si>
    <t>Beef Cube</t>
  </si>
  <si>
    <t>Tray</t>
  </si>
  <si>
    <t>Fruit Custard</t>
  </si>
  <si>
    <t>Tea Doodh Patti</t>
  </si>
  <si>
    <t>Box</t>
  </si>
  <si>
    <t>Doz</t>
  </si>
  <si>
    <t>Mutton Dasti</t>
  </si>
  <si>
    <t>Naan</t>
  </si>
  <si>
    <t>Chicken Pulao</t>
  </si>
  <si>
    <t>Beef Pulao</t>
  </si>
  <si>
    <t>Mutton Pulao</t>
  </si>
  <si>
    <t>Beef Aloo Gosht</t>
  </si>
  <si>
    <t>Fresh Fruit</t>
  </si>
  <si>
    <t>Bhindi Ki Bhujia</t>
  </si>
  <si>
    <t>Vegetable Fried Rice</t>
  </si>
  <si>
    <t>Daal Moong</t>
  </si>
  <si>
    <t>Daal Chana Fry</t>
  </si>
  <si>
    <t>Beef Aloo Qeema</t>
  </si>
  <si>
    <t>Loki Ki Bhujia</t>
  </si>
  <si>
    <t>Mutton Adana Kabab (Turkish)</t>
  </si>
  <si>
    <t>Turkish Lentil</t>
  </si>
  <si>
    <t>Turkish Rice</t>
  </si>
  <si>
    <t>Garlic Naan</t>
  </si>
  <si>
    <t>Baking Powder</t>
  </si>
  <si>
    <t>Kunafa</t>
  </si>
  <si>
    <t>Honey 500ml</t>
  </si>
  <si>
    <t>Vanilla Essance (large)</t>
  </si>
  <si>
    <t>BBQ Sauce</t>
  </si>
  <si>
    <t>Brown Sugar Kg</t>
  </si>
  <si>
    <t>Dahi Koonday</t>
  </si>
  <si>
    <t>Mint Chatni</t>
  </si>
  <si>
    <t>Persian Zereshk Pulao</t>
  </si>
  <si>
    <t>Persian Daal Adas-Red</t>
  </si>
  <si>
    <t>Persian Olivieh Salad</t>
  </si>
  <si>
    <t>Basbousa</t>
  </si>
  <si>
    <t>Garlic Rice</t>
  </si>
  <si>
    <t>Crackers</t>
  </si>
  <si>
    <t>Fish Crackers</t>
  </si>
  <si>
    <t>Chicken Changezi</t>
  </si>
  <si>
    <t>Butter Rice</t>
  </si>
  <si>
    <t>Shahi Tukray</t>
  </si>
  <si>
    <t>Slice</t>
  </si>
  <si>
    <t>Chicken Moroccan Steak</t>
  </si>
  <si>
    <t>Moroccan Vegetable Tagine </t>
  </si>
  <si>
    <t>Moroccan Taktouka Salad</t>
  </si>
  <si>
    <t>Steak Sauce</t>
  </si>
  <si>
    <t>Baked Fish</t>
  </si>
  <si>
    <t>Peri Peri Sauce</t>
  </si>
  <si>
    <t>Baked Meditarranean Vegetables</t>
  </si>
  <si>
    <t>Beasal Leaf</t>
  </si>
  <si>
    <t>Tarter Sauce</t>
  </si>
  <si>
    <t>Nutty Cherry</t>
  </si>
  <si>
    <t>Porage Kg</t>
  </si>
  <si>
    <t>Choco Corn Flak Pkt</t>
  </si>
  <si>
    <t>Potato Croquettes</t>
  </si>
  <si>
    <t>Chicken White Biryani</t>
  </si>
  <si>
    <t>Biryani Essence</t>
  </si>
  <si>
    <t>Ice Cream Falooda</t>
  </si>
  <si>
    <t>Tukh Malanga Kg</t>
  </si>
  <si>
    <t>BANANA JELLY-80GMS</t>
  </si>
  <si>
    <t>Chicken Dumplings</t>
  </si>
  <si>
    <t>Lebanese Chickpeas Stew</t>
  </si>
  <si>
    <t>Baklava</t>
  </si>
  <si>
    <t>24 Pcs</t>
  </si>
  <si>
    <t>Kimchi Beef</t>
  </si>
  <si>
    <t>Vegetable Chowmien</t>
  </si>
  <si>
    <t>Chicken Shawarma</t>
  </si>
  <si>
    <t>Pita Bread</t>
  </si>
  <si>
    <t>Steamed Masala Corn</t>
  </si>
  <si>
    <t>Eclairs</t>
  </si>
  <si>
    <t>140 Pcs</t>
  </si>
  <si>
    <t>ICING SUGAR 300 GM PKT</t>
  </si>
  <si>
    <t>Pancake Syrup</t>
  </si>
  <si>
    <t>Azeri Kabab (Mutton)</t>
  </si>
  <si>
    <t>Ras Malai</t>
  </si>
  <si>
    <t>Gulab Jaman</t>
  </si>
  <si>
    <t>Lebanese Boti Chicken</t>
  </si>
  <si>
    <t>Plain Rice</t>
  </si>
  <si>
    <t>12 Pcs</t>
  </si>
  <si>
    <t>Singaporean Rice Chicken</t>
  </si>
  <si>
    <t>Chilli Garlic - 1 Kg</t>
  </si>
  <si>
    <t>Vegetable Dumplings</t>
  </si>
  <si>
    <t>10 Pax</t>
  </si>
  <si>
    <t>Dumpling Sauce</t>
  </si>
  <si>
    <t>Mutton Shorba</t>
  </si>
  <si>
    <t>Daal Malka Masoor</t>
  </si>
  <si>
    <t>Chicken Raseeli Biryani</t>
  </si>
  <si>
    <t>Hyderabadi Khatti Daal</t>
  </si>
  <si>
    <t>Mint Rice</t>
  </si>
  <si>
    <t>Kohlapuri Vegetable</t>
  </si>
  <si>
    <t>Methi Dana Pkt</t>
  </si>
  <si>
    <t>Aloo Matar Pulao</t>
  </si>
  <si>
    <t>Chicken Zafrani Biryani</t>
  </si>
  <si>
    <t>Lemon Cuts</t>
  </si>
  <si>
    <t>Daal Chana Loki</t>
  </si>
  <si>
    <t>Chicken Gola Kabab</t>
  </si>
  <si>
    <t>Ketchup</t>
  </si>
  <si>
    <t>Tres Leches Cake</t>
  </si>
  <si>
    <t>Chicken Potato Cutlets</t>
  </si>
  <si>
    <t>Chicken Palak Gosht</t>
  </si>
  <si>
    <t>Chicken Palak Koftay</t>
  </si>
  <si>
    <t>Singaporean Rice</t>
  </si>
  <si>
    <t>Bun Kabab</t>
  </si>
  <si>
    <t>Bun</t>
  </si>
  <si>
    <t>Eclairs Fermento</t>
  </si>
  <si>
    <t>Chicken Shorba</t>
  </si>
  <si>
    <t>Chicken Meditarrenean Wrap</t>
  </si>
  <si>
    <t>Jam</t>
  </si>
  <si>
    <t>Orenge Jam</t>
  </si>
  <si>
    <t>Butter</t>
  </si>
  <si>
    <t>Juice</t>
  </si>
  <si>
    <t>Pineapple juice</t>
  </si>
  <si>
    <t>Red Bean Curry</t>
  </si>
  <si>
    <t>Chicken Sandwich</t>
  </si>
  <si>
    <t>Vegetable Sandwich</t>
  </si>
  <si>
    <t>Chicken Shami Kabab</t>
  </si>
  <si>
    <t>Zeera Rice</t>
  </si>
  <si>
    <t>Potato Cutlets</t>
  </si>
  <si>
    <t>2 Pcs</t>
  </si>
  <si>
    <t>Fried Salted Chilli &amp; Chicken</t>
  </si>
  <si>
    <t xml:space="preserve">Heathy Detox Drink </t>
  </si>
  <si>
    <t>Detox Drink</t>
  </si>
  <si>
    <t>Egg Sandwich</t>
  </si>
  <si>
    <t>Mexican Dozer Burger</t>
  </si>
  <si>
    <t>Chana Chaat</t>
  </si>
  <si>
    <t>1 Person</t>
  </si>
  <si>
    <t>Chicken Cheese Paratha</t>
  </si>
  <si>
    <t>Cheder Chesse Kg</t>
  </si>
  <si>
    <t>Anda Chana</t>
  </si>
  <si>
    <t>Turkish Chickpeas Pulao</t>
  </si>
  <si>
    <t>Egg Potato Curry</t>
  </si>
  <si>
    <t>4 Eggs</t>
  </si>
  <si>
    <t>Singaporean Cucumber Salad</t>
  </si>
  <si>
    <t>Orange (kino)</t>
  </si>
  <si>
    <t>Italian Baked Chicken &amp; Potato</t>
  </si>
  <si>
    <t>Wonton</t>
  </si>
  <si>
    <t>Fried Salted Chilli</t>
  </si>
  <si>
    <t>Beef Dhuwan Gosht</t>
  </si>
  <si>
    <t>Mutton Dhuwan Gosht</t>
  </si>
  <si>
    <t>Turkish Kabab Chicken</t>
  </si>
  <si>
    <t>Mediterranean Salad</t>
  </si>
  <si>
    <t>Chicken BBQ Rice</t>
  </si>
  <si>
    <t>Aloo Ki Tarkaari</t>
  </si>
  <si>
    <t>Anda Ghotala</t>
  </si>
  <si>
    <t>2 Pax</t>
  </si>
  <si>
    <t>Aloo Ka Paratha</t>
  </si>
  <si>
    <t>Chicken Peshawari Karahi</t>
  </si>
  <si>
    <t>Bhagaray Baingan</t>
  </si>
  <si>
    <t>Fried Okra</t>
  </si>
  <si>
    <t>Chicken Jalapeno Burger</t>
  </si>
  <si>
    <t>Jalapino Slice Tin</t>
  </si>
  <si>
    <t>Thai Noodles</t>
  </si>
  <si>
    <t>Pasta Riggia Pkt</t>
  </si>
  <si>
    <t>Ice Cream Ltr</t>
  </si>
  <si>
    <t>Kulfi Falooda</t>
  </si>
  <si>
    <t>Cold Drink Tin</t>
  </si>
  <si>
    <t>Beef Afghani Boti</t>
  </si>
  <si>
    <t>Mutton Afghani Boti</t>
  </si>
  <si>
    <t>Tres Leches Cake (Fermento)</t>
  </si>
  <si>
    <t>25 Pax</t>
  </si>
  <si>
    <t>Shahi Paneer</t>
  </si>
  <si>
    <t>Char Maghaz Kg</t>
  </si>
  <si>
    <t>5 Pax</t>
  </si>
  <si>
    <t>Shahi Daal</t>
  </si>
  <si>
    <t>15 ml</t>
  </si>
  <si>
    <t>3 tsp</t>
  </si>
  <si>
    <t>1 Tbsp</t>
  </si>
  <si>
    <t>1/2 oz</t>
  </si>
  <si>
    <t>1/16 cup</t>
  </si>
  <si>
    <t>30 ml</t>
  </si>
  <si>
    <t>6 tsp</t>
  </si>
  <si>
    <t>2 Tbsp</t>
  </si>
  <si>
    <t>1 oz</t>
  </si>
  <si>
    <t>1/8 cup</t>
  </si>
  <si>
    <t>59 ml</t>
  </si>
  <si>
    <t>12 tsp</t>
  </si>
  <si>
    <t>4 Tbsp</t>
  </si>
  <si>
    <t>2 oz</t>
  </si>
  <si>
    <t>1/4 cup</t>
  </si>
  <si>
    <t>79 ml</t>
  </si>
  <si>
    <t>16 tsp</t>
  </si>
  <si>
    <t>5.3 Tbsp</t>
  </si>
  <si>
    <t>2 2/3 oz</t>
  </si>
  <si>
    <t>1/3 cup</t>
  </si>
  <si>
    <t>118 ml</t>
  </si>
  <si>
    <t>24 tsp</t>
  </si>
  <si>
    <t>8 Tbsp</t>
  </si>
  <si>
    <t>4 oz</t>
  </si>
  <si>
    <t>1/2 cup</t>
  </si>
  <si>
    <t>158 ml</t>
  </si>
  <si>
    <t>32 tsp</t>
  </si>
  <si>
    <t>10.6 Tbsp</t>
  </si>
  <si>
    <t>5 1/3 oz</t>
  </si>
  <si>
    <t>2/3 cup</t>
  </si>
  <si>
    <t>177 ml</t>
  </si>
  <si>
    <t>36 tsp</t>
  </si>
  <si>
    <t>12 Tbsp</t>
  </si>
  <si>
    <t>6 oz</t>
  </si>
  <si>
    <t>3/4 cup</t>
  </si>
  <si>
    <t>237 ml</t>
  </si>
  <si>
    <t>48 tsp</t>
  </si>
  <si>
    <t>16 Tbsp</t>
  </si>
  <si>
    <t>8 oz</t>
  </si>
  <si>
    <t>1 cup</t>
  </si>
  <si>
    <t>Milliliter</t>
  </si>
  <si>
    <t>TSP</t>
  </si>
  <si>
    <t>TBSP</t>
  </si>
  <si>
    <t>Fluid Ounce</t>
  </si>
  <si>
    <t>3.6 oz</t>
  </si>
  <si>
    <t>100 grams</t>
  </si>
  <si>
    <t>1 cup oatmeal</t>
  </si>
  <si>
    <t>340 grams</t>
  </si>
  <si>
    <t>Honey</t>
  </si>
  <si>
    <t>4.1 oz</t>
  </si>
  <si>
    <t>115 grams</t>
  </si>
  <si>
    <t>1 cup powdered sugar</t>
  </si>
  <si>
    <t>7.8 oz</t>
  </si>
  <si>
    <t>220 grams</t>
  </si>
  <si>
    <t>1 cup brown sugar</t>
  </si>
  <si>
    <t>180 grams</t>
  </si>
  <si>
    <t>1 cup Olives</t>
  </si>
  <si>
    <t>240 grams</t>
  </si>
  <si>
    <t>1 cup Butter</t>
  </si>
  <si>
    <t>120 grams</t>
  </si>
  <si>
    <t>1 Cup Cheese Cheddar</t>
  </si>
  <si>
    <t>7.1 oz</t>
  </si>
  <si>
    <t>200 grams</t>
  </si>
  <si>
    <t>1 cup sugar</t>
  </si>
  <si>
    <t>174 grams</t>
  </si>
  <si>
    <t>Chicken Breast Weight</t>
  </si>
  <si>
    <t>8.6 oz</t>
  </si>
  <si>
    <t>1 cup Yogurt</t>
  </si>
  <si>
    <t>14 grams</t>
  </si>
  <si>
    <t>Garlic Clove</t>
  </si>
  <si>
    <t>1 Cup Raw Rice</t>
  </si>
  <si>
    <t>300 grams</t>
  </si>
  <si>
    <t>Cucumber 1 pcs</t>
  </si>
  <si>
    <t>166 grams</t>
  </si>
  <si>
    <t>1 Cup Chickpeas</t>
  </si>
  <si>
    <t>150 grams</t>
  </si>
  <si>
    <t>Potato Medium</t>
  </si>
  <si>
    <t>52 grams</t>
  </si>
  <si>
    <t>1 Cup Chopped Onion</t>
  </si>
  <si>
    <t>90 grams</t>
  </si>
  <si>
    <t>Tomato Small</t>
  </si>
  <si>
    <t>225 grams</t>
  </si>
  <si>
    <t>1 cup Oil</t>
  </si>
  <si>
    <t>Tomato Medium</t>
  </si>
  <si>
    <t>1 cup whole milk</t>
  </si>
  <si>
    <t>Tomato Large</t>
  </si>
  <si>
    <t>3.9 oz</t>
  </si>
  <si>
    <t>112 grams</t>
  </si>
  <si>
    <t>1 cup almond flour</t>
  </si>
  <si>
    <t>125 grams</t>
  </si>
  <si>
    <t>Small Onion</t>
  </si>
  <si>
    <t>4.6 oz</t>
  </si>
  <si>
    <t>130 grams</t>
  </si>
  <si>
    <t>1 cup whole wheat flour</t>
  </si>
  <si>
    <t>150-170 Grams</t>
  </si>
  <si>
    <t>Medium Onion</t>
  </si>
  <si>
    <t>4.2 oz</t>
  </si>
  <si>
    <t>1 cup flour</t>
  </si>
  <si>
    <t>Anda Cut</t>
  </si>
  <si>
    <t>6 Eggs</t>
  </si>
  <si>
    <t>ROLL PATTI</t>
  </si>
  <si>
    <t>Spring Roll</t>
  </si>
  <si>
    <t>1 Cup Spring Onion</t>
  </si>
  <si>
    <t>104 grams</t>
  </si>
  <si>
    <t>Turkish Shepherd's Salad</t>
  </si>
  <si>
    <t>Fruit Delight</t>
  </si>
  <si>
    <t>Vanila Essence</t>
  </si>
  <si>
    <t>1 Cup Vermicelli</t>
  </si>
  <si>
    <t>230 grams</t>
  </si>
  <si>
    <t>Bhindi Masala</t>
  </si>
  <si>
    <t>Mutton Shinwari Karahi</t>
  </si>
  <si>
    <t>Aloo Chana Tarkari</t>
  </si>
  <si>
    <t>Total Dishes</t>
  </si>
  <si>
    <t>Chicken Moti Biryani</t>
  </si>
  <si>
    <t>Murgh Cholay</t>
  </si>
  <si>
    <t>Green Beans With Potatoes</t>
  </si>
  <si>
    <t>4 pax</t>
  </si>
  <si>
    <t>French Beans</t>
  </si>
  <si>
    <t>Achar Kg</t>
  </si>
  <si>
    <t>Daal</t>
  </si>
  <si>
    <t>Vegetable</t>
  </si>
  <si>
    <t>Chicken Qeema</t>
  </si>
  <si>
    <t>Nestle Juice 200ml</t>
  </si>
  <si>
    <t>Black Olives Small 340 gm</t>
  </si>
  <si>
    <t>Milk pak (1.5ltr)</t>
  </si>
  <si>
    <t>Papita</t>
  </si>
  <si>
    <t>White Bean Kg</t>
  </si>
  <si>
    <t>Nurpur Butter White 1 kg</t>
  </si>
  <si>
    <t>Chicken Dhuwan Gosht</t>
  </si>
  <si>
    <t>White Rice</t>
  </si>
  <si>
    <t>Aloo Tarkari</t>
  </si>
  <si>
    <t>Mix Daal</t>
  </si>
  <si>
    <t>Nurpur Butter 200grm</t>
  </si>
  <si>
    <t>Assorted Cereals With Milk</t>
  </si>
  <si>
    <t>Cereals</t>
  </si>
  <si>
    <t>Chicken Black Pepper Karahi</t>
  </si>
  <si>
    <t>Brown Rice</t>
  </si>
  <si>
    <t>Beef Behari Gosht</t>
  </si>
  <si>
    <t>Chicken Mughlai Qorma</t>
  </si>
  <si>
    <t>White Lobia</t>
  </si>
  <si>
    <t>Chicken Mughlai</t>
  </si>
  <si>
    <t>Daal Samosa</t>
  </si>
  <si>
    <t>Chicken Tandoori Masala</t>
  </si>
  <si>
    <t>Chicken Sajji</t>
  </si>
  <si>
    <t>Chicken Aloo Gosht</t>
  </si>
  <si>
    <t>Aloo Palak</t>
  </si>
  <si>
    <t>Chicken Behari Gravy</t>
  </si>
  <si>
    <t>Chicken Do Pyaza</t>
  </si>
  <si>
    <t>Beef Do Pyaza</t>
  </si>
  <si>
    <t>Site Items</t>
  </si>
  <si>
    <t>SUGAR</t>
  </si>
  <si>
    <t>CHICKEN BONELESS</t>
  </si>
  <si>
    <t>SWEET SODA</t>
  </si>
  <si>
    <t>BEEF BONELESS</t>
  </si>
  <si>
    <t>MUSTARD PASTE</t>
  </si>
  <si>
    <t>CORN FLOUR</t>
  </si>
  <si>
    <t>MUTTON BONELESS</t>
  </si>
  <si>
    <t>MUTTON CUBE</t>
  </si>
  <si>
    <t>BEEF CUBE</t>
  </si>
  <si>
    <t>CHILLI SAUCE 750ML</t>
  </si>
  <si>
    <t>ROOH AFZA</t>
  </si>
  <si>
    <t>BLACK SALT</t>
  </si>
  <si>
    <t>NIHARI MASALA</t>
  </si>
  <si>
    <t>CHICKEN WINGS</t>
  </si>
  <si>
    <t>BLACK ZEERA</t>
  </si>
  <si>
    <t>MUTTON PAYA</t>
  </si>
  <si>
    <t>ICE CREAM</t>
  </si>
  <si>
    <t>PITA BREAD</t>
  </si>
  <si>
    <t>CHAM CHAM</t>
  </si>
  <si>
    <t>RED CHILLI CRUSH</t>
  </si>
  <si>
    <t>CARAWAY SEED (KALONJI)</t>
  </si>
  <si>
    <t>MILK CREAM 200ML</t>
  </si>
  <si>
    <t>COOKING OIL 16LTR</t>
  </si>
  <si>
    <t>COOKING SALT 800GM</t>
  </si>
  <si>
    <t>EGGS</t>
  </si>
  <si>
    <t>CUMIN SEED WHITE</t>
  </si>
  <si>
    <t>RED CHILLI WHOLE</t>
  </si>
  <si>
    <t>COCONUT PWD</t>
  </si>
  <si>
    <t>NUTMEG WHOLE (JAIFAL)</t>
  </si>
  <si>
    <t>KACHRI PWD</t>
  </si>
  <si>
    <t>GARAM MASALA</t>
  </si>
  <si>
    <t>FAT (CHARBI)</t>
  </si>
  <si>
    <t>MACE (JAWETRI)</t>
  </si>
  <si>
    <t>TOMATO KETCHUP 5KG</t>
  </si>
  <si>
    <t>BLACK PEPPER WHOLE</t>
  </si>
  <si>
    <t>BUTTER 1 KG</t>
  </si>
  <si>
    <t>MAIDA</t>
  </si>
  <si>
    <t>RED CHILLI PWD</t>
  </si>
  <si>
    <t>OLIVE OIL</t>
  </si>
  <si>
    <t>H.P SAUCE 255GM</t>
  </si>
  <si>
    <t>CORIANDER WHOLE</t>
  </si>
  <si>
    <t>CHEESE CHEDDAR 2KG</t>
  </si>
  <si>
    <t>WHITE PEPPER PWD</t>
  </si>
  <si>
    <t>ZARDA COLOR</t>
  </si>
  <si>
    <t>VINEGAR 750ML</t>
  </si>
  <si>
    <t>BAISON LOCAL</t>
  </si>
  <si>
    <t>IMLI</t>
  </si>
  <si>
    <t>SWEET CORN</t>
  </si>
  <si>
    <t>QASURI METHI 200GM</t>
  </si>
  <si>
    <t>CHICKEN PWD 1000GM</t>
  </si>
  <si>
    <t>TURMERIC PWD 1000GM</t>
  </si>
  <si>
    <t>PEANUT</t>
  </si>
  <si>
    <t>BLACK PEPPER PWD</t>
  </si>
  <si>
    <t>SOYA SAUCE 750ML</t>
  </si>
  <si>
    <t>RICE SAILA</t>
  </si>
  <si>
    <t>CHEESE SLICE 800GM</t>
  </si>
  <si>
    <t>KASHMIRI CHILLI WHOLE</t>
  </si>
  <si>
    <t>CUMMIN SEED PWD</t>
  </si>
  <si>
    <t>MAYONNAISE 2KG</t>
  </si>
  <si>
    <t>OLIVE BLACK 450GM</t>
  </si>
  <si>
    <t>MUSTARD PWD 100GM</t>
  </si>
  <si>
    <t>RAISON BLACK</t>
  </si>
  <si>
    <t>ALMOND</t>
  </si>
  <si>
    <t>APPLE GOLDEN</t>
  </si>
  <si>
    <t>MUTTON RIBS/CHOPS</t>
  </si>
  <si>
    <t>CORIANDER POWDER</t>
  </si>
  <si>
    <t>CHEESE COTTAGE 200GM</t>
  </si>
  <si>
    <t>PRAWN</t>
  </si>
  <si>
    <t>FOOD COLOUR 28ML</t>
  </si>
  <si>
    <t>CHEESE MOZZARELLA 2KG</t>
  </si>
  <si>
    <t>BREAD CRUMB</t>
  </si>
  <si>
    <t>MINERAL WATER 19LTR</t>
  </si>
  <si>
    <t>SESAME SEED (TIL)</t>
  </si>
  <si>
    <t>AATA FINE</t>
  </si>
  <si>
    <t>EVERYDAY MILK PWD 2KG</t>
  </si>
  <si>
    <t>YEAST 220GM</t>
  </si>
  <si>
    <t>FRUIT COCKTAIL 835GM</t>
  </si>
  <si>
    <t>PINEAPPLE SLICE 565GM</t>
  </si>
  <si>
    <t>ASHRAFI MURABBA</t>
  </si>
  <si>
    <t>CONDENSED MILK 397GM</t>
  </si>
  <si>
    <t>GELATINE PWD 50GM</t>
  </si>
  <si>
    <t>SEMOLINA (SUJI)</t>
  </si>
  <si>
    <t>COCOA PWD 100GM</t>
  </si>
  <si>
    <t>MILK OLPER'S 1LTR</t>
  </si>
  <si>
    <t>CUSTARD VANILLA 300GM</t>
  </si>
  <si>
    <t>CARDAMOM GREEN</t>
  </si>
  <si>
    <t>PISTACHIO</t>
  </si>
  <si>
    <t>LASSA KHOYA</t>
  </si>
  <si>
    <t>VERMICELLI 100GM</t>
  </si>
  <si>
    <t>VERMICELLI COLORED 400GM</t>
  </si>
  <si>
    <t>ICING SUGAR KG</t>
  </si>
  <si>
    <t>TEA LOOSE 1900GM</t>
  </si>
  <si>
    <t>CHICK PEAS WHITE 12MM</t>
  </si>
  <si>
    <t>CHAT MASALA 1KG</t>
  </si>
  <si>
    <t>RAISON</t>
  </si>
  <si>
    <t>ANISE SEED</t>
  </si>
  <si>
    <t>ROH-E-KEWRA 800ML</t>
  </si>
  <si>
    <t>BROWN ONION 500GM</t>
  </si>
  <si>
    <t>CINNAMON STICK</t>
  </si>
  <si>
    <t>BAY LEAVES</t>
  </si>
  <si>
    <t>YOGURT</t>
  </si>
  <si>
    <t>CARDAMOM BLACK</t>
  </si>
  <si>
    <t>TIKKA MASALA KG</t>
  </si>
  <si>
    <t>CHARCOAL</t>
  </si>
  <si>
    <t>WHEAT WHOLE</t>
  </si>
  <si>
    <t>DAAL CHANA</t>
  </si>
  <si>
    <t>DAAL MOONG</t>
  </si>
  <si>
    <t>DAAL MASOOR WHOLE</t>
  </si>
  <si>
    <t>DAAL MASH</t>
  </si>
  <si>
    <t>HONEY YOUNGS 250GM</t>
  </si>
  <si>
    <t>CASHEW NUT (KAJU)</t>
  </si>
  <si>
    <t>RED CHILLI PWD KG</t>
  </si>
  <si>
    <t>DESI GHEE</t>
  </si>
  <si>
    <t>MIX PICKLE 400GM</t>
  </si>
  <si>
    <t>MUSHROOM</t>
  </si>
  <si>
    <t>KNORR CHICKEN CUBES 24PCS</t>
  </si>
  <si>
    <t>RED KIDNEY BEANS</t>
  </si>
  <si>
    <t>ASSORTED SOFT DRINKS</t>
  </si>
  <si>
    <t>MINERAL WATER 500ML</t>
  </si>
  <si>
    <t>MINERAL WATER 1.5LTR</t>
  </si>
  <si>
    <t>GREEN TEA BAGS 100PCS</t>
  </si>
  <si>
    <t>BROWN SUGAR 300GM</t>
  </si>
  <si>
    <t>COFFEE 200GM</t>
  </si>
  <si>
    <t>SPAGHETTI 450GM</t>
  </si>
  <si>
    <t>STAR ANISE</t>
  </si>
  <si>
    <t>CLOVE</t>
  </si>
  <si>
    <t>DAAL MASOOR RED</t>
  </si>
  <si>
    <t>MACRONI ASSORTED 400GM</t>
  </si>
  <si>
    <t>WHEAT PORRIDGE</t>
  </si>
  <si>
    <t>BREAD LARGE WHITE</t>
  </si>
  <si>
    <t>RED CHERRY KG</t>
  </si>
  <si>
    <t>BAKING PWD 100GM</t>
  </si>
  <si>
    <t>CORNFLAKES 250GM</t>
  </si>
  <si>
    <t>JELLY ASSORTED</t>
  </si>
  <si>
    <t>ASSORTED TOPPING SYRUP</t>
  </si>
  <si>
    <t>CHILLI GARLIC SAUCE 5KG</t>
  </si>
  <si>
    <t>BURGER BUN</t>
  </si>
  <si>
    <t>ASSORTED JAM</t>
  </si>
  <si>
    <t>ASSORTED NESTLE JUICE 1LTR</t>
  </si>
  <si>
    <t>ASSORTED NESTLE JUICE 200ML</t>
  </si>
  <si>
    <t>BUTTER 200GM</t>
  </si>
  <si>
    <t>FUJI MUESLI 250GM</t>
  </si>
  <si>
    <t>BLACK EYE BEANS</t>
  </si>
  <si>
    <t>Honey - Jam - Butter</t>
  </si>
  <si>
    <t>AATA CHAKKI</t>
  </si>
  <si>
    <t>Apple</t>
  </si>
  <si>
    <t>Garlic Bread</t>
  </si>
  <si>
    <t>6 Pax</t>
  </si>
  <si>
    <t>Chicken Mayo Roll</t>
  </si>
  <si>
    <t>Maida</t>
  </si>
  <si>
    <t>1 Cup Mayonnaise</t>
  </si>
  <si>
    <t>Chicken Alfredo Pasta</t>
  </si>
  <si>
    <t>Beef Kofta Chana</t>
  </si>
  <si>
    <t>Sausages</t>
  </si>
  <si>
    <t>Fast Food</t>
  </si>
  <si>
    <t>Aloo Paratha</t>
  </si>
  <si>
    <t>Chicken Paratha</t>
  </si>
  <si>
    <t>Cold Drink</t>
  </si>
  <si>
    <t>Water</t>
  </si>
  <si>
    <t>Hot Beverage</t>
  </si>
  <si>
    <t>Nestle Juice 250ml</t>
  </si>
  <si>
    <t>Mix Tea</t>
  </si>
  <si>
    <t>Breakfast Item</t>
  </si>
  <si>
    <t>Daal / Chana</t>
  </si>
  <si>
    <t>Chaat</t>
  </si>
  <si>
    <t>Kulfi</t>
  </si>
  <si>
    <t>Nestle Juice 1 Ltr</t>
  </si>
  <si>
    <t>20 Eggs</t>
  </si>
  <si>
    <t>Average Rates</t>
  </si>
  <si>
    <t>Ice Cream 9 Ltr</t>
  </si>
  <si>
    <t>Ice Cream 9 ltr</t>
  </si>
  <si>
    <t>Cracker</t>
  </si>
  <si>
    <t>Rates</t>
  </si>
  <si>
    <t>Site Rates</t>
  </si>
  <si>
    <t>Aloo Ki Tahari</t>
  </si>
  <si>
    <t>Chana Pulao</t>
  </si>
  <si>
    <t>Sun Dried Tomato Salad</t>
  </si>
  <si>
    <t>Bell Pepper 1 Pcs</t>
  </si>
  <si>
    <t>Sun Dried Tomatoes</t>
  </si>
  <si>
    <t>1 cup Vinegar</t>
  </si>
  <si>
    <t>Beef Tacos</t>
  </si>
  <si>
    <t>Corn Tortilla</t>
  </si>
  <si>
    <t>Mutton Ginger</t>
  </si>
  <si>
    <t>Fish With Lemon Butter Sauce</t>
  </si>
  <si>
    <t>BBQ Rates</t>
  </si>
  <si>
    <t>Meat Rates</t>
  </si>
  <si>
    <t>Making KHI</t>
  </si>
  <si>
    <t>Baked Chicken With Butter &amp; Lemon</t>
  </si>
  <si>
    <t>Butter Tablespoon</t>
  </si>
  <si>
    <t>1 Cup Lemon Juice</t>
  </si>
  <si>
    <t>Review Frequency</t>
  </si>
  <si>
    <t>SITE</t>
  </si>
  <si>
    <t>MANGO SINDHRI</t>
  </si>
  <si>
    <t>Milk- Litre 1.5 Olper</t>
  </si>
  <si>
    <t>Mango Shake</t>
  </si>
  <si>
    <t>Shakes</t>
  </si>
  <si>
    <t>BANANA</t>
  </si>
  <si>
    <t>Banana Shake</t>
  </si>
  <si>
    <t>Aloo Matar Curry</t>
  </si>
  <si>
    <t>Garlic Butter Baked Chicken (Bone)</t>
  </si>
  <si>
    <t>Chicken Baked BBQ Masala</t>
  </si>
  <si>
    <t>Worcestershire Sauce</t>
  </si>
  <si>
    <t>Mutton White Karahi</t>
  </si>
  <si>
    <t>Lebanese Baked Chicken (Bone)</t>
  </si>
  <si>
    <t>Garlic Powder</t>
  </si>
  <si>
    <t>Mutton White Biryani</t>
  </si>
  <si>
    <t>Mutton Loki Gosht</t>
  </si>
  <si>
    <t>Mutton Arvi Gosht</t>
  </si>
  <si>
    <t>Chicken Tarragon Steak</t>
  </si>
  <si>
    <t>Bengan Ka Bharta</t>
  </si>
  <si>
    <t>Mutton Lemon &amp; Black Pepper</t>
  </si>
  <si>
    <t>Chicken Lasagna</t>
  </si>
  <si>
    <t>Lasagna Sheets</t>
  </si>
  <si>
    <t>Mutton Steam Roast</t>
  </si>
  <si>
    <t>Stir Fry Chicken</t>
  </si>
  <si>
    <t>Capsicum Red</t>
  </si>
  <si>
    <t>Broccoli</t>
  </si>
  <si>
    <t>Carrot Small</t>
  </si>
  <si>
    <t>54 grams</t>
  </si>
  <si>
    <t>Mutton Kofta Chana</t>
  </si>
  <si>
    <t>CHicken Lemon &amp; Black Pepper</t>
  </si>
  <si>
    <t>Chicken Lemon &amp; Black Pepper</t>
  </si>
  <si>
    <t>Mutton Rosh</t>
  </si>
  <si>
    <t>Mutton Qeema</t>
  </si>
  <si>
    <t>Chicken Balochi Karahi</t>
  </si>
  <si>
    <t>Chicken Fajita</t>
  </si>
  <si>
    <t>Tortillas</t>
  </si>
  <si>
    <t>Red Bean Salad</t>
  </si>
  <si>
    <t>Mash Potato</t>
  </si>
  <si>
    <t>Zinger Roll</t>
  </si>
  <si>
    <t>Macaroni Salad</t>
  </si>
  <si>
    <t>Macaroni Elbow</t>
  </si>
  <si>
    <t>Chicken Patty Burger</t>
  </si>
  <si>
    <t>Pizza sauce 370GM</t>
  </si>
  <si>
    <t>YEAST INSTANT 11GM</t>
  </si>
  <si>
    <t>Sweet Corn</t>
  </si>
  <si>
    <t>Chicken Pizza Large</t>
  </si>
  <si>
    <t>Club Sandwich</t>
  </si>
  <si>
    <t>Cold Coffee</t>
  </si>
  <si>
    <t>Cold Beverage</t>
  </si>
  <si>
    <t>Chicken Arabi Paratha</t>
  </si>
  <si>
    <t>Mini Samosa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</si>
</sst>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.000"/>
    <numFmt numFmtId="165" formatCode="0.0000"/>
    <numFmt numFmtId="166" formatCode="_(* #,##0_);_(* \(#,##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0"/>
      <color rgb="FF555555"/>
      <name val="Montserrat"/>
      <family val="3"/>
    </font>
    <font>
      <b/>
      <sz val="10"/>
      <color rgb="FF555555"/>
      <name val="Montserrat"/>
      <family val="3"/>
    </font>
    <font>
      <sz val="11"/>
      <color rgb="FF555555"/>
      <name val="Montserrat"/>
      <family val="3"/>
    </font>
    <font>
      <b/>
      <sz val="11"/>
      <color rgb="FF555555"/>
      <name val="Montserrat"/>
      <family val="3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>
      <alignment vertical="center"/>
    </xf>
  </cellStyleXfs>
  <cellXfs count="73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top" readingOrder="1"/>
    </xf>
    <xf numFmtId="43" fontId="3" fillId="0" borderId="0" xfId="1" applyFont="1" applyAlignment="1">
      <alignment vertical="top"/>
    </xf>
    <xf numFmtId="164" fontId="3" fillId="0" borderId="0" xfId="0" applyNumberFormat="1" applyFont="1" applyAlignment="1">
      <alignment horizontal="center" vertical="top" readingOrder="1"/>
    </xf>
    <xf numFmtId="164" fontId="0" fillId="0" borderId="0" xfId="0" applyNumberFormat="1" applyAlignment="1">
      <alignment horizontal="center" vertical="center"/>
    </xf>
    <xf numFmtId="2" fontId="0" fillId="0" borderId="0" xfId="0" applyNumberFormat="1"/>
    <xf numFmtId="0" fontId="3" fillId="0" borderId="0" xfId="0" applyFont="1" applyAlignment="1">
      <alignment horizontal="center" vertical="top" readingOrder="1"/>
    </xf>
    <xf numFmtId="164" fontId="0" fillId="0" borderId="0" xfId="0" applyNumberFormat="1" applyAlignment="1">
      <alignment horizontal="center"/>
    </xf>
    <xf numFmtId="1" fontId="3" fillId="0" borderId="0" xfId="0" applyNumberFormat="1" applyFont="1" applyAlignment="1">
      <alignment vertical="top"/>
    </xf>
    <xf numFmtId="0" fontId="4" fillId="0" borderId="0" xfId="0" applyFont="1"/>
    <xf numFmtId="0" fontId="2" fillId="0" borderId="2" xfId="0" applyFont="1" applyBorder="1"/>
    <xf numFmtId="43" fontId="0" fillId="0" borderId="0" xfId="1" applyFont="1"/>
    <xf numFmtId="43" fontId="2" fillId="2" borderId="1" xfId="1" applyFont="1" applyFill="1" applyBorder="1" applyAlignment="1">
      <alignment horizontal="center"/>
    </xf>
    <xf numFmtId="0" fontId="5" fillId="0" borderId="0" xfId="2" applyAlignment="1"/>
    <xf numFmtId="0" fontId="0" fillId="0" borderId="3" xfId="0" applyBorder="1"/>
    <xf numFmtId="164" fontId="0" fillId="0" borderId="0" xfId="0" applyNumberFormat="1"/>
    <xf numFmtId="0" fontId="6" fillId="3" borderId="4" xfId="0" applyFont="1" applyFill="1" applyBorder="1" applyAlignment="1">
      <alignment horizontal="left" vertical="center" wrapText="1" indent="1"/>
    </xf>
    <xf numFmtId="0" fontId="7" fillId="3" borderId="4" xfId="0" applyFont="1" applyFill="1" applyBorder="1" applyAlignment="1">
      <alignment horizontal="left" vertical="center" wrapText="1" indent="1"/>
    </xf>
    <xf numFmtId="0" fontId="8" fillId="3" borderId="4" xfId="0" applyFont="1" applyFill="1" applyBorder="1" applyAlignment="1">
      <alignment horizontal="left" vertical="center" wrapText="1" indent="1"/>
    </xf>
    <xf numFmtId="0" fontId="9" fillId="3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/>
    <xf numFmtId="0" fontId="2" fillId="0" borderId="5" xfId="0" applyFont="1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4" borderId="6" xfId="0" applyFill="1" applyBorder="1" applyAlignment="1">
      <alignment horizontal="left" vertical="center"/>
    </xf>
    <xf numFmtId="43" fontId="0" fillId="0" borderId="0" xfId="1" applyFont="1" applyAlignment="1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0" fontId="0" fillId="5" borderId="0" xfId="0" applyFill="1"/>
    <xf numFmtId="0" fontId="3" fillId="5" borderId="0" xfId="0" applyFont="1" applyFill="1" applyAlignment="1">
      <alignment vertical="top"/>
    </xf>
    <xf numFmtId="164" fontId="0" fillId="5" borderId="0" xfId="0" applyNumberFormat="1" applyFill="1" applyAlignment="1">
      <alignment horizontal="center" vertical="center"/>
    </xf>
    <xf numFmtId="0" fontId="3" fillId="5" borderId="0" xfId="0" applyFont="1" applyFill="1" applyAlignment="1">
      <alignment horizontal="center" vertical="top" readingOrder="1"/>
    </xf>
    <xf numFmtId="43" fontId="3" fillId="5" borderId="0" xfId="1" applyFont="1" applyFill="1" applyAlignment="1">
      <alignment vertical="top"/>
    </xf>
    <xf numFmtId="0" fontId="0" fillId="5" borderId="0" xfId="0" applyFill="1" applyAlignment="1">
      <alignment horizontal="center" vertical="center"/>
    </xf>
    <xf numFmtId="43" fontId="3" fillId="0" borderId="0" xfId="1" applyFont="1" applyFill="1" applyAlignment="1">
      <alignment vertical="top"/>
    </xf>
    <xf numFmtId="0" fontId="2" fillId="0" borderId="0" xfId="0" applyFont="1" applyAlignment="1">
      <alignment horizontal="center"/>
    </xf>
    <xf numFmtId="43" fontId="2" fillId="0" borderId="5" xfId="1" applyFont="1" applyBorder="1" applyAlignment="1">
      <alignment horizontal="left"/>
    </xf>
    <xf numFmtId="43" fontId="0" fillId="0" borderId="5" xfId="1" applyFont="1" applyBorder="1" applyAlignment="1">
      <alignment horizontal="left" indent="2"/>
    </xf>
    <xf numFmtId="43" fontId="0" fillId="0" borderId="5" xfId="1" applyFont="1" applyBorder="1"/>
    <xf numFmtId="43" fontId="2" fillId="0" borderId="5" xfId="1" applyFont="1" applyBorder="1" applyAlignment="1">
      <alignment horizontal="left" indent="1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3" fontId="0" fillId="0" borderId="0" xfId="0" applyNumberFormat="1"/>
    <xf numFmtId="0" fontId="0" fillId="6" borderId="0" xfId="0" applyFill="1"/>
    <xf numFmtId="0" fontId="2" fillId="6" borderId="0" xfId="0" applyFont="1" applyFill="1" applyAlignment="1">
      <alignment horizontal="center"/>
    </xf>
    <xf numFmtId="43" fontId="0" fillId="6" borderId="0" xfId="1" applyFont="1" applyFill="1"/>
    <xf numFmtId="43" fontId="0" fillId="6" borderId="0" xfId="0" applyNumberFormat="1" applyFill="1"/>
    <xf numFmtId="0" fontId="0" fillId="7" borderId="0" xfId="0" applyFill="1"/>
    <xf numFmtId="0" fontId="2" fillId="7" borderId="0" xfId="0" applyFont="1" applyFill="1" applyAlignment="1">
      <alignment horizontal="center"/>
    </xf>
    <xf numFmtId="43" fontId="0" fillId="7" borderId="0" xfId="1" applyFont="1" applyFill="1"/>
    <xf numFmtId="43" fontId="0" fillId="7" borderId="0" xfId="0" applyNumberFormat="1" applyFill="1"/>
    <xf numFmtId="0" fontId="2" fillId="6" borderId="0" xfId="0" applyFont="1" applyFill="1"/>
    <xf numFmtId="0" fontId="2" fillId="7" borderId="0" xfId="0" applyFont="1" applyFill="1"/>
    <xf numFmtId="16" fontId="0" fillId="0" borderId="0" xfId="0" applyNumberFormat="1"/>
    <xf numFmtId="0" fontId="0" fillId="4" borderId="0" xfId="0" applyFill="1" applyBorder="1" applyAlignment="1">
      <alignment horizontal="left" vertical="center"/>
    </xf>
    <xf numFmtId="1" fontId="3" fillId="0" borderId="6" xfId="0" applyNumberFormat="1" applyFont="1" applyBorder="1" applyAlignment="1">
      <alignment vertical="top"/>
    </xf>
    <xf numFmtId="0" fontId="0" fillId="0" borderId="6" xfId="0" applyBorder="1"/>
    <xf numFmtId="0" fontId="3" fillId="0" borderId="6" xfId="0" applyFont="1" applyBorder="1" applyAlignment="1">
      <alignment vertical="top"/>
    </xf>
    <xf numFmtId="0" fontId="3" fillId="0" borderId="6" xfId="0" applyFont="1" applyBorder="1" applyAlignment="1">
      <alignment vertical="top" wrapText="1"/>
    </xf>
    <xf numFmtId="0" fontId="3" fillId="0" borderId="6" xfId="0" applyFont="1" applyBorder="1" applyAlignment="1">
      <alignment horizontal="left" vertical="top" readingOrder="1"/>
    </xf>
    <xf numFmtId="1" fontId="0" fillId="0" borderId="0" xfId="0" applyNumberFormat="1"/>
    <xf numFmtId="0" fontId="0" fillId="0" borderId="0" xfId="0" applyFill="1" applyBorder="1"/>
    <xf numFmtId="166" fontId="3" fillId="0" borderId="0" xfId="1" applyNumberFormat="1" applyFont="1" applyAlignment="1">
      <alignment vertical="top"/>
    </xf>
  </cellXfs>
  <cellStyles count="3">
    <cellStyle name="Comma" xfId="1" builtinId="3"/>
    <cellStyle name="Normal" xfId="0" builtinId="0"/>
    <cellStyle name="Normal 2" xfId="2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33"/>
  <sheetViews>
    <sheetView workbookViewId="0">
      <selection activeCell="B12" sqref="B12"/>
    </sheetView>
  </sheetViews>
  <sheetFormatPr defaultColWidth="29.5703125" defaultRowHeight="15"/>
  <sheetData>
    <row r="1" spans="1:6" ht="15.75" thickBot="1"/>
    <row r="2" spans="1:6" ht="18.75" thickBot="1">
      <c r="A2" s="26" t="s">
        <v>777</v>
      </c>
      <c r="B2" s="25" t="s">
        <v>739</v>
      </c>
      <c r="C2" s="25" t="s">
        <v>776</v>
      </c>
      <c r="D2" t="s">
        <v>775</v>
      </c>
      <c r="E2" t="s">
        <v>774</v>
      </c>
    </row>
    <row r="3" spans="1:6" ht="18.75" thickBot="1">
      <c r="A3" s="26" t="s">
        <v>773</v>
      </c>
      <c r="B3" s="25" t="s">
        <v>772</v>
      </c>
      <c r="C3" s="25" t="s">
        <v>771</v>
      </c>
      <c r="D3" t="s">
        <v>770</v>
      </c>
      <c r="E3" t="s">
        <v>769</v>
      </c>
    </row>
    <row r="4" spans="1:6" ht="18.75" thickBot="1">
      <c r="A4" s="26" t="s">
        <v>768</v>
      </c>
      <c r="B4" s="25" t="s">
        <v>767</v>
      </c>
      <c r="C4" s="25" t="s">
        <v>766</v>
      </c>
      <c r="D4" t="s">
        <v>765</v>
      </c>
      <c r="E4" t="s">
        <v>735</v>
      </c>
    </row>
    <row r="5" spans="1:6" ht="18.75" thickBot="1">
      <c r="A5" s="26" t="s">
        <v>764</v>
      </c>
      <c r="B5" s="25" t="s">
        <v>737</v>
      </c>
      <c r="C5" s="25" t="s">
        <v>746</v>
      </c>
      <c r="D5" t="s">
        <v>763</v>
      </c>
      <c r="E5" t="s">
        <v>739</v>
      </c>
    </row>
    <row r="6" spans="1:6" ht="18.75" thickBot="1">
      <c r="A6" s="26" t="s">
        <v>762</v>
      </c>
      <c r="B6" s="25" t="s">
        <v>761</v>
      </c>
      <c r="C6" s="25"/>
      <c r="D6" t="s">
        <v>760</v>
      </c>
      <c r="E6" t="s">
        <v>759</v>
      </c>
    </row>
    <row r="7" spans="1:6" ht="18.75" thickBot="1">
      <c r="A7" s="26" t="s">
        <v>758</v>
      </c>
      <c r="B7" s="25" t="s">
        <v>757</v>
      </c>
      <c r="C7" s="25"/>
      <c r="D7" t="s">
        <v>756</v>
      </c>
      <c r="E7" t="s">
        <v>755</v>
      </c>
    </row>
    <row r="8" spans="1:6" ht="18.75" thickBot="1">
      <c r="A8" s="26" t="s">
        <v>754</v>
      </c>
      <c r="B8" s="25" t="s">
        <v>753</v>
      </c>
      <c r="C8" s="25"/>
      <c r="D8" t="s">
        <v>752</v>
      </c>
      <c r="E8" t="s">
        <v>751</v>
      </c>
    </row>
    <row r="9" spans="1:6" ht="18.75" thickBot="1">
      <c r="A9" s="26" t="s">
        <v>750</v>
      </c>
      <c r="B9" s="25" t="s">
        <v>742</v>
      </c>
      <c r="C9" s="25"/>
      <c r="D9" t="s">
        <v>749</v>
      </c>
      <c r="E9" t="s">
        <v>748</v>
      </c>
    </row>
    <row r="10" spans="1:6" ht="18.75" thickBot="1">
      <c r="A10" s="26" t="s">
        <v>747</v>
      </c>
      <c r="B10" s="25" t="s">
        <v>737</v>
      </c>
      <c r="C10" s="25" t="s">
        <v>746</v>
      </c>
      <c r="D10" t="s">
        <v>745</v>
      </c>
      <c r="E10" t="s">
        <v>744</v>
      </c>
      <c r="F10">
        <f>0.174*3</f>
        <v>0.52200000000000002</v>
      </c>
    </row>
    <row r="11" spans="1:6" ht="18.75" thickBot="1">
      <c r="A11" s="26" t="s">
        <v>743</v>
      </c>
      <c r="B11" s="25" t="s">
        <v>742</v>
      </c>
      <c r="C11" s="25" t="s">
        <v>741</v>
      </c>
      <c r="D11" t="s">
        <v>1007</v>
      </c>
      <c r="E11" t="s">
        <v>772</v>
      </c>
    </row>
    <row r="12" spans="1:6" ht="18.75" thickBot="1">
      <c r="A12" s="26" t="s">
        <v>1009</v>
      </c>
      <c r="B12" s="25" t="s">
        <v>788</v>
      </c>
      <c r="C12" s="25"/>
      <c r="D12" t="s">
        <v>1018</v>
      </c>
      <c r="E12" t="s">
        <v>748</v>
      </c>
    </row>
    <row r="13" spans="1:6" ht="18.75" thickBot="1">
      <c r="A13" s="26" t="s">
        <v>740</v>
      </c>
      <c r="B13" s="25" t="s">
        <v>739</v>
      </c>
      <c r="C13" s="25"/>
      <c r="D13" t="s">
        <v>1047</v>
      </c>
      <c r="E13" t="s">
        <v>1048</v>
      </c>
    </row>
    <row r="14" spans="1:6" ht="18.75" thickBot="1">
      <c r="A14" s="26" t="s">
        <v>980</v>
      </c>
      <c r="B14" s="25" t="s">
        <v>788</v>
      </c>
      <c r="C14" s="25"/>
    </row>
    <row r="15" spans="1:6" ht="18.75" thickBot="1">
      <c r="A15" s="26" t="s">
        <v>782</v>
      </c>
      <c r="B15" s="25" t="s">
        <v>783</v>
      </c>
      <c r="C15" s="25"/>
    </row>
    <row r="16" spans="1:6" ht="18.75" thickBot="1">
      <c r="A16" s="26" t="s">
        <v>787</v>
      </c>
      <c r="B16" s="25" t="s">
        <v>788</v>
      </c>
      <c r="C16" s="25"/>
    </row>
    <row r="17" spans="1:5" ht="18.75" thickBot="1">
      <c r="A17" s="26" t="s">
        <v>1019</v>
      </c>
      <c r="B17" s="25" t="s">
        <v>788</v>
      </c>
      <c r="C17" s="25"/>
    </row>
    <row r="18" spans="1:5" ht="18.75" thickBot="1">
      <c r="A18" s="26" t="s">
        <v>738</v>
      </c>
      <c r="B18" s="25" t="s">
        <v>737</v>
      </c>
      <c r="C18" s="25"/>
    </row>
    <row r="19" spans="1:5" ht="18.75" thickBot="1">
      <c r="A19" s="26" t="s">
        <v>736</v>
      </c>
      <c r="B19" s="25" t="s">
        <v>735</v>
      </c>
      <c r="C19" s="25"/>
    </row>
    <row r="20" spans="1:5" ht="18.75" thickBot="1">
      <c r="A20" s="26" t="s">
        <v>734</v>
      </c>
      <c r="B20" s="25" t="s">
        <v>733</v>
      </c>
      <c r="C20" s="25" t="s">
        <v>732</v>
      </c>
    </row>
    <row r="21" spans="1:5" ht="18.75" thickBot="1">
      <c r="A21" s="26" t="s">
        <v>731</v>
      </c>
      <c r="B21" s="25" t="s">
        <v>730</v>
      </c>
      <c r="C21" s="25" t="s">
        <v>729</v>
      </c>
    </row>
    <row r="22" spans="1:5" ht="18.75" thickBot="1">
      <c r="A22" s="26" t="s">
        <v>728</v>
      </c>
      <c r="B22" s="25" t="s">
        <v>727</v>
      </c>
      <c r="C22" s="25"/>
    </row>
    <row r="23" spans="1:5" ht="18.75" thickBot="1">
      <c r="A23" s="26" t="s">
        <v>726</v>
      </c>
      <c r="B23" s="25" t="s">
        <v>725</v>
      </c>
      <c r="C23" s="25" t="s">
        <v>724</v>
      </c>
    </row>
    <row r="24" spans="1:5" ht="15.75" thickBot="1"/>
    <row r="25" spans="1:5" ht="15.75" thickBot="1">
      <c r="A25" s="24" t="s">
        <v>484</v>
      </c>
      <c r="B25" s="24" t="s">
        <v>723</v>
      </c>
      <c r="C25" s="24" t="s">
        <v>722</v>
      </c>
      <c r="D25" s="24" t="s">
        <v>721</v>
      </c>
      <c r="E25" s="24" t="s">
        <v>720</v>
      </c>
    </row>
    <row r="26" spans="1:5" ht="15.75" thickBot="1">
      <c r="A26" s="23" t="s">
        <v>719</v>
      </c>
      <c r="B26" s="23" t="s">
        <v>718</v>
      </c>
      <c r="C26" s="23" t="s">
        <v>717</v>
      </c>
      <c r="D26" s="23" t="s">
        <v>716</v>
      </c>
      <c r="E26" s="23" t="s">
        <v>715</v>
      </c>
    </row>
    <row r="27" spans="1:5" ht="15.75" thickBot="1">
      <c r="A27" s="23" t="s">
        <v>714</v>
      </c>
      <c r="B27" s="23" t="s">
        <v>713</v>
      </c>
      <c r="C27" s="23" t="s">
        <v>712</v>
      </c>
      <c r="D27" s="23" t="s">
        <v>711</v>
      </c>
      <c r="E27" s="23" t="s">
        <v>710</v>
      </c>
    </row>
    <row r="28" spans="1:5" ht="15.75" thickBot="1">
      <c r="A28" s="23" t="s">
        <v>709</v>
      </c>
      <c r="B28" s="23" t="s">
        <v>708</v>
      </c>
      <c r="C28" s="23" t="s">
        <v>707</v>
      </c>
      <c r="D28" s="23" t="s">
        <v>706</v>
      </c>
      <c r="E28" s="23" t="s">
        <v>705</v>
      </c>
    </row>
    <row r="29" spans="1:5" ht="15.75" thickBot="1">
      <c r="A29" s="23" t="s">
        <v>704</v>
      </c>
      <c r="B29" s="23" t="s">
        <v>703</v>
      </c>
      <c r="C29" s="23" t="s">
        <v>702</v>
      </c>
      <c r="D29" s="23" t="s">
        <v>701</v>
      </c>
      <c r="E29" s="23" t="s">
        <v>700</v>
      </c>
    </row>
    <row r="30" spans="1:5" ht="15.75" thickBot="1">
      <c r="A30" s="23" t="s">
        <v>699</v>
      </c>
      <c r="B30" s="23" t="s">
        <v>698</v>
      </c>
      <c r="C30" s="23" t="s">
        <v>697</v>
      </c>
      <c r="D30" s="23" t="s">
        <v>696</v>
      </c>
      <c r="E30" s="23" t="s">
        <v>695</v>
      </c>
    </row>
    <row r="31" spans="1:5" ht="15.75" thickBot="1">
      <c r="A31" s="23" t="s">
        <v>694</v>
      </c>
      <c r="B31" s="23" t="s">
        <v>693</v>
      </c>
      <c r="C31" s="23" t="s">
        <v>692</v>
      </c>
      <c r="D31" s="23" t="s">
        <v>691</v>
      </c>
      <c r="E31" s="23" t="s">
        <v>690</v>
      </c>
    </row>
    <row r="32" spans="1:5" ht="15.75" thickBot="1">
      <c r="A32" s="23" t="s">
        <v>689</v>
      </c>
      <c r="B32" s="23" t="s">
        <v>688</v>
      </c>
      <c r="C32" s="23" t="s">
        <v>687</v>
      </c>
      <c r="D32" s="23" t="s">
        <v>686</v>
      </c>
      <c r="E32" s="23" t="s">
        <v>685</v>
      </c>
    </row>
    <row r="33" spans="1:5" ht="15.75" thickBot="1">
      <c r="A33" s="23" t="s">
        <v>684</v>
      </c>
      <c r="B33" s="23" t="s">
        <v>683</v>
      </c>
      <c r="C33" s="23" t="s">
        <v>682</v>
      </c>
      <c r="D33" s="23" t="s">
        <v>681</v>
      </c>
      <c r="E33" s="23" t="s">
        <v>680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4444"/>
  <sheetViews>
    <sheetView workbookViewId="0">
      <pane ySplit="2" topLeftCell="A4419" activePane="bottomLeft" state="frozen"/>
      <selection pane="bottomLeft" activeCell="A4432" sqref="A4432"/>
    </sheetView>
  </sheetViews>
  <sheetFormatPr defaultRowHeight="15"/>
  <cols>
    <col min="1" max="1" width="31" bestFit="1" customWidth="1"/>
    <col min="2" max="2" width="20" bestFit="1" customWidth="1"/>
    <col min="3" max="3" width="21.140625" bestFit="1" customWidth="1"/>
    <col min="4" max="4" width="28.5703125" bestFit="1" customWidth="1"/>
    <col min="5" max="6" width="9.140625" style="4"/>
    <col min="7" max="7" width="15.7109375" style="12" customWidth="1"/>
    <col min="8" max="8" width="12.7109375" bestFit="1" customWidth="1"/>
    <col min="9" max="9" width="10" bestFit="1" customWidth="1"/>
    <col min="10" max="10" width="18.140625" style="33" bestFit="1" customWidth="1"/>
    <col min="11" max="11" width="10.5703125" bestFit="1" customWidth="1"/>
    <col min="12" max="12" width="12.7109375" bestFit="1" customWidth="1"/>
  </cols>
  <sheetData>
    <row r="1" spans="1:12" ht="15.75" thickBot="1">
      <c r="A1" s="1" t="s">
        <v>0</v>
      </c>
      <c r="B1" s="1"/>
      <c r="C1" s="1"/>
    </row>
    <row r="2" spans="1:12" ht="15.75" thickBot="1">
      <c r="A2" s="34" t="s">
        <v>1</v>
      </c>
      <c r="B2" s="34" t="s">
        <v>480</v>
      </c>
      <c r="C2" s="34" t="s">
        <v>457</v>
      </c>
      <c r="D2" s="34" t="s">
        <v>2</v>
      </c>
      <c r="E2" s="34" t="s">
        <v>3</v>
      </c>
      <c r="F2" s="34" t="s">
        <v>19</v>
      </c>
      <c r="G2" s="35" t="s">
        <v>1014</v>
      </c>
      <c r="H2" s="34" t="s">
        <v>4</v>
      </c>
      <c r="I2" s="34" t="s">
        <v>483</v>
      </c>
      <c r="J2" s="36" t="s">
        <v>488</v>
      </c>
      <c r="K2" s="34" t="s">
        <v>1003</v>
      </c>
      <c r="L2" s="34" t="s">
        <v>4</v>
      </c>
    </row>
    <row r="3" spans="1:12">
      <c r="A3" t="s">
        <v>5</v>
      </c>
      <c r="B3" t="s">
        <v>345</v>
      </c>
      <c r="C3" t="s">
        <v>5</v>
      </c>
      <c r="D3" s="3" t="s">
        <v>6</v>
      </c>
      <c r="E3" s="10">
        <v>1.2E-2</v>
      </c>
      <c r="F3" s="13" t="s">
        <v>176</v>
      </c>
      <c r="G3" s="9">
        <v>480</v>
      </c>
      <c r="H3" s="9">
        <f t="shared" ref="H3:H48" si="0">G3*E3</f>
        <v>5.76</v>
      </c>
      <c r="I3" t="s">
        <v>179</v>
      </c>
      <c r="J3" s="33">
        <v>0</v>
      </c>
      <c r="K3" s="18">
        <f>VLOOKUP(D3,Ingredients!C:G,4,0)</f>
        <v>500</v>
      </c>
      <c r="L3" s="52">
        <f>K3*E3</f>
        <v>6</v>
      </c>
    </row>
    <row r="4" spans="1:12">
      <c r="A4" t="s">
        <v>5</v>
      </c>
      <c r="B4" t="s">
        <v>345</v>
      </c>
      <c r="C4" t="s">
        <v>5</v>
      </c>
      <c r="D4" s="3" t="s">
        <v>7</v>
      </c>
      <c r="E4" s="10">
        <v>0.01</v>
      </c>
      <c r="F4" s="13" t="s">
        <v>176</v>
      </c>
      <c r="G4" s="9">
        <v>8</v>
      </c>
      <c r="H4" s="9">
        <f t="shared" si="0"/>
        <v>0.08</v>
      </c>
      <c r="I4" t="s">
        <v>179</v>
      </c>
      <c r="J4" s="33">
        <v>0</v>
      </c>
      <c r="K4" s="18">
        <f>VLOOKUP(D4,Ingredients!C:G,5,0)</f>
        <v>6</v>
      </c>
      <c r="L4" s="52">
        <f t="shared" ref="L4:L67" si="1">K4*E4</f>
        <v>0.06</v>
      </c>
    </row>
    <row r="5" spans="1:12">
      <c r="A5" t="s">
        <v>5</v>
      </c>
      <c r="B5" t="s">
        <v>345</v>
      </c>
      <c r="C5" t="s">
        <v>5</v>
      </c>
      <c r="D5" s="3" t="s">
        <v>849</v>
      </c>
      <c r="E5" s="10">
        <v>6.0000000000000001E-3</v>
      </c>
      <c r="F5" s="13" t="s">
        <v>176</v>
      </c>
      <c r="G5" s="9">
        <v>1000</v>
      </c>
      <c r="H5" s="9">
        <f t="shared" si="0"/>
        <v>6</v>
      </c>
      <c r="I5" t="s">
        <v>179</v>
      </c>
      <c r="J5" s="33">
        <v>0</v>
      </c>
      <c r="K5" s="18">
        <f>VLOOKUP(D5,Ingredients!C:G,5,0)</f>
        <v>950</v>
      </c>
      <c r="L5" s="52">
        <f t="shared" si="1"/>
        <v>5.7</v>
      </c>
    </row>
    <row r="6" spans="1:12">
      <c r="A6" t="s">
        <v>5</v>
      </c>
      <c r="B6" t="s">
        <v>345</v>
      </c>
      <c r="C6" t="s">
        <v>5</v>
      </c>
      <c r="D6" s="3" t="s">
        <v>850</v>
      </c>
      <c r="E6" s="10">
        <v>0.01</v>
      </c>
      <c r="F6" s="13" t="s">
        <v>176</v>
      </c>
      <c r="G6" s="9">
        <v>700</v>
      </c>
      <c r="H6" s="9">
        <f t="shared" si="0"/>
        <v>7</v>
      </c>
      <c r="I6" t="s">
        <v>179</v>
      </c>
      <c r="J6" s="33">
        <v>0</v>
      </c>
      <c r="K6" s="18">
        <f>VLOOKUP(D6,Ingredients!C:G,5,0)</f>
        <v>700</v>
      </c>
      <c r="L6" s="52">
        <f t="shared" si="1"/>
        <v>7</v>
      </c>
    </row>
    <row r="7" spans="1:12">
      <c r="A7" t="s">
        <v>5</v>
      </c>
      <c r="B7" t="s">
        <v>345</v>
      </c>
      <c r="C7" t="s">
        <v>5</v>
      </c>
      <c r="D7" s="3" t="s">
        <v>830</v>
      </c>
      <c r="E7" s="10">
        <v>0.1</v>
      </c>
      <c r="F7" s="13" t="s">
        <v>176</v>
      </c>
      <c r="G7" s="9">
        <v>149</v>
      </c>
      <c r="H7" s="9">
        <f t="shared" si="0"/>
        <v>14.9</v>
      </c>
      <c r="I7" t="s">
        <v>179</v>
      </c>
      <c r="J7" s="33">
        <v>0</v>
      </c>
      <c r="K7" s="18">
        <f>VLOOKUP(D7,Ingredients!C:G,5,0)</f>
        <v>123</v>
      </c>
      <c r="L7" s="52">
        <f t="shared" si="1"/>
        <v>12.3</v>
      </c>
    </row>
    <row r="8" spans="1:12">
      <c r="A8" t="s">
        <v>5</v>
      </c>
      <c r="B8" t="s">
        <v>345</v>
      </c>
      <c r="C8" t="s">
        <v>5</v>
      </c>
      <c r="D8" s="3" t="s">
        <v>11</v>
      </c>
      <c r="E8" s="10">
        <v>0.1</v>
      </c>
      <c r="F8" s="13" t="s">
        <v>176</v>
      </c>
      <c r="G8" s="9">
        <v>60</v>
      </c>
      <c r="H8" s="9">
        <f t="shared" si="0"/>
        <v>6</v>
      </c>
      <c r="I8" t="s">
        <v>179</v>
      </c>
      <c r="J8" s="33">
        <v>0</v>
      </c>
      <c r="K8" s="18">
        <f>VLOOKUP(D8,Ingredients!C:G,5,0)</f>
        <v>120</v>
      </c>
      <c r="L8" s="52">
        <f t="shared" si="1"/>
        <v>12</v>
      </c>
    </row>
    <row r="9" spans="1:12">
      <c r="A9" t="s">
        <v>5</v>
      </c>
      <c r="B9" t="s">
        <v>345</v>
      </c>
      <c r="C9" t="s">
        <v>5</v>
      </c>
      <c r="D9" s="3" t="s">
        <v>12</v>
      </c>
      <c r="E9" s="10">
        <v>0.1</v>
      </c>
      <c r="F9" s="13" t="s">
        <v>176</v>
      </c>
      <c r="G9" s="9">
        <v>140</v>
      </c>
      <c r="H9" s="9">
        <f t="shared" si="0"/>
        <v>14</v>
      </c>
      <c r="I9" t="s">
        <v>179</v>
      </c>
      <c r="J9" s="33">
        <v>0</v>
      </c>
      <c r="K9" s="18">
        <f>VLOOKUP(D9,Ingredients!C:G,5,0)</f>
        <v>200</v>
      </c>
      <c r="L9" s="52">
        <f t="shared" si="1"/>
        <v>20</v>
      </c>
    </row>
    <row r="10" spans="1:12">
      <c r="A10" t="s">
        <v>5</v>
      </c>
      <c r="B10" t="s">
        <v>345</v>
      </c>
      <c r="C10" t="s">
        <v>5</v>
      </c>
      <c r="D10" s="3" t="s">
        <v>13</v>
      </c>
      <c r="E10" s="10">
        <v>0.1</v>
      </c>
      <c r="F10" s="13" t="s">
        <v>176</v>
      </c>
      <c r="G10" s="9">
        <v>30</v>
      </c>
      <c r="H10" s="9">
        <f t="shared" si="0"/>
        <v>3</v>
      </c>
      <c r="I10" t="s">
        <v>179</v>
      </c>
      <c r="J10" s="33">
        <v>0</v>
      </c>
      <c r="K10" s="18">
        <f>VLOOKUP(D10,Ingredients!C:G,5,0)</f>
        <v>60</v>
      </c>
      <c r="L10" s="52">
        <f t="shared" si="1"/>
        <v>6</v>
      </c>
    </row>
    <row r="11" spans="1:12">
      <c r="A11" t="s">
        <v>5</v>
      </c>
      <c r="B11" t="s">
        <v>345</v>
      </c>
      <c r="C11" t="s">
        <v>5</v>
      </c>
      <c r="D11" s="3" t="s">
        <v>14</v>
      </c>
      <c r="E11" s="10">
        <v>0.1</v>
      </c>
      <c r="F11" s="13" t="s">
        <v>176</v>
      </c>
      <c r="G11" s="9">
        <v>120</v>
      </c>
      <c r="H11" s="9">
        <f t="shared" si="0"/>
        <v>12</v>
      </c>
      <c r="I11" t="s">
        <v>179</v>
      </c>
      <c r="J11" s="33">
        <v>0</v>
      </c>
      <c r="K11" s="18">
        <f>VLOOKUP(D11,Ingredients!C:G,5,0)</f>
        <v>60</v>
      </c>
      <c r="L11" s="52">
        <f t="shared" si="1"/>
        <v>6</v>
      </c>
    </row>
    <row r="12" spans="1:12">
      <c r="A12" t="s">
        <v>5</v>
      </c>
      <c r="B12" t="s">
        <v>345</v>
      </c>
      <c r="C12" t="s">
        <v>5</v>
      </c>
      <c r="D12" s="3" t="s">
        <v>15</v>
      </c>
      <c r="E12" s="10">
        <v>0.1</v>
      </c>
      <c r="F12" s="13" t="s">
        <v>176</v>
      </c>
      <c r="G12" s="9">
        <v>130</v>
      </c>
      <c r="H12" s="9">
        <f t="shared" si="0"/>
        <v>13</v>
      </c>
      <c r="I12" t="s">
        <v>179</v>
      </c>
      <c r="J12" s="33">
        <v>0</v>
      </c>
      <c r="K12" s="18">
        <f>VLOOKUP(D12,Ingredients!C:G,5,0)</f>
        <v>90</v>
      </c>
      <c r="L12" s="52">
        <f t="shared" si="1"/>
        <v>9</v>
      </c>
    </row>
    <row r="13" spans="1:12">
      <c r="A13" t="s">
        <v>5</v>
      </c>
      <c r="B13" t="s">
        <v>345</v>
      </c>
      <c r="C13" t="s">
        <v>5</v>
      </c>
      <c r="D13" s="3" t="s">
        <v>16</v>
      </c>
      <c r="E13" s="10">
        <v>0.1</v>
      </c>
      <c r="F13" s="13" t="s">
        <v>176</v>
      </c>
      <c r="G13" s="9">
        <v>270</v>
      </c>
      <c r="H13" s="9">
        <f t="shared" si="0"/>
        <v>27</v>
      </c>
      <c r="I13" t="s">
        <v>179</v>
      </c>
      <c r="J13" s="33">
        <v>0</v>
      </c>
      <c r="K13" s="18">
        <f>VLOOKUP(D13,Ingredients!C:G,5,0)</f>
        <v>310</v>
      </c>
      <c r="L13" s="52">
        <f t="shared" si="1"/>
        <v>31</v>
      </c>
    </row>
    <row r="14" spans="1:12">
      <c r="A14" t="s">
        <v>5</v>
      </c>
      <c r="B14" t="s">
        <v>345</v>
      </c>
      <c r="C14" t="s">
        <v>5</v>
      </c>
      <c r="D14" s="3" t="s">
        <v>17</v>
      </c>
      <c r="E14" s="10">
        <v>0.1</v>
      </c>
      <c r="F14" s="13" t="s">
        <v>176</v>
      </c>
      <c r="G14" s="9">
        <v>80</v>
      </c>
      <c r="H14" s="9">
        <f t="shared" si="0"/>
        <v>8</v>
      </c>
      <c r="I14" t="s">
        <v>179</v>
      </c>
      <c r="J14" s="33">
        <v>0</v>
      </c>
      <c r="K14" s="18">
        <f>VLOOKUP(D14,Ingredients!C:G,5,0)</f>
        <v>5</v>
      </c>
      <c r="L14" s="52">
        <f t="shared" si="1"/>
        <v>0.5</v>
      </c>
    </row>
    <row r="15" spans="1:12">
      <c r="A15" t="s">
        <v>5</v>
      </c>
      <c r="B15" t="s">
        <v>345</v>
      </c>
      <c r="C15" t="s">
        <v>5</v>
      </c>
      <c r="D15" s="3" t="s">
        <v>18</v>
      </c>
      <c r="E15" s="10">
        <v>0.1</v>
      </c>
      <c r="F15" s="13" t="s">
        <v>176</v>
      </c>
      <c r="G15" s="9">
        <v>100</v>
      </c>
      <c r="H15" s="9">
        <f t="shared" si="0"/>
        <v>10</v>
      </c>
      <c r="I15" t="s">
        <v>179</v>
      </c>
      <c r="J15" s="33">
        <v>0</v>
      </c>
      <c r="K15" s="18">
        <f>VLOOKUP(D15,Ingredients!C:G,5,0)</f>
        <v>100</v>
      </c>
      <c r="L15" s="52">
        <f t="shared" si="1"/>
        <v>10</v>
      </c>
    </row>
    <row r="16" spans="1:12">
      <c r="A16" t="s">
        <v>20</v>
      </c>
      <c r="B16" t="s">
        <v>349</v>
      </c>
      <c r="C16" t="s">
        <v>350</v>
      </c>
      <c r="D16" s="3" t="s">
        <v>851</v>
      </c>
      <c r="E16" s="10">
        <v>0.2</v>
      </c>
      <c r="F16" s="13" t="s">
        <v>176</v>
      </c>
      <c r="G16" s="9">
        <v>177</v>
      </c>
      <c r="H16" s="9">
        <f t="shared" si="0"/>
        <v>35.4</v>
      </c>
      <c r="I16" t="s">
        <v>179</v>
      </c>
      <c r="J16" s="33" t="s">
        <v>489</v>
      </c>
      <c r="K16" s="18">
        <f>VLOOKUP(D16,Ingredients!C:G,5,0)</f>
        <v>920</v>
      </c>
      <c r="L16" s="52">
        <f t="shared" si="1"/>
        <v>184</v>
      </c>
    </row>
    <row r="17" spans="1:12">
      <c r="A17" t="s">
        <v>20</v>
      </c>
      <c r="B17" t="s">
        <v>349</v>
      </c>
      <c r="C17" t="s">
        <v>350</v>
      </c>
      <c r="D17" s="3" t="s">
        <v>852</v>
      </c>
      <c r="E17" s="10">
        <v>5.7142857142857148E-2</v>
      </c>
      <c r="F17" s="13" t="s">
        <v>177</v>
      </c>
      <c r="G17" s="9">
        <v>520.63</v>
      </c>
      <c r="H17" s="9">
        <f t="shared" si="0"/>
        <v>29.750285714285717</v>
      </c>
      <c r="I17" t="s">
        <v>179</v>
      </c>
      <c r="J17" s="33" t="s">
        <v>489</v>
      </c>
      <c r="K17" s="18">
        <v>550</v>
      </c>
      <c r="L17" s="52">
        <f t="shared" si="1"/>
        <v>31.428571428571431</v>
      </c>
    </row>
    <row r="18" spans="1:12">
      <c r="A18" t="s">
        <v>20</v>
      </c>
      <c r="B18" t="s">
        <v>349</v>
      </c>
      <c r="C18" t="s">
        <v>350</v>
      </c>
      <c r="D18" s="3" t="s">
        <v>853</v>
      </c>
      <c r="E18" s="10">
        <v>1.4285714285714287E-2</v>
      </c>
      <c r="F18" s="13" t="s">
        <v>176</v>
      </c>
      <c r="G18" s="9">
        <v>30</v>
      </c>
      <c r="H18" s="9">
        <f t="shared" si="0"/>
        <v>0.4285714285714286</v>
      </c>
      <c r="I18" t="s">
        <v>179</v>
      </c>
      <c r="J18" s="33" t="s">
        <v>489</v>
      </c>
      <c r="K18" s="18">
        <f>VLOOKUP(D18,Ingredients!C:G,5,0)</f>
        <v>55</v>
      </c>
      <c r="L18" s="52">
        <f t="shared" si="1"/>
        <v>0.78571428571428581</v>
      </c>
    </row>
    <row r="19" spans="1:12">
      <c r="A19" t="s">
        <v>20</v>
      </c>
      <c r="B19" t="s">
        <v>349</v>
      </c>
      <c r="C19" t="s">
        <v>350</v>
      </c>
      <c r="D19" s="3" t="s">
        <v>16</v>
      </c>
      <c r="E19" s="10">
        <v>8.5714285714285715E-2</v>
      </c>
      <c r="F19" s="13" t="s">
        <v>176</v>
      </c>
      <c r="G19" s="9">
        <v>270</v>
      </c>
      <c r="H19" s="9">
        <f t="shared" si="0"/>
        <v>23.142857142857142</v>
      </c>
      <c r="I19" t="s">
        <v>179</v>
      </c>
      <c r="J19" s="33" t="s">
        <v>489</v>
      </c>
      <c r="K19" s="18">
        <f>VLOOKUP(D19,Ingredients!C:G,5,0)</f>
        <v>310</v>
      </c>
      <c r="L19" s="52">
        <f t="shared" si="1"/>
        <v>26.571428571428573</v>
      </c>
    </row>
    <row r="20" spans="1:12">
      <c r="A20" t="s">
        <v>20</v>
      </c>
      <c r="B20" t="s">
        <v>349</v>
      </c>
      <c r="C20" t="s">
        <v>350</v>
      </c>
      <c r="D20" s="3" t="s">
        <v>23</v>
      </c>
      <c r="E20" s="10">
        <v>5.7142857142857148E-2</v>
      </c>
      <c r="F20" s="13" t="s">
        <v>176</v>
      </c>
      <c r="G20" s="9">
        <v>740</v>
      </c>
      <c r="H20" s="9">
        <f t="shared" si="0"/>
        <v>42.285714285714292</v>
      </c>
      <c r="I20" t="s">
        <v>179</v>
      </c>
      <c r="J20" s="33" t="s">
        <v>489</v>
      </c>
      <c r="K20" s="18">
        <f>VLOOKUP(D20,Ingredients!C:G,5,0)</f>
        <v>780</v>
      </c>
      <c r="L20" s="52">
        <f t="shared" si="1"/>
        <v>44.571428571428577</v>
      </c>
    </row>
    <row r="21" spans="1:12">
      <c r="A21" t="s">
        <v>20</v>
      </c>
      <c r="B21" t="s">
        <v>349</v>
      </c>
      <c r="C21" t="s">
        <v>350</v>
      </c>
      <c r="D21" s="3" t="s">
        <v>831</v>
      </c>
      <c r="E21" s="10">
        <v>1</v>
      </c>
      <c r="F21" s="13" t="s">
        <v>176</v>
      </c>
      <c r="G21" s="9">
        <v>908</v>
      </c>
      <c r="H21" s="9">
        <f t="shared" si="0"/>
        <v>908</v>
      </c>
      <c r="I21" t="s">
        <v>179</v>
      </c>
      <c r="J21" s="33" t="s">
        <v>489</v>
      </c>
      <c r="K21" s="18">
        <f>VLOOKUP(D21,Ingredients!C:G,5,0)</f>
        <v>908</v>
      </c>
      <c r="L21" s="52">
        <f t="shared" si="1"/>
        <v>908</v>
      </c>
    </row>
    <row r="22" spans="1:12">
      <c r="A22" t="s">
        <v>25</v>
      </c>
      <c r="B22" t="s">
        <v>349</v>
      </c>
      <c r="C22" t="s">
        <v>351</v>
      </c>
      <c r="D22" s="3" t="s">
        <v>854</v>
      </c>
      <c r="E22" s="10">
        <v>2.5</v>
      </c>
      <c r="F22" s="13" t="s">
        <v>173</v>
      </c>
      <c r="G22" s="9">
        <v>24.64</v>
      </c>
      <c r="H22" s="9">
        <f t="shared" si="0"/>
        <v>61.6</v>
      </c>
      <c r="I22" t="s">
        <v>179</v>
      </c>
      <c r="J22" s="33" t="s">
        <v>490</v>
      </c>
      <c r="K22" s="18">
        <f>VLOOKUP(D22,Ingredients!C:G,5,0)</f>
        <v>20.059999999999999</v>
      </c>
      <c r="L22" s="52">
        <f t="shared" si="1"/>
        <v>50.15</v>
      </c>
    </row>
    <row r="23" spans="1:12">
      <c r="A23" t="s">
        <v>25</v>
      </c>
      <c r="B23" t="s">
        <v>349</v>
      </c>
      <c r="C23" t="s">
        <v>351</v>
      </c>
      <c r="D23" s="3" t="s">
        <v>853</v>
      </c>
      <c r="E23" s="10">
        <v>1.2500000000000001E-2</v>
      </c>
      <c r="F23" s="13" t="s">
        <v>176</v>
      </c>
      <c r="G23" s="9">
        <v>30</v>
      </c>
      <c r="H23" s="9">
        <f t="shared" si="0"/>
        <v>0.375</v>
      </c>
      <c r="I23" t="s">
        <v>179</v>
      </c>
      <c r="J23" s="33" t="s">
        <v>490</v>
      </c>
      <c r="K23" s="18">
        <f>VLOOKUP(D23,Ingredients!C:G,5,0)</f>
        <v>55</v>
      </c>
      <c r="L23" s="52">
        <f t="shared" si="1"/>
        <v>0.6875</v>
      </c>
    </row>
    <row r="24" spans="1:12">
      <c r="A24" t="s">
        <v>25</v>
      </c>
      <c r="B24" t="s">
        <v>349</v>
      </c>
      <c r="C24" t="s">
        <v>351</v>
      </c>
      <c r="D24" s="3" t="s">
        <v>832</v>
      </c>
      <c r="E24" s="10">
        <v>1.4999999999999999E-2</v>
      </c>
      <c r="F24" s="13" t="s">
        <v>176</v>
      </c>
      <c r="G24" s="9">
        <v>128</v>
      </c>
      <c r="H24" s="9">
        <f t="shared" si="0"/>
        <v>1.92</v>
      </c>
      <c r="I24" t="s">
        <v>179</v>
      </c>
      <c r="J24" s="33" t="s">
        <v>490</v>
      </c>
      <c r="K24" s="18">
        <f>VLOOKUP(D24,Ingredients!C:G,5,0)</f>
        <v>131.19999999999999</v>
      </c>
      <c r="L24" s="52">
        <f t="shared" si="1"/>
        <v>1.9679999999999997</v>
      </c>
    </row>
    <row r="25" spans="1:12">
      <c r="A25" t="s">
        <v>25</v>
      </c>
      <c r="B25" t="s">
        <v>349</v>
      </c>
      <c r="C25" t="s">
        <v>351</v>
      </c>
      <c r="D25" s="3" t="s">
        <v>28</v>
      </c>
      <c r="E25" s="10">
        <v>2.5000000000000001E-2</v>
      </c>
      <c r="F25" s="13" t="s">
        <v>176</v>
      </c>
      <c r="G25" s="9">
        <v>85</v>
      </c>
      <c r="H25" s="9">
        <f t="shared" si="0"/>
        <v>2.125</v>
      </c>
      <c r="I25" t="s">
        <v>179</v>
      </c>
      <c r="J25" s="33" t="s">
        <v>490</v>
      </c>
      <c r="K25" s="18">
        <f>VLOOKUP(D25,Ingredients!C:G,5,0)</f>
        <v>70</v>
      </c>
      <c r="L25" s="52">
        <f t="shared" si="1"/>
        <v>1.75</v>
      </c>
    </row>
    <row r="26" spans="1:12">
      <c r="A26" t="s">
        <v>25</v>
      </c>
      <c r="B26" t="s">
        <v>349</v>
      </c>
      <c r="C26" t="s">
        <v>351</v>
      </c>
      <c r="D26" s="3" t="s">
        <v>24</v>
      </c>
      <c r="E26" s="10">
        <v>0.05</v>
      </c>
      <c r="F26" s="13" t="s">
        <v>176</v>
      </c>
      <c r="G26" s="9">
        <v>55</v>
      </c>
      <c r="H26" s="9">
        <f t="shared" si="0"/>
        <v>2.75</v>
      </c>
      <c r="I26" t="s">
        <v>179</v>
      </c>
      <c r="J26" s="33" t="s">
        <v>490</v>
      </c>
      <c r="K26" s="18">
        <f>VLOOKUP(D26,Ingredients!C:G,5,0)</f>
        <v>80</v>
      </c>
      <c r="L26" s="52">
        <f t="shared" si="1"/>
        <v>4</v>
      </c>
    </row>
    <row r="27" spans="1:12">
      <c r="A27" t="s">
        <v>25</v>
      </c>
      <c r="B27" t="s">
        <v>349</v>
      </c>
      <c r="C27" t="s">
        <v>351</v>
      </c>
      <c r="D27" s="3" t="s">
        <v>29</v>
      </c>
      <c r="E27" s="10">
        <v>1.2500000000000001E-2</v>
      </c>
      <c r="F27" s="13" t="s">
        <v>176</v>
      </c>
      <c r="G27" s="9">
        <v>60</v>
      </c>
      <c r="H27" s="9">
        <f t="shared" si="0"/>
        <v>0.75</v>
      </c>
      <c r="I27" t="s">
        <v>179</v>
      </c>
      <c r="J27" s="33" t="s">
        <v>490</v>
      </c>
      <c r="K27" s="18">
        <f>VLOOKUP(D27,Ingredients!C:G,5,0)</f>
        <v>100</v>
      </c>
      <c r="L27" s="52">
        <f t="shared" si="1"/>
        <v>1.25</v>
      </c>
    </row>
    <row r="28" spans="1:12">
      <c r="A28" t="s">
        <v>25</v>
      </c>
      <c r="B28" t="s">
        <v>349</v>
      </c>
      <c r="C28" t="s">
        <v>351</v>
      </c>
      <c r="D28" s="3" t="s">
        <v>30</v>
      </c>
      <c r="E28" s="10">
        <v>1.2500000000000001E-2</v>
      </c>
      <c r="F28" s="13" t="s">
        <v>176</v>
      </c>
      <c r="G28" s="9">
        <v>200</v>
      </c>
      <c r="H28" s="9">
        <f t="shared" si="0"/>
        <v>2.5</v>
      </c>
      <c r="I28" t="s">
        <v>179</v>
      </c>
      <c r="J28" s="33" t="s">
        <v>490</v>
      </c>
      <c r="K28" s="18">
        <f>VLOOKUP(D28,Ingredients!C:G,5,0)</f>
        <v>200</v>
      </c>
      <c r="L28" s="52">
        <f t="shared" si="1"/>
        <v>2.5</v>
      </c>
    </row>
    <row r="29" spans="1:12">
      <c r="A29" t="s">
        <v>25</v>
      </c>
      <c r="B29" t="s">
        <v>349</v>
      </c>
      <c r="C29" t="s">
        <v>351</v>
      </c>
      <c r="D29" s="3" t="s">
        <v>31</v>
      </c>
      <c r="E29" s="10">
        <v>1.2500000000000001E-2</v>
      </c>
      <c r="F29" s="13" t="s">
        <v>176</v>
      </c>
      <c r="G29" s="9">
        <v>200</v>
      </c>
      <c r="H29" s="9">
        <f t="shared" si="0"/>
        <v>2.5</v>
      </c>
      <c r="I29" t="s">
        <v>179</v>
      </c>
      <c r="J29" s="33" t="s">
        <v>490</v>
      </c>
      <c r="K29" s="18">
        <f>VLOOKUP(D29,Ingredients!C:G,5,0)</f>
        <v>350</v>
      </c>
      <c r="L29" s="52">
        <f t="shared" si="1"/>
        <v>4.375</v>
      </c>
    </row>
    <row r="30" spans="1:12">
      <c r="A30" t="s">
        <v>25</v>
      </c>
      <c r="B30" t="s">
        <v>349</v>
      </c>
      <c r="C30" t="s">
        <v>351</v>
      </c>
      <c r="D30" s="3" t="s">
        <v>32</v>
      </c>
      <c r="E30" s="10">
        <v>1.2500000000000001E-2</v>
      </c>
      <c r="F30" s="13" t="s">
        <v>176</v>
      </c>
      <c r="G30" s="9">
        <v>154.99</v>
      </c>
      <c r="H30" s="9">
        <f t="shared" si="0"/>
        <v>1.9373750000000003</v>
      </c>
      <c r="I30" t="s">
        <v>179</v>
      </c>
      <c r="J30" s="33" t="s">
        <v>490</v>
      </c>
      <c r="K30" s="18">
        <f>VLOOKUP(D30,Ingredients!C:G,5,0)</f>
        <v>14870</v>
      </c>
      <c r="L30" s="52">
        <f t="shared" si="1"/>
        <v>185.875</v>
      </c>
    </row>
    <row r="31" spans="1:12">
      <c r="A31" t="s">
        <v>25</v>
      </c>
      <c r="B31" t="s">
        <v>349</v>
      </c>
      <c r="C31" t="s">
        <v>351</v>
      </c>
      <c r="D31" s="3" t="s">
        <v>33</v>
      </c>
      <c r="E31" s="10">
        <v>1.4999999999999999E-2</v>
      </c>
      <c r="F31" s="13" t="s">
        <v>176</v>
      </c>
      <c r="G31" s="9">
        <v>350</v>
      </c>
      <c r="H31" s="9">
        <f t="shared" si="0"/>
        <v>5.25</v>
      </c>
      <c r="I31" t="s">
        <v>179</v>
      </c>
      <c r="J31" s="33" t="s">
        <v>490</v>
      </c>
      <c r="K31" s="18">
        <f>VLOOKUP(D31,Ingredients!C:G,5,0)</f>
        <v>400</v>
      </c>
      <c r="L31" s="52">
        <f t="shared" si="1"/>
        <v>6</v>
      </c>
    </row>
    <row r="32" spans="1:12">
      <c r="A32" t="s">
        <v>25</v>
      </c>
      <c r="B32" t="s">
        <v>349</v>
      </c>
      <c r="C32" t="s">
        <v>351</v>
      </c>
      <c r="D32" s="3" t="s">
        <v>849</v>
      </c>
      <c r="E32" s="10">
        <v>1.7500000000000002E-2</v>
      </c>
      <c r="F32" s="13" t="s">
        <v>176</v>
      </c>
      <c r="G32" s="9">
        <v>1000</v>
      </c>
      <c r="H32" s="9">
        <f t="shared" si="0"/>
        <v>17.5</v>
      </c>
      <c r="I32" t="s">
        <v>179</v>
      </c>
      <c r="J32" s="33" t="s">
        <v>490</v>
      </c>
      <c r="K32" s="18">
        <f>VLOOKUP(D32,Ingredients!C:G,5,0)</f>
        <v>950</v>
      </c>
      <c r="L32" s="52">
        <f t="shared" si="1"/>
        <v>16.625</v>
      </c>
    </row>
    <row r="33" spans="1:12">
      <c r="A33" t="s">
        <v>25</v>
      </c>
      <c r="B33" t="s">
        <v>349</v>
      </c>
      <c r="C33" t="s">
        <v>351</v>
      </c>
      <c r="D33" s="3" t="s">
        <v>855</v>
      </c>
      <c r="E33" s="10">
        <v>1.2500000000000001E-2</v>
      </c>
      <c r="F33" s="13" t="s">
        <v>176</v>
      </c>
      <c r="G33" s="9">
        <v>2400</v>
      </c>
      <c r="H33" s="9">
        <f t="shared" si="0"/>
        <v>30</v>
      </c>
      <c r="I33" t="s">
        <v>179</v>
      </c>
      <c r="J33" s="33" t="s">
        <v>490</v>
      </c>
      <c r="K33" s="18">
        <f>VLOOKUP(D33,Ingredients!C:G,5,0)</f>
        <v>1600</v>
      </c>
      <c r="L33" s="52">
        <f t="shared" si="1"/>
        <v>20</v>
      </c>
    </row>
    <row r="34" spans="1:12">
      <c r="A34" t="s">
        <v>25</v>
      </c>
      <c r="B34" t="s">
        <v>349</v>
      </c>
      <c r="C34" t="s">
        <v>351</v>
      </c>
      <c r="D34" s="3" t="s">
        <v>35</v>
      </c>
      <c r="E34" s="10">
        <v>2.5000000000000001E-2</v>
      </c>
      <c r="F34" s="13" t="s">
        <v>176</v>
      </c>
      <c r="G34" s="9">
        <v>13</v>
      </c>
      <c r="H34" s="9">
        <f t="shared" si="0"/>
        <v>0.32500000000000001</v>
      </c>
      <c r="I34" t="s">
        <v>179</v>
      </c>
      <c r="J34" s="33" t="s">
        <v>490</v>
      </c>
      <c r="K34" s="18">
        <f>VLOOKUP(D34,Ingredients!C:G,5,0)</f>
        <v>15</v>
      </c>
      <c r="L34" s="52">
        <f t="shared" si="1"/>
        <v>0.375</v>
      </c>
    </row>
    <row r="35" spans="1:12">
      <c r="A35" t="s">
        <v>25</v>
      </c>
      <c r="B35" t="s">
        <v>349</v>
      </c>
      <c r="C35" t="s">
        <v>351</v>
      </c>
      <c r="D35" s="3" t="s">
        <v>833</v>
      </c>
      <c r="E35" s="10">
        <v>1</v>
      </c>
      <c r="F35" s="13" t="s">
        <v>176</v>
      </c>
      <c r="G35" s="9">
        <v>1020</v>
      </c>
      <c r="H35" s="9">
        <f t="shared" si="0"/>
        <v>1020</v>
      </c>
      <c r="I35" t="s">
        <v>179</v>
      </c>
      <c r="J35" s="33" t="s">
        <v>490</v>
      </c>
      <c r="K35" s="18">
        <f>VLOOKUP(D35,Ingredients!C:G,5,0)</f>
        <v>1000</v>
      </c>
      <c r="L35" s="52">
        <f t="shared" si="1"/>
        <v>1000</v>
      </c>
    </row>
    <row r="36" spans="1:12">
      <c r="A36" t="s">
        <v>37</v>
      </c>
      <c r="B36" t="s">
        <v>349</v>
      </c>
      <c r="C36" t="s">
        <v>350</v>
      </c>
      <c r="D36" s="3" t="s">
        <v>856</v>
      </c>
      <c r="E36" s="10">
        <v>6.6666666666666671E-3</v>
      </c>
      <c r="F36" s="13" t="s">
        <v>176</v>
      </c>
      <c r="G36" s="9">
        <v>850</v>
      </c>
      <c r="H36" s="9">
        <f t="shared" si="0"/>
        <v>5.666666666666667</v>
      </c>
      <c r="I36" t="s">
        <v>179</v>
      </c>
      <c r="J36" s="33" t="s">
        <v>490</v>
      </c>
      <c r="K36" s="18">
        <f>VLOOKUP(D36,Ingredients!C:G,5,0)</f>
        <v>980</v>
      </c>
      <c r="L36" s="52">
        <f t="shared" si="1"/>
        <v>6.5333333333333341</v>
      </c>
    </row>
    <row r="37" spans="1:12">
      <c r="A37" t="s">
        <v>37</v>
      </c>
      <c r="B37" t="s">
        <v>349</v>
      </c>
      <c r="C37" t="s">
        <v>350</v>
      </c>
      <c r="D37" s="3" t="s">
        <v>857</v>
      </c>
      <c r="E37" s="10">
        <v>0.01</v>
      </c>
      <c r="F37" s="13" t="s">
        <v>176</v>
      </c>
      <c r="G37" s="9">
        <v>520</v>
      </c>
      <c r="H37" s="9">
        <f t="shared" si="0"/>
        <v>5.2</v>
      </c>
      <c r="I37" t="s">
        <v>179</v>
      </c>
      <c r="J37" s="33" t="s">
        <v>490</v>
      </c>
      <c r="K37" s="18">
        <f>VLOOKUP(D37,Ingredients!C:G,5,0)</f>
        <v>880</v>
      </c>
      <c r="L37" s="52">
        <f t="shared" si="1"/>
        <v>8.8000000000000007</v>
      </c>
    </row>
    <row r="38" spans="1:12">
      <c r="A38" t="s">
        <v>37</v>
      </c>
      <c r="B38" t="s">
        <v>349</v>
      </c>
      <c r="C38" t="s">
        <v>350</v>
      </c>
      <c r="D38" s="3" t="s">
        <v>858</v>
      </c>
      <c r="E38" s="10">
        <v>6.6666666666666671E-3</v>
      </c>
      <c r="F38" s="13" t="s">
        <v>176</v>
      </c>
      <c r="G38" s="9">
        <v>1900</v>
      </c>
      <c r="H38" s="9">
        <f t="shared" si="0"/>
        <v>12.666666666666668</v>
      </c>
      <c r="I38" t="s">
        <v>179</v>
      </c>
      <c r="J38" s="33" t="s">
        <v>490</v>
      </c>
      <c r="K38" s="18">
        <f>VLOOKUP(D38,Ingredients!C:G,5,0)</f>
        <v>1900</v>
      </c>
      <c r="L38" s="52">
        <f t="shared" si="1"/>
        <v>12.666666666666668</v>
      </c>
    </row>
    <row r="39" spans="1:12">
      <c r="A39" t="s">
        <v>37</v>
      </c>
      <c r="B39" t="s">
        <v>349</v>
      </c>
      <c r="C39" t="s">
        <v>350</v>
      </c>
      <c r="D39" s="3" t="s">
        <v>41</v>
      </c>
      <c r="E39" s="10">
        <v>0.01</v>
      </c>
      <c r="F39" s="13" t="s">
        <v>176</v>
      </c>
      <c r="G39" s="9">
        <v>550</v>
      </c>
      <c r="H39" s="9">
        <f t="shared" si="0"/>
        <v>5.5</v>
      </c>
      <c r="I39" t="s">
        <v>179</v>
      </c>
      <c r="J39" s="33" t="s">
        <v>490</v>
      </c>
      <c r="K39" s="18">
        <f>VLOOKUP(D39,Ingredients!C:G,5,0)</f>
        <v>550</v>
      </c>
      <c r="L39" s="52">
        <f t="shared" si="1"/>
        <v>5.5</v>
      </c>
    </row>
    <row r="40" spans="1:12">
      <c r="A40" t="s">
        <v>37</v>
      </c>
      <c r="B40" t="s">
        <v>349</v>
      </c>
      <c r="C40" t="s">
        <v>350</v>
      </c>
      <c r="D40" s="3" t="s">
        <v>832</v>
      </c>
      <c r="E40" s="10">
        <v>0.01</v>
      </c>
      <c r="F40" s="13" t="s">
        <v>176</v>
      </c>
      <c r="G40" s="9">
        <v>128</v>
      </c>
      <c r="H40" s="9">
        <f t="shared" si="0"/>
        <v>1.28</v>
      </c>
      <c r="I40" t="s">
        <v>179</v>
      </c>
      <c r="J40" s="33" t="s">
        <v>490</v>
      </c>
      <c r="K40" s="18">
        <f>VLOOKUP(D40,Ingredients!C:G,5,0)</f>
        <v>131.19999999999999</v>
      </c>
      <c r="L40" s="52">
        <f t="shared" si="1"/>
        <v>1.3119999999999998</v>
      </c>
    </row>
    <row r="41" spans="1:12">
      <c r="A41" t="s">
        <v>37</v>
      </c>
      <c r="B41" t="s">
        <v>349</v>
      </c>
      <c r="C41" t="s">
        <v>350</v>
      </c>
      <c r="D41" s="3" t="s">
        <v>859</v>
      </c>
      <c r="E41" s="10">
        <v>6.6666666666666671E-3</v>
      </c>
      <c r="F41" s="13" t="s">
        <v>176</v>
      </c>
      <c r="G41" s="9">
        <v>650</v>
      </c>
      <c r="H41" s="9">
        <f t="shared" si="0"/>
        <v>4.3333333333333339</v>
      </c>
      <c r="I41" t="s">
        <v>179</v>
      </c>
      <c r="J41" s="33" t="s">
        <v>490</v>
      </c>
      <c r="K41" s="18">
        <f>VLOOKUP(D41,Ingredients!C:G,5,0)</f>
        <v>700</v>
      </c>
      <c r="L41" s="52">
        <f t="shared" si="1"/>
        <v>4.666666666666667</v>
      </c>
    </row>
    <row r="42" spans="1:12">
      <c r="A42" t="s">
        <v>37</v>
      </c>
      <c r="B42" t="s">
        <v>349</v>
      </c>
      <c r="C42" t="s">
        <v>350</v>
      </c>
      <c r="D42" s="3" t="s">
        <v>860</v>
      </c>
      <c r="E42" s="10">
        <v>6.6666666666666671E-3</v>
      </c>
      <c r="F42" s="13" t="s">
        <v>176</v>
      </c>
      <c r="G42" s="9">
        <v>2000</v>
      </c>
      <c r="H42" s="9">
        <f t="shared" si="0"/>
        <v>13.333333333333334</v>
      </c>
      <c r="I42" t="s">
        <v>179</v>
      </c>
      <c r="J42" s="33" t="s">
        <v>490</v>
      </c>
      <c r="K42" s="18">
        <f>VLOOKUP(D42,Ingredients!C:G,5,0)</f>
        <v>1900</v>
      </c>
      <c r="L42" s="52">
        <f t="shared" si="1"/>
        <v>12.666666666666668</v>
      </c>
    </row>
    <row r="43" spans="1:12">
      <c r="A43" t="s">
        <v>37</v>
      </c>
      <c r="B43" t="s">
        <v>349</v>
      </c>
      <c r="C43" t="s">
        <v>350</v>
      </c>
      <c r="D43" s="3" t="s">
        <v>35</v>
      </c>
      <c r="E43" s="10">
        <v>3.3333333333333333E-2</v>
      </c>
      <c r="F43" s="13" t="s">
        <v>176</v>
      </c>
      <c r="G43" s="9">
        <v>13</v>
      </c>
      <c r="H43" s="9">
        <f t="shared" si="0"/>
        <v>0.43333333333333335</v>
      </c>
      <c r="I43" t="s">
        <v>179</v>
      </c>
      <c r="J43" s="33" t="s">
        <v>490</v>
      </c>
      <c r="K43" s="18">
        <f>VLOOKUP(D43,Ingredients!C:G,5,0)</f>
        <v>15</v>
      </c>
      <c r="L43" s="52">
        <f t="shared" si="1"/>
        <v>0.5</v>
      </c>
    </row>
    <row r="44" spans="1:12">
      <c r="A44" t="s">
        <v>37</v>
      </c>
      <c r="B44" t="s">
        <v>349</v>
      </c>
      <c r="C44" t="s">
        <v>350</v>
      </c>
      <c r="D44" s="3" t="s">
        <v>853</v>
      </c>
      <c r="E44" s="10">
        <v>3.3333333333333333E-2</v>
      </c>
      <c r="F44" s="13" t="s">
        <v>176</v>
      </c>
      <c r="G44" s="9">
        <v>30</v>
      </c>
      <c r="H44" s="9">
        <f t="shared" si="0"/>
        <v>1</v>
      </c>
      <c r="I44" t="s">
        <v>179</v>
      </c>
      <c r="J44" s="33" t="s">
        <v>490</v>
      </c>
      <c r="K44" s="18">
        <f>VLOOKUP(D44,Ingredients!C:G,5,0)</f>
        <v>55</v>
      </c>
      <c r="L44" s="52">
        <f t="shared" si="1"/>
        <v>1.8333333333333333</v>
      </c>
    </row>
    <row r="45" spans="1:12">
      <c r="A45" t="s">
        <v>37</v>
      </c>
      <c r="B45" t="s">
        <v>349</v>
      </c>
      <c r="C45" t="s">
        <v>350</v>
      </c>
      <c r="D45" s="3" t="s">
        <v>29</v>
      </c>
      <c r="E45" s="10">
        <v>0.33333333333333337</v>
      </c>
      <c r="F45" s="13" t="s">
        <v>176</v>
      </c>
      <c r="G45" s="9">
        <v>60</v>
      </c>
      <c r="H45" s="9">
        <f t="shared" si="0"/>
        <v>20.000000000000004</v>
      </c>
      <c r="I45" t="s">
        <v>179</v>
      </c>
      <c r="J45" s="33" t="s">
        <v>490</v>
      </c>
      <c r="K45" s="18">
        <f>VLOOKUP(D45,Ingredients!C:G,5,0)</f>
        <v>100</v>
      </c>
      <c r="L45" s="52">
        <f t="shared" si="1"/>
        <v>33.333333333333336</v>
      </c>
    </row>
    <row r="46" spans="1:12">
      <c r="A46" t="s">
        <v>37</v>
      </c>
      <c r="B46" t="s">
        <v>349</v>
      </c>
      <c r="C46" t="s">
        <v>350</v>
      </c>
      <c r="D46" s="3" t="s">
        <v>24</v>
      </c>
      <c r="E46" s="10">
        <v>0.83333333333333337</v>
      </c>
      <c r="F46" s="13" t="s">
        <v>176</v>
      </c>
      <c r="G46" s="9">
        <v>55</v>
      </c>
      <c r="H46" s="9">
        <f t="shared" si="0"/>
        <v>45.833333333333336</v>
      </c>
      <c r="I46" t="s">
        <v>179</v>
      </c>
      <c r="J46" s="33" t="s">
        <v>490</v>
      </c>
      <c r="K46" s="18">
        <f>VLOOKUP(D46,Ingredients!C:G,5,0)</f>
        <v>80</v>
      </c>
      <c r="L46" s="52">
        <f t="shared" si="1"/>
        <v>66.666666666666671</v>
      </c>
    </row>
    <row r="47" spans="1:12">
      <c r="A47" t="s">
        <v>37</v>
      </c>
      <c r="B47" t="s">
        <v>349</v>
      </c>
      <c r="C47" t="s">
        <v>350</v>
      </c>
      <c r="D47" s="3" t="s">
        <v>855</v>
      </c>
      <c r="E47" s="10">
        <v>3.3333333333333333E-2</v>
      </c>
      <c r="F47" s="13" t="s">
        <v>176</v>
      </c>
      <c r="G47" s="9">
        <v>2400</v>
      </c>
      <c r="H47" s="9">
        <f t="shared" si="0"/>
        <v>80</v>
      </c>
      <c r="I47" t="s">
        <v>179</v>
      </c>
      <c r="J47" s="33" t="s">
        <v>490</v>
      </c>
      <c r="K47" s="18">
        <f>VLOOKUP(D47,Ingredients!C:G,5,0)</f>
        <v>1600</v>
      </c>
      <c r="L47" s="52">
        <f t="shared" si="1"/>
        <v>53.333333333333336</v>
      </c>
    </row>
    <row r="48" spans="1:12">
      <c r="A48" t="s">
        <v>37</v>
      </c>
      <c r="B48" t="s">
        <v>349</v>
      </c>
      <c r="C48" t="s">
        <v>350</v>
      </c>
      <c r="D48" s="3" t="s">
        <v>861</v>
      </c>
      <c r="E48" s="10">
        <v>0.66666666666666674</v>
      </c>
      <c r="F48" s="13" t="s">
        <v>176</v>
      </c>
      <c r="G48" s="9">
        <v>500</v>
      </c>
      <c r="H48" s="9">
        <f t="shared" si="0"/>
        <v>333.33333333333337</v>
      </c>
      <c r="I48" t="s">
        <v>179</v>
      </c>
      <c r="J48" s="33" t="s">
        <v>490</v>
      </c>
      <c r="K48" s="18">
        <f>VLOOKUP(D48,Ingredients!C:G,5,0)</f>
        <v>500</v>
      </c>
      <c r="L48" s="52">
        <f t="shared" si="1"/>
        <v>333.33333333333337</v>
      </c>
    </row>
    <row r="49" spans="1:12">
      <c r="A49" t="s">
        <v>37</v>
      </c>
      <c r="B49" t="s">
        <v>349</v>
      </c>
      <c r="C49" t="s">
        <v>350</v>
      </c>
      <c r="D49" s="3" t="s">
        <v>862</v>
      </c>
      <c r="E49" s="10">
        <v>0.01</v>
      </c>
      <c r="F49" s="13" t="s">
        <v>176</v>
      </c>
      <c r="G49" s="9">
        <v>6500</v>
      </c>
      <c r="H49" s="9">
        <f>G49*E49</f>
        <v>65</v>
      </c>
      <c r="I49" t="s">
        <v>179</v>
      </c>
      <c r="J49" s="33" t="s">
        <v>490</v>
      </c>
      <c r="K49" s="18">
        <f>VLOOKUP(D49,Ingredients!C:G,5,0)</f>
        <v>6500</v>
      </c>
      <c r="L49" s="52">
        <f t="shared" si="1"/>
        <v>65</v>
      </c>
    </row>
    <row r="50" spans="1:12">
      <c r="A50" t="s">
        <v>37</v>
      </c>
      <c r="B50" t="s">
        <v>349</v>
      </c>
      <c r="C50" t="s">
        <v>350</v>
      </c>
      <c r="D50" s="3" t="s">
        <v>833</v>
      </c>
      <c r="E50" s="10">
        <v>1</v>
      </c>
      <c r="F50" s="13" t="s">
        <v>176</v>
      </c>
      <c r="G50" s="9">
        <v>1020</v>
      </c>
      <c r="H50" s="9">
        <f t="shared" ref="H50:H113" si="2">G50*E50</f>
        <v>1020</v>
      </c>
      <c r="I50" t="s">
        <v>179</v>
      </c>
      <c r="J50" s="33" t="s">
        <v>490</v>
      </c>
      <c r="K50" s="18">
        <f>VLOOKUP(D50,Ingredients!C:G,5,0)</f>
        <v>1000</v>
      </c>
      <c r="L50" s="52">
        <f t="shared" si="1"/>
        <v>1000</v>
      </c>
    </row>
    <row r="51" spans="1:12">
      <c r="A51" t="s">
        <v>47</v>
      </c>
      <c r="B51" t="s">
        <v>349</v>
      </c>
      <c r="C51" t="s">
        <v>456</v>
      </c>
      <c r="D51" s="3" t="s">
        <v>863</v>
      </c>
      <c r="E51" s="10">
        <v>1.7500000000000002E-2</v>
      </c>
      <c r="F51" s="13" t="s">
        <v>176</v>
      </c>
      <c r="G51" s="9">
        <v>675</v>
      </c>
      <c r="H51" s="9">
        <f t="shared" si="2"/>
        <v>11.812500000000002</v>
      </c>
      <c r="I51" t="s">
        <v>179</v>
      </c>
      <c r="J51" s="33" t="s">
        <v>490</v>
      </c>
      <c r="K51" s="18">
        <f>VLOOKUP(D51,Ingredients!C:G,5,0)</f>
        <v>675</v>
      </c>
      <c r="L51" s="52">
        <f t="shared" si="1"/>
        <v>11.812500000000002</v>
      </c>
    </row>
    <row r="52" spans="1:12">
      <c r="A52" t="s">
        <v>47</v>
      </c>
      <c r="B52" t="s">
        <v>349</v>
      </c>
      <c r="C52" t="s">
        <v>456</v>
      </c>
      <c r="D52" s="3" t="s">
        <v>830</v>
      </c>
      <c r="E52" s="10">
        <v>1.2500000000000001E-2</v>
      </c>
      <c r="F52" s="13" t="s">
        <v>176</v>
      </c>
      <c r="G52" s="9">
        <v>149</v>
      </c>
      <c r="H52" s="9">
        <f t="shared" si="2"/>
        <v>1.8625</v>
      </c>
      <c r="I52" t="s">
        <v>179</v>
      </c>
      <c r="J52" s="33" t="s">
        <v>490</v>
      </c>
      <c r="K52" s="18">
        <f>VLOOKUP(D52,Ingredients!C:G,5,0)</f>
        <v>123</v>
      </c>
      <c r="L52" s="52">
        <f t="shared" si="1"/>
        <v>1.5375000000000001</v>
      </c>
    </row>
    <row r="53" spans="1:12">
      <c r="A53" t="s">
        <v>47</v>
      </c>
      <c r="B53" t="s">
        <v>349</v>
      </c>
      <c r="C53" t="s">
        <v>456</v>
      </c>
      <c r="D53" s="3" t="s">
        <v>864</v>
      </c>
      <c r="E53" s="10">
        <v>2.5000000000000001E-2</v>
      </c>
      <c r="F53" s="13" t="s">
        <v>176</v>
      </c>
      <c r="G53" s="9">
        <v>1400</v>
      </c>
      <c r="H53" s="9">
        <f t="shared" si="2"/>
        <v>35</v>
      </c>
      <c r="I53" t="s">
        <v>179</v>
      </c>
      <c r="J53" s="33" t="s">
        <v>490</v>
      </c>
      <c r="K53" s="18">
        <f>VLOOKUP(D53,Ingredients!C:G,5,0)</f>
        <v>1400</v>
      </c>
      <c r="L53" s="52">
        <f t="shared" si="1"/>
        <v>35</v>
      </c>
    </row>
    <row r="54" spans="1:12">
      <c r="A54" t="s">
        <v>47</v>
      </c>
      <c r="B54" t="s">
        <v>349</v>
      </c>
      <c r="C54" t="s">
        <v>456</v>
      </c>
      <c r="D54" s="3" t="s">
        <v>853</v>
      </c>
      <c r="E54" s="10">
        <v>3.5000000000000003E-2</v>
      </c>
      <c r="F54" s="13" t="s">
        <v>176</v>
      </c>
      <c r="G54" s="9">
        <v>30</v>
      </c>
      <c r="H54" s="9">
        <f t="shared" si="2"/>
        <v>1.05</v>
      </c>
      <c r="I54" t="s">
        <v>179</v>
      </c>
      <c r="J54" s="33" t="s">
        <v>490</v>
      </c>
      <c r="K54" s="18">
        <f>VLOOKUP(D54,Ingredients!C:G,5,0)</f>
        <v>55</v>
      </c>
      <c r="L54" s="52">
        <f t="shared" si="1"/>
        <v>1.9250000000000003</v>
      </c>
    </row>
    <row r="55" spans="1:12">
      <c r="A55" t="s">
        <v>47</v>
      </c>
      <c r="B55" t="s">
        <v>349</v>
      </c>
      <c r="C55" t="s">
        <v>456</v>
      </c>
      <c r="D55" s="3" t="s">
        <v>865</v>
      </c>
      <c r="E55" s="10">
        <v>2.5000000000000001E-2</v>
      </c>
      <c r="F55" s="13" t="s">
        <v>176</v>
      </c>
      <c r="G55" s="9">
        <v>1400</v>
      </c>
      <c r="H55" s="9">
        <f t="shared" si="2"/>
        <v>35</v>
      </c>
      <c r="I55" t="s">
        <v>179</v>
      </c>
      <c r="J55" s="33" t="s">
        <v>490</v>
      </c>
      <c r="K55" s="18">
        <f>VLOOKUP(D55,Ingredients!C:G,5,0)</f>
        <v>1400</v>
      </c>
      <c r="L55" s="52">
        <f t="shared" si="1"/>
        <v>35</v>
      </c>
    </row>
    <row r="56" spans="1:12">
      <c r="A56" t="s">
        <v>47</v>
      </c>
      <c r="B56" t="s">
        <v>349</v>
      </c>
      <c r="C56" t="s">
        <v>456</v>
      </c>
      <c r="D56" s="3" t="s">
        <v>866</v>
      </c>
      <c r="E56" s="10">
        <v>3.7499999999999999E-2</v>
      </c>
      <c r="F56" s="13" t="s">
        <v>176</v>
      </c>
      <c r="G56" s="9">
        <v>153.97999999999999</v>
      </c>
      <c r="H56" s="9">
        <f t="shared" si="2"/>
        <v>5.7742499999999994</v>
      </c>
      <c r="I56" t="s">
        <v>179</v>
      </c>
      <c r="J56" s="33" t="s">
        <v>490</v>
      </c>
      <c r="K56" s="18">
        <f>VLOOKUP(D56,Ingredients!C:G,5,0)</f>
        <v>142.13999999999999</v>
      </c>
      <c r="L56" s="52">
        <f t="shared" si="1"/>
        <v>5.3302499999999995</v>
      </c>
    </row>
    <row r="57" spans="1:12">
      <c r="A57" t="s">
        <v>47</v>
      </c>
      <c r="B57" t="s">
        <v>349</v>
      </c>
      <c r="C57" t="s">
        <v>456</v>
      </c>
      <c r="D57" s="3" t="s">
        <v>868</v>
      </c>
      <c r="E57" s="10">
        <v>1.2500000000000001E-2</v>
      </c>
      <c r="F57" s="13" t="s">
        <v>177</v>
      </c>
      <c r="G57" s="9">
        <v>5432.77</v>
      </c>
      <c r="H57" s="9">
        <f t="shared" si="2"/>
        <v>67.909625000000005</v>
      </c>
      <c r="I57" t="s">
        <v>179</v>
      </c>
      <c r="J57" s="33" t="s">
        <v>490</v>
      </c>
      <c r="K57" s="18">
        <f>VLOOKUP(D57,Ingredients!C:G,5,0)</f>
        <v>3200</v>
      </c>
      <c r="L57" s="52">
        <f t="shared" si="1"/>
        <v>40</v>
      </c>
    </row>
    <row r="58" spans="1:12">
      <c r="A58" t="s">
        <v>47</v>
      </c>
      <c r="B58" t="s">
        <v>349</v>
      </c>
      <c r="C58" t="s">
        <v>456</v>
      </c>
      <c r="D58" s="3" t="s">
        <v>867</v>
      </c>
      <c r="E58" s="10">
        <v>1.2500000000000001E-2</v>
      </c>
      <c r="F58" s="13" t="s">
        <v>176</v>
      </c>
      <c r="G58" s="9">
        <v>900</v>
      </c>
      <c r="H58" s="9">
        <f t="shared" si="2"/>
        <v>11.25</v>
      </c>
      <c r="I58" t="s">
        <v>179</v>
      </c>
      <c r="J58" s="33" t="s">
        <v>490</v>
      </c>
      <c r="K58" s="18">
        <f>VLOOKUP(D58,Ingredients!C:G,5,0)</f>
        <v>950</v>
      </c>
      <c r="L58" s="52">
        <f t="shared" si="1"/>
        <v>11.875</v>
      </c>
    </row>
    <row r="59" spans="1:12">
      <c r="A59" t="s">
        <v>47</v>
      </c>
      <c r="B59" t="s">
        <v>349</v>
      </c>
      <c r="C59" t="s">
        <v>456</v>
      </c>
      <c r="D59" s="3" t="s">
        <v>50</v>
      </c>
      <c r="E59" s="10">
        <v>6.25E-2</v>
      </c>
      <c r="F59" s="13" t="s">
        <v>176</v>
      </c>
      <c r="G59" s="9">
        <v>120</v>
      </c>
      <c r="H59" s="9">
        <f t="shared" si="2"/>
        <v>7.5</v>
      </c>
      <c r="I59" t="s">
        <v>179</v>
      </c>
      <c r="J59" s="33" t="s">
        <v>490</v>
      </c>
      <c r="K59" s="18">
        <f>VLOOKUP(D59,Ingredients!C:G,5,0)</f>
        <v>120</v>
      </c>
      <c r="L59" s="52">
        <f t="shared" si="1"/>
        <v>7.5</v>
      </c>
    </row>
    <row r="60" spans="1:12">
      <c r="A60" t="s">
        <v>47</v>
      </c>
      <c r="B60" t="s">
        <v>349</v>
      </c>
      <c r="C60" t="s">
        <v>456</v>
      </c>
      <c r="D60" s="3" t="s">
        <v>16</v>
      </c>
      <c r="E60" s="10">
        <v>0.05</v>
      </c>
      <c r="F60" s="13" t="s">
        <v>176</v>
      </c>
      <c r="G60" s="9">
        <v>270</v>
      </c>
      <c r="H60" s="9">
        <f t="shared" si="2"/>
        <v>13.5</v>
      </c>
      <c r="I60" t="s">
        <v>179</v>
      </c>
      <c r="J60" s="33" t="s">
        <v>490</v>
      </c>
      <c r="K60" s="18">
        <f>VLOOKUP(D60,Ingredients!C:G,5,0)</f>
        <v>310</v>
      </c>
      <c r="L60" s="52">
        <f t="shared" si="1"/>
        <v>15.5</v>
      </c>
    </row>
    <row r="61" spans="1:12">
      <c r="A61" t="s">
        <v>47</v>
      </c>
      <c r="B61" t="s">
        <v>349</v>
      </c>
      <c r="C61" t="s">
        <v>456</v>
      </c>
      <c r="D61" s="3" t="s">
        <v>23</v>
      </c>
      <c r="E61" s="10">
        <v>0.05</v>
      </c>
      <c r="F61" s="13" t="s">
        <v>176</v>
      </c>
      <c r="G61" s="9">
        <v>740</v>
      </c>
      <c r="H61" s="9">
        <f t="shared" si="2"/>
        <v>37</v>
      </c>
      <c r="I61" t="s">
        <v>179</v>
      </c>
      <c r="J61" s="33" t="s">
        <v>490</v>
      </c>
      <c r="K61" s="18">
        <f>VLOOKUP(D61,Ingredients!C:G,5,0)</f>
        <v>780</v>
      </c>
      <c r="L61" s="52">
        <f t="shared" si="1"/>
        <v>39</v>
      </c>
    </row>
    <row r="62" spans="1:12">
      <c r="A62" t="s">
        <v>47</v>
      </c>
      <c r="B62" t="s">
        <v>349</v>
      </c>
      <c r="C62" t="s">
        <v>456</v>
      </c>
      <c r="D62" s="3" t="s">
        <v>849</v>
      </c>
      <c r="E62" s="10">
        <v>0.03</v>
      </c>
      <c r="F62" s="13" t="s">
        <v>176</v>
      </c>
      <c r="G62" s="9">
        <v>1000</v>
      </c>
      <c r="H62" s="9">
        <f t="shared" si="2"/>
        <v>30</v>
      </c>
      <c r="I62" t="s">
        <v>179</v>
      </c>
      <c r="J62" s="33" t="s">
        <v>490</v>
      </c>
      <c r="K62" s="18">
        <f>VLOOKUP(D62,Ingredients!C:G,5,0)</f>
        <v>950</v>
      </c>
      <c r="L62" s="52">
        <f t="shared" si="1"/>
        <v>28.5</v>
      </c>
    </row>
    <row r="63" spans="1:12">
      <c r="A63" t="s">
        <v>47</v>
      </c>
      <c r="B63" t="s">
        <v>349</v>
      </c>
      <c r="C63" t="s">
        <v>456</v>
      </c>
      <c r="D63" s="3" t="s">
        <v>834</v>
      </c>
      <c r="E63" s="10">
        <v>2.5000000000000001E-2</v>
      </c>
      <c r="F63" s="13" t="s">
        <v>176</v>
      </c>
      <c r="G63" s="9">
        <v>515</v>
      </c>
      <c r="H63" s="9">
        <f t="shared" si="2"/>
        <v>12.875</v>
      </c>
      <c r="I63" t="s">
        <v>179</v>
      </c>
      <c r="J63" s="33" t="s">
        <v>490</v>
      </c>
      <c r="K63" s="18">
        <f>VLOOKUP(D63,Ingredients!C:G,5,0)</f>
        <v>540</v>
      </c>
      <c r="L63" s="52">
        <f t="shared" si="1"/>
        <v>13.5</v>
      </c>
    </row>
    <row r="64" spans="1:12">
      <c r="A64" t="s">
        <v>47</v>
      </c>
      <c r="B64" t="s">
        <v>349</v>
      </c>
      <c r="C64" t="s">
        <v>456</v>
      </c>
      <c r="D64" s="3" t="s">
        <v>52</v>
      </c>
      <c r="E64" s="10">
        <v>3.7499999999999999E-2</v>
      </c>
      <c r="F64" s="13" t="s">
        <v>176</v>
      </c>
      <c r="G64" s="9">
        <v>175</v>
      </c>
      <c r="H64" s="9">
        <f t="shared" si="2"/>
        <v>6.5625</v>
      </c>
      <c r="I64" t="s">
        <v>179</v>
      </c>
      <c r="J64" s="33" t="s">
        <v>490</v>
      </c>
      <c r="K64" s="18">
        <f>VLOOKUP(D64,Ingredients!C:G,5,0)</f>
        <v>175</v>
      </c>
      <c r="L64" s="52">
        <f t="shared" si="1"/>
        <v>6.5625</v>
      </c>
    </row>
    <row r="65" spans="1:12">
      <c r="A65" t="s">
        <v>47</v>
      </c>
      <c r="B65" t="s">
        <v>349</v>
      </c>
      <c r="C65" t="s">
        <v>456</v>
      </c>
      <c r="D65" s="3" t="s">
        <v>869</v>
      </c>
      <c r="E65" s="10">
        <v>0.05</v>
      </c>
      <c r="F65" s="13" t="s">
        <v>177</v>
      </c>
      <c r="G65" s="9">
        <v>160</v>
      </c>
      <c r="H65" s="9">
        <f t="shared" si="2"/>
        <v>8</v>
      </c>
      <c r="I65" t="s">
        <v>179</v>
      </c>
      <c r="J65" s="33" t="s">
        <v>490</v>
      </c>
      <c r="K65" s="18">
        <f>VLOOKUP(D65,Ingredients!C:G,5,0)</f>
        <v>527</v>
      </c>
      <c r="L65" s="52">
        <f t="shared" si="1"/>
        <v>26.35</v>
      </c>
    </row>
    <row r="66" spans="1:12">
      <c r="A66" t="s">
        <v>47</v>
      </c>
      <c r="B66" t="s">
        <v>349</v>
      </c>
      <c r="C66" t="s">
        <v>456</v>
      </c>
      <c r="D66" s="3" t="s">
        <v>833</v>
      </c>
      <c r="E66" s="10">
        <v>1</v>
      </c>
      <c r="F66" s="13" t="s">
        <v>174</v>
      </c>
      <c r="G66" s="9">
        <v>1020</v>
      </c>
      <c r="H66" s="9">
        <f t="shared" si="2"/>
        <v>1020</v>
      </c>
      <c r="I66" t="s">
        <v>179</v>
      </c>
      <c r="J66" s="33" t="s">
        <v>490</v>
      </c>
      <c r="K66" s="18">
        <f>VLOOKUP(D66,Ingredients!C:G,5,0)</f>
        <v>1000</v>
      </c>
      <c r="L66" s="52">
        <f t="shared" si="1"/>
        <v>1000</v>
      </c>
    </row>
    <row r="67" spans="1:12">
      <c r="A67" t="s">
        <v>64</v>
      </c>
      <c r="B67" t="s">
        <v>349</v>
      </c>
      <c r="C67" t="s">
        <v>351</v>
      </c>
      <c r="D67" s="3" t="s">
        <v>23</v>
      </c>
      <c r="E67" s="10">
        <v>0.02</v>
      </c>
      <c r="F67" s="13" t="s">
        <v>176</v>
      </c>
      <c r="G67" s="9">
        <v>740</v>
      </c>
      <c r="H67" s="9">
        <f t="shared" si="2"/>
        <v>14.8</v>
      </c>
      <c r="I67" t="s">
        <v>179</v>
      </c>
      <c r="J67" s="33" t="s">
        <v>489</v>
      </c>
      <c r="K67" s="18">
        <f>VLOOKUP(D67,Ingredients!C:G,5,0)</f>
        <v>780</v>
      </c>
      <c r="L67" s="52">
        <f t="shared" si="1"/>
        <v>15.6</v>
      </c>
    </row>
    <row r="68" spans="1:12">
      <c r="A68" t="s">
        <v>64</v>
      </c>
      <c r="B68" t="s">
        <v>349</v>
      </c>
      <c r="C68" t="s">
        <v>351</v>
      </c>
      <c r="D68" s="3" t="s">
        <v>16</v>
      </c>
      <c r="E68" s="10">
        <v>0.02</v>
      </c>
      <c r="F68" s="13" t="s">
        <v>176</v>
      </c>
      <c r="G68" s="9">
        <v>270</v>
      </c>
      <c r="H68" s="9">
        <f t="shared" si="2"/>
        <v>5.4</v>
      </c>
      <c r="I68" t="s">
        <v>179</v>
      </c>
      <c r="J68" s="33" t="s">
        <v>489</v>
      </c>
      <c r="K68" s="18">
        <f>VLOOKUP(D68,Ingredients!C:G,5,0)</f>
        <v>310</v>
      </c>
      <c r="L68" s="52">
        <f t="shared" ref="L68:L131" si="3">K68*E68</f>
        <v>6.2</v>
      </c>
    </row>
    <row r="69" spans="1:12">
      <c r="A69" t="s">
        <v>64</v>
      </c>
      <c r="B69" t="s">
        <v>349</v>
      </c>
      <c r="C69" t="s">
        <v>351</v>
      </c>
      <c r="D69" s="3" t="s">
        <v>857</v>
      </c>
      <c r="E69" s="10">
        <v>0.02</v>
      </c>
      <c r="F69" s="13" t="s">
        <v>176</v>
      </c>
      <c r="G69" s="9">
        <v>520</v>
      </c>
      <c r="H69" s="9">
        <f t="shared" si="2"/>
        <v>10.4</v>
      </c>
      <c r="I69" t="s">
        <v>179</v>
      </c>
      <c r="J69" s="33" t="s">
        <v>489</v>
      </c>
      <c r="K69" s="18">
        <f>VLOOKUP(D69,Ingredients!C:G,5,0)</f>
        <v>880</v>
      </c>
      <c r="L69" s="52">
        <f t="shared" si="3"/>
        <v>17.600000000000001</v>
      </c>
    </row>
    <row r="70" spans="1:12">
      <c r="A70" t="s">
        <v>64</v>
      </c>
      <c r="B70" t="s">
        <v>349</v>
      </c>
      <c r="C70" t="s">
        <v>351</v>
      </c>
      <c r="D70" s="3" t="s">
        <v>859</v>
      </c>
      <c r="E70" s="10">
        <v>1.6E-2</v>
      </c>
      <c r="F70" s="13" t="s">
        <v>176</v>
      </c>
      <c r="G70" s="9">
        <v>650</v>
      </c>
      <c r="H70" s="9">
        <f t="shared" si="2"/>
        <v>10.4</v>
      </c>
      <c r="I70" t="s">
        <v>179</v>
      </c>
      <c r="J70" s="33" t="s">
        <v>489</v>
      </c>
      <c r="K70" s="18">
        <f>VLOOKUP(D70,Ingredients!C:G,5,0)</f>
        <v>700</v>
      </c>
      <c r="L70" s="52">
        <f t="shared" si="3"/>
        <v>11.200000000000001</v>
      </c>
    </row>
    <row r="71" spans="1:12">
      <c r="A71" t="s">
        <v>64</v>
      </c>
      <c r="B71" t="s">
        <v>349</v>
      </c>
      <c r="C71" t="s">
        <v>351</v>
      </c>
      <c r="D71" s="3" t="s">
        <v>864</v>
      </c>
      <c r="E71" s="10">
        <v>1.2E-2</v>
      </c>
      <c r="F71" s="13" t="s">
        <v>176</v>
      </c>
      <c r="G71" s="9">
        <v>1400</v>
      </c>
      <c r="H71" s="9">
        <f t="shared" si="2"/>
        <v>16.8</v>
      </c>
      <c r="I71" t="s">
        <v>179</v>
      </c>
      <c r="J71" s="33" t="s">
        <v>489</v>
      </c>
      <c r="K71" s="18">
        <f>VLOOKUP(D71,Ingredients!C:G,5,0)</f>
        <v>1400</v>
      </c>
      <c r="L71" s="52">
        <f t="shared" si="3"/>
        <v>16.8</v>
      </c>
    </row>
    <row r="72" spans="1:12">
      <c r="A72" t="s">
        <v>64</v>
      </c>
      <c r="B72" t="s">
        <v>349</v>
      </c>
      <c r="C72" t="s">
        <v>351</v>
      </c>
      <c r="D72" s="3" t="s">
        <v>849</v>
      </c>
      <c r="E72" s="10">
        <v>1.6E-2</v>
      </c>
      <c r="F72" s="13" t="s">
        <v>176</v>
      </c>
      <c r="G72" s="9">
        <v>1000</v>
      </c>
      <c r="H72" s="9">
        <f t="shared" si="2"/>
        <v>16</v>
      </c>
      <c r="I72" t="s">
        <v>179</v>
      </c>
      <c r="J72" s="33" t="s">
        <v>489</v>
      </c>
      <c r="K72" s="18">
        <f>VLOOKUP(D72,Ingredients!C:G,5,0)</f>
        <v>950</v>
      </c>
      <c r="L72" s="52">
        <f t="shared" si="3"/>
        <v>15.200000000000001</v>
      </c>
    </row>
    <row r="73" spans="1:12">
      <c r="A73" t="s">
        <v>64</v>
      </c>
      <c r="B73" t="s">
        <v>349</v>
      </c>
      <c r="C73" t="s">
        <v>351</v>
      </c>
      <c r="D73" s="3" t="s">
        <v>41</v>
      </c>
      <c r="E73" s="10">
        <v>1.2E-2</v>
      </c>
      <c r="F73" s="13" t="s">
        <v>176</v>
      </c>
      <c r="G73" s="9">
        <v>550</v>
      </c>
      <c r="H73" s="9">
        <f t="shared" si="2"/>
        <v>6.6000000000000005</v>
      </c>
      <c r="I73" t="s">
        <v>179</v>
      </c>
      <c r="J73" s="33" t="s">
        <v>489</v>
      </c>
      <c r="K73" s="18">
        <f>VLOOKUP(D73,Ingredients!C:G,5,0)</f>
        <v>550</v>
      </c>
      <c r="L73" s="52">
        <f t="shared" si="3"/>
        <v>6.6000000000000005</v>
      </c>
    </row>
    <row r="74" spans="1:12">
      <c r="A74" t="s">
        <v>64</v>
      </c>
      <c r="B74" t="s">
        <v>349</v>
      </c>
      <c r="C74" t="s">
        <v>351</v>
      </c>
      <c r="D74" s="3" t="s">
        <v>858</v>
      </c>
      <c r="E74" s="10">
        <v>1.2E-2</v>
      </c>
      <c r="F74" s="13" t="s">
        <v>176</v>
      </c>
      <c r="G74" s="9">
        <v>1900</v>
      </c>
      <c r="H74" s="9">
        <f t="shared" si="2"/>
        <v>22.8</v>
      </c>
      <c r="I74" t="s">
        <v>179</v>
      </c>
      <c r="J74" s="33" t="s">
        <v>489</v>
      </c>
      <c r="K74" s="18">
        <f>VLOOKUP(D74,Ingredients!C:G,5,0)</f>
        <v>1900</v>
      </c>
      <c r="L74" s="52">
        <f t="shared" si="3"/>
        <v>22.8</v>
      </c>
    </row>
    <row r="75" spans="1:12">
      <c r="A75" t="s">
        <v>64</v>
      </c>
      <c r="B75" t="s">
        <v>349</v>
      </c>
      <c r="C75" t="s">
        <v>351</v>
      </c>
      <c r="D75" s="3" t="s">
        <v>860</v>
      </c>
      <c r="E75" s="10">
        <v>1.2E-2</v>
      </c>
      <c r="F75" s="13" t="s">
        <v>176</v>
      </c>
      <c r="G75" s="9">
        <v>2000</v>
      </c>
      <c r="H75" s="9">
        <f t="shared" si="2"/>
        <v>24</v>
      </c>
      <c r="I75" t="s">
        <v>179</v>
      </c>
      <c r="J75" s="33" t="s">
        <v>489</v>
      </c>
      <c r="K75" s="18">
        <f>VLOOKUP(D75,Ingredients!C:G,5,0)</f>
        <v>1900</v>
      </c>
      <c r="L75" s="52">
        <f t="shared" si="3"/>
        <v>22.8</v>
      </c>
    </row>
    <row r="76" spans="1:12">
      <c r="A76" t="s">
        <v>64</v>
      </c>
      <c r="B76" t="s">
        <v>349</v>
      </c>
      <c r="C76" t="s">
        <v>351</v>
      </c>
      <c r="D76" s="3" t="s">
        <v>855</v>
      </c>
      <c r="E76" s="10">
        <v>1.6E-2</v>
      </c>
      <c r="F76" s="13" t="s">
        <v>176</v>
      </c>
      <c r="G76" s="9">
        <v>2400</v>
      </c>
      <c r="H76" s="9">
        <f t="shared" si="2"/>
        <v>38.4</v>
      </c>
      <c r="I76" t="s">
        <v>179</v>
      </c>
      <c r="J76" s="33" t="s">
        <v>489</v>
      </c>
      <c r="K76" s="18">
        <f>VLOOKUP(D76,Ingredients!C:G,5,0)</f>
        <v>1600</v>
      </c>
      <c r="L76" s="52">
        <f t="shared" si="3"/>
        <v>25.6</v>
      </c>
    </row>
    <row r="77" spans="1:12">
      <c r="A77" t="s">
        <v>64</v>
      </c>
      <c r="B77" t="s">
        <v>349</v>
      </c>
      <c r="C77" t="s">
        <v>351</v>
      </c>
      <c r="D77" s="3" t="s">
        <v>870</v>
      </c>
      <c r="E77" s="10">
        <v>1.6E-2</v>
      </c>
      <c r="F77" s="13" t="s">
        <v>176</v>
      </c>
      <c r="G77" s="9">
        <v>440</v>
      </c>
      <c r="H77" s="9">
        <f t="shared" si="2"/>
        <v>7.04</v>
      </c>
      <c r="I77" t="s">
        <v>179</v>
      </c>
      <c r="J77" s="33" t="s">
        <v>489</v>
      </c>
      <c r="K77" s="18">
        <f>VLOOKUP(D77,Ingredients!C:G,5,0)</f>
        <v>450</v>
      </c>
      <c r="L77" s="52">
        <f t="shared" si="3"/>
        <v>7.2</v>
      </c>
    </row>
    <row r="78" spans="1:12">
      <c r="A78" t="s">
        <v>64</v>
      </c>
      <c r="B78" t="s">
        <v>349</v>
      </c>
      <c r="C78" t="s">
        <v>351</v>
      </c>
      <c r="D78" s="3" t="s">
        <v>871</v>
      </c>
      <c r="E78" s="10">
        <v>0.16</v>
      </c>
      <c r="F78" s="13" t="s">
        <v>176</v>
      </c>
      <c r="G78" s="9">
        <v>612.03499999999997</v>
      </c>
      <c r="H78" s="9">
        <f t="shared" si="2"/>
        <v>97.925600000000003</v>
      </c>
      <c r="I78" t="s">
        <v>179</v>
      </c>
      <c r="J78" s="33" t="s">
        <v>489</v>
      </c>
      <c r="K78" s="18">
        <f>VLOOKUP(D78,Ingredients!C:F,3,0)</f>
        <v>1500</v>
      </c>
      <c r="L78" s="52">
        <f t="shared" si="3"/>
        <v>240</v>
      </c>
    </row>
    <row r="79" spans="1:12">
      <c r="A79" t="s">
        <v>64</v>
      </c>
      <c r="B79" t="s">
        <v>349</v>
      </c>
      <c r="C79" t="s">
        <v>351</v>
      </c>
      <c r="D79" s="3" t="s">
        <v>853</v>
      </c>
      <c r="E79" s="10">
        <v>0.02</v>
      </c>
      <c r="F79" s="13" t="s">
        <v>176</v>
      </c>
      <c r="G79" s="9">
        <v>30</v>
      </c>
      <c r="H79" s="9">
        <f t="shared" si="2"/>
        <v>0.6</v>
      </c>
      <c r="I79" t="s">
        <v>179</v>
      </c>
      <c r="J79" s="33" t="s">
        <v>489</v>
      </c>
      <c r="K79" s="18">
        <f>VLOOKUP(D79,Ingredients!C:G,5,0)</f>
        <v>55</v>
      </c>
      <c r="L79" s="52">
        <f t="shared" si="3"/>
        <v>1.1000000000000001</v>
      </c>
    </row>
    <row r="80" spans="1:12">
      <c r="A80" t="s">
        <v>64</v>
      </c>
      <c r="B80" t="s">
        <v>349</v>
      </c>
      <c r="C80" t="s">
        <v>351</v>
      </c>
      <c r="D80" s="3" t="s">
        <v>24</v>
      </c>
      <c r="E80" s="10">
        <v>0.04</v>
      </c>
      <c r="F80" s="13" t="s">
        <v>176</v>
      </c>
      <c r="G80" s="9">
        <v>55</v>
      </c>
      <c r="H80" s="9">
        <f t="shared" si="2"/>
        <v>2.2000000000000002</v>
      </c>
      <c r="I80" t="s">
        <v>179</v>
      </c>
      <c r="J80" s="33" t="s">
        <v>489</v>
      </c>
      <c r="K80" s="18">
        <f>VLOOKUP(D80,Ingredients!C:G,5,0)</f>
        <v>80</v>
      </c>
      <c r="L80" s="52">
        <f t="shared" si="3"/>
        <v>3.2</v>
      </c>
    </row>
    <row r="81" spans="1:12">
      <c r="A81" t="s">
        <v>64</v>
      </c>
      <c r="B81" t="s">
        <v>349</v>
      </c>
      <c r="C81" t="s">
        <v>351</v>
      </c>
      <c r="D81" s="3" t="s">
        <v>29</v>
      </c>
      <c r="E81" s="10">
        <v>0.08</v>
      </c>
      <c r="F81" s="13" t="s">
        <v>176</v>
      </c>
      <c r="G81" s="9">
        <v>60</v>
      </c>
      <c r="H81" s="9">
        <f t="shared" si="2"/>
        <v>4.8</v>
      </c>
      <c r="I81" t="s">
        <v>179</v>
      </c>
      <c r="J81" s="33" t="s">
        <v>489</v>
      </c>
      <c r="K81" s="18">
        <f>VLOOKUP(D81,Ingredients!C:G,5,0)</f>
        <v>100</v>
      </c>
      <c r="L81" s="52">
        <f t="shared" si="3"/>
        <v>8</v>
      </c>
    </row>
    <row r="82" spans="1:12">
      <c r="A82" t="s">
        <v>64</v>
      </c>
      <c r="B82" t="s">
        <v>349</v>
      </c>
      <c r="C82" t="s">
        <v>351</v>
      </c>
      <c r="D82" s="3" t="s">
        <v>861</v>
      </c>
      <c r="E82" s="10">
        <v>0.14000000000000001</v>
      </c>
      <c r="F82" s="13" t="s">
        <v>176</v>
      </c>
      <c r="G82" s="9">
        <v>500</v>
      </c>
      <c r="H82" s="9">
        <f t="shared" si="2"/>
        <v>70</v>
      </c>
      <c r="I82" t="s">
        <v>179</v>
      </c>
      <c r="J82" s="33" t="s">
        <v>489</v>
      </c>
      <c r="K82" s="18">
        <f>VLOOKUP(D82,Ingredients!C:G,5,0)</f>
        <v>500</v>
      </c>
      <c r="L82" s="52">
        <f t="shared" si="3"/>
        <v>70</v>
      </c>
    </row>
    <row r="83" spans="1:12">
      <c r="A83" t="s">
        <v>64</v>
      </c>
      <c r="B83" t="s">
        <v>349</v>
      </c>
      <c r="C83" t="s">
        <v>351</v>
      </c>
      <c r="D83" s="3" t="s">
        <v>831</v>
      </c>
      <c r="E83" s="10">
        <v>1</v>
      </c>
      <c r="F83" s="13" t="s">
        <v>176</v>
      </c>
      <c r="G83" s="9">
        <v>908</v>
      </c>
      <c r="H83" s="9">
        <f t="shared" si="2"/>
        <v>908</v>
      </c>
      <c r="I83" t="s">
        <v>179</v>
      </c>
      <c r="J83" s="33" t="s">
        <v>489</v>
      </c>
      <c r="K83" s="18">
        <f>VLOOKUP(D83,Ingredients!C:G,5,0)</f>
        <v>908</v>
      </c>
      <c r="L83" s="52">
        <f t="shared" si="3"/>
        <v>908</v>
      </c>
    </row>
    <row r="84" spans="1:12">
      <c r="A84" t="s">
        <v>67</v>
      </c>
      <c r="B84" t="s">
        <v>349</v>
      </c>
      <c r="C84" t="s">
        <v>350</v>
      </c>
      <c r="D84" s="3" t="s">
        <v>859</v>
      </c>
      <c r="E84" s="10">
        <v>1.2500000000000001E-2</v>
      </c>
      <c r="F84" s="13" t="s">
        <v>176</v>
      </c>
      <c r="G84" s="9">
        <v>650</v>
      </c>
      <c r="H84" s="9">
        <f t="shared" si="2"/>
        <v>8.125</v>
      </c>
      <c r="I84" t="s">
        <v>179</v>
      </c>
      <c r="J84" s="33" t="s">
        <v>491</v>
      </c>
      <c r="K84" s="18">
        <f>VLOOKUP(D84,Ingredients!C:G,5,0)</f>
        <v>700</v>
      </c>
      <c r="L84" s="52">
        <f t="shared" si="3"/>
        <v>8.75</v>
      </c>
    </row>
    <row r="85" spans="1:12">
      <c r="A85" t="s">
        <v>67</v>
      </c>
      <c r="B85" t="s">
        <v>349</v>
      </c>
      <c r="C85" t="s">
        <v>350</v>
      </c>
      <c r="D85" s="3" t="s">
        <v>852</v>
      </c>
      <c r="E85" s="10">
        <v>0.15</v>
      </c>
      <c r="F85" s="13" t="s">
        <v>177</v>
      </c>
      <c r="G85" s="9">
        <v>520.63</v>
      </c>
      <c r="H85" s="9">
        <f t="shared" si="2"/>
        <v>78.094499999999996</v>
      </c>
      <c r="I85" t="s">
        <v>179</v>
      </c>
      <c r="J85" s="33" t="s">
        <v>491</v>
      </c>
      <c r="K85" s="18">
        <v>550</v>
      </c>
      <c r="L85" s="52">
        <f t="shared" si="3"/>
        <v>82.5</v>
      </c>
    </row>
    <row r="86" spans="1:12">
      <c r="A86" t="s">
        <v>67</v>
      </c>
      <c r="B86" t="s">
        <v>349</v>
      </c>
      <c r="C86" t="s">
        <v>350</v>
      </c>
      <c r="D86" s="3" t="s">
        <v>35</v>
      </c>
      <c r="E86" s="10">
        <v>1.2500000000000001E-2</v>
      </c>
      <c r="F86" s="13" t="s">
        <v>176</v>
      </c>
      <c r="G86" s="9">
        <v>13</v>
      </c>
      <c r="H86" s="9">
        <f t="shared" si="2"/>
        <v>0.16250000000000001</v>
      </c>
      <c r="I86" t="s">
        <v>179</v>
      </c>
      <c r="J86" s="33" t="s">
        <v>491</v>
      </c>
      <c r="K86" s="18">
        <f>VLOOKUP(D86,Ingredients!C:G,5,0)</f>
        <v>15</v>
      </c>
      <c r="L86" s="52">
        <f t="shared" si="3"/>
        <v>0.1875</v>
      </c>
    </row>
    <row r="87" spans="1:12">
      <c r="A87" t="s">
        <v>67</v>
      </c>
      <c r="B87" t="s">
        <v>349</v>
      </c>
      <c r="C87" t="s">
        <v>350</v>
      </c>
      <c r="D87" s="3" t="s">
        <v>55</v>
      </c>
      <c r="E87" s="10">
        <v>0.01</v>
      </c>
      <c r="F87" s="13" t="s">
        <v>176</v>
      </c>
      <c r="G87" s="9">
        <v>350</v>
      </c>
      <c r="H87" s="9">
        <f t="shared" si="2"/>
        <v>3.5</v>
      </c>
      <c r="I87" t="s">
        <v>179</v>
      </c>
      <c r="J87" s="33" t="s">
        <v>491</v>
      </c>
      <c r="K87" s="18">
        <f>VLOOKUP(D87,Ingredients!C:G,5,0)</f>
        <v>457.875</v>
      </c>
      <c r="L87" s="52">
        <f t="shared" si="3"/>
        <v>4.5787500000000003</v>
      </c>
    </row>
    <row r="88" spans="1:12">
      <c r="A88" t="s">
        <v>67</v>
      </c>
      <c r="B88" t="s">
        <v>349</v>
      </c>
      <c r="C88" t="s">
        <v>350</v>
      </c>
      <c r="D88" s="3" t="s">
        <v>857</v>
      </c>
      <c r="E88" s="10">
        <v>0.01</v>
      </c>
      <c r="F88" s="13" t="s">
        <v>176</v>
      </c>
      <c r="G88" s="9">
        <v>520</v>
      </c>
      <c r="H88" s="9">
        <f t="shared" si="2"/>
        <v>5.2</v>
      </c>
      <c r="I88" t="s">
        <v>179</v>
      </c>
      <c r="J88" s="33" t="s">
        <v>491</v>
      </c>
      <c r="K88" s="18">
        <f>VLOOKUP(D88,Ingredients!C:G,5,0)</f>
        <v>880</v>
      </c>
      <c r="L88" s="52">
        <f t="shared" si="3"/>
        <v>8.8000000000000007</v>
      </c>
    </row>
    <row r="89" spans="1:12">
      <c r="A89" t="s">
        <v>67</v>
      </c>
      <c r="B89" t="s">
        <v>349</v>
      </c>
      <c r="C89" t="s">
        <v>350</v>
      </c>
      <c r="D89" s="3" t="s">
        <v>16</v>
      </c>
      <c r="E89" s="10">
        <v>1.2500000000000001E-2</v>
      </c>
      <c r="F89" s="13" t="s">
        <v>176</v>
      </c>
      <c r="G89" s="9">
        <v>270</v>
      </c>
      <c r="H89" s="9">
        <f t="shared" si="2"/>
        <v>3.375</v>
      </c>
      <c r="I89" t="s">
        <v>179</v>
      </c>
      <c r="J89" s="33" t="s">
        <v>491</v>
      </c>
      <c r="K89" s="18">
        <f>VLOOKUP(D89,Ingredients!C:G,5,0)</f>
        <v>310</v>
      </c>
      <c r="L89" s="52">
        <f t="shared" si="3"/>
        <v>3.875</v>
      </c>
    </row>
    <row r="90" spans="1:12">
      <c r="A90" t="s">
        <v>67</v>
      </c>
      <c r="B90" t="s">
        <v>349</v>
      </c>
      <c r="C90" t="s">
        <v>350</v>
      </c>
      <c r="D90" s="3" t="s">
        <v>23</v>
      </c>
      <c r="E90" s="10">
        <v>1.2500000000000001E-2</v>
      </c>
      <c r="F90" s="13" t="s">
        <v>176</v>
      </c>
      <c r="G90" s="9">
        <v>740</v>
      </c>
      <c r="H90" s="9">
        <f t="shared" si="2"/>
        <v>9.25</v>
      </c>
      <c r="I90" t="s">
        <v>179</v>
      </c>
      <c r="J90" s="33" t="s">
        <v>491</v>
      </c>
      <c r="K90" s="18">
        <f>VLOOKUP(D90,Ingredients!C:G,5,0)</f>
        <v>780</v>
      </c>
      <c r="L90" s="52">
        <f t="shared" si="3"/>
        <v>9.75</v>
      </c>
    </row>
    <row r="91" spans="1:12">
      <c r="A91" t="s">
        <v>67</v>
      </c>
      <c r="B91" t="s">
        <v>349</v>
      </c>
      <c r="C91" t="s">
        <v>350</v>
      </c>
      <c r="D91" s="3" t="s">
        <v>805</v>
      </c>
      <c r="E91" s="10">
        <v>3.7499999999999999E-2</v>
      </c>
      <c r="F91" s="13" t="s">
        <v>176</v>
      </c>
      <c r="G91" s="9">
        <v>200</v>
      </c>
      <c r="H91" s="9">
        <f t="shared" si="2"/>
        <v>7.5</v>
      </c>
      <c r="I91" t="s">
        <v>179</v>
      </c>
      <c r="J91" s="33" t="s">
        <v>491</v>
      </c>
      <c r="K91" s="18">
        <f>VLOOKUP(D91,Ingredients!C:G,5,0)</f>
        <v>50</v>
      </c>
      <c r="L91" s="52">
        <f t="shared" si="3"/>
        <v>1.875</v>
      </c>
    </row>
    <row r="92" spans="1:12">
      <c r="A92" t="s">
        <v>67</v>
      </c>
      <c r="B92" t="s">
        <v>349</v>
      </c>
      <c r="C92" t="s">
        <v>350</v>
      </c>
      <c r="D92" s="3" t="s">
        <v>867</v>
      </c>
      <c r="E92" s="10">
        <v>1.2500000000000001E-2</v>
      </c>
      <c r="F92" s="13" t="s">
        <v>176</v>
      </c>
      <c r="G92" s="9">
        <v>900</v>
      </c>
      <c r="H92" s="9">
        <f t="shared" si="2"/>
        <v>11.25</v>
      </c>
      <c r="I92" t="s">
        <v>179</v>
      </c>
      <c r="J92" s="33" t="s">
        <v>491</v>
      </c>
      <c r="K92" s="18">
        <f>VLOOKUP(D92,Ingredients!C:G,5,0)</f>
        <v>950</v>
      </c>
      <c r="L92" s="52">
        <f t="shared" si="3"/>
        <v>11.875</v>
      </c>
    </row>
    <row r="93" spans="1:12">
      <c r="A93" t="s">
        <v>67</v>
      </c>
      <c r="B93" t="s">
        <v>349</v>
      </c>
      <c r="C93" t="s">
        <v>350</v>
      </c>
      <c r="D93" s="3" t="s">
        <v>853</v>
      </c>
      <c r="E93" s="10">
        <v>1.2500000000000001E-2</v>
      </c>
      <c r="F93" s="13" t="s">
        <v>176</v>
      </c>
      <c r="G93" s="9">
        <v>30</v>
      </c>
      <c r="H93" s="9">
        <f t="shared" si="2"/>
        <v>0.375</v>
      </c>
      <c r="I93" t="s">
        <v>179</v>
      </c>
      <c r="J93" s="33" t="s">
        <v>491</v>
      </c>
      <c r="K93" s="18">
        <f>VLOOKUP(D93,Ingredients!C:G,5,0)</f>
        <v>55</v>
      </c>
      <c r="L93" s="52">
        <f t="shared" si="3"/>
        <v>0.6875</v>
      </c>
    </row>
    <row r="94" spans="1:12">
      <c r="A94" t="s">
        <v>67</v>
      </c>
      <c r="B94" t="s">
        <v>349</v>
      </c>
      <c r="C94" t="s">
        <v>350</v>
      </c>
      <c r="D94" s="33" t="s">
        <v>491</v>
      </c>
      <c r="E94" s="10">
        <v>1</v>
      </c>
      <c r="F94" s="13" t="s">
        <v>176</v>
      </c>
      <c r="G94" s="9">
        <v>614</v>
      </c>
      <c r="H94" s="9">
        <f t="shared" si="2"/>
        <v>614</v>
      </c>
      <c r="I94" t="s">
        <v>179</v>
      </c>
      <c r="J94" s="33" t="s">
        <v>491</v>
      </c>
      <c r="K94" s="18">
        <f>VLOOKUP(D94,Ingredients!C:G,5,0)</f>
        <v>650</v>
      </c>
      <c r="L94" s="52">
        <f t="shared" si="3"/>
        <v>650</v>
      </c>
    </row>
    <row r="95" spans="1:12">
      <c r="A95" t="s">
        <v>69</v>
      </c>
      <c r="B95" t="s">
        <v>349</v>
      </c>
      <c r="C95" t="s">
        <v>350</v>
      </c>
      <c r="D95" s="3" t="s">
        <v>853</v>
      </c>
      <c r="E95" s="10">
        <v>0.01</v>
      </c>
      <c r="F95" s="13" t="s">
        <v>176</v>
      </c>
      <c r="G95" s="9">
        <v>30</v>
      </c>
      <c r="H95" s="9">
        <f t="shared" si="2"/>
        <v>0.3</v>
      </c>
      <c r="I95" t="s">
        <v>179</v>
      </c>
      <c r="J95" s="33" t="s">
        <v>491</v>
      </c>
      <c r="K95" s="18">
        <f>VLOOKUP(D95,Ingredients!C:G,5,0)</f>
        <v>55</v>
      </c>
      <c r="L95" s="52">
        <f t="shared" si="3"/>
        <v>0.55000000000000004</v>
      </c>
    </row>
    <row r="96" spans="1:12">
      <c r="A96" t="s">
        <v>69</v>
      </c>
      <c r="B96" t="s">
        <v>349</v>
      </c>
      <c r="C96" t="s">
        <v>350</v>
      </c>
      <c r="D96" s="3" t="s">
        <v>856</v>
      </c>
      <c r="E96" s="10">
        <v>0.02</v>
      </c>
      <c r="F96" s="13" t="s">
        <v>176</v>
      </c>
      <c r="G96" s="9">
        <v>850</v>
      </c>
      <c r="H96" s="9">
        <f t="shared" si="2"/>
        <v>17</v>
      </c>
      <c r="I96" t="s">
        <v>179</v>
      </c>
      <c r="J96" s="33" t="s">
        <v>491</v>
      </c>
      <c r="K96" s="18">
        <f>VLOOKUP(D96,Ingredients!C:G,5,0)</f>
        <v>980</v>
      </c>
      <c r="L96" s="52">
        <f t="shared" si="3"/>
        <v>19.600000000000001</v>
      </c>
    </row>
    <row r="97" spans="1:12">
      <c r="A97" t="s">
        <v>69</v>
      </c>
      <c r="B97" t="s">
        <v>349</v>
      </c>
      <c r="C97" t="s">
        <v>350</v>
      </c>
      <c r="D97" s="3" t="s">
        <v>872</v>
      </c>
      <c r="E97" s="10">
        <v>0.06</v>
      </c>
      <c r="F97" s="13" t="s">
        <v>176</v>
      </c>
      <c r="G97" s="9">
        <v>2100</v>
      </c>
      <c r="H97" s="9">
        <f t="shared" si="2"/>
        <v>126</v>
      </c>
      <c r="I97" t="s">
        <v>179</v>
      </c>
      <c r="J97" s="33" t="s">
        <v>491</v>
      </c>
      <c r="K97" s="18">
        <f>VLOOKUP(D97,Ingredients!C:G,5,0)</f>
        <v>2150</v>
      </c>
      <c r="L97" s="52">
        <f t="shared" si="3"/>
        <v>129</v>
      </c>
    </row>
    <row r="98" spans="1:12">
      <c r="A98" t="s">
        <v>69</v>
      </c>
      <c r="B98" t="s">
        <v>349</v>
      </c>
      <c r="C98" t="s">
        <v>350</v>
      </c>
      <c r="D98" s="3" t="s">
        <v>834</v>
      </c>
      <c r="E98" s="10">
        <v>0.01</v>
      </c>
      <c r="F98" s="13" t="s">
        <v>176</v>
      </c>
      <c r="G98" s="9">
        <v>515</v>
      </c>
      <c r="H98" s="9">
        <f t="shared" si="2"/>
        <v>5.15</v>
      </c>
      <c r="I98" t="s">
        <v>179</v>
      </c>
      <c r="J98" s="33" t="s">
        <v>491</v>
      </c>
      <c r="K98" s="18">
        <f>VLOOKUP(D98,Ingredients!C:G,5,0)</f>
        <v>540</v>
      </c>
      <c r="L98" s="52">
        <f t="shared" si="3"/>
        <v>5.4</v>
      </c>
    </row>
    <row r="99" spans="1:12">
      <c r="A99" t="s">
        <v>69</v>
      </c>
      <c r="B99" t="s">
        <v>349</v>
      </c>
      <c r="C99" t="s">
        <v>350</v>
      </c>
      <c r="D99" s="3" t="s">
        <v>863</v>
      </c>
      <c r="E99" s="10">
        <v>0.02</v>
      </c>
      <c r="F99" s="13" t="s">
        <v>176</v>
      </c>
      <c r="G99" s="9">
        <v>675</v>
      </c>
      <c r="H99" s="9">
        <f t="shared" si="2"/>
        <v>13.5</v>
      </c>
      <c r="I99" t="s">
        <v>179</v>
      </c>
      <c r="J99" s="33" t="s">
        <v>491</v>
      </c>
      <c r="K99" s="18">
        <f>VLOOKUP(D99,Ingredients!C:G,5,0)</f>
        <v>675</v>
      </c>
      <c r="L99" s="52">
        <f t="shared" si="3"/>
        <v>13.5</v>
      </c>
    </row>
    <row r="100" spans="1:12">
      <c r="A100" t="s">
        <v>69</v>
      </c>
      <c r="B100" t="s">
        <v>349</v>
      </c>
      <c r="C100" t="s">
        <v>350</v>
      </c>
      <c r="D100" s="3" t="s">
        <v>50</v>
      </c>
      <c r="E100" s="10">
        <v>0.02</v>
      </c>
      <c r="F100" s="13" t="s">
        <v>176</v>
      </c>
      <c r="G100" s="9">
        <v>120</v>
      </c>
      <c r="H100" s="9">
        <f t="shared" si="2"/>
        <v>2.4</v>
      </c>
      <c r="I100" t="s">
        <v>179</v>
      </c>
      <c r="J100" s="33" t="s">
        <v>491</v>
      </c>
      <c r="K100" s="18">
        <f>VLOOKUP(D100,Ingredients!C:G,5,0)</f>
        <v>120</v>
      </c>
      <c r="L100" s="52">
        <f t="shared" si="3"/>
        <v>2.4</v>
      </c>
    </row>
    <row r="101" spans="1:12">
      <c r="A101" t="s">
        <v>69</v>
      </c>
      <c r="B101" t="s">
        <v>349</v>
      </c>
      <c r="C101" t="s">
        <v>350</v>
      </c>
      <c r="D101" s="3" t="s">
        <v>16</v>
      </c>
      <c r="E101" s="10">
        <v>0.02</v>
      </c>
      <c r="F101" s="13" t="s">
        <v>176</v>
      </c>
      <c r="G101" s="9">
        <v>270</v>
      </c>
      <c r="H101" s="9">
        <f t="shared" si="2"/>
        <v>5.4</v>
      </c>
      <c r="I101" t="s">
        <v>179</v>
      </c>
      <c r="J101" s="33" t="s">
        <v>491</v>
      </c>
      <c r="K101" s="18">
        <f>VLOOKUP(D101,Ingredients!C:G,5,0)</f>
        <v>310</v>
      </c>
      <c r="L101" s="52">
        <f t="shared" si="3"/>
        <v>6.2</v>
      </c>
    </row>
    <row r="102" spans="1:12">
      <c r="A102" t="s">
        <v>69</v>
      </c>
      <c r="B102" t="s">
        <v>349</v>
      </c>
      <c r="C102" t="s">
        <v>350</v>
      </c>
      <c r="D102" s="3" t="s">
        <v>23</v>
      </c>
      <c r="E102" s="10">
        <v>0.02</v>
      </c>
      <c r="F102" s="13" t="s">
        <v>176</v>
      </c>
      <c r="G102" s="9">
        <v>740</v>
      </c>
      <c r="H102" s="9">
        <f t="shared" si="2"/>
        <v>14.8</v>
      </c>
      <c r="I102" t="s">
        <v>179</v>
      </c>
      <c r="J102" s="33" t="s">
        <v>491</v>
      </c>
      <c r="K102" s="18">
        <f>VLOOKUP(D102,Ingredients!C:G,5,0)</f>
        <v>780</v>
      </c>
      <c r="L102" s="52">
        <f t="shared" si="3"/>
        <v>15.6</v>
      </c>
    </row>
    <row r="103" spans="1:12">
      <c r="A103" t="s">
        <v>69</v>
      </c>
      <c r="B103" t="s">
        <v>349</v>
      </c>
      <c r="C103" t="s">
        <v>350</v>
      </c>
      <c r="D103" s="33" t="s">
        <v>491</v>
      </c>
      <c r="E103" s="10">
        <v>1</v>
      </c>
      <c r="F103" s="13" t="s">
        <v>176</v>
      </c>
      <c r="G103" s="9">
        <v>614</v>
      </c>
      <c r="H103" s="9">
        <f t="shared" si="2"/>
        <v>614</v>
      </c>
      <c r="I103" t="s">
        <v>179</v>
      </c>
      <c r="J103" s="33" t="s">
        <v>491</v>
      </c>
      <c r="K103" s="18">
        <f>VLOOKUP(D103,Ingredients!C:G,5,0)</f>
        <v>650</v>
      </c>
      <c r="L103" s="52">
        <f t="shared" si="3"/>
        <v>650</v>
      </c>
    </row>
    <row r="104" spans="1:12">
      <c r="A104" t="s">
        <v>70</v>
      </c>
      <c r="B104" t="s">
        <v>349</v>
      </c>
      <c r="C104" t="s">
        <v>351</v>
      </c>
      <c r="D104" s="3" t="s">
        <v>35</v>
      </c>
      <c r="E104" s="10">
        <v>1.2500000000000001E-2</v>
      </c>
      <c r="F104" s="13" t="s">
        <v>176</v>
      </c>
      <c r="G104" s="9">
        <v>13</v>
      </c>
      <c r="H104" s="9">
        <f t="shared" si="2"/>
        <v>0.16250000000000001</v>
      </c>
      <c r="I104" t="s">
        <v>179</v>
      </c>
      <c r="J104" s="33" t="s">
        <v>489</v>
      </c>
      <c r="K104" s="18">
        <f>VLOOKUP(D104,Ingredients!C:G,5,0)</f>
        <v>15</v>
      </c>
      <c r="L104" s="52">
        <f t="shared" si="3"/>
        <v>0.1875</v>
      </c>
    </row>
    <row r="105" spans="1:12">
      <c r="A105" t="s">
        <v>70</v>
      </c>
      <c r="B105" t="s">
        <v>349</v>
      </c>
      <c r="C105" t="s">
        <v>351</v>
      </c>
      <c r="D105" s="3" t="s">
        <v>855</v>
      </c>
      <c r="E105" s="10">
        <v>1.2500000000000001E-2</v>
      </c>
      <c r="F105" s="13" t="s">
        <v>176</v>
      </c>
      <c r="G105" s="9">
        <v>2400</v>
      </c>
      <c r="H105" s="9">
        <f t="shared" si="2"/>
        <v>30</v>
      </c>
      <c r="I105" t="s">
        <v>179</v>
      </c>
      <c r="J105" s="33" t="s">
        <v>489</v>
      </c>
      <c r="K105" s="18">
        <f>VLOOKUP(D105,Ingredients!C:G,5,0)</f>
        <v>1600</v>
      </c>
      <c r="L105" s="52">
        <f t="shared" si="3"/>
        <v>20</v>
      </c>
    </row>
    <row r="106" spans="1:12">
      <c r="A106" t="s">
        <v>70</v>
      </c>
      <c r="B106" t="s">
        <v>349</v>
      </c>
      <c r="C106" t="s">
        <v>351</v>
      </c>
      <c r="D106" s="3" t="s">
        <v>849</v>
      </c>
      <c r="E106" s="10">
        <v>1.7500000000000002E-2</v>
      </c>
      <c r="F106" s="13" t="s">
        <v>176</v>
      </c>
      <c r="G106" s="9">
        <v>1000</v>
      </c>
      <c r="H106" s="9">
        <f t="shared" si="2"/>
        <v>17.5</v>
      </c>
      <c r="I106" t="s">
        <v>179</v>
      </c>
      <c r="J106" s="33" t="s">
        <v>489</v>
      </c>
      <c r="K106" s="18">
        <f>VLOOKUP(D106,Ingredients!C:G,5,0)</f>
        <v>950</v>
      </c>
      <c r="L106" s="52">
        <f t="shared" si="3"/>
        <v>16.625</v>
      </c>
    </row>
    <row r="107" spans="1:12">
      <c r="A107" t="s">
        <v>70</v>
      </c>
      <c r="B107" t="s">
        <v>349</v>
      </c>
      <c r="C107" t="s">
        <v>351</v>
      </c>
      <c r="D107" s="3" t="s">
        <v>33</v>
      </c>
      <c r="E107" s="10">
        <v>1.4999999999999999E-2</v>
      </c>
      <c r="F107" s="13" t="s">
        <v>176</v>
      </c>
      <c r="G107" s="9">
        <v>350</v>
      </c>
      <c r="H107" s="9">
        <f t="shared" si="2"/>
        <v>5.25</v>
      </c>
      <c r="I107" t="s">
        <v>179</v>
      </c>
      <c r="J107" s="33" t="s">
        <v>489</v>
      </c>
      <c r="K107" s="18">
        <f>VLOOKUP(D107,Ingredients!C:G,5,0)</f>
        <v>400</v>
      </c>
      <c r="L107" s="52">
        <f t="shared" si="3"/>
        <v>6</v>
      </c>
    </row>
    <row r="108" spans="1:12">
      <c r="A108" t="s">
        <v>70</v>
      </c>
      <c r="B108" t="s">
        <v>349</v>
      </c>
      <c r="C108" t="s">
        <v>351</v>
      </c>
      <c r="D108" s="3" t="s">
        <v>32</v>
      </c>
      <c r="E108" s="10">
        <v>1.2500000000000001E-2</v>
      </c>
      <c r="F108" s="13" t="s">
        <v>176</v>
      </c>
      <c r="G108" s="9">
        <v>154.99</v>
      </c>
      <c r="H108" s="9">
        <f t="shared" si="2"/>
        <v>1.9373750000000003</v>
      </c>
      <c r="I108" t="s">
        <v>179</v>
      </c>
      <c r="J108" s="33" t="s">
        <v>489</v>
      </c>
      <c r="K108" s="18">
        <f>VLOOKUP(D108,Ingredients!C:G,5,0)</f>
        <v>14870</v>
      </c>
      <c r="L108" s="52">
        <f t="shared" si="3"/>
        <v>185.875</v>
      </c>
    </row>
    <row r="109" spans="1:12">
      <c r="A109" t="s">
        <v>70</v>
      </c>
      <c r="B109" t="s">
        <v>349</v>
      </c>
      <c r="C109" t="s">
        <v>351</v>
      </c>
      <c r="D109" s="3" t="s">
        <v>31</v>
      </c>
      <c r="E109" s="10">
        <v>1.2500000000000001E-2</v>
      </c>
      <c r="F109" s="13" t="s">
        <v>176</v>
      </c>
      <c r="G109" s="9">
        <v>200</v>
      </c>
      <c r="H109" s="9">
        <f t="shared" si="2"/>
        <v>2.5</v>
      </c>
      <c r="I109" t="s">
        <v>179</v>
      </c>
      <c r="J109" s="33" t="s">
        <v>489</v>
      </c>
      <c r="K109" s="18">
        <f>VLOOKUP(D109,Ingredients!C:G,5,0)</f>
        <v>350</v>
      </c>
      <c r="L109" s="52">
        <f t="shared" si="3"/>
        <v>4.375</v>
      </c>
    </row>
    <row r="110" spans="1:12">
      <c r="A110" t="s">
        <v>70</v>
      </c>
      <c r="B110" t="s">
        <v>349</v>
      </c>
      <c r="C110" t="s">
        <v>351</v>
      </c>
      <c r="D110" s="3" t="s">
        <v>30</v>
      </c>
      <c r="E110" s="10">
        <v>1.2500000000000001E-2</v>
      </c>
      <c r="F110" s="13" t="s">
        <v>176</v>
      </c>
      <c r="G110" s="9">
        <v>200</v>
      </c>
      <c r="H110" s="9">
        <f t="shared" si="2"/>
        <v>2.5</v>
      </c>
      <c r="I110" t="s">
        <v>179</v>
      </c>
      <c r="J110" s="33" t="s">
        <v>489</v>
      </c>
      <c r="K110" s="18">
        <f>VLOOKUP(D110,Ingredients!C:G,5,0)</f>
        <v>200</v>
      </c>
      <c r="L110" s="52">
        <f t="shared" si="3"/>
        <v>2.5</v>
      </c>
    </row>
    <row r="111" spans="1:12">
      <c r="A111" t="s">
        <v>70</v>
      </c>
      <c r="B111" t="s">
        <v>349</v>
      </c>
      <c r="C111" t="s">
        <v>351</v>
      </c>
      <c r="D111" s="3" t="s">
        <v>29</v>
      </c>
      <c r="E111" s="10">
        <v>2.5000000000000001E-2</v>
      </c>
      <c r="F111" s="13" t="s">
        <v>176</v>
      </c>
      <c r="G111" s="9">
        <v>60</v>
      </c>
      <c r="H111" s="9">
        <f t="shared" si="2"/>
        <v>1.5</v>
      </c>
      <c r="I111" t="s">
        <v>179</v>
      </c>
      <c r="J111" s="33" t="s">
        <v>489</v>
      </c>
      <c r="K111" s="18">
        <f>VLOOKUP(D111,Ingredients!C:G,5,0)</f>
        <v>100</v>
      </c>
      <c r="L111" s="52">
        <f t="shared" si="3"/>
        <v>2.5</v>
      </c>
    </row>
    <row r="112" spans="1:12">
      <c r="A112" t="s">
        <v>70</v>
      </c>
      <c r="B112" t="s">
        <v>349</v>
      </c>
      <c r="C112" t="s">
        <v>351</v>
      </c>
      <c r="D112" s="3" t="s">
        <v>24</v>
      </c>
      <c r="E112" s="10">
        <v>3.7499999999999999E-2</v>
      </c>
      <c r="F112" s="13" t="s">
        <v>176</v>
      </c>
      <c r="G112" s="9">
        <v>55</v>
      </c>
      <c r="H112" s="9">
        <f t="shared" si="2"/>
        <v>2.0625</v>
      </c>
      <c r="I112" t="s">
        <v>179</v>
      </c>
      <c r="J112" s="33" t="s">
        <v>489</v>
      </c>
      <c r="K112" s="18">
        <f>VLOOKUP(D112,Ingredients!C:G,5,0)</f>
        <v>80</v>
      </c>
      <c r="L112" s="52">
        <f t="shared" si="3"/>
        <v>3</v>
      </c>
    </row>
    <row r="113" spans="1:12">
      <c r="A113" t="s">
        <v>70</v>
      </c>
      <c r="B113" t="s">
        <v>349</v>
      </c>
      <c r="C113" t="s">
        <v>351</v>
      </c>
      <c r="D113" s="3" t="s">
        <v>28</v>
      </c>
      <c r="E113" s="10">
        <v>2.5000000000000001E-2</v>
      </c>
      <c r="F113" s="13" t="s">
        <v>176</v>
      </c>
      <c r="G113" s="9">
        <v>85</v>
      </c>
      <c r="H113" s="9">
        <f t="shared" si="2"/>
        <v>2.125</v>
      </c>
      <c r="I113" t="s">
        <v>179</v>
      </c>
      <c r="J113" s="33" t="s">
        <v>489</v>
      </c>
      <c r="K113" s="18">
        <f>VLOOKUP(D113,Ingredients!C:G,5,0)</f>
        <v>70</v>
      </c>
      <c r="L113" s="52">
        <f t="shared" si="3"/>
        <v>1.75</v>
      </c>
    </row>
    <row r="114" spans="1:12">
      <c r="A114" t="s">
        <v>70</v>
      </c>
      <c r="B114" t="s">
        <v>349</v>
      </c>
      <c r="C114" t="s">
        <v>351</v>
      </c>
      <c r="D114" s="3" t="s">
        <v>832</v>
      </c>
      <c r="E114" s="10">
        <v>1.4999999999999999E-2</v>
      </c>
      <c r="F114" s="13" t="s">
        <v>176</v>
      </c>
      <c r="G114" s="9">
        <v>128</v>
      </c>
      <c r="H114" s="9">
        <f t="shared" ref="H114:H179" si="4">G114*E114</f>
        <v>1.92</v>
      </c>
      <c r="I114" t="s">
        <v>179</v>
      </c>
      <c r="J114" s="33" t="s">
        <v>489</v>
      </c>
      <c r="K114" s="18">
        <f>VLOOKUP(D114,Ingredients!C:G,5,0)</f>
        <v>131.19999999999999</v>
      </c>
      <c r="L114" s="52">
        <f t="shared" si="3"/>
        <v>1.9679999999999997</v>
      </c>
    </row>
    <row r="115" spans="1:12">
      <c r="A115" t="s">
        <v>70</v>
      </c>
      <c r="B115" t="s">
        <v>349</v>
      </c>
      <c r="C115" t="s">
        <v>351</v>
      </c>
      <c r="D115" s="3" t="s">
        <v>853</v>
      </c>
      <c r="E115" s="10">
        <v>1.2500000000000001E-2</v>
      </c>
      <c r="F115" s="13" t="s">
        <v>176</v>
      </c>
      <c r="G115" s="9">
        <v>30</v>
      </c>
      <c r="H115" s="9">
        <f t="shared" si="4"/>
        <v>0.375</v>
      </c>
      <c r="I115" t="s">
        <v>179</v>
      </c>
      <c r="J115" s="33" t="s">
        <v>489</v>
      </c>
      <c r="K115" s="18">
        <f>VLOOKUP(D115,Ingredients!C:G,5,0)</f>
        <v>55</v>
      </c>
      <c r="L115" s="52">
        <f t="shared" si="3"/>
        <v>0.6875</v>
      </c>
    </row>
    <row r="116" spans="1:12">
      <c r="A116" t="s">
        <v>70</v>
      </c>
      <c r="B116" t="s">
        <v>349</v>
      </c>
      <c r="C116" t="s">
        <v>351</v>
      </c>
      <c r="D116" s="3" t="s">
        <v>854</v>
      </c>
      <c r="E116" s="10">
        <v>2.5</v>
      </c>
      <c r="F116" s="13" t="s">
        <v>173</v>
      </c>
      <c r="G116" s="9">
        <v>24.64</v>
      </c>
      <c r="H116" s="9">
        <f t="shared" si="4"/>
        <v>61.6</v>
      </c>
      <c r="I116" t="s">
        <v>179</v>
      </c>
      <c r="J116" s="33" t="s">
        <v>489</v>
      </c>
      <c r="K116" s="18">
        <f>VLOOKUP(D116,Ingredients!C:G,5,0)</f>
        <v>20.059999999999999</v>
      </c>
      <c r="L116" s="52">
        <f t="shared" si="3"/>
        <v>50.15</v>
      </c>
    </row>
    <row r="117" spans="1:12">
      <c r="A117" t="s">
        <v>70</v>
      </c>
      <c r="B117" t="s">
        <v>349</v>
      </c>
      <c r="C117" t="s">
        <v>351</v>
      </c>
      <c r="D117" s="3" t="s">
        <v>831</v>
      </c>
      <c r="E117" s="10">
        <v>1</v>
      </c>
      <c r="F117" s="13" t="s">
        <v>176</v>
      </c>
      <c r="G117" s="9">
        <v>908</v>
      </c>
      <c r="H117" s="9">
        <f t="shared" si="4"/>
        <v>908</v>
      </c>
      <c r="I117" t="s">
        <v>179</v>
      </c>
      <c r="J117" s="33" t="s">
        <v>489</v>
      </c>
      <c r="K117" s="18">
        <f>VLOOKUP(D117,Ingredients!C:G,5,0)</f>
        <v>908</v>
      </c>
      <c r="L117" s="52">
        <f t="shared" si="3"/>
        <v>908</v>
      </c>
    </row>
    <row r="118" spans="1:12">
      <c r="A118" t="s">
        <v>77</v>
      </c>
      <c r="B118" t="s">
        <v>349</v>
      </c>
      <c r="C118" t="s">
        <v>351</v>
      </c>
      <c r="D118" s="3" t="s">
        <v>31</v>
      </c>
      <c r="E118" s="10">
        <v>8.0000000000000002E-3</v>
      </c>
      <c r="F118" s="13" t="s">
        <v>176</v>
      </c>
      <c r="G118" s="9">
        <v>200</v>
      </c>
      <c r="H118" s="9">
        <f t="shared" si="4"/>
        <v>1.6</v>
      </c>
      <c r="I118" t="s">
        <v>179</v>
      </c>
      <c r="J118" s="33" t="s">
        <v>491</v>
      </c>
      <c r="K118" s="18">
        <f>VLOOKUP(D118,Ingredients!C:G,5,0)</f>
        <v>350</v>
      </c>
      <c r="L118" s="52">
        <f t="shared" si="3"/>
        <v>2.8000000000000003</v>
      </c>
    </row>
    <row r="119" spans="1:12">
      <c r="A119" t="s">
        <v>77</v>
      </c>
      <c r="B119" t="s">
        <v>349</v>
      </c>
      <c r="C119" t="s">
        <v>351</v>
      </c>
      <c r="D119" s="3" t="s">
        <v>55</v>
      </c>
      <c r="E119" s="10">
        <v>8.0000000000000002E-3</v>
      </c>
      <c r="F119" s="13" t="s">
        <v>176</v>
      </c>
      <c r="G119" s="9">
        <v>350</v>
      </c>
      <c r="H119" s="9">
        <f t="shared" si="4"/>
        <v>2.8000000000000003</v>
      </c>
      <c r="I119" t="s">
        <v>179</v>
      </c>
      <c r="J119" s="33" t="s">
        <v>491</v>
      </c>
      <c r="K119" s="18">
        <f>VLOOKUP(D119,Ingredients!C:G,5,0)</f>
        <v>457.875</v>
      </c>
      <c r="L119" s="52">
        <f t="shared" si="3"/>
        <v>3.6630000000000003</v>
      </c>
    </row>
    <row r="120" spans="1:12">
      <c r="A120" t="s">
        <v>77</v>
      </c>
      <c r="B120" t="s">
        <v>349</v>
      </c>
      <c r="C120" t="s">
        <v>351</v>
      </c>
      <c r="D120" s="3" t="s">
        <v>873</v>
      </c>
      <c r="E120" s="10">
        <v>3.2000000000000002E-3</v>
      </c>
      <c r="F120" s="13" t="s">
        <v>176</v>
      </c>
      <c r="G120" s="9">
        <v>550</v>
      </c>
      <c r="H120" s="9">
        <f t="shared" si="4"/>
        <v>1.76</v>
      </c>
      <c r="I120" t="s">
        <v>179</v>
      </c>
      <c r="J120" s="33" t="s">
        <v>491</v>
      </c>
      <c r="K120" s="18">
        <f>VLOOKUP(D120,Ingredients!C:G,5,0)</f>
        <v>450</v>
      </c>
      <c r="L120" s="52">
        <f t="shared" si="3"/>
        <v>1.4400000000000002</v>
      </c>
    </row>
    <row r="121" spans="1:12">
      <c r="A121" t="s">
        <v>77</v>
      </c>
      <c r="B121" t="s">
        <v>349</v>
      </c>
      <c r="C121" t="s">
        <v>351</v>
      </c>
      <c r="D121" s="3" t="s">
        <v>310</v>
      </c>
      <c r="E121" s="10">
        <v>2.5000000000000001E-2</v>
      </c>
      <c r="F121" s="13" t="s">
        <v>177</v>
      </c>
      <c r="G121" s="9">
        <v>425</v>
      </c>
      <c r="H121" s="9">
        <f t="shared" si="4"/>
        <v>10.625</v>
      </c>
      <c r="I121" t="s">
        <v>179</v>
      </c>
      <c r="J121" s="33" t="s">
        <v>491</v>
      </c>
      <c r="K121" s="18">
        <f>VLOOKUP(D121,Ingredients!C:G,5,0)</f>
        <v>850</v>
      </c>
      <c r="L121" s="52">
        <f t="shared" si="3"/>
        <v>21.25</v>
      </c>
    </row>
    <row r="122" spans="1:12">
      <c r="A122" t="s">
        <v>77</v>
      </c>
      <c r="B122" t="s">
        <v>349</v>
      </c>
      <c r="C122" t="s">
        <v>351</v>
      </c>
      <c r="D122" s="3" t="s">
        <v>852</v>
      </c>
      <c r="E122" s="10">
        <v>0.12</v>
      </c>
      <c r="F122" s="13" t="s">
        <v>177</v>
      </c>
      <c r="G122" s="9">
        <v>520.63</v>
      </c>
      <c r="H122" s="9">
        <f t="shared" si="4"/>
        <v>62.4756</v>
      </c>
      <c r="I122" t="s">
        <v>179</v>
      </c>
      <c r="J122" s="33" t="s">
        <v>491</v>
      </c>
      <c r="K122" s="18">
        <v>550</v>
      </c>
      <c r="L122" s="52">
        <f t="shared" si="3"/>
        <v>66</v>
      </c>
    </row>
    <row r="123" spans="1:12">
      <c r="A123" t="s">
        <v>77</v>
      </c>
      <c r="B123" t="s">
        <v>349</v>
      </c>
      <c r="C123" t="s">
        <v>351</v>
      </c>
      <c r="D123" s="3" t="s">
        <v>16</v>
      </c>
      <c r="E123" s="10">
        <v>2.5000000000000001E-2</v>
      </c>
      <c r="F123" s="13" t="s">
        <v>176</v>
      </c>
      <c r="G123" s="9">
        <v>270</v>
      </c>
      <c r="H123" s="9">
        <f t="shared" si="4"/>
        <v>6.75</v>
      </c>
      <c r="I123" t="s">
        <v>179</v>
      </c>
      <c r="J123" s="33" t="s">
        <v>491</v>
      </c>
      <c r="K123" s="18">
        <f>VLOOKUP(D123,Ingredients!C:G,5,0)</f>
        <v>310</v>
      </c>
      <c r="L123" s="52">
        <f t="shared" si="3"/>
        <v>7.75</v>
      </c>
    </row>
    <row r="124" spans="1:12">
      <c r="A124" t="s">
        <v>77</v>
      </c>
      <c r="B124" t="s">
        <v>349</v>
      </c>
      <c r="C124" t="s">
        <v>351</v>
      </c>
      <c r="D124" s="3" t="s">
        <v>23</v>
      </c>
      <c r="E124" s="10">
        <v>2.5000000000000001E-2</v>
      </c>
      <c r="F124" s="13" t="s">
        <v>176</v>
      </c>
      <c r="G124" s="9">
        <v>740</v>
      </c>
      <c r="H124" s="9">
        <f t="shared" si="4"/>
        <v>18.5</v>
      </c>
      <c r="I124" t="s">
        <v>179</v>
      </c>
      <c r="J124" s="33" t="s">
        <v>491</v>
      </c>
      <c r="K124" s="18">
        <f>VLOOKUP(D124,Ingredients!C:G,5,0)</f>
        <v>780</v>
      </c>
      <c r="L124" s="52">
        <f t="shared" si="3"/>
        <v>19.5</v>
      </c>
    </row>
    <row r="125" spans="1:12">
      <c r="A125" t="s">
        <v>77</v>
      </c>
      <c r="B125" t="s">
        <v>349</v>
      </c>
      <c r="C125" t="s">
        <v>351</v>
      </c>
      <c r="D125" s="3" t="s">
        <v>874</v>
      </c>
      <c r="E125" s="10">
        <v>2.5000000000000001E-2</v>
      </c>
      <c r="F125" s="13" t="s">
        <v>177</v>
      </c>
      <c r="G125" s="9">
        <v>110</v>
      </c>
      <c r="H125" s="9">
        <f t="shared" si="4"/>
        <v>2.75</v>
      </c>
      <c r="I125" t="s">
        <v>179</v>
      </c>
      <c r="J125" s="33" t="s">
        <v>491</v>
      </c>
      <c r="K125" s="18">
        <f>VLOOKUP(D125,Ingredients!C:G,5,0)</f>
        <v>179</v>
      </c>
      <c r="L125" s="52">
        <f t="shared" si="3"/>
        <v>4.4750000000000005</v>
      </c>
    </row>
    <row r="126" spans="1:12">
      <c r="A126" t="s">
        <v>77</v>
      </c>
      <c r="B126" t="s">
        <v>349</v>
      </c>
      <c r="C126" t="s">
        <v>351</v>
      </c>
      <c r="D126" s="3" t="s">
        <v>73</v>
      </c>
      <c r="E126" s="10">
        <v>1.2800000000000001E-2</v>
      </c>
      <c r="F126" s="13" t="s">
        <v>176</v>
      </c>
      <c r="G126" s="9">
        <v>305</v>
      </c>
      <c r="H126" s="9">
        <f t="shared" si="4"/>
        <v>3.9040000000000004</v>
      </c>
      <c r="I126" t="s">
        <v>179</v>
      </c>
      <c r="J126" s="33" t="s">
        <v>491</v>
      </c>
      <c r="K126" s="18">
        <f>VLOOKUP(D126,Ingredients!C:G,5,0)</f>
        <v>300</v>
      </c>
      <c r="L126" s="52">
        <f t="shared" si="3"/>
        <v>3.8400000000000003</v>
      </c>
    </row>
    <row r="127" spans="1:12">
      <c r="A127" t="s">
        <v>77</v>
      </c>
      <c r="B127" t="s">
        <v>349</v>
      </c>
      <c r="C127" t="s">
        <v>351</v>
      </c>
      <c r="D127" s="3" t="s">
        <v>835</v>
      </c>
      <c r="E127" s="10">
        <v>0.05</v>
      </c>
      <c r="F127" s="13" t="s">
        <v>176</v>
      </c>
      <c r="G127" s="9">
        <v>389.34</v>
      </c>
      <c r="H127" s="9">
        <f t="shared" si="4"/>
        <v>19.466999999999999</v>
      </c>
      <c r="I127" t="s">
        <v>179</v>
      </c>
      <c r="J127" s="33" t="s">
        <v>491</v>
      </c>
      <c r="K127" s="18">
        <f>VLOOKUP(D127,Ingredients!C:G,5,0)</f>
        <v>394.63</v>
      </c>
      <c r="L127" s="52">
        <f t="shared" si="3"/>
        <v>19.7315</v>
      </c>
    </row>
    <row r="128" spans="1:12">
      <c r="A128" t="s">
        <v>77</v>
      </c>
      <c r="B128" t="s">
        <v>349</v>
      </c>
      <c r="C128" t="s">
        <v>351</v>
      </c>
      <c r="D128" s="3" t="s">
        <v>849</v>
      </c>
      <c r="E128" s="10">
        <v>8.0000000000000002E-3</v>
      </c>
      <c r="F128" s="13" t="s">
        <v>176</v>
      </c>
      <c r="G128" s="9">
        <v>1000</v>
      </c>
      <c r="H128" s="9">
        <f t="shared" si="4"/>
        <v>8</v>
      </c>
      <c r="I128" t="s">
        <v>179</v>
      </c>
      <c r="J128" s="33" t="s">
        <v>491</v>
      </c>
      <c r="K128" s="18">
        <f>VLOOKUP(D128,Ingredients!C:G,5,0)</f>
        <v>950</v>
      </c>
      <c r="L128" s="52">
        <f t="shared" si="3"/>
        <v>7.6000000000000005</v>
      </c>
    </row>
    <row r="129" spans="1:12">
      <c r="A129" t="s">
        <v>77</v>
      </c>
      <c r="B129" t="s">
        <v>349</v>
      </c>
      <c r="C129" t="s">
        <v>351</v>
      </c>
      <c r="D129" s="3" t="s">
        <v>870</v>
      </c>
      <c r="E129" s="10">
        <v>8.0000000000000002E-3</v>
      </c>
      <c r="F129" s="13" t="s">
        <v>176</v>
      </c>
      <c r="G129" s="9">
        <v>440</v>
      </c>
      <c r="H129" s="9">
        <f t="shared" si="4"/>
        <v>3.52</v>
      </c>
      <c r="I129" t="s">
        <v>179</v>
      </c>
      <c r="J129" s="33" t="s">
        <v>491</v>
      </c>
      <c r="K129" s="18">
        <f>VLOOKUP(D129,Ingredients!C:G,5,0)</f>
        <v>450</v>
      </c>
      <c r="L129" s="52">
        <f t="shared" si="3"/>
        <v>3.6</v>
      </c>
    </row>
    <row r="130" spans="1:12">
      <c r="A130" t="s">
        <v>77</v>
      </c>
      <c r="B130" t="s">
        <v>349</v>
      </c>
      <c r="C130" t="s">
        <v>351</v>
      </c>
      <c r="D130" s="3" t="s">
        <v>855</v>
      </c>
      <c r="E130" s="10">
        <v>4.8000000000000004E-3</v>
      </c>
      <c r="F130" s="13" t="s">
        <v>176</v>
      </c>
      <c r="G130" s="9">
        <v>2400</v>
      </c>
      <c r="H130" s="9">
        <f t="shared" si="4"/>
        <v>11.520000000000001</v>
      </c>
      <c r="I130" t="s">
        <v>179</v>
      </c>
      <c r="J130" s="33" t="s">
        <v>491</v>
      </c>
      <c r="K130" s="18">
        <f>VLOOKUP(D130,Ingredients!C:G,5,0)</f>
        <v>1600</v>
      </c>
      <c r="L130" s="52">
        <f t="shared" si="3"/>
        <v>7.6800000000000006</v>
      </c>
    </row>
    <row r="131" spans="1:12">
      <c r="A131" t="s">
        <v>77</v>
      </c>
      <c r="B131" t="s">
        <v>349</v>
      </c>
      <c r="C131" t="s">
        <v>351</v>
      </c>
      <c r="D131" s="3" t="s">
        <v>867</v>
      </c>
      <c r="E131" s="10">
        <v>4.0000000000000008E-2</v>
      </c>
      <c r="F131" s="13" t="s">
        <v>176</v>
      </c>
      <c r="G131" s="9">
        <v>900</v>
      </c>
      <c r="H131" s="9">
        <f t="shared" si="4"/>
        <v>36.000000000000007</v>
      </c>
      <c r="I131" t="s">
        <v>179</v>
      </c>
      <c r="J131" s="33" t="s">
        <v>491</v>
      </c>
      <c r="K131" s="18">
        <f>VLOOKUP(D131,Ingredients!C:G,5,0)</f>
        <v>950</v>
      </c>
      <c r="L131" s="52">
        <f t="shared" si="3"/>
        <v>38.000000000000007</v>
      </c>
    </row>
    <row r="132" spans="1:12">
      <c r="A132" t="s">
        <v>77</v>
      </c>
      <c r="B132" t="s">
        <v>349</v>
      </c>
      <c r="C132" t="s">
        <v>351</v>
      </c>
      <c r="D132" s="3" t="s">
        <v>853</v>
      </c>
      <c r="E132" s="10">
        <v>4.8000000000000004E-3</v>
      </c>
      <c r="F132" s="13" t="s">
        <v>176</v>
      </c>
      <c r="G132" s="9">
        <v>30</v>
      </c>
      <c r="H132" s="9">
        <f t="shared" si="4"/>
        <v>0.14400000000000002</v>
      </c>
      <c r="I132" t="s">
        <v>179</v>
      </c>
      <c r="J132" s="33" t="s">
        <v>491</v>
      </c>
      <c r="K132" s="18">
        <f>VLOOKUP(D132,Ingredients!C:G,5,0)</f>
        <v>55</v>
      </c>
      <c r="L132" s="52">
        <f t="shared" ref="L132:L195" si="5">K132*E132</f>
        <v>0.26400000000000001</v>
      </c>
    </row>
    <row r="133" spans="1:12">
      <c r="A133" t="s">
        <v>77</v>
      </c>
      <c r="B133" t="s">
        <v>349</v>
      </c>
      <c r="C133" t="s">
        <v>351</v>
      </c>
      <c r="D133" s="3" t="s">
        <v>875</v>
      </c>
      <c r="E133" s="10">
        <v>0.05</v>
      </c>
      <c r="F133" s="13" t="s">
        <v>176</v>
      </c>
      <c r="G133" s="9">
        <v>220</v>
      </c>
      <c r="H133" s="9">
        <f t="shared" si="4"/>
        <v>11</v>
      </c>
      <c r="I133" t="s">
        <v>179</v>
      </c>
      <c r="J133" s="33" t="s">
        <v>491</v>
      </c>
      <c r="K133" s="18">
        <f>VLOOKUP(D133,Ingredients!C:G,5,0)</f>
        <v>220</v>
      </c>
      <c r="L133" s="52">
        <f t="shared" si="5"/>
        <v>11</v>
      </c>
    </row>
    <row r="134" spans="1:12">
      <c r="A134" t="s">
        <v>77</v>
      </c>
      <c r="B134" t="s">
        <v>349</v>
      </c>
      <c r="C134" t="s">
        <v>351</v>
      </c>
      <c r="D134" s="3" t="s">
        <v>876</v>
      </c>
      <c r="E134" s="10">
        <v>2.8799999999999999E-2</v>
      </c>
      <c r="F134" s="13" t="s">
        <v>176</v>
      </c>
      <c r="G134" s="9">
        <v>270</v>
      </c>
      <c r="H134" s="9">
        <f t="shared" si="4"/>
        <v>7.7759999999999998</v>
      </c>
      <c r="I134" t="s">
        <v>179</v>
      </c>
      <c r="J134" s="33" t="s">
        <v>491</v>
      </c>
      <c r="K134" s="18">
        <f>VLOOKUP(D134,Ingredients!C:G,5,0)</f>
        <v>290</v>
      </c>
      <c r="L134" s="52">
        <f t="shared" si="5"/>
        <v>8.3520000000000003</v>
      </c>
    </row>
    <row r="135" spans="1:12">
      <c r="A135" t="s">
        <v>77</v>
      </c>
      <c r="B135" t="s">
        <v>349</v>
      </c>
      <c r="C135" t="s">
        <v>351</v>
      </c>
      <c r="D135" s="33" t="s">
        <v>491</v>
      </c>
      <c r="E135" s="10">
        <v>1</v>
      </c>
      <c r="F135" s="13" t="s">
        <v>176</v>
      </c>
      <c r="G135" s="9">
        <v>614</v>
      </c>
      <c r="H135" s="9">
        <f t="shared" si="4"/>
        <v>614</v>
      </c>
      <c r="I135" t="s">
        <v>179</v>
      </c>
      <c r="J135" s="33" t="s">
        <v>491</v>
      </c>
      <c r="K135" s="18">
        <f>VLOOKUP(D135,Ingredients!C:G,5,0)</f>
        <v>650</v>
      </c>
      <c r="L135" s="52">
        <f t="shared" si="5"/>
        <v>650</v>
      </c>
    </row>
    <row r="136" spans="1:12">
      <c r="A136" t="s">
        <v>78</v>
      </c>
      <c r="B136" t="s">
        <v>347</v>
      </c>
      <c r="C136" t="s">
        <v>365</v>
      </c>
      <c r="D136" s="3" t="s">
        <v>877</v>
      </c>
      <c r="E136" s="10">
        <v>0.02</v>
      </c>
      <c r="F136" s="13" t="s">
        <v>176</v>
      </c>
      <c r="G136" s="9">
        <v>1750</v>
      </c>
      <c r="H136" s="9">
        <f t="shared" si="4"/>
        <v>35</v>
      </c>
      <c r="I136" t="s">
        <v>486</v>
      </c>
      <c r="J136" s="33">
        <v>0</v>
      </c>
      <c r="K136" s="18">
        <f>VLOOKUP(D136,Ingredients!C:G,5,0)</f>
        <v>776</v>
      </c>
      <c r="L136" s="52">
        <f t="shared" si="5"/>
        <v>15.52</v>
      </c>
    </row>
    <row r="137" spans="1:12">
      <c r="A137" t="s">
        <v>78</v>
      </c>
      <c r="B137" t="s">
        <v>347</v>
      </c>
      <c r="C137" t="s">
        <v>365</v>
      </c>
      <c r="D137" s="3" t="s">
        <v>831</v>
      </c>
      <c r="E137" s="10">
        <v>2.5000000000000001E-2</v>
      </c>
      <c r="F137" s="13" t="s">
        <v>176</v>
      </c>
      <c r="G137" s="9">
        <v>908</v>
      </c>
      <c r="H137" s="9">
        <f t="shared" si="4"/>
        <v>22.700000000000003</v>
      </c>
      <c r="I137" t="s">
        <v>486</v>
      </c>
      <c r="J137" s="33">
        <v>0</v>
      </c>
      <c r="K137" s="18">
        <f>VLOOKUP(D137,Ingredients!C:G,5,0)</f>
        <v>908</v>
      </c>
      <c r="L137" s="52">
        <f t="shared" si="5"/>
        <v>22.700000000000003</v>
      </c>
    </row>
    <row r="138" spans="1:12">
      <c r="A138" t="s">
        <v>78</v>
      </c>
      <c r="B138" t="s">
        <v>347</v>
      </c>
      <c r="C138" t="s">
        <v>365</v>
      </c>
      <c r="D138" s="3" t="s">
        <v>830</v>
      </c>
      <c r="E138" s="10">
        <v>2E-3</v>
      </c>
      <c r="F138" s="13" t="s">
        <v>176</v>
      </c>
      <c r="G138" s="9">
        <v>149</v>
      </c>
      <c r="H138" s="9">
        <f t="shared" si="4"/>
        <v>0.29799999999999999</v>
      </c>
      <c r="I138" t="s">
        <v>486</v>
      </c>
      <c r="J138" s="33">
        <v>0</v>
      </c>
      <c r="K138" s="18">
        <f>VLOOKUP(D138,Ingredients!C:G,5,0)</f>
        <v>123</v>
      </c>
      <c r="L138" s="52">
        <f t="shared" si="5"/>
        <v>0.246</v>
      </c>
    </row>
    <row r="139" spans="1:12">
      <c r="A139" t="s">
        <v>78</v>
      </c>
      <c r="B139" t="s">
        <v>347</v>
      </c>
      <c r="C139" t="s">
        <v>365</v>
      </c>
      <c r="D139" s="3" t="s">
        <v>853</v>
      </c>
      <c r="E139" s="10">
        <v>2E-3</v>
      </c>
      <c r="F139" s="13" t="s">
        <v>176</v>
      </c>
      <c r="G139" s="9">
        <v>30</v>
      </c>
      <c r="H139" s="9">
        <f t="shared" si="4"/>
        <v>0.06</v>
      </c>
      <c r="I139" t="s">
        <v>486</v>
      </c>
      <c r="J139" s="33">
        <v>0</v>
      </c>
      <c r="K139" s="18">
        <f>VLOOKUP(D139,Ingredients!C:G,5,0)</f>
        <v>55</v>
      </c>
      <c r="L139" s="52">
        <f t="shared" si="5"/>
        <v>0.11</v>
      </c>
    </row>
    <row r="140" spans="1:12">
      <c r="A140" t="s">
        <v>78</v>
      </c>
      <c r="B140" t="s">
        <v>347</v>
      </c>
      <c r="C140" t="s">
        <v>365</v>
      </c>
      <c r="D140" s="3" t="s">
        <v>854</v>
      </c>
      <c r="E140" s="10">
        <v>0.25</v>
      </c>
      <c r="F140" s="13" t="s">
        <v>173</v>
      </c>
      <c r="G140" s="9">
        <v>24.64</v>
      </c>
      <c r="H140" s="9">
        <f t="shared" si="4"/>
        <v>6.16</v>
      </c>
      <c r="I140" t="s">
        <v>486</v>
      </c>
      <c r="J140" s="33">
        <v>0</v>
      </c>
      <c r="K140" s="18">
        <f>VLOOKUP(D140,Ingredients!C:G,5,0)</f>
        <v>20.059999999999999</v>
      </c>
      <c r="L140" s="52">
        <f t="shared" si="5"/>
        <v>5.0149999999999997</v>
      </c>
    </row>
    <row r="141" spans="1:12">
      <c r="A141" t="s">
        <v>80</v>
      </c>
      <c r="B141" t="s">
        <v>349</v>
      </c>
      <c r="C141" t="s">
        <v>352</v>
      </c>
      <c r="D141" s="3" t="s">
        <v>29</v>
      </c>
      <c r="E141" s="10">
        <v>8.3333333333333332E-3</v>
      </c>
      <c r="F141" s="13" t="s">
        <v>176</v>
      </c>
      <c r="G141" s="9">
        <v>60</v>
      </c>
      <c r="H141" s="9">
        <f t="shared" si="4"/>
        <v>0.5</v>
      </c>
      <c r="I141" t="s">
        <v>179</v>
      </c>
      <c r="J141" s="33" t="s">
        <v>489</v>
      </c>
      <c r="K141" s="18">
        <f>VLOOKUP(D141,Ingredients!C:G,5,0)</f>
        <v>100</v>
      </c>
      <c r="L141" s="52">
        <f t="shared" si="5"/>
        <v>0.83333333333333337</v>
      </c>
    </row>
    <row r="142" spans="1:12">
      <c r="A142" t="s">
        <v>80</v>
      </c>
      <c r="B142" t="s">
        <v>349</v>
      </c>
      <c r="C142" t="s">
        <v>352</v>
      </c>
      <c r="D142" s="3" t="s">
        <v>28</v>
      </c>
      <c r="E142" s="10">
        <v>0.25</v>
      </c>
      <c r="F142" s="13" t="s">
        <v>176</v>
      </c>
      <c r="G142" s="9">
        <v>85</v>
      </c>
      <c r="H142" s="9">
        <f t="shared" si="4"/>
        <v>21.25</v>
      </c>
      <c r="I142" t="s">
        <v>179</v>
      </c>
      <c r="J142" s="33" t="s">
        <v>489</v>
      </c>
      <c r="K142" s="18">
        <f>VLOOKUP(D142,Ingredients!C:G,5,0)</f>
        <v>70</v>
      </c>
      <c r="L142" s="52">
        <f t="shared" si="5"/>
        <v>17.5</v>
      </c>
    </row>
    <row r="143" spans="1:12">
      <c r="A143" t="s">
        <v>80</v>
      </c>
      <c r="B143" t="s">
        <v>349</v>
      </c>
      <c r="C143" t="s">
        <v>352</v>
      </c>
      <c r="D143" s="3" t="s">
        <v>16</v>
      </c>
      <c r="E143" s="10">
        <v>8.3333333333333332E-3</v>
      </c>
      <c r="F143" s="13" t="s">
        <v>176</v>
      </c>
      <c r="G143" s="9">
        <v>270</v>
      </c>
      <c r="H143" s="9">
        <f t="shared" si="4"/>
        <v>2.25</v>
      </c>
      <c r="I143" t="s">
        <v>179</v>
      </c>
      <c r="J143" s="33" t="s">
        <v>489</v>
      </c>
      <c r="K143" s="18">
        <f>VLOOKUP(D143,Ingredients!C:G,5,0)</f>
        <v>310</v>
      </c>
      <c r="L143" s="52">
        <f t="shared" si="5"/>
        <v>2.5833333333333335</v>
      </c>
    </row>
    <row r="144" spans="1:12">
      <c r="A144" t="s">
        <v>80</v>
      </c>
      <c r="B144" t="s">
        <v>349</v>
      </c>
      <c r="C144" t="s">
        <v>352</v>
      </c>
      <c r="D144" s="3" t="s">
        <v>852</v>
      </c>
      <c r="E144" s="10">
        <v>0.25</v>
      </c>
      <c r="F144" s="13" t="s">
        <v>177</v>
      </c>
      <c r="G144" s="9">
        <v>520.63</v>
      </c>
      <c r="H144" s="9">
        <f t="shared" si="4"/>
        <v>130.1575</v>
      </c>
      <c r="I144" t="s">
        <v>179</v>
      </c>
      <c r="J144" s="33" t="s">
        <v>489</v>
      </c>
      <c r="K144" s="18">
        <v>550</v>
      </c>
      <c r="L144" s="52">
        <f t="shared" si="5"/>
        <v>137.5</v>
      </c>
    </row>
    <row r="145" spans="1:12">
      <c r="A145" t="s">
        <v>80</v>
      </c>
      <c r="B145" t="s">
        <v>349</v>
      </c>
      <c r="C145" t="s">
        <v>352</v>
      </c>
      <c r="D145" s="3" t="s">
        <v>23</v>
      </c>
      <c r="E145" s="10">
        <v>1.6666666666666666E-2</v>
      </c>
      <c r="F145" s="13" t="s">
        <v>176</v>
      </c>
      <c r="G145" s="9">
        <v>740</v>
      </c>
      <c r="H145" s="9">
        <f t="shared" si="4"/>
        <v>12.333333333333334</v>
      </c>
      <c r="I145" t="s">
        <v>179</v>
      </c>
      <c r="J145" s="33" t="s">
        <v>489</v>
      </c>
      <c r="K145" s="18">
        <f>VLOOKUP(D145,Ingredients!C:G,5,0)</f>
        <v>780</v>
      </c>
      <c r="L145" s="52">
        <f t="shared" si="5"/>
        <v>13</v>
      </c>
    </row>
    <row r="146" spans="1:12">
      <c r="A146" t="s">
        <v>80</v>
      </c>
      <c r="B146" t="s">
        <v>349</v>
      </c>
      <c r="C146" t="s">
        <v>352</v>
      </c>
      <c r="D146" s="3" t="s">
        <v>856</v>
      </c>
      <c r="E146" s="10">
        <v>1.6666666666666666E-2</v>
      </c>
      <c r="F146" s="13" t="s">
        <v>176</v>
      </c>
      <c r="G146" s="9">
        <v>850</v>
      </c>
      <c r="H146" s="9">
        <f t="shared" si="4"/>
        <v>14.166666666666666</v>
      </c>
      <c r="I146" t="s">
        <v>179</v>
      </c>
      <c r="J146" s="33" t="s">
        <v>489</v>
      </c>
      <c r="K146" s="18">
        <f>VLOOKUP(D146,Ingredients!C:G,5,0)</f>
        <v>980</v>
      </c>
      <c r="L146" s="52">
        <f t="shared" si="5"/>
        <v>16.333333333333332</v>
      </c>
    </row>
    <row r="147" spans="1:12">
      <c r="A147" t="s">
        <v>80</v>
      </c>
      <c r="B147" t="s">
        <v>349</v>
      </c>
      <c r="C147" t="s">
        <v>352</v>
      </c>
      <c r="D147" s="3" t="s">
        <v>853</v>
      </c>
      <c r="E147" s="10">
        <v>8.3333333333333332E-3</v>
      </c>
      <c r="F147" s="13" t="s">
        <v>176</v>
      </c>
      <c r="G147" s="9">
        <v>30</v>
      </c>
      <c r="H147" s="9">
        <f t="shared" si="4"/>
        <v>0.25</v>
      </c>
      <c r="I147" t="s">
        <v>179</v>
      </c>
      <c r="J147" s="33" t="s">
        <v>489</v>
      </c>
      <c r="K147" s="18">
        <f>VLOOKUP(D147,Ingredients!C:G,5,0)</f>
        <v>55</v>
      </c>
      <c r="L147" s="52">
        <f t="shared" si="5"/>
        <v>0.45833333333333331</v>
      </c>
    </row>
    <row r="148" spans="1:12">
      <c r="A148" t="s">
        <v>80</v>
      </c>
      <c r="B148" t="s">
        <v>349</v>
      </c>
      <c r="C148" t="s">
        <v>352</v>
      </c>
      <c r="D148" s="3" t="s">
        <v>831</v>
      </c>
      <c r="E148" s="10">
        <v>1</v>
      </c>
      <c r="F148" s="13" t="s">
        <v>176</v>
      </c>
      <c r="G148" s="9">
        <v>908</v>
      </c>
      <c r="H148" s="9">
        <f t="shared" si="4"/>
        <v>908</v>
      </c>
      <c r="I148" t="s">
        <v>179</v>
      </c>
      <c r="J148" s="33" t="s">
        <v>489</v>
      </c>
      <c r="K148" s="18">
        <f>VLOOKUP(D148,Ingredients!C:G,5,0)</f>
        <v>908</v>
      </c>
      <c r="L148" s="52">
        <f t="shared" si="5"/>
        <v>908</v>
      </c>
    </row>
    <row r="149" spans="1:12">
      <c r="A149" t="s">
        <v>81</v>
      </c>
      <c r="B149" t="s">
        <v>349</v>
      </c>
      <c r="C149" t="s">
        <v>352</v>
      </c>
      <c r="D149" s="3" t="s">
        <v>24</v>
      </c>
      <c r="E149" s="10">
        <v>0.03</v>
      </c>
      <c r="F149" s="13" t="s">
        <v>176</v>
      </c>
      <c r="G149" s="9">
        <v>55</v>
      </c>
      <c r="H149" s="9">
        <f t="shared" si="4"/>
        <v>1.65</v>
      </c>
      <c r="I149" t="s">
        <v>179</v>
      </c>
      <c r="J149" s="33" t="s">
        <v>489</v>
      </c>
      <c r="K149" s="18">
        <f>VLOOKUP(D149,Ingredients!C:G,5,0)</f>
        <v>80</v>
      </c>
      <c r="L149" s="52">
        <f t="shared" si="5"/>
        <v>2.4</v>
      </c>
    </row>
    <row r="150" spans="1:12">
      <c r="A150" t="s">
        <v>81</v>
      </c>
      <c r="B150" t="s">
        <v>349</v>
      </c>
      <c r="C150" t="s">
        <v>352</v>
      </c>
      <c r="D150" s="3" t="s">
        <v>29</v>
      </c>
      <c r="E150" s="10">
        <v>4.0000000000000001E-3</v>
      </c>
      <c r="F150" s="13" t="s">
        <v>176</v>
      </c>
      <c r="G150" s="9">
        <v>60</v>
      </c>
      <c r="H150" s="9">
        <f t="shared" si="4"/>
        <v>0.24</v>
      </c>
      <c r="I150" t="s">
        <v>179</v>
      </c>
      <c r="J150" s="33" t="s">
        <v>489</v>
      </c>
      <c r="K150" s="18">
        <f>VLOOKUP(D150,Ingredients!C:G,5,0)</f>
        <v>100</v>
      </c>
      <c r="L150" s="52">
        <f t="shared" si="5"/>
        <v>0.4</v>
      </c>
    </row>
    <row r="151" spans="1:12">
      <c r="A151" t="s">
        <v>81</v>
      </c>
      <c r="B151" t="s">
        <v>349</v>
      </c>
      <c r="C151" t="s">
        <v>352</v>
      </c>
      <c r="D151" s="3" t="s">
        <v>856</v>
      </c>
      <c r="E151" s="10">
        <v>4.0000000000000001E-3</v>
      </c>
      <c r="F151" s="13" t="s">
        <v>176</v>
      </c>
      <c r="G151" s="9">
        <v>850</v>
      </c>
      <c r="H151" s="9">
        <f t="shared" si="4"/>
        <v>3.4</v>
      </c>
      <c r="I151" t="s">
        <v>179</v>
      </c>
      <c r="J151" s="33" t="s">
        <v>489</v>
      </c>
      <c r="K151" s="18">
        <f>VLOOKUP(D151,Ingredients!C:G,5,0)</f>
        <v>980</v>
      </c>
      <c r="L151" s="52">
        <f t="shared" si="5"/>
        <v>3.92</v>
      </c>
    </row>
    <row r="152" spans="1:12">
      <c r="A152" t="s">
        <v>81</v>
      </c>
      <c r="B152" t="s">
        <v>349</v>
      </c>
      <c r="C152" t="s">
        <v>352</v>
      </c>
      <c r="D152" s="3" t="s">
        <v>853</v>
      </c>
      <c r="E152" s="10">
        <v>4.0000000000000001E-3</v>
      </c>
      <c r="F152" s="13" t="s">
        <v>176</v>
      </c>
      <c r="G152" s="9">
        <v>30</v>
      </c>
      <c r="H152" s="9">
        <f t="shared" si="4"/>
        <v>0.12</v>
      </c>
      <c r="I152" t="s">
        <v>179</v>
      </c>
      <c r="J152" s="33" t="s">
        <v>489</v>
      </c>
      <c r="K152" s="18">
        <f>VLOOKUP(D152,Ingredients!C:G,5,0)</f>
        <v>55</v>
      </c>
      <c r="L152" s="52">
        <f t="shared" si="5"/>
        <v>0.22</v>
      </c>
    </row>
    <row r="153" spans="1:12">
      <c r="A153" t="s">
        <v>81</v>
      </c>
      <c r="B153" t="s">
        <v>349</v>
      </c>
      <c r="C153" t="s">
        <v>352</v>
      </c>
      <c r="D153" s="3" t="s">
        <v>851</v>
      </c>
      <c r="E153" s="10">
        <v>0.08</v>
      </c>
      <c r="F153" s="13" t="s">
        <v>176</v>
      </c>
      <c r="G153" s="9">
        <v>177</v>
      </c>
      <c r="H153" s="9">
        <f t="shared" si="4"/>
        <v>14.16</v>
      </c>
      <c r="I153" t="s">
        <v>179</v>
      </c>
      <c r="J153" s="33" t="s">
        <v>489</v>
      </c>
      <c r="K153" s="18">
        <f>VLOOKUP(D153,Ingredients!C:G,5,0)</f>
        <v>920</v>
      </c>
      <c r="L153" s="52">
        <f t="shared" si="5"/>
        <v>73.600000000000009</v>
      </c>
    </row>
    <row r="154" spans="1:12">
      <c r="A154" t="s">
        <v>81</v>
      </c>
      <c r="B154" t="s">
        <v>349</v>
      </c>
      <c r="C154" t="s">
        <v>352</v>
      </c>
      <c r="D154" s="3" t="s">
        <v>865</v>
      </c>
      <c r="E154" s="10">
        <v>0.2</v>
      </c>
      <c r="F154" s="13" t="s">
        <v>176</v>
      </c>
      <c r="G154" s="9">
        <v>1400</v>
      </c>
      <c r="H154" s="9">
        <f t="shared" si="4"/>
        <v>280</v>
      </c>
      <c r="I154" t="s">
        <v>179</v>
      </c>
      <c r="J154" s="33" t="s">
        <v>489</v>
      </c>
      <c r="K154" s="18">
        <f>VLOOKUP(D154,Ingredients!C:G,5,0)</f>
        <v>1400</v>
      </c>
      <c r="L154" s="52">
        <f t="shared" si="5"/>
        <v>280</v>
      </c>
    </row>
    <row r="155" spans="1:12">
      <c r="A155" t="s">
        <v>81</v>
      </c>
      <c r="B155" t="s">
        <v>349</v>
      </c>
      <c r="C155" t="s">
        <v>352</v>
      </c>
      <c r="D155" s="3" t="s">
        <v>878</v>
      </c>
      <c r="E155" s="10">
        <v>2E-3</v>
      </c>
      <c r="F155" s="13" t="s">
        <v>176</v>
      </c>
      <c r="G155" s="9">
        <v>270</v>
      </c>
      <c r="H155" s="9">
        <f t="shared" si="4"/>
        <v>0.54</v>
      </c>
      <c r="I155" t="s">
        <v>179</v>
      </c>
      <c r="J155" s="33" t="s">
        <v>489</v>
      </c>
      <c r="K155" s="18">
        <f>VLOOKUP(D155,Ingredients!C:G,5,0)</f>
        <v>1260.55</v>
      </c>
      <c r="L155" s="52">
        <f t="shared" si="5"/>
        <v>2.5211000000000001</v>
      </c>
    </row>
    <row r="156" spans="1:12">
      <c r="A156" t="s">
        <v>81</v>
      </c>
      <c r="B156" t="s">
        <v>349</v>
      </c>
      <c r="C156" t="s">
        <v>352</v>
      </c>
      <c r="D156" s="3" t="s">
        <v>860</v>
      </c>
      <c r="E156" s="10">
        <v>2E-3</v>
      </c>
      <c r="F156" s="13" t="s">
        <v>176</v>
      </c>
      <c r="G156" s="9">
        <v>2000</v>
      </c>
      <c r="H156" s="9">
        <f t="shared" si="4"/>
        <v>4</v>
      </c>
      <c r="I156" t="s">
        <v>179</v>
      </c>
      <c r="J156" s="33" t="s">
        <v>489</v>
      </c>
      <c r="K156" s="18">
        <f>VLOOKUP(D156,Ingredients!C:G,5,0)</f>
        <v>1900</v>
      </c>
      <c r="L156" s="52">
        <f t="shared" si="5"/>
        <v>3.8000000000000003</v>
      </c>
    </row>
    <row r="157" spans="1:12">
      <c r="A157" t="s">
        <v>81</v>
      </c>
      <c r="B157" t="s">
        <v>349</v>
      </c>
      <c r="C157" t="s">
        <v>352</v>
      </c>
      <c r="D157" s="3" t="s">
        <v>855</v>
      </c>
      <c r="E157" s="10">
        <v>2E-3</v>
      </c>
      <c r="F157" s="13" t="s">
        <v>176</v>
      </c>
      <c r="G157" s="9">
        <v>2400</v>
      </c>
      <c r="H157" s="9">
        <f t="shared" si="4"/>
        <v>4.8</v>
      </c>
      <c r="I157" t="s">
        <v>179</v>
      </c>
      <c r="J157" s="33" t="s">
        <v>489</v>
      </c>
      <c r="K157" s="18">
        <f>VLOOKUP(D157,Ingredients!C:G,5,0)</f>
        <v>1600</v>
      </c>
      <c r="L157" s="52">
        <f t="shared" si="5"/>
        <v>3.2</v>
      </c>
    </row>
    <row r="158" spans="1:12">
      <c r="A158" t="s">
        <v>81</v>
      </c>
      <c r="B158" t="s">
        <v>349</v>
      </c>
      <c r="C158" t="s">
        <v>352</v>
      </c>
      <c r="D158" s="3" t="s">
        <v>870</v>
      </c>
      <c r="E158" s="10">
        <v>2E-3</v>
      </c>
      <c r="F158" s="13" t="s">
        <v>176</v>
      </c>
      <c r="G158" s="9">
        <v>440</v>
      </c>
      <c r="H158" s="9">
        <f t="shared" si="4"/>
        <v>0.88</v>
      </c>
      <c r="I158" t="s">
        <v>179</v>
      </c>
      <c r="J158" s="33" t="s">
        <v>489</v>
      </c>
      <c r="K158" s="18">
        <f>VLOOKUP(D158,Ingredients!C:G,5,0)</f>
        <v>450</v>
      </c>
      <c r="L158" s="52">
        <f t="shared" si="5"/>
        <v>0.9</v>
      </c>
    </row>
    <row r="159" spans="1:12">
      <c r="A159" t="s">
        <v>81</v>
      </c>
      <c r="B159" t="s">
        <v>349</v>
      </c>
      <c r="C159" t="s">
        <v>352</v>
      </c>
      <c r="D159" s="3" t="s">
        <v>73</v>
      </c>
      <c r="E159" s="10">
        <v>0.1</v>
      </c>
      <c r="F159" s="13" t="s">
        <v>176</v>
      </c>
      <c r="G159" s="9">
        <v>305</v>
      </c>
      <c r="H159" s="9">
        <f t="shared" si="4"/>
        <v>30.5</v>
      </c>
      <c r="I159" t="s">
        <v>179</v>
      </c>
      <c r="J159" s="33" t="s">
        <v>489</v>
      </c>
      <c r="K159" s="18">
        <f>VLOOKUP(D159,Ingredients!C:G,5,0)</f>
        <v>300</v>
      </c>
      <c r="L159" s="52">
        <f t="shared" si="5"/>
        <v>30</v>
      </c>
    </row>
    <row r="160" spans="1:12">
      <c r="A160" t="s">
        <v>81</v>
      </c>
      <c r="B160" t="s">
        <v>349</v>
      </c>
      <c r="C160" t="s">
        <v>352</v>
      </c>
      <c r="D160" s="3" t="s">
        <v>28</v>
      </c>
      <c r="E160" s="10">
        <v>0.24</v>
      </c>
      <c r="F160" s="13" t="s">
        <v>176</v>
      </c>
      <c r="G160" s="9">
        <v>85</v>
      </c>
      <c r="H160" s="9">
        <f t="shared" si="4"/>
        <v>20.399999999999999</v>
      </c>
      <c r="I160" t="s">
        <v>179</v>
      </c>
      <c r="J160" s="33" t="s">
        <v>489</v>
      </c>
      <c r="K160" s="18">
        <f>VLOOKUP(D160,Ingredients!C:G,5,0)</f>
        <v>70</v>
      </c>
      <c r="L160" s="52">
        <f t="shared" si="5"/>
        <v>16.8</v>
      </c>
    </row>
    <row r="161" spans="1:12">
      <c r="A161" t="s">
        <v>81</v>
      </c>
      <c r="B161" t="s">
        <v>349</v>
      </c>
      <c r="C161" t="s">
        <v>352</v>
      </c>
      <c r="D161" s="3" t="s">
        <v>831</v>
      </c>
      <c r="E161" s="10">
        <v>1</v>
      </c>
      <c r="F161" s="13" t="s">
        <v>176</v>
      </c>
      <c r="G161" s="9">
        <v>908</v>
      </c>
      <c r="H161" s="9">
        <f t="shared" si="4"/>
        <v>908</v>
      </c>
      <c r="I161" t="s">
        <v>179</v>
      </c>
      <c r="J161" s="33" t="s">
        <v>489</v>
      </c>
      <c r="K161" s="18">
        <f>VLOOKUP(D161,Ingredients!C:G,5,0)</f>
        <v>908</v>
      </c>
      <c r="L161" s="52">
        <f t="shared" si="5"/>
        <v>908</v>
      </c>
    </row>
    <row r="162" spans="1:12">
      <c r="A162" t="s">
        <v>82</v>
      </c>
      <c r="B162" t="s">
        <v>349</v>
      </c>
      <c r="C162" t="s">
        <v>352</v>
      </c>
      <c r="D162" s="3" t="s">
        <v>24</v>
      </c>
      <c r="E162" s="10">
        <v>0.28599999999999998</v>
      </c>
      <c r="F162" s="13" t="s">
        <v>176</v>
      </c>
      <c r="G162" s="9">
        <v>55</v>
      </c>
      <c r="H162" s="9">
        <f t="shared" si="4"/>
        <v>15.729999999999999</v>
      </c>
      <c r="I162" t="s">
        <v>179</v>
      </c>
      <c r="J162" s="33" t="s">
        <v>489</v>
      </c>
      <c r="K162" s="18">
        <f>VLOOKUP(D162,Ingredients!C:G,5,0)</f>
        <v>80</v>
      </c>
      <c r="L162" s="52">
        <f t="shared" si="5"/>
        <v>22.88</v>
      </c>
    </row>
    <row r="163" spans="1:12">
      <c r="A163" t="s">
        <v>82</v>
      </c>
      <c r="B163" t="s">
        <v>349</v>
      </c>
      <c r="C163" t="s">
        <v>352</v>
      </c>
      <c r="D163" s="3" t="s">
        <v>854</v>
      </c>
      <c r="E163" s="10">
        <v>2.86</v>
      </c>
      <c r="F163" s="13" t="s">
        <v>173</v>
      </c>
      <c r="G163" s="9">
        <v>24.64</v>
      </c>
      <c r="H163" s="9">
        <f t="shared" si="4"/>
        <v>70.470399999999998</v>
      </c>
      <c r="I163" t="s">
        <v>179</v>
      </c>
      <c r="J163" s="33" t="s">
        <v>489</v>
      </c>
      <c r="K163" s="18">
        <f>VLOOKUP(D163,Ingredients!C:G,5,0)</f>
        <v>20.059999999999999</v>
      </c>
      <c r="L163" s="52">
        <f t="shared" si="5"/>
        <v>57.371599999999994</v>
      </c>
    </row>
    <row r="164" spans="1:12">
      <c r="A164" t="s">
        <v>82</v>
      </c>
      <c r="B164" t="s">
        <v>349</v>
      </c>
      <c r="C164" t="s">
        <v>352</v>
      </c>
      <c r="D164" s="3" t="s">
        <v>835</v>
      </c>
      <c r="E164" s="10">
        <v>5.7200000000000003E-3</v>
      </c>
      <c r="F164" s="13" t="s">
        <v>176</v>
      </c>
      <c r="G164" s="9">
        <v>389.34</v>
      </c>
      <c r="H164" s="9">
        <f t="shared" si="4"/>
        <v>2.2270248000000001</v>
      </c>
      <c r="I164" t="s">
        <v>179</v>
      </c>
      <c r="J164" s="33" t="s">
        <v>489</v>
      </c>
      <c r="K164" s="18">
        <f>VLOOKUP(D164,Ingredients!C:G,5,0)</f>
        <v>394.63</v>
      </c>
      <c r="L164" s="52">
        <f t="shared" si="5"/>
        <v>2.2572836000000001</v>
      </c>
    </row>
    <row r="165" spans="1:12">
      <c r="A165" t="s">
        <v>82</v>
      </c>
      <c r="B165" t="s">
        <v>349</v>
      </c>
      <c r="C165" t="s">
        <v>352</v>
      </c>
      <c r="D165" s="3" t="s">
        <v>872</v>
      </c>
      <c r="E165" s="10">
        <v>5.7200000000000003E-3</v>
      </c>
      <c r="F165" s="13" t="s">
        <v>176</v>
      </c>
      <c r="G165" s="9">
        <v>2100</v>
      </c>
      <c r="H165" s="9">
        <f t="shared" si="4"/>
        <v>12.012</v>
      </c>
      <c r="I165" t="s">
        <v>179</v>
      </c>
      <c r="J165" s="33" t="s">
        <v>489</v>
      </c>
      <c r="K165" s="18">
        <f>VLOOKUP(D165,Ingredients!C:G,5,0)</f>
        <v>2150</v>
      </c>
      <c r="L165" s="52">
        <f t="shared" si="5"/>
        <v>12.298</v>
      </c>
    </row>
    <row r="166" spans="1:12">
      <c r="A166" t="s">
        <v>82</v>
      </c>
      <c r="B166" t="s">
        <v>349</v>
      </c>
      <c r="C166" t="s">
        <v>352</v>
      </c>
      <c r="D166" s="3" t="s">
        <v>855</v>
      </c>
      <c r="E166" s="10">
        <v>5.7200000000000003E-3</v>
      </c>
      <c r="F166" s="13" t="s">
        <v>176</v>
      </c>
      <c r="G166" s="9">
        <v>2400</v>
      </c>
      <c r="H166" s="9">
        <f t="shared" si="4"/>
        <v>13.728</v>
      </c>
      <c r="I166" t="s">
        <v>179</v>
      </c>
      <c r="J166" s="33" t="s">
        <v>489</v>
      </c>
      <c r="K166" s="18">
        <f>VLOOKUP(D166,Ingredients!C:G,5,0)</f>
        <v>1600</v>
      </c>
      <c r="L166" s="52">
        <f t="shared" si="5"/>
        <v>9.152000000000001</v>
      </c>
    </row>
    <row r="167" spans="1:12">
      <c r="A167" t="s">
        <v>82</v>
      </c>
      <c r="B167" t="s">
        <v>349</v>
      </c>
      <c r="C167" t="s">
        <v>352</v>
      </c>
      <c r="D167" s="3" t="s">
        <v>856</v>
      </c>
      <c r="E167" s="10">
        <v>5.7200000000000003E-3</v>
      </c>
      <c r="F167" s="13" t="s">
        <v>176</v>
      </c>
      <c r="G167" s="9">
        <v>850</v>
      </c>
      <c r="H167" s="9">
        <f t="shared" si="4"/>
        <v>4.8620000000000001</v>
      </c>
      <c r="I167" t="s">
        <v>179</v>
      </c>
      <c r="J167" s="33" t="s">
        <v>489</v>
      </c>
      <c r="K167" s="18">
        <f>VLOOKUP(D167,Ingredients!C:G,5,0)</f>
        <v>980</v>
      </c>
      <c r="L167" s="52">
        <f t="shared" si="5"/>
        <v>5.6055999999999999</v>
      </c>
    </row>
    <row r="168" spans="1:12">
      <c r="A168" t="s">
        <v>82</v>
      </c>
      <c r="B168" t="s">
        <v>349</v>
      </c>
      <c r="C168" t="s">
        <v>352</v>
      </c>
      <c r="D168" s="3" t="s">
        <v>853</v>
      </c>
      <c r="E168" s="10">
        <v>8.5799999999999991E-3</v>
      </c>
      <c r="F168" s="13" t="s">
        <v>176</v>
      </c>
      <c r="G168" s="9">
        <v>30</v>
      </c>
      <c r="H168" s="9">
        <f t="shared" si="4"/>
        <v>0.25739999999999996</v>
      </c>
      <c r="I168" t="s">
        <v>179</v>
      </c>
      <c r="J168" s="33" t="s">
        <v>489</v>
      </c>
      <c r="K168" s="18">
        <f>VLOOKUP(D168,Ingredients!C:G,5,0)</f>
        <v>55</v>
      </c>
      <c r="L168" s="52">
        <f t="shared" si="5"/>
        <v>0.47189999999999993</v>
      </c>
    </row>
    <row r="169" spans="1:12">
      <c r="A169" t="s">
        <v>82</v>
      </c>
      <c r="B169" t="s">
        <v>349</v>
      </c>
      <c r="C169" t="s">
        <v>352</v>
      </c>
      <c r="D169" s="3" t="s">
        <v>863</v>
      </c>
      <c r="E169" s="10">
        <v>5.7200000000000001E-2</v>
      </c>
      <c r="F169" s="13" t="s">
        <v>176</v>
      </c>
      <c r="G169" s="9">
        <v>675</v>
      </c>
      <c r="H169" s="9">
        <f t="shared" si="4"/>
        <v>38.61</v>
      </c>
      <c r="I169" t="s">
        <v>179</v>
      </c>
      <c r="J169" s="33" t="s">
        <v>489</v>
      </c>
      <c r="K169" s="18">
        <f>VLOOKUP(D169,Ingredients!C:G,5,0)</f>
        <v>675</v>
      </c>
      <c r="L169" s="52">
        <f t="shared" si="5"/>
        <v>38.61</v>
      </c>
    </row>
    <row r="170" spans="1:12">
      <c r="A170" t="s">
        <v>82</v>
      </c>
      <c r="B170" t="s">
        <v>349</v>
      </c>
      <c r="C170" t="s">
        <v>352</v>
      </c>
      <c r="D170" s="3" t="s">
        <v>28</v>
      </c>
      <c r="E170" s="10">
        <v>0.57199999999999995</v>
      </c>
      <c r="F170" s="13" t="s">
        <v>176</v>
      </c>
      <c r="G170" s="9">
        <v>85</v>
      </c>
      <c r="H170" s="9">
        <f t="shared" si="4"/>
        <v>48.62</v>
      </c>
      <c r="I170" t="s">
        <v>179</v>
      </c>
      <c r="J170" s="33" t="s">
        <v>489</v>
      </c>
      <c r="K170" s="18">
        <f>VLOOKUP(D170,Ingredients!C:G,5,0)</f>
        <v>70</v>
      </c>
      <c r="L170" s="52">
        <f t="shared" si="5"/>
        <v>40.04</v>
      </c>
    </row>
    <row r="171" spans="1:12">
      <c r="A171" t="s">
        <v>82</v>
      </c>
      <c r="B171" t="s">
        <v>349</v>
      </c>
      <c r="C171" t="s">
        <v>352</v>
      </c>
      <c r="D171" s="3" t="s">
        <v>831</v>
      </c>
      <c r="E171" s="10">
        <v>1.0009999999999999</v>
      </c>
      <c r="F171" s="13" t="s">
        <v>176</v>
      </c>
      <c r="G171" s="9">
        <v>908</v>
      </c>
      <c r="H171" s="9">
        <f t="shared" si="4"/>
        <v>908.9079999999999</v>
      </c>
      <c r="I171" t="s">
        <v>179</v>
      </c>
      <c r="J171" s="33" t="s">
        <v>489</v>
      </c>
      <c r="K171" s="18">
        <f>VLOOKUP(D171,Ingredients!C:G,5,0)</f>
        <v>908</v>
      </c>
      <c r="L171" s="52">
        <f t="shared" si="5"/>
        <v>908.9079999999999</v>
      </c>
    </row>
    <row r="172" spans="1:12">
      <c r="A172" t="s">
        <v>83</v>
      </c>
      <c r="B172" t="s">
        <v>349</v>
      </c>
      <c r="C172" t="s">
        <v>352</v>
      </c>
      <c r="D172" s="3" t="s">
        <v>864</v>
      </c>
      <c r="E172" s="10">
        <v>2.5000000000000001E-2</v>
      </c>
      <c r="F172" s="13" t="s">
        <v>176</v>
      </c>
      <c r="G172" s="9">
        <v>1400</v>
      </c>
      <c r="H172" s="9">
        <f t="shared" si="4"/>
        <v>35</v>
      </c>
      <c r="I172" t="s">
        <v>179</v>
      </c>
      <c r="J172" s="33" t="s">
        <v>491</v>
      </c>
      <c r="K172" s="18">
        <f>VLOOKUP(D172,Ingredients!C:G,5,0)</f>
        <v>1400</v>
      </c>
      <c r="L172" s="52">
        <f t="shared" si="5"/>
        <v>35</v>
      </c>
    </row>
    <row r="173" spans="1:12">
      <c r="A173" t="s">
        <v>83</v>
      </c>
      <c r="B173" t="s">
        <v>349</v>
      </c>
      <c r="C173" t="s">
        <v>352</v>
      </c>
      <c r="D173" s="3" t="s">
        <v>856</v>
      </c>
      <c r="E173" s="10">
        <v>2.5000000000000001E-2</v>
      </c>
      <c r="F173" s="13" t="s">
        <v>176</v>
      </c>
      <c r="G173" s="9">
        <v>850</v>
      </c>
      <c r="H173" s="9">
        <f t="shared" si="4"/>
        <v>21.25</v>
      </c>
      <c r="I173" t="s">
        <v>179</v>
      </c>
      <c r="J173" s="33" t="s">
        <v>491</v>
      </c>
      <c r="K173" s="18">
        <f>VLOOKUP(D173,Ingredients!C:G,5,0)</f>
        <v>980</v>
      </c>
      <c r="L173" s="52">
        <f t="shared" si="5"/>
        <v>24.5</v>
      </c>
    </row>
    <row r="174" spans="1:12">
      <c r="A174" t="s">
        <v>83</v>
      </c>
      <c r="B174" t="s">
        <v>349</v>
      </c>
      <c r="C174" t="s">
        <v>352</v>
      </c>
      <c r="D174" s="3" t="s">
        <v>853</v>
      </c>
      <c r="E174" s="10">
        <v>0.04</v>
      </c>
      <c r="F174" s="13" t="s">
        <v>176</v>
      </c>
      <c r="G174" s="9">
        <v>30</v>
      </c>
      <c r="H174" s="9">
        <f t="shared" si="4"/>
        <v>1.2</v>
      </c>
      <c r="I174" t="s">
        <v>179</v>
      </c>
      <c r="J174" s="33" t="s">
        <v>491</v>
      </c>
      <c r="K174" s="18">
        <f>VLOOKUP(D174,Ingredients!C:G,5,0)</f>
        <v>55</v>
      </c>
      <c r="L174" s="52">
        <f t="shared" si="5"/>
        <v>2.2000000000000002</v>
      </c>
    </row>
    <row r="175" spans="1:12">
      <c r="A175" t="s">
        <v>83</v>
      </c>
      <c r="B175" t="s">
        <v>349</v>
      </c>
      <c r="C175" t="s">
        <v>352</v>
      </c>
      <c r="D175" s="3" t="s">
        <v>29</v>
      </c>
      <c r="E175" s="10">
        <v>2.5049999999999999E-2</v>
      </c>
      <c r="F175" s="13" t="s">
        <v>176</v>
      </c>
      <c r="G175" s="9">
        <v>60</v>
      </c>
      <c r="H175" s="9">
        <f t="shared" si="4"/>
        <v>1.5029999999999999</v>
      </c>
      <c r="I175" t="s">
        <v>179</v>
      </c>
      <c r="J175" s="33" t="s">
        <v>491</v>
      </c>
      <c r="K175" s="18">
        <f>VLOOKUP(D175,Ingredients!C:G,5,0)</f>
        <v>100</v>
      </c>
      <c r="L175" s="52">
        <f t="shared" si="5"/>
        <v>2.5049999999999999</v>
      </c>
    </row>
    <row r="176" spans="1:12">
      <c r="A176" t="s">
        <v>83</v>
      </c>
      <c r="B176" t="s">
        <v>349</v>
      </c>
      <c r="C176" t="s">
        <v>352</v>
      </c>
      <c r="D176" s="3" t="s">
        <v>23</v>
      </c>
      <c r="E176" s="10">
        <v>2.5049999999999999E-2</v>
      </c>
      <c r="F176" s="13" t="s">
        <v>176</v>
      </c>
      <c r="G176" s="9">
        <v>740</v>
      </c>
      <c r="H176" s="9">
        <f t="shared" si="4"/>
        <v>18.536999999999999</v>
      </c>
      <c r="I176" t="s">
        <v>179</v>
      </c>
      <c r="J176" s="33" t="s">
        <v>491</v>
      </c>
      <c r="K176" s="18">
        <f>VLOOKUP(D176,Ingredients!C:G,5,0)</f>
        <v>780</v>
      </c>
      <c r="L176" s="52">
        <f t="shared" si="5"/>
        <v>19.538999999999998</v>
      </c>
    </row>
    <row r="177" spans="1:12">
      <c r="A177" t="s">
        <v>83</v>
      </c>
      <c r="B177" t="s">
        <v>349</v>
      </c>
      <c r="C177" t="s">
        <v>352</v>
      </c>
      <c r="D177" s="3" t="s">
        <v>16</v>
      </c>
      <c r="E177" s="10">
        <v>2.5049999999999999E-2</v>
      </c>
      <c r="F177" s="13" t="s">
        <v>176</v>
      </c>
      <c r="G177" s="9">
        <v>270</v>
      </c>
      <c r="H177" s="9">
        <f t="shared" si="4"/>
        <v>6.7634999999999996</v>
      </c>
      <c r="I177" t="s">
        <v>179</v>
      </c>
      <c r="J177" s="33" t="s">
        <v>491</v>
      </c>
      <c r="K177" s="18">
        <f>VLOOKUP(D177,Ingredients!C:G,5,0)</f>
        <v>310</v>
      </c>
      <c r="L177" s="52">
        <f t="shared" si="5"/>
        <v>7.7654999999999994</v>
      </c>
    </row>
    <row r="178" spans="1:12">
      <c r="A178" t="s">
        <v>83</v>
      </c>
      <c r="B178" t="s">
        <v>349</v>
      </c>
      <c r="C178" t="s">
        <v>352</v>
      </c>
      <c r="D178" s="3" t="s">
        <v>852</v>
      </c>
      <c r="E178" s="10">
        <v>0.20874999999999999</v>
      </c>
      <c r="F178" s="13" t="s">
        <v>177</v>
      </c>
      <c r="G178" s="9">
        <v>520.63</v>
      </c>
      <c r="H178" s="9">
        <f t="shared" si="4"/>
        <v>108.6815125</v>
      </c>
      <c r="I178" t="s">
        <v>179</v>
      </c>
      <c r="J178" s="33" t="s">
        <v>491</v>
      </c>
      <c r="K178" s="18">
        <v>550</v>
      </c>
      <c r="L178" s="52">
        <f t="shared" si="5"/>
        <v>114.8125</v>
      </c>
    </row>
    <row r="179" spans="1:12">
      <c r="A179" t="s">
        <v>83</v>
      </c>
      <c r="B179" t="s">
        <v>349</v>
      </c>
      <c r="C179" t="s">
        <v>352</v>
      </c>
      <c r="D179" s="3" t="s">
        <v>28</v>
      </c>
      <c r="E179" s="10">
        <v>0.41749999999999998</v>
      </c>
      <c r="F179" s="13" t="s">
        <v>176</v>
      </c>
      <c r="G179" s="9">
        <v>85</v>
      </c>
      <c r="H179" s="9">
        <f t="shared" si="4"/>
        <v>35.487499999999997</v>
      </c>
      <c r="I179" t="s">
        <v>179</v>
      </c>
      <c r="J179" s="33" t="s">
        <v>491</v>
      </c>
      <c r="K179" s="18">
        <f>VLOOKUP(D179,Ingredients!C:G,5,0)</f>
        <v>70</v>
      </c>
      <c r="L179" s="52">
        <f t="shared" si="5"/>
        <v>29.224999999999998</v>
      </c>
    </row>
    <row r="180" spans="1:12">
      <c r="A180" t="s">
        <v>83</v>
      </c>
      <c r="B180" t="s">
        <v>349</v>
      </c>
      <c r="C180" t="s">
        <v>352</v>
      </c>
      <c r="D180" s="33" t="s">
        <v>491</v>
      </c>
      <c r="E180" s="10">
        <v>1.002</v>
      </c>
      <c r="F180" s="13" t="s">
        <v>176</v>
      </c>
      <c r="G180" s="9">
        <v>614</v>
      </c>
      <c r="H180" s="9">
        <f t="shared" ref="H180:H243" si="6">G180*E180</f>
        <v>615.22799999999995</v>
      </c>
      <c r="I180" t="s">
        <v>179</v>
      </c>
      <c r="J180" s="33" t="s">
        <v>491</v>
      </c>
      <c r="K180" s="18">
        <f>VLOOKUP(D180,Ingredients!C:G,5,0)</f>
        <v>650</v>
      </c>
      <c r="L180" s="52">
        <f t="shared" si="5"/>
        <v>651.29999999999995</v>
      </c>
    </row>
    <row r="181" spans="1:12">
      <c r="A181" t="s">
        <v>85</v>
      </c>
      <c r="B181" t="s">
        <v>349</v>
      </c>
      <c r="C181" t="s">
        <v>352</v>
      </c>
      <c r="D181" s="3" t="s">
        <v>855</v>
      </c>
      <c r="E181" s="10">
        <v>3.3400000000000001E-3</v>
      </c>
      <c r="F181" s="13" t="s">
        <v>176</v>
      </c>
      <c r="G181" s="9">
        <v>2400</v>
      </c>
      <c r="H181" s="9">
        <f t="shared" si="6"/>
        <v>8.016</v>
      </c>
      <c r="I181" t="s">
        <v>179</v>
      </c>
      <c r="J181" s="33" t="s">
        <v>491</v>
      </c>
      <c r="K181" s="18">
        <f>VLOOKUP(D181,Ingredients!C:G,5,0)</f>
        <v>1600</v>
      </c>
      <c r="L181" s="52">
        <f t="shared" si="5"/>
        <v>5.3440000000000003</v>
      </c>
    </row>
    <row r="182" spans="1:12">
      <c r="A182" t="s">
        <v>85</v>
      </c>
      <c r="B182" t="s">
        <v>349</v>
      </c>
      <c r="C182" t="s">
        <v>352</v>
      </c>
      <c r="D182" s="3" t="s">
        <v>879</v>
      </c>
      <c r="E182" s="10">
        <v>3.3400000000000001E-3</v>
      </c>
      <c r="F182" s="13" t="s">
        <v>176</v>
      </c>
      <c r="G182" s="9">
        <v>1113.51</v>
      </c>
      <c r="H182" s="9">
        <f t="shared" si="6"/>
        <v>3.7191234</v>
      </c>
      <c r="I182" t="s">
        <v>179</v>
      </c>
      <c r="J182" s="33" t="s">
        <v>491</v>
      </c>
      <c r="K182" s="18">
        <f>VLOOKUP(D182,Ingredients!C:G,5,0)</f>
        <v>1066.33</v>
      </c>
      <c r="L182" s="52">
        <f t="shared" si="5"/>
        <v>3.5615421999999999</v>
      </c>
    </row>
    <row r="183" spans="1:12">
      <c r="A183" t="s">
        <v>85</v>
      </c>
      <c r="B183" t="s">
        <v>349</v>
      </c>
      <c r="C183" t="s">
        <v>352</v>
      </c>
      <c r="D183" s="3" t="s">
        <v>872</v>
      </c>
      <c r="E183" s="10">
        <v>8.3499999999999998E-3</v>
      </c>
      <c r="F183" s="13" t="s">
        <v>176</v>
      </c>
      <c r="G183" s="9">
        <v>2100</v>
      </c>
      <c r="H183" s="9">
        <f t="shared" si="6"/>
        <v>17.535</v>
      </c>
      <c r="I183" t="s">
        <v>179</v>
      </c>
      <c r="J183" s="33" t="s">
        <v>491</v>
      </c>
      <c r="K183" s="18">
        <f>VLOOKUP(D183,Ingredients!C:G,5,0)</f>
        <v>2150</v>
      </c>
      <c r="L183" s="52">
        <f t="shared" si="5"/>
        <v>17.952500000000001</v>
      </c>
    </row>
    <row r="184" spans="1:12">
      <c r="A184" t="s">
        <v>85</v>
      </c>
      <c r="B184" t="s">
        <v>349</v>
      </c>
      <c r="C184" t="s">
        <v>352</v>
      </c>
      <c r="D184" s="3" t="s">
        <v>853</v>
      </c>
      <c r="E184" s="10">
        <v>1.0019999999999999E-2</v>
      </c>
      <c r="F184" s="13" t="s">
        <v>176</v>
      </c>
      <c r="G184" s="9">
        <v>30</v>
      </c>
      <c r="H184" s="9">
        <f t="shared" si="6"/>
        <v>0.30059999999999998</v>
      </c>
      <c r="I184" t="s">
        <v>179</v>
      </c>
      <c r="J184" s="33" t="s">
        <v>491</v>
      </c>
      <c r="K184" s="18">
        <f>VLOOKUP(D184,Ingredients!C:G,5,0)</f>
        <v>55</v>
      </c>
      <c r="L184" s="52">
        <f t="shared" si="5"/>
        <v>0.55109999999999992</v>
      </c>
    </row>
    <row r="185" spans="1:12">
      <c r="A185" t="s">
        <v>85</v>
      </c>
      <c r="B185" t="s">
        <v>349</v>
      </c>
      <c r="C185" t="s">
        <v>352</v>
      </c>
      <c r="D185" s="3" t="s">
        <v>73</v>
      </c>
      <c r="E185" s="10">
        <v>0.12525</v>
      </c>
      <c r="F185" s="13" t="s">
        <v>176</v>
      </c>
      <c r="G185" s="9">
        <v>305</v>
      </c>
      <c r="H185" s="9">
        <f t="shared" si="6"/>
        <v>38.201250000000002</v>
      </c>
      <c r="I185" t="s">
        <v>179</v>
      </c>
      <c r="J185" s="33" t="s">
        <v>491</v>
      </c>
      <c r="K185" s="18">
        <f>VLOOKUP(D185,Ingredients!C:G,5,0)</f>
        <v>300</v>
      </c>
      <c r="L185" s="52">
        <f t="shared" si="5"/>
        <v>37.575000000000003</v>
      </c>
    </row>
    <row r="186" spans="1:12">
      <c r="A186" t="s">
        <v>85</v>
      </c>
      <c r="B186" t="s">
        <v>349</v>
      </c>
      <c r="C186" t="s">
        <v>352</v>
      </c>
      <c r="D186" s="3" t="s">
        <v>851</v>
      </c>
      <c r="E186" s="10">
        <v>0.1169</v>
      </c>
      <c r="F186" s="13" t="s">
        <v>176</v>
      </c>
      <c r="G186" s="9">
        <v>177</v>
      </c>
      <c r="H186" s="9">
        <f t="shared" si="6"/>
        <v>20.691300000000002</v>
      </c>
      <c r="I186" t="s">
        <v>179</v>
      </c>
      <c r="J186" s="33" t="s">
        <v>491</v>
      </c>
      <c r="K186" s="18">
        <f>VLOOKUP(D186,Ingredients!C:G,5,0)</f>
        <v>920</v>
      </c>
      <c r="L186" s="52">
        <f t="shared" si="5"/>
        <v>107.548</v>
      </c>
    </row>
    <row r="187" spans="1:12">
      <c r="A187" t="s">
        <v>85</v>
      </c>
      <c r="B187" t="s">
        <v>349</v>
      </c>
      <c r="C187" t="s">
        <v>352</v>
      </c>
      <c r="D187" s="3" t="s">
        <v>29</v>
      </c>
      <c r="E187" s="10">
        <v>8.3499999999999998E-3</v>
      </c>
      <c r="F187" s="13" t="s">
        <v>176</v>
      </c>
      <c r="G187" s="9">
        <v>60</v>
      </c>
      <c r="H187" s="9">
        <f t="shared" si="6"/>
        <v>0.501</v>
      </c>
      <c r="I187" t="s">
        <v>179</v>
      </c>
      <c r="J187" s="33" t="s">
        <v>491</v>
      </c>
      <c r="K187" s="18">
        <f>VLOOKUP(D187,Ingredients!C:G,5,0)</f>
        <v>100</v>
      </c>
      <c r="L187" s="52">
        <f t="shared" si="5"/>
        <v>0.83499999999999996</v>
      </c>
    </row>
    <row r="188" spans="1:12">
      <c r="A188" t="s">
        <v>85</v>
      </c>
      <c r="B188" t="s">
        <v>349</v>
      </c>
      <c r="C188" t="s">
        <v>352</v>
      </c>
      <c r="D188" s="3" t="s">
        <v>23</v>
      </c>
      <c r="E188" s="10">
        <v>1.336E-2</v>
      </c>
      <c r="F188" s="13" t="s">
        <v>176</v>
      </c>
      <c r="G188" s="9">
        <v>740</v>
      </c>
      <c r="H188" s="9">
        <f t="shared" si="6"/>
        <v>9.8864000000000001</v>
      </c>
      <c r="I188" t="s">
        <v>179</v>
      </c>
      <c r="J188" s="33" t="s">
        <v>491</v>
      </c>
      <c r="K188" s="18">
        <f>VLOOKUP(D188,Ingredients!C:G,5,0)</f>
        <v>780</v>
      </c>
      <c r="L188" s="52">
        <f t="shared" si="5"/>
        <v>10.4208</v>
      </c>
    </row>
    <row r="189" spans="1:12">
      <c r="A189" t="s">
        <v>85</v>
      </c>
      <c r="B189" t="s">
        <v>349</v>
      </c>
      <c r="C189" t="s">
        <v>352</v>
      </c>
      <c r="D189" s="3" t="s">
        <v>16</v>
      </c>
      <c r="E189" s="10">
        <v>1.336E-2</v>
      </c>
      <c r="F189" s="13" t="s">
        <v>176</v>
      </c>
      <c r="G189" s="9">
        <v>270</v>
      </c>
      <c r="H189" s="9">
        <f t="shared" si="6"/>
        <v>3.6072000000000002</v>
      </c>
      <c r="I189" t="s">
        <v>179</v>
      </c>
      <c r="J189" s="33" t="s">
        <v>491</v>
      </c>
      <c r="K189" s="18">
        <f>VLOOKUP(D189,Ingredients!C:G,5,0)</f>
        <v>310</v>
      </c>
      <c r="L189" s="52">
        <f t="shared" si="5"/>
        <v>4.1416000000000004</v>
      </c>
    </row>
    <row r="190" spans="1:12">
      <c r="A190" t="s">
        <v>85</v>
      </c>
      <c r="B190" t="s">
        <v>349</v>
      </c>
      <c r="C190" t="s">
        <v>352</v>
      </c>
      <c r="D190" s="3" t="s">
        <v>852</v>
      </c>
      <c r="E190" s="10">
        <v>0.16700000000000001</v>
      </c>
      <c r="F190" s="13" t="s">
        <v>177</v>
      </c>
      <c r="G190" s="9">
        <v>520.63</v>
      </c>
      <c r="H190" s="9">
        <f t="shared" si="6"/>
        <v>86.945210000000003</v>
      </c>
      <c r="I190" t="s">
        <v>179</v>
      </c>
      <c r="J190" s="33" t="s">
        <v>491</v>
      </c>
      <c r="K190" s="18">
        <v>550</v>
      </c>
      <c r="L190" s="52">
        <f t="shared" si="5"/>
        <v>91.850000000000009</v>
      </c>
    </row>
    <row r="191" spans="1:12">
      <c r="A191" t="s">
        <v>85</v>
      </c>
      <c r="B191" t="s">
        <v>349</v>
      </c>
      <c r="C191" t="s">
        <v>352</v>
      </c>
      <c r="D191" s="33" t="s">
        <v>491</v>
      </c>
      <c r="E191" s="10">
        <v>1.002</v>
      </c>
      <c r="F191" s="13" t="s">
        <v>175</v>
      </c>
      <c r="G191" s="9">
        <v>614</v>
      </c>
      <c r="H191" s="9">
        <f t="shared" si="6"/>
        <v>615.22799999999995</v>
      </c>
      <c r="I191" t="s">
        <v>179</v>
      </c>
      <c r="J191" s="33" t="s">
        <v>491</v>
      </c>
      <c r="K191" s="18">
        <f>VLOOKUP(D191,Ingredients!C:G,5,0)</f>
        <v>650</v>
      </c>
      <c r="L191" s="52">
        <f t="shared" si="5"/>
        <v>651.29999999999995</v>
      </c>
    </row>
    <row r="192" spans="1:12">
      <c r="A192" t="s">
        <v>86</v>
      </c>
      <c r="B192" t="s">
        <v>349</v>
      </c>
      <c r="C192" t="s">
        <v>350</v>
      </c>
      <c r="D192" s="3" t="s">
        <v>73</v>
      </c>
      <c r="E192" s="10">
        <v>0.14285714285714288</v>
      </c>
      <c r="F192" s="13" t="s">
        <v>176</v>
      </c>
      <c r="G192" s="9">
        <v>305</v>
      </c>
      <c r="H192" s="9">
        <f t="shared" si="6"/>
        <v>43.571428571428577</v>
      </c>
      <c r="I192" t="s">
        <v>179</v>
      </c>
      <c r="J192" s="33" t="s">
        <v>491</v>
      </c>
      <c r="K192" s="18">
        <f>VLOOKUP(D192,Ingredients!C:G,5,0)</f>
        <v>300</v>
      </c>
      <c r="L192" s="52">
        <f t="shared" si="5"/>
        <v>42.857142857142861</v>
      </c>
    </row>
    <row r="193" spans="1:12">
      <c r="A193" t="s">
        <v>86</v>
      </c>
      <c r="B193" t="s">
        <v>349</v>
      </c>
      <c r="C193" t="s">
        <v>350</v>
      </c>
      <c r="D193" s="3" t="s">
        <v>851</v>
      </c>
      <c r="E193" s="10">
        <v>0.14285714285714288</v>
      </c>
      <c r="F193" s="13" t="s">
        <v>176</v>
      </c>
      <c r="G193" s="9">
        <v>177</v>
      </c>
      <c r="H193" s="9">
        <f t="shared" si="6"/>
        <v>25.285714285714288</v>
      </c>
      <c r="I193" t="s">
        <v>179</v>
      </c>
      <c r="J193" s="33" t="s">
        <v>491</v>
      </c>
      <c r="K193" s="18">
        <f>VLOOKUP(D193,Ingredients!C:G,5,0)</f>
        <v>920</v>
      </c>
      <c r="L193" s="52">
        <f t="shared" si="5"/>
        <v>131.42857142857144</v>
      </c>
    </row>
    <row r="194" spans="1:12">
      <c r="A194" t="s">
        <v>86</v>
      </c>
      <c r="B194" t="s">
        <v>349</v>
      </c>
      <c r="C194" t="s">
        <v>350</v>
      </c>
      <c r="D194" s="3" t="s">
        <v>868</v>
      </c>
      <c r="E194" s="10">
        <v>8.5714285714285715E-2</v>
      </c>
      <c r="F194" s="13" t="s">
        <v>177</v>
      </c>
      <c r="G194" s="9">
        <v>5432.77</v>
      </c>
      <c r="H194" s="9">
        <f t="shared" si="6"/>
        <v>465.66600000000005</v>
      </c>
      <c r="I194" t="s">
        <v>179</v>
      </c>
      <c r="J194" s="33" t="s">
        <v>491</v>
      </c>
      <c r="K194" s="18">
        <f>VLOOKUP(D194,Ingredients!C:G,5,0)</f>
        <v>3200</v>
      </c>
      <c r="L194" s="52">
        <f t="shared" si="5"/>
        <v>274.28571428571428</v>
      </c>
    </row>
    <row r="195" spans="1:12">
      <c r="A195" t="s">
        <v>86</v>
      </c>
      <c r="B195" t="s">
        <v>349</v>
      </c>
      <c r="C195" t="s">
        <v>350</v>
      </c>
      <c r="D195" s="3" t="s">
        <v>853</v>
      </c>
      <c r="E195" s="10">
        <v>5.7142857142857143E-3</v>
      </c>
      <c r="F195" s="13" t="s">
        <v>176</v>
      </c>
      <c r="G195" s="9">
        <v>30</v>
      </c>
      <c r="H195" s="9">
        <f t="shared" si="6"/>
        <v>0.17142857142857143</v>
      </c>
      <c r="I195" t="s">
        <v>179</v>
      </c>
      <c r="J195" s="33" t="s">
        <v>491</v>
      </c>
      <c r="K195" s="18">
        <f>VLOOKUP(D195,Ingredients!C:G,5,0)</f>
        <v>55</v>
      </c>
      <c r="L195" s="52">
        <f t="shared" si="5"/>
        <v>0.31428571428571428</v>
      </c>
    </row>
    <row r="196" spans="1:12">
      <c r="A196" t="s">
        <v>86</v>
      </c>
      <c r="B196" t="s">
        <v>349</v>
      </c>
      <c r="C196" t="s">
        <v>350</v>
      </c>
      <c r="D196" s="3" t="s">
        <v>16</v>
      </c>
      <c r="E196" s="10">
        <v>8.5714285714285715E-2</v>
      </c>
      <c r="F196" s="13" t="s">
        <v>176</v>
      </c>
      <c r="G196" s="9">
        <v>270</v>
      </c>
      <c r="H196" s="9">
        <f t="shared" si="6"/>
        <v>23.142857142857142</v>
      </c>
      <c r="I196" t="s">
        <v>179</v>
      </c>
      <c r="J196" s="33" t="s">
        <v>491</v>
      </c>
      <c r="K196" s="18">
        <f>VLOOKUP(D196,Ingredients!C:G,5,0)</f>
        <v>310</v>
      </c>
      <c r="L196" s="52">
        <f t="shared" ref="L196:L259" si="7">K196*E196</f>
        <v>26.571428571428573</v>
      </c>
    </row>
    <row r="197" spans="1:12">
      <c r="A197" t="s">
        <v>86</v>
      </c>
      <c r="B197" t="s">
        <v>349</v>
      </c>
      <c r="C197" t="s">
        <v>350</v>
      </c>
      <c r="D197" s="3" t="s">
        <v>23</v>
      </c>
      <c r="E197" s="10">
        <v>8.5714285714285715E-2</v>
      </c>
      <c r="F197" s="13" t="s">
        <v>176</v>
      </c>
      <c r="G197" s="9">
        <v>740</v>
      </c>
      <c r="H197" s="9">
        <f t="shared" si="6"/>
        <v>63.428571428571431</v>
      </c>
      <c r="I197" t="s">
        <v>179</v>
      </c>
      <c r="J197" s="33" t="s">
        <v>491</v>
      </c>
      <c r="K197" s="18">
        <f>VLOOKUP(D197,Ingredients!C:G,5,0)</f>
        <v>780</v>
      </c>
      <c r="L197" s="52">
        <f t="shared" si="7"/>
        <v>66.857142857142861</v>
      </c>
    </row>
    <row r="198" spans="1:12">
      <c r="A198" t="s">
        <v>86</v>
      </c>
      <c r="B198" t="s">
        <v>349</v>
      </c>
      <c r="C198" t="s">
        <v>350</v>
      </c>
      <c r="D198" s="33" t="s">
        <v>491</v>
      </c>
      <c r="E198" s="10">
        <v>1</v>
      </c>
      <c r="F198" s="13" t="s">
        <v>176</v>
      </c>
      <c r="G198" s="9">
        <v>614</v>
      </c>
      <c r="H198" s="9">
        <f t="shared" si="6"/>
        <v>614</v>
      </c>
      <c r="I198" t="s">
        <v>179</v>
      </c>
      <c r="J198" s="33" t="s">
        <v>491</v>
      </c>
      <c r="K198" s="18">
        <f>VLOOKUP(D198,Ingredients!C:G,5,0)</f>
        <v>650</v>
      </c>
      <c r="L198" s="52">
        <f t="shared" si="7"/>
        <v>650</v>
      </c>
    </row>
    <row r="199" spans="1:12">
      <c r="A199" t="s">
        <v>87</v>
      </c>
      <c r="B199" t="s">
        <v>349</v>
      </c>
      <c r="C199" t="s">
        <v>350</v>
      </c>
      <c r="D199" s="3" t="s">
        <v>856</v>
      </c>
      <c r="E199" s="10">
        <v>0.02</v>
      </c>
      <c r="F199" s="13" t="s">
        <v>176</v>
      </c>
      <c r="G199" s="9">
        <v>850</v>
      </c>
      <c r="H199" s="9">
        <f t="shared" si="6"/>
        <v>17</v>
      </c>
      <c r="I199" t="s">
        <v>179</v>
      </c>
      <c r="J199" s="33" t="s">
        <v>489</v>
      </c>
      <c r="K199" s="18">
        <f>VLOOKUP(D199,Ingredients!C:G,5,0)</f>
        <v>980</v>
      </c>
      <c r="L199" s="52">
        <f t="shared" si="7"/>
        <v>19.600000000000001</v>
      </c>
    </row>
    <row r="200" spans="1:12">
      <c r="A200" t="s">
        <v>87</v>
      </c>
      <c r="B200" t="s">
        <v>349</v>
      </c>
      <c r="C200" t="s">
        <v>350</v>
      </c>
      <c r="D200" s="3" t="s">
        <v>878</v>
      </c>
      <c r="E200" s="10">
        <v>1.3333333333333334E-2</v>
      </c>
      <c r="F200" s="13" t="s">
        <v>176</v>
      </c>
      <c r="G200" s="9">
        <v>270</v>
      </c>
      <c r="H200" s="9">
        <f t="shared" si="6"/>
        <v>3.6</v>
      </c>
      <c r="I200" t="s">
        <v>179</v>
      </c>
      <c r="J200" s="33" t="s">
        <v>489</v>
      </c>
      <c r="K200" s="18">
        <f>VLOOKUP(D200,Ingredients!C:G,5,0)</f>
        <v>1260.55</v>
      </c>
      <c r="L200" s="52">
        <f t="shared" si="7"/>
        <v>16.807333333333332</v>
      </c>
    </row>
    <row r="201" spans="1:12">
      <c r="A201" t="s">
        <v>87</v>
      </c>
      <c r="B201" t="s">
        <v>349</v>
      </c>
      <c r="C201" t="s">
        <v>350</v>
      </c>
      <c r="D201" s="3" t="s">
        <v>880</v>
      </c>
      <c r="E201" s="10">
        <v>6.6666666666666671E-3</v>
      </c>
      <c r="F201" s="13" t="s">
        <v>176</v>
      </c>
      <c r="G201" s="9">
        <v>650</v>
      </c>
      <c r="H201" s="9">
        <f t="shared" si="6"/>
        <v>4.3333333333333339</v>
      </c>
      <c r="I201" t="s">
        <v>179</v>
      </c>
      <c r="J201" s="33" t="s">
        <v>489</v>
      </c>
      <c r="K201" s="18">
        <f>VLOOKUP(D201,Ingredients!C:G,5,0)</f>
        <v>520</v>
      </c>
      <c r="L201" s="52">
        <f t="shared" si="7"/>
        <v>3.4666666666666668</v>
      </c>
    </row>
    <row r="202" spans="1:12">
      <c r="A202" t="s">
        <v>87</v>
      </c>
      <c r="B202" t="s">
        <v>349</v>
      </c>
      <c r="C202" t="s">
        <v>350</v>
      </c>
      <c r="D202" s="3" t="s">
        <v>41</v>
      </c>
      <c r="E202" s="10">
        <v>3.3333333333333335E-3</v>
      </c>
      <c r="F202" s="13" t="s">
        <v>176</v>
      </c>
      <c r="G202" s="9">
        <v>550</v>
      </c>
      <c r="H202" s="9">
        <f t="shared" si="6"/>
        <v>1.8333333333333335</v>
      </c>
      <c r="I202" t="s">
        <v>179</v>
      </c>
      <c r="J202" s="33" t="s">
        <v>489</v>
      </c>
      <c r="K202" s="18">
        <f>VLOOKUP(D202,Ingredients!C:G,5,0)</f>
        <v>550</v>
      </c>
      <c r="L202" s="52">
        <f t="shared" si="7"/>
        <v>1.8333333333333335</v>
      </c>
    </row>
    <row r="203" spans="1:12">
      <c r="A203" t="s">
        <v>87</v>
      </c>
      <c r="B203" t="s">
        <v>349</v>
      </c>
      <c r="C203" t="s">
        <v>350</v>
      </c>
      <c r="D203" s="3" t="s">
        <v>862</v>
      </c>
      <c r="E203" s="10">
        <v>6.6666666666666671E-3</v>
      </c>
      <c r="F203" s="13" t="s">
        <v>176</v>
      </c>
      <c r="G203" s="9">
        <v>6500</v>
      </c>
      <c r="H203" s="9">
        <f t="shared" si="6"/>
        <v>43.333333333333336</v>
      </c>
      <c r="I203" t="s">
        <v>179</v>
      </c>
      <c r="J203" s="33" t="s">
        <v>489</v>
      </c>
      <c r="K203" s="18">
        <f>VLOOKUP(D203,Ingredients!C:G,5,0)</f>
        <v>6500</v>
      </c>
      <c r="L203" s="52">
        <f t="shared" si="7"/>
        <v>43.333333333333336</v>
      </c>
    </row>
    <row r="204" spans="1:12">
      <c r="A204" t="s">
        <v>87</v>
      </c>
      <c r="B204" t="s">
        <v>349</v>
      </c>
      <c r="C204" t="s">
        <v>350</v>
      </c>
      <c r="D204" s="3" t="s">
        <v>858</v>
      </c>
      <c r="E204" s="10">
        <v>6.6666666666666671E-3</v>
      </c>
      <c r="F204" s="13" t="s">
        <v>176</v>
      </c>
      <c r="G204" s="9">
        <v>1900</v>
      </c>
      <c r="H204" s="9">
        <f t="shared" si="6"/>
        <v>12.666666666666668</v>
      </c>
      <c r="I204" t="s">
        <v>179</v>
      </c>
      <c r="J204" s="33" t="s">
        <v>489</v>
      </c>
      <c r="K204" s="18">
        <f>VLOOKUP(D204,Ingredients!C:G,5,0)</f>
        <v>1900</v>
      </c>
      <c r="L204" s="52">
        <f t="shared" si="7"/>
        <v>12.666666666666668</v>
      </c>
    </row>
    <row r="205" spans="1:12">
      <c r="A205" t="s">
        <v>87</v>
      </c>
      <c r="B205" t="s">
        <v>349</v>
      </c>
      <c r="C205" t="s">
        <v>350</v>
      </c>
      <c r="D205" s="3" t="s">
        <v>859</v>
      </c>
      <c r="E205" s="10">
        <v>1.6666666666666666E-2</v>
      </c>
      <c r="F205" s="13" t="s">
        <v>176</v>
      </c>
      <c r="G205" s="9">
        <v>650</v>
      </c>
      <c r="H205" s="9">
        <f t="shared" si="6"/>
        <v>10.833333333333334</v>
      </c>
      <c r="I205" t="s">
        <v>179</v>
      </c>
      <c r="J205" s="33" t="s">
        <v>489</v>
      </c>
      <c r="K205" s="18">
        <f>VLOOKUP(D205,Ingredients!C:G,5,0)</f>
        <v>700</v>
      </c>
      <c r="L205" s="52">
        <f t="shared" si="7"/>
        <v>11.666666666666666</v>
      </c>
    </row>
    <row r="206" spans="1:12">
      <c r="A206" t="s">
        <v>87</v>
      </c>
      <c r="B206" t="s">
        <v>349</v>
      </c>
      <c r="C206" t="s">
        <v>350</v>
      </c>
      <c r="D206" s="3" t="s">
        <v>860</v>
      </c>
      <c r="E206" s="10">
        <v>0.02</v>
      </c>
      <c r="F206" s="13" t="s">
        <v>176</v>
      </c>
      <c r="G206" s="9">
        <v>2000</v>
      </c>
      <c r="H206" s="9">
        <f t="shared" si="6"/>
        <v>40</v>
      </c>
      <c r="I206" t="s">
        <v>179</v>
      </c>
      <c r="J206" s="33" t="s">
        <v>489</v>
      </c>
      <c r="K206" s="18">
        <f>VLOOKUP(D206,Ingredients!C:G,5,0)</f>
        <v>1900</v>
      </c>
      <c r="L206" s="52">
        <f t="shared" si="7"/>
        <v>38</v>
      </c>
    </row>
    <row r="207" spans="1:12">
      <c r="A207" t="s">
        <v>87</v>
      </c>
      <c r="B207" t="s">
        <v>349</v>
      </c>
      <c r="C207" t="s">
        <v>350</v>
      </c>
      <c r="D207" s="3" t="s">
        <v>35</v>
      </c>
      <c r="E207" s="10">
        <v>3.3333333333333333E-2</v>
      </c>
      <c r="F207" s="13" t="s">
        <v>176</v>
      </c>
      <c r="G207" s="9">
        <v>13</v>
      </c>
      <c r="H207" s="9">
        <f t="shared" si="6"/>
        <v>0.43333333333333335</v>
      </c>
      <c r="I207" t="s">
        <v>179</v>
      </c>
      <c r="J207" s="33" t="s">
        <v>489</v>
      </c>
      <c r="K207" s="18">
        <f>VLOOKUP(D207,Ingredients!C:G,5,0)</f>
        <v>15</v>
      </c>
      <c r="L207" s="52">
        <f t="shared" si="7"/>
        <v>0.5</v>
      </c>
    </row>
    <row r="208" spans="1:12">
      <c r="A208" t="s">
        <v>87</v>
      </c>
      <c r="B208" t="s">
        <v>349</v>
      </c>
      <c r="C208" t="s">
        <v>350</v>
      </c>
      <c r="D208" s="3" t="s">
        <v>853</v>
      </c>
      <c r="E208" s="10">
        <v>0.04</v>
      </c>
      <c r="F208" s="13" t="s">
        <v>176</v>
      </c>
      <c r="G208" s="9">
        <v>30</v>
      </c>
      <c r="H208" s="9">
        <f t="shared" si="6"/>
        <v>1.2</v>
      </c>
      <c r="I208" t="s">
        <v>179</v>
      </c>
      <c r="J208" s="33" t="s">
        <v>489</v>
      </c>
      <c r="K208" s="18">
        <f>VLOOKUP(D208,Ingredients!C:G,5,0)</f>
        <v>55</v>
      </c>
      <c r="L208" s="52">
        <f t="shared" si="7"/>
        <v>2.2000000000000002</v>
      </c>
    </row>
    <row r="209" spans="1:12">
      <c r="A209" t="s">
        <v>87</v>
      </c>
      <c r="B209" t="s">
        <v>349</v>
      </c>
      <c r="C209" t="s">
        <v>350</v>
      </c>
      <c r="D209" s="3" t="s">
        <v>861</v>
      </c>
      <c r="E209" s="10">
        <v>0.66666666666666674</v>
      </c>
      <c r="F209" s="13" t="s">
        <v>176</v>
      </c>
      <c r="G209" s="9">
        <v>500</v>
      </c>
      <c r="H209" s="9">
        <f t="shared" si="6"/>
        <v>333.33333333333337</v>
      </c>
      <c r="I209" t="s">
        <v>179</v>
      </c>
      <c r="J209" s="33" t="s">
        <v>489</v>
      </c>
      <c r="K209" s="18">
        <f>VLOOKUP(D209,Ingredients!C:G,5,0)</f>
        <v>500</v>
      </c>
      <c r="L209" s="52">
        <f t="shared" si="7"/>
        <v>333.33333333333337</v>
      </c>
    </row>
    <row r="210" spans="1:12">
      <c r="A210" t="s">
        <v>87</v>
      </c>
      <c r="B210" t="s">
        <v>349</v>
      </c>
      <c r="C210" t="s">
        <v>350</v>
      </c>
      <c r="D210" s="3" t="s">
        <v>29</v>
      </c>
      <c r="E210" s="10">
        <v>0.33333333333333337</v>
      </c>
      <c r="F210" s="13" t="s">
        <v>176</v>
      </c>
      <c r="G210" s="9">
        <v>60</v>
      </c>
      <c r="H210" s="9">
        <f t="shared" si="6"/>
        <v>20.000000000000004</v>
      </c>
      <c r="I210" t="s">
        <v>179</v>
      </c>
      <c r="J210" s="33" t="s">
        <v>489</v>
      </c>
      <c r="K210" s="18">
        <f>VLOOKUP(D210,Ingredients!C:G,5,0)</f>
        <v>100</v>
      </c>
      <c r="L210" s="52">
        <f t="shared" si="7"/>
        <v>33.333333333333336</v>
      </c>
    </row>
    <row r="211" spans="1:12">
      <c r="A211" t="s">
        <v>87</v>
      </c>
      <c r="B211" t="s">
        <v>349</v>
      </c>
      <c r="C211" t="s">
        <v>350</v>
      </c>
      <c r="D211" s="3" t="s">
        <v>24</v>
      </c>
      <c r="E211" s="10">
        <v>0.66666666666666674</v>
      </c>
      <c r="F211" s="13" t="s">
        <v>176</v>
      </c>
      <c r="G211" s="9">
        <v>55</v>
      </c>
      <c r="H211" s="9">
        <f t="shared" si="6"/>
        <v>36.666666666666671</v>
      </c>
      <c r="I211" t="s">
        <v>179</v>
      </c>
      <c r="J211" s="33" t="s">
        <v>489</v>
      </c>
      <c r="K211" s="18">
        <f>VLOOKUP(D211,Ingredients!C:G,5,0)</f>
        <v>80</v>
      </c>
      <c r="L211" s="52">
        <f t="shared" si="7"/>
        <v>53.333333333333343</v>
      </c>
    </row>
    <row r="212" spans="1:12">
      <c r="A212" t="s">
        <v>87</v>
      </c>
      <c r="B212" t="s">
        <v>349</v>
      </c>
      <c r="C212" t="s">
        <v>350</v>
      </c>
      <c r="D212" s="3" t="s">
        <v>855</v>
      </c>
      <c r="E212" s="10">
        <v>0.04</v>
      </c>
      <c r="F212" s="13" t="s">
        <v>176</v>
      </c>
      <c r="G212" s="9">
        <v>2400</v>
      </c>
      <c r="H212" s="9">
        <f t="shared" si="6"/>
        <v>96</v>
      </c>
      <c r="I212" t="s">
        <v>179</v>
      </c>
      <c r="J212" s="33" t="s">
        <v>489</v>
      </c>
      <c r="K212" s="18">
        <f>VLOOKUP(D212,Ingredients!C:G,5,0)</f>
        <v>1600</v>
      </c>
      <c r="L212" s="52">
        <f t="shared" si="7"/>
        <v>64</v>
      </c>
    </row>
    <row r="213" spans="1:12">
      <c r="A213" t="s">
        <v>87</v>
      </c>
      <c r="B213" t="s">
        <v>349</v>
      </c>
      <c r="C213" t="s">
        <v>350</v>
      </c>
      <c r="D213" s="3" t="s">
        <v>831</v>
      </c>
      <c r="E213" s="10">
        <v>1</v>
      </c>
      <c r="F213" s="13" t="s">
        <v>176</v>
      </c>
      <c r="G213" s="9">
        <v>908</v>
      </c>
      <c r="H213" s="9">
        <f t="shared" si="6"/>
        <v>908</v>
      </c>
      <c r="I213" t="s">
        <v>179</v>
      </c>
      <c r="J213" s="33" t="s">
        <v>489</v>
      </c>
      <c r="K213" s="18">
        <f>VLOOKUP(D213,Ingredients!C:G,5,0)</f>
        <v>908</v>
      </c>
      <c r="L213" s="52">
        <f t="shared" si="7"/>
        <v>908</v>
      </c>
    </row>
    <row r="214" spans="1:12">
      <c r="A214" t="s">
        <v>90</v>
      </c>
      <c r="B214" t="s">
        <v>349</v>
      </c>
      <c r="C214" t="s">
        <v>456</v>
      </c>
      <c r="D214" s="3" t="s">
        <v>881</v>
      </c>
      <c r="E214" s="10">
        <v>0.05</v>
      </c>
      <c r="F214" s="13" t="s">
        <v>176</v>
      </c>
      <c r="G214" s="9">
        <v>871</v>
      </c>
      <c r="H214" s="9">
        <f t="shared" si="6"/>
        <v>43.550000000000004</v>
      </c>
      <c r="I214" t="s">
        <v>179</v>
      </c>
      <c r="J214" s="33" t="s">
        <v>489</v>
      </c>
      <c r="K214" s="18">
        <f>VLOOKUP(D214,Ingredients!C:G,5,0)</f>
        <v>885.41</v>
      </c>
      <c r="L214" s="52">
        <f t="shared" si="7"/>
        <v>44.270499999999998</v>
      </c>
    </row>
    <row r="215" spans="1:12">
      <c r="A215" t="s">
        <v>90</v>
      </c>
      <c r="B215" t="s">
        <v>349</v>
      </c>
      <c r="C215" t="s">
        <v>456</v>
      </c>
      <c r="D215" s="3" t="s">
        <v>852</v>
      </c>
      <c r="E215" s="10">
        <v>2.8571428571428574E-2</v>
      </c>
      <c r="F215" s="13" t="s">
        <v>177</v>
      </c>
      <c r="G215" s="9">
        <v>520.63</v>
      </c>
      <c r="H215" s="9">
        <f t="shared" si="6"/>
        <v>14.875142857142858</v>
      </c>
      <c r="I215" t="s">
        <v>179</v>
      </c>
      <c r="J215" s="33" t="s">
        <v>489</v>
      </c>
      <c r="K215" s="18">
        <v>550</v>
      </c>
      <c r="L215" s="52">
        <f t="shared" si="7"/>
        <v>15.714285714285715</v>
      </c>
    </row>
    <row r="216" spans="1:12">
      <c r="A216" t="s">
        <v>90</v>
      </c>
      <c r="B216" t="s">
        <v>349</v>
      </c>
      <c r="C216" t="s">
        <v>456</v>
      </c>
      <c r="D216" s="3" t="s">
        <v>863</v>
      </c>
      <c r="E216" s="10">
        <v>0.12</v>
      </c>
      <c r="F216" s="13" t="s">
        <v>176</v>
      </c>
      <c r="G216" s="9">
        <v>675</v>
      </c>
      <c r="H216" s="9">
        <f t="shared" si="6"/>
        <v>81</v>
      </c>
      <c r="I216" t="s">
        <v>179</v>
      </c>
      <c r="J216" s="33" t="s">
        <v>489</v>
      </c>
      <c r="K216" s="18">
        <f>VLOOKUP(D216,Ingredients!C:G,5,0)</f>
        <v>675</v>
      </c>
      <c r="L216" s="52">
        <f t="shared" si="7"/>
        <v>81</v>
      </c>
    </row>
    <row r="217" spans="1:12">
      <c r="A217" t="s">
        <v>90</v>
      </c>
      <c r="B217" t="s">
        <v>349</v>
      </c>
      <c r="C217" t="s">
        <v>456</v>
      </c>
      <c r="D217" s="3" t="s">
        <v>23</v>
      </c>
      <c r="E217" s="10">
        <v>1.4285714285714287E-2</v>
      </c>
      <c r="F217" s="13" t="s">
        <v>176</v>
      </c>
      <c r="G217" s="9">
        <v>740</v>
      </c>
      <c r="H217" s="9">
        <f t="shared" si="6"/>
        <v>10.571428571428573</v>
      </c>
      <c r="I217" t="s">
        <v>179</v>
      </c>
      <c r="J217" s="33" t="s">
        <v>489</v>
      </c>
      <c r="K217" s="18">
        <f>VLOOKUP(D217,Ingredients!C:G,5,0)</f>
        <v>780</v>
      </c>
      <c r="L217" s="52">
        <f t="shared" si="7"/>
        <v>11.142857142857144</v>
      </c>
    </row>
    <row r="218" spans="1:12">
      <c r="A218" t="s">
        <v>90</v>
      </c>
      <c r="B218" t="s">
        <v>349</v>
      </c>
      <c r="C218" t="s">
        <v>456</v>
      </c>
      <c r="D218" s="3" t="s">
        <v>16</v>
      </c>
      <c r="E218" s="10">
        <v>1.4285714285714287E-2</v>
      </c>
      <c r="F218" s="13" t="s">
        <v>176</v>
      </c>
      <c r="G218" s="9">
        <v>270</v>
      </c>
      <c r="H218" s="9">
        <f t="shared" si="6"/>
        <v>3.8571428571428577</v>
      </c>
      <c r="I218" t="s">
        <v>179</v>
      </c>
      <c r="J218" s="33" t="s">
        <v>489</v>
      </c>
      <c r="K218" s="18">
        <f>VLOOKUP(D218,Ingredients!C:G,5,0)</f>
        <v>310</v>
      </c>
      <c r="L218" s="52">
        <f t="shared" si="7"/>
        <v>4.4285714285714288</v>
      </c>
    </row>
    <row r="219" spans="1:12">
      <c r="A219" t="s">
        <v>90</v>
      </c>
      <c r="B219" t="s">
        <v>349</v>
      </c>
      <c r="C219" t="s">
        <v>456</v>
      </c>
      <c r="D219" s="3" t="s">
        <v>882</v>
      </c>
      <c r="E219" s="10">
        <v>1.4285714285714287E-2</v>
      </c>
      <c r="F219" s="13" t="s">
        <v>176</v>
      </c>
      <c r="G219" s="9">
        <v>1500</v>
      </c>
      <c r="H219" s="9">
        <f t="shared" si="6"/>
        <v>21.428571428571431</v>
      </c>
      <c r="I219" t="s">
        <v>179</v>
      </c>
      <c r="J219" s="33" t="s">
        <v>489</v>
      </c>
      <c r="K219" s="18">
        <f>VLOOKUP(D219,Ingredients!C:G,5,0)</f>
        <v>1450</v>
      </c>
      <c r="L219" s="52">
        <f t="shared" si="7"/>
        <v>20.714285714285715</v>
      </c>
    </row>
    <row r="220" spans="1:12">
      <c r="A220" t="s">
        <v>90</v>
      </c>
      <c r="B220" t="s">
        <v>349</v>
      </c>
      <c r="C220" t="s">
        <v>456</v>
      </c>
      <c r="D220" s="3" t="s">
        <v>867</v>
      </c>
      <c r="E220" s="10">
        <v>0.03</v>
      </c>
      <c r="F220" s="13" t="s">
        <v>176</v>
      </c>
      <c r="G220" s="9">
        <v>900</v>
      </c>
      <c r="H220" s="9">
        <f t="shared" si="6"/>
        <v>27</v>
      </c>
      <c r="I220" t="s">
        <v>179</v>
      </c>
      <c r="J220" s="33" t="s">
        <v>489</v>
      </c>
      <c r="K220" s="18">
        <f>VLOOKUP(D220,Ingredients!C:G,5,0)</f>
        <v>950</v>
      </c>
      <c r="L220" s="52">
        <f t="shared" si="7"/>
        <v>28.5</v>
      </c>
    </row>
    <row r="221" spans="1:12">
      <c r="A221" t="s">
        <v>90</v>
      </c>
      <c r="B221" t="s">
        <v>349</v>
      </c>
      <c r="C221" t="s">
        <v>456</v>
      </c>
      <c r="D221" s="3" t="s">
        <v>853</v>
      </c>
      <c r="E221" s="10">
        <v>0.03</v>
      </c>
      <c r="F221" s="13" t="s">
        <v>176</v>
      </c>
      <c r="G221" s="9">
        <v>30</v>
      </c>
      <c r="H221" s="9">
        <f t="shared" si="6"/>
        <v>0.89999999999999991</v>
      </c>
      <c r="I221" t="s">
        <v>179</v>
      </c>
      <c r="J221" s="33" t="s">
        <v>489</v>
      </c>
      <c r="K221" s="18">
        <f>VLOOKUP(D221,Ingredients!C:G,5,0)</f>
        <v>55</v>
      </c>
      <c r="L221" s="52">
        <f t="shared" si="7"/>
        <v>1.65</v>
      </c>
    </row>
    <row r="222" spans="1:12">
      <c r="A222" t="s">
        <v>90</v>
      </c>
      <c r="B222" t="s">
        <v>349</v>
      </c>
      <c r="C222" t="s">
        <v>456</v>
      </c>
      <c r="D222" s="3" t="s">
        <v>831</v>
      </c>
      <c r="E222" s="10">
        <v>1</v>
      </c>
      <c r="F222" s="13" t="s">
        <v>176</v>
      </c>
      <c r="G222" s="9">
        <v>908</v>
      </c>
      <c r="H222" s="9">
        <f t="shared" si="6"/>
        <v>908</v>
      </c>
      <c r="I222" t="s">
        <v>179</v>
      </c>
      <c r="J222" s="33" t="s">
        <v>489</v>
      </c>
      <c r="K222" s="18">
        <f>VLOOKUP(D222,Ingredients!C:G,5,0)</f>
        <v>908</v>
      </c>
      <c r="L222" s="52">
        <f t="shared" si="7"/>
        <v>908</v>
      </c>
    </row>
    <row r="223" spans="1:12">
      <c r="A223" t="s">
        <v>97</v>
      </c>
      <c r="B223" t="s">
        <v>349</v>
      </c>
      <c r="C223" t="s">
        <v>352</v>
      </c>
      <c r="D223" s="3" t="s">
        <v>874</v>
      </c>
      <c r="E223" s="10">
        <v>1.4285714285714287E-2</v>
      </c>
      <c r="F223" s="13" t="s">
        <v>177</v>
      </c>
      <c r="G223" s="9">
        <v>110</v>
      </c>
      <c r="H223" s="9">
        <f t="shared" si="6"/>
        <v>1.5714285714285716</v>
      </c>
      <c r="I223" t="s">
        <v>179</v>
      </c>
      <c r="J223" s="33" t="s">
        <v>489</v>
      </c>
      <c r="K223" s="18">
        <f>VLOOKUP(D223,Ingredients!C:G,5,0)</f>
        <v>179</v>
      </c>
      <c r="L223" s="52">
        <f t="shared" si="7"/>
        <v>2.5571428571428574</v>
      </c>
    </row>
    <row r="224" spans="1:12">
      <c r="A224" t="s">
        <v>97</v>
      </c>
      <c r="B224" t="s">
        <v>349</v>
      </c>
      <c r="C224" t="s">
        <v>352</v>
      </c>
      <c r="D224" s="3" t="s">
        <v>863</v>
      </c>
      <c r="E224" s="10">
        <v>5.7142857142857148E-2</v>
      </c>
      <c r="F224" s="13" t="s">
        <v>176</v>
      </c>
      <c r="G224" s="9">
        <v>675</v>
      </c>
      <c r="H224" s="9">
        <f t="shared" si="6"/>
        <v>38.571428571428577</v>
      </c>
      <c r="I224" t="s">
        <v>179</v>
      </c>
      <c r="J224" s="33" t="s">
        <v>489</v>
      </c>
      <c r="K224" s="18">
        <f>VLOOKUP(D224,Ingredients!C:G,5,0)</f>
        <v>675</v>
      </c>
      <c r="L224" s="52">
        <f t="shared" si="7"/>
        <v>38.571428571428577</v>
      </c>
    </row>
    <row r="225" spans="1:12">
      <c r="A225" t="s">
        <v>97</v>
      </c>
      <c r="B225" t="s">
        <v>349</v>
      </c>
      <c r="C225" t="s">
        <v>352</v>
      </c>
      <c r="D225" s="3" t="s">
        <v>23</v>
      </c>
      <c r="E225" s="10">
        <v>1.4285714285714287E-2</v>
      </c>
      <c r="F225" s="13" t="s">
        <v>176</v>
      </c>
      <c r="G225" s="9">
        <v>740</v>
      </c>
      <c r="H225" s="9">
        <f t="shared" si="6"/>
        <v>10.571428571428573</v>
      </c>
      <c r="I225" t="s">
        <v>179</v>
      </c>
      <c r="J225" s="33" t="s">
        <v>489</v>
      </c>
      <c r="K225" s="18">
        <f>VLOOKUP(D225,Ingredients!C:G,5,0)</f>
        <v>780</v>
      </c>
      <c r="L225" s="52">
        <f t="shared" si="7"/>
        <v>11.142857142857144</v>
      </c>
    </row>
    <row r="226" spans="1:12">
      <c r="A226" t="s">
        <v>97</v>
      </c>
      <c r="B226" t="s">
        <v>349</v>
      </c>
      <c r="C226" t="s">
        <v>352</v>
      </c>
      <c r="D226" s="3" t="s">
        <v>16</v>
      </c>
      <c r="E226" s="10">
        <v>1.4285714285714287E-2</v>
      </c>
      <c r="F226" s="13" t="s">
        <v>176</v>
      </c>
      <c r="G226" s="9">
        <v>270</v>
      </c>
      <c r="H226" s="9">
        <f t="shared" si="6"/>
        <v>3.8571428571428577</v>
      </c>
      <c r="I226" t="s">
        <v>179</v>
      </c>
      <c r="J226" s="33" t="s">
        <v>489</v>
      </c>
      <c r="K226" s="18">
        <f>VLOOKUP(D226,Ingredients!C:G,5,0)</f>
        <v>310</v>
      </c>
      <c r="L226" s="52">
        <f t="shared" si="7"/>
        <v>4.4285714285714288</v>
      </c>
    </row>
    <row r="227" spans="1:12">
      <c r="A227" t="s">
        <v>97</v>
      </c>
      <c r="B227" t="s">
        <v>349</v>
      </c>
      <c r="C227" t="s">
        <v>352</v>
      </c>
      <c r="D227" s="3" t="s">
        <v>91</v>
      </c>
      <c r="E227" s="10">
        <v>5.7142857142857148E-2</v>
      </c>
      <c r="F227" s="13" t="s">
        <v>176</v>
      </c>
      <c r="G227" s="9">
        <v>720</v>
      </c>
      <c r="H227" s="9">
        <f t="shared" si="6"/>
        <v>41.142857142857146</v>
      </c>
      <c r="I227" t="s">
        <v>179</v>
      </c>
      <c r="J227" s="33" t="s">
        <v>489</v>
      </c>
      <c r="K227" s="18">
        <f>VLOOKUP(D227,Ingredients!C:G,5,0)</f>
        <v>715</v>
      </c>
      <c r="L227" s="52">
        <f t="shared" si="7"/>
        <v>40.857142857142861</v>
      </c>
    </row>
    <row r="228" spans="1:12">
      <c r="A228" t="s">
        <v>97</v>
      </c>
      <c r="B228" t="s">
        <v>349</v>
      </c>
      <c r="C228" t="s">
        <v>352</v>
      </c>
      <c r="D228" s="3" t="s">
        <v>883</v>
      </c>
      <c r="E228" s="10">
        <v>1.4285714285714287E-2</v>
      </c>
      <c r="F228" s="13" t="s">
        <v>177</v>
      </c>
      <c r="G228" s="9">
        <v>950</v>
      </c>
      <c r="H228" s="9">
        <f t="shared" si="6"/>
        <v>13.571428571428573</v>
      </c>
      <c r="I228" t="s">
        <v>179</v>
      </c>
      <c r="J228" s="33" t="s">
        <v>489</v>
      </c>
      <c r="K228" s="18">
        <f>VLOOKUP(D228,Ingredients!C:G,5,0)</f>
        <v>313</v>
      </c>
      <c r="L228" s="52">
        <f t="shared" si="7"/>
        <v>4.4714285714285715</v>
      </c>
    </row>
    <row r="229" spans="1:12">
      <c r="A229" t="s">
        <v>97</v>
      </c>
      <c r="B229" t="s">
        <v>349</v>
      </c>
      <c r="C229" t="s">
        <v>352</v>
      </c>
      <c r="D229" s="3" t="s">
        <v>834</v>
      </c>
      <c r="E229" s="10">
        <v>1.4285714285714287E-2</v>
      </c>
      <c r="F229" s="13" t="s">
        <v>176</v>
      </c>
      <c r="G229" s="9">
        <v>515</v>
      </c>
      <c r="H229" s="9">
        <f t="shared" si="6"/>
        <v>7.3571428571428577</v>
      </c>
      <c r="I229" t="s">
        <v>179</v>
      </c>
      <c r="J229" s="33" t="s">
        <v>489</v>
      </c>
      <c r="K229" s="18">
        <f>VLOOKUP(D229,Ingredients!C:G,5,0)</f>
        <v>540</v>
      </c>
      <c r="L229" s="52">
        <f t="shared" si="7"/>
        <v>7.7142857142857153</v>
      </c>
    </row>
    <row r="230" spans="1:12">
      <c r="A230" t="s">
        <v>97</v>
      </c>
      <c r="B230" t="s">
        <v>349</v>
      </c>
      <c r="C230" t="s">
        <v>352</v>
      </c>
      <c r="D230" s="3" t="s">
        <v>868</v>
      </c>
      <c r="E230" s="10">
        <v>2.8571428571428574E-2</v>
      </c>
      <c r="F230" s="13" t="s">
        <v>177</v>
      </c>
      <c r="G230" s="9">
        <v>5432.77</v>
      </c>
      <c r="H230" s="9">
        <f t="shared" si="6"/>
        <v>155.22200000000004</v>
      </c>
      <c r="I230" t="s">
        <v>179</v>
      </c>
      <c r="J230" s="33" t="s">
        <v>489</v>
      </c>
      <c r="K230" s="18">
        <f>VLOOKUP(D230,Ingredients!C:G,5,0)</f>
        <v>3200</v>
      </c>
      <c r="L230" s="52">
        <f t="shared" si="7"/>
        <v>91.428571428571431</v>
      </c>
    </row>
    <row r="231" spans="1:12">
      <c r="A231" t="s">
        <v>97</v>
      </c>
      <c r="B231" t="s">
        <v>349</v>
      </c>
      <c r="C231" t="s">
        <v>352</v>
      </c>
      <c r="D231" s="3" t="s">
        <v>864</v>
      </c>
      <c r="E231" s="10">
        <v>8.5714285714285719E-3</v>
      </c>
      <c r="F231" s="13" t="s">
        <v>176</v>
      </c>
      <c r="G231" s="9">
        <v>1400</v>
      </c>
      <c r="H231" s="9">
        <f t="shared" si="6"/>
        <v>12</v>
      </c>
      <c r="I231" t="s">
        <v>179</v>
      </c>
      <c r="J231" s="33" t="s">
        <v>489</v>
      </c>
      <c r="K231" s="18">
        <f>VLOOKUP(D231,Ingredients!C:G,5,0)</f>
        <v>1400</v>
      </c>
      <c r="L231" s="52">
        <f t="shared" si="7"/>
        <v>12</v>
      </c>
    </row>
    <row r="232" spans="1:12">
      <c r="A232" t="s">
        <v>97</v>
      </c>
      <c r="B232" t="s">
        <v>349</v>
      </c>
      <c r="C232" t="s">
        <v>352</v>
      </c>
      <c r="D232" s="3" t="s">
        <v>867</v>
      </c>
      <c r="E232" s="10">
        <v>1.4285714285714287E-2</v>
      </c>
      <c r="F232" s="13" t="s">
        <v>176</v>
      </c>
      <c r="G232" s="9">
        <v>900</v>
      </c>
      <c r="H232" s="9">
        <f t="shared" si="6"/>
        <v>12.857142857142858</v>
      </c>
      <c r="I232" t="s">
        <v>179</v>
      </c>
      <c r="J232" s="33" t="s">
        <v>489</v>
      </c>
      <c r="K232" s="18">
        <f>VLOOKUP(D232,Ingredients!C:G,5,0)</f>
        <v>950</v>
      </c>
      <c r="L232" s="52">
        <f t="shared" si="7"/>
        <v>13.571428571428573</v>
      </c>
    </row>
    <row r="233" spans="1:12">
      <c r="A233" t="s">
        <v>97</v>
      </c>
      <c r="B233" t="s">
        <v>349</v>
      </c>
      <c r="C233" t="s">
        <v>352</v>
      </c>
      <c r="D233" s="3" t="s">
        <v>853</v>
      </c>
      <c r="E233" s="10">
        <v>3.4285714285714287E-2</v>
      </c>
      <c r="F233" s="13" t="s">
        <v>176</v>
      </c>
      <c r="G233" s="9">
        <v>30</v>
      </c>
      <c r="H233" s="9">
        <f t="shared" si="6"/>
        <v>1.0285714285714287</v>
      </c>
      <c r="I233" t="s">
        <v>179</v>
      </c>
      <c r="J233" s="33" t="s">
        <v>489</v>
      </c>
      <c r="K233" s="18">
        <f>VLOOKUP(D233,Ingredients!C:G,5,0)</f>
        <v>55</v>
      </c>
      <c r="L233" s="52">
        <f t="shared" si="7"/>
        <v>1.8857142857142859</v>
      </c>
    </row>
    <row r="234" spans="1:12">
      <c r="A234" t="s">
        <v>97</v>
      </c>
      <c r="B234" t="s">
        <v>349</v>
      </c>
      <c r="C234" t="s">
        <v>352</v>
      </c>
      <c r="D234" s="3" t="s">
        <v>831</v>
      </c>
      <c r="E234" s="10">
        <v>1</v>
      </c>
      <c r="F234" s="13" t="s">
        <v>176</v>
      </c>
      <c r="G234" s="9">
        <v>908</v>
      </c>
      <c r="H234" s="9">
        <f t="shared" si="6"/>
        <v>908</v>
      </c>
      <c r="I234" t="s">
        <v>179</v>
      </c>
      <c r="J234" s="33" t="s">
        <v>489</v>
      </c>
      <c r="K234" s="18">
        <f>VLOOKUP(D234,Ingredients!C:G,5,0)</f>
        <v>908</v>
      </c>
      <c r="L234" s="52">
        <f t="shared" si="7"/>
        <v>908</v>
      </c>
    </row>
    <row r="235" spans="1:12">
      <c r="A235" t="s">
        <v>97</v>
      </c>
      <c r="B235" t="s">
        <v>349</v>
      </c>
      <c r="C235" t="s">
        <v>352</v>
      </c>
      <c r="D235" s="3" t="s">
        <v>884</v>
      </c>
      <c r="E235" s="10">
        <v>0.42857142857142855</v>
      </c>
      <c r="F235" s="13" t="s">
        <v>176</v>
      </c>
      <c r="G235" s="9">
        <v>344</v>
      </c>
      <c r="H235" s="9">
        <f t="shared" si="6"/>
        <v>147.42857142857142</v>
      </c>
      <c r="I235" t="s">
        <v>179</v>
      </c>
      <c r="J235" s="33" t="s">
        <v>489</v>
      </c>
      <c r="K235" s="18">
        <f>VLOOKUP(D235,Ingredients!C:G,5,0)</f>
        <v>344</v>
      </c>
      <c r="L235" s="52">
        <f t="shared" si="7"/>
        <v>147.42857142857142</v>
      </c>
    </row>
    <row r="236" spans="1:12">
      <c r="A236" t="s">
        <v>97</v>
      </c>
      <c r="B236" t="s">
        <v>349</v>
      </c>
      <c r="C236" t="s">
        <v>352</v>
      </c>
      <c r="D236" s="3" t="s">
        <v>852</v>
      </c>
      <c r="E236" s="10">
        <v>0.1142857142857143</v>
      </c>
      <c r="F236" s="13" t="s">
        <v>177</v>
      </c>
      <c r="G236" s="9">
        <v>520.63</v>
      </c>
      <c r="H236" s="9">
        <f t="shared" si="6"/>
        <v>59.500571428571433</v>
      </c>
      <c r="I236" t="s">
        <v>179</v>
      </c>
      <c r="J236" s="33" t="s">
        <v>489</v>
      </c>
      <c r="K236" s="18">
        <v>550</v>
      </c>
      <c r="L236" s="52">
        <f t="shared" si="7"/>
        <v>62.857142857142861</v>
      </c>
    </row>
    <row r="237" spans="1:12">
      <c r="A237" t="s">
        <v>97</v>
      </c>
      <c r="B237" t="s">
        <v>349</v>
      </c>
      <c r="C237" t="s">
        <v>352</v>
      </c>
      <c r="D237" s="3" t="s">
        <v>872</v>
      </c>
      <c r="E237" s="10">
        <v>8.5714285714285719E-3</v>
      </c>
      <c r="F237" s="13" t="s">
        <v>176</v>
      </c>
      <c r="G237" s="9">
        <v>2100</v>
      </c>
      <c r="H237" s="9">
        <f t="shared" si="6"/>
        <v>18</v>
      </c>
      <c r="I237" t="s">
        <v>179</v>
      </c>
      <c r="J237" s="33" t="s">
        <v>489</v>
      </c>
      <c r="K237" s="18">
        <f>VLOOKUP(D237,Ingredients!C:G,5,0)</f>
        <v>2150</v>
      </c>
      <c r="L237" s="52">
        <f t="shared" si="7"/>
        <v>18.428571428571431</v>
      </c>
    </row>
    <row r="238" spans="1:12">
      <c r="A238" t="s">
        <v>97</v>
      </c>
      <c r="B238" t="s">
        <v>349</v>
      </c>
      <c r="C238" t="s">
        <v>352</v>
      </c>
      <c r="D238" s="3" t="s">
        <v>94</v>
      </c>
      <c r="E238" s="10">
        <v>1.4285714285714287E-2</v>
      </c>
      <c r="F238" s="13" t="s">
        <v>176</v>
      </c>
      <c r="G238" s="9">
        <v>90</v>
      </c>
      <c r="H238" s="9">
        <f t="shared" si="6"/>
        <v>1.2857142857142858</v>
      </c>
      <c r="I238" t="s">
        <v>179</v>
      </c>
      <c r="J238" s="33" t="s">
        <v>489</v>
      </c>
      <c r="K238" s="18">
        <f>VLOOKUP(D238,Ingredients!C:G,5,0)</f>
        <v>40</v>
      </c>
      <c r="L238" s="52">
        <f t="shared" si="7"/>
        <v>0.57142857142857151</v>
      </c>
    </row>
    <row r="239" spans="1:12">
      <c r="A239" t="s">
        <v>97</v>
      </c>
      <c r="B239" t="s">
        <v>349</v>
      </c>
      <c r="C239" t="s">
        <v>352</v>
      </c>
      <c r="D239" s="3" t="s">
        <v>15</v>
      </c>
      <c r="E239" s="10">
        <v>1.4285714285714287E-2</v>
      </c>
      <c r="F239" s="13" t="s">
        <v>176</v>
      </c>
      <c r="G239" s="9">
        <v>130</v>
      </c>
      <c r="H239" s="9">
        <f t="shared" si="6"/>
        <v>1.8571428571428572</v>
      </c>
      <c r="I239" t="s">
        <v>179</v>
      </c>
      <c r="J239" s="33" t="s">
        <v>489</v>
      </c>
      <c r="K239" s="18">
        <f>VLOOKUP(D239,Ingredients!C:G,5,0)</f>
        <v>90</v>
      </c>
      <c r="L239" s="52">
        <f t="shared" si="7"/>
        <v>1.2857142857142858</v>
      </c>
    </row>
    <row r="240" spans="1:12">
      <c r="A240" t="s">
        <v>97</v>
      </c>
      <c r="B240" t="s">
        <v>349</v>
      </c>
      <c r="C240" t="s">
        <v>352</v>
      </c>
      <c r="D240" s="3" t="s">
        <v>95</v>
      </c>
      <c r="E240" s="10">
        <v>2.8571428571428574E-2</v>
      </c>
      <c r="F240" s="13" t="s">
        <v>176</v>
      </c>
      <c r="G240" s="9">
        <v>140</v>
      </c>
      <c r="H240" s="9">
        <f t="shared" si="6"/>
        <v>4</v>
      </c>
      <c r="I240" t="s">
        <v>179</v>
      </c>
      <c r="J240" s="33" t="s">
        <v>489</v>
      </c>
      <c r="K240" s="18">
        <f>VLOOKUP(D240,Ingredients!C:G,5,0)</f>
        <v>90</v>
      </c>
      <c r="L240" s="52">
        <f t="shared" si="7"/>
        <v>2.5714285714285716</v>
      </c>
    </row>
    <row r="241" spans="1:12">
      <c r="A241" t="s">
        <v>97</v>
      </c>
      <c r="B241" t="s">
        <v>349</v>
      </c>
      <c r="C241" t="s">
        <v>352</v>
      </c>
      <c r="D241" s="3" t="s">
        <v>96</v>
      </c>
      <c r="E241" s="10">
        <v>2.8571428571428574E-2</v>
      </c>
      <c r="F241" s="13" t="s">
        <v>176</v>
      </c>
      <c r="G241" s="9">
        <v>160</v>
      </c>
      <c r="H241" s="9">
        <f t="shared" si="6"/>
        <v>4.5714285714285721</v>
      </c>
      <c r="I241" t="s">
        <v>179</v>
      </c>
      <c r="J241" s="33" t="s">
        <v>489</v>
      </c>
      <c r="K241" s="18">
        <f>VLOOKUP(D241,Ingredients!C:G,5,0)</f>
        <v>120</v>
      </c>
      <c r="L241" s="52">
        <f t="shared" si="7"/>
        <v>3.4285714285714288</v>
      </c>
    </row>
    <row r="242" spans="1:12">
      <c r="A242" t="s">
        <v>99</v>
      </c>
      <c r="B242" t="s">
        <v>349</v>
      </c>
      <c r="C242" t="s">
        <v>456</v>
      </c>
      <c r="D242" s="3" t="s">
        <v>98</v>
      </c>
      <c r="E242" s="10">
        <v>5.7142857142857148E-2</v>
      </c>
      <c r="F242" s="13" t="s">
        <v>176</v>
      </c>
      <c r="G242" s="9">
        <v>1375</v>
      </c>
      <c r="H242" s="9">
        <f t="shared" si="6"/>
        <v>78.571428571428584</v>
      </c>
      <c r="I242" t="s">
        <v>179</v>
      </c>
      <c r="J242" s="33" t="s">
        <v>489</v>
      </c>
      <c r="K242" s="18">
        <f>VLOOKUP(D242,Ingredients!C:G,5,0)</f>
        <v>1300</v>
      </c>
      <c r="L242" s="52">
        <f t="shared" si="7"/>
        <v>74.285714285714292</v>
      </c>
    </row>
    <row r="243" spans="1:12">
      <c r="A243" t="s">
        <v>99</v>
      </c>
      <c r="B243" t="s">
        <v>349</v>
      </c>
      <c r="C243" t="s">
        <v>456</v>
      </c>
      <c r="D243" s="3" t="s">
        <v>23</v>
      </c>
      <c r="E243" s="10">
        <v>1.4285714285714287E-2</v>
      </c>
      <c r="F243" s="13" t="s">
        <v>176</v>
      </c>
      <c r="G243" s="9">
        <v>740</v>
      </c>
      <c r="H243" s="9">
        <f t="shared" si="6"/>
        <v>10.571428571428573</v>
      </c>
      <c r="I243" t="s">
        <v>179</v>
      </c>
      <c r="J243" s="33" t="s">
        <v>489</v>
      </c>
      <c r="K243" s="18">
        <f>VLOOKUP(D243,Ingredients!C:G,5,0)</f>
        <v>780</v>
      </c>
      <c r="L243" s="52">
        <f t="shared" si="7"/>
        <v>11.142857142857144</v>
      </c>
    </row>
    <row r="244" spans="1:12">
      <c r="A244" t="s">
        <v>99</v>
      </c>
      <c r="B244" t="s">
        <v>349</v>
      </c>
      <c r="C244" t="s">
        <v>456</v>
      </c>
      <c r="D244" s="3" t="s">
        <v>16</v>
      </c>
      <c r="E244" s="10">
        <v>1.4285714285714287E-2</v>
      </c>
      <c r="F244" s="13" t="s">
        <v>176</v>
      </c>
      <c r="G244" s="9">
        <v>270</v>
      </c>
      <c r="H244" s="9">
        <f t="shared" ref="H244:H308" si="8">G244*E244</f>
        <v>3.8571428571428577</v>
      </c>
      <c r="I244" t="s">
        <v>179</v>
      </c>
      <c r="J244" s="33" t="s">
        <v>489</v>
      </c>
      <c r="K244" s="18">
        <f>VLOOKUP(D244,Ingredients!C:G,5,0)</f>
        <v>310</v>
      </c>
      <c r="L244" s="52">
        <f t="shared" si="7"/>
        <v>4.4285714285714288</v>
      </c>
    </row>
    <row r="245" spans="1:12">
      <c r="A245" t="s">
        <v>99</v>
      </c>
      <c r="B245" t="s">
        <v>349</v>
      </c>
      <c r="C245" t="s">
        <v>456</v>
      </c>
      <c r="D245" s="3" t="s">
        <v>856</v>
      </c>
      <c r="E245" s="10">
        <v>1.4285714285714287E-2</v>
      </c>
      <c r="F245" s="13" t="s">
        <v>176</v>
      </c>
      <c r="G245" s="9">
        <v>850</v>
      </c>
      <c r="H245" s="9">
        <f t="shared" si="8"/>
        <v>12.142857142857144</v>
      </c>
      <c r="I245" t="s">
        <v>179</v>
      </c>
      <c r="J245" s="33" t="s">
        <v>489</v>
      </c>
      <c r="K245" s="18">
        <f>VLOOKUP(D245,Ingredients!C:G,5,0)</f>
        <v>980</v>
      </c>
      <c r="L245" s="52">
        <f t="shared" si="7"/>
        <v>14.000000000000002</v>
      </c>
    </row>
    <row r="246" spans="1:12">
      <c r="A246" t="s">
        <v>99</v>
      </c>
      <c r="B246" t="s">
        <v>349</v>
      </c>
      <c r="C246" t="s">
        <v>456</v>
      </c>
      <c r="D246" s="3" t="s">
        <v>860</v>
      </c>
      <c r="E246" s="10">
        <v>1.4285714285714287E-2</v>
      </c>
      <c r="F246" s="13" t="s">
        <v>176</v>
      </c>
      <c r="G246" s="9">
        <v>2000</v>
      </c>
      <c r="H246" s="9">
        <f t="shared" si="8"/>
        <v>28.571428571428573</v>
      </c>
      <c r="I246" t="s">
        <v>179</v>
      </c>
      <c r="J246" s="33" t="s">
        <v>489</v>
      </c>
      <c r="K246" s="18">
        <f>VLOOKUP(D246,Ingredients!C:G,5,0)</f>
        <v>1900</v>
      </c>
      <c r="L246" s="52">
        <f t="shared" si="7"/>
        <v>27.142857142857146</v>
      </c>
    </row>
    <row r="247" spans="1:12">
      <c r="A247" t="s">
        <v>99</v>
      </c>
      <c r="B247" t="s">
        <v>349</v>
      </c>
      <c r="C247" t="s">
        <v>456</v>
      </c>
      <c r="D247" s="3" t="s">
        <v>868</v>
      </c>
      <c r="E247" s="10">
        <v>0.1142857142857143</v>
      </c>
      <c r="F247" s="13" t="s">
        <v>177</v>
      </c>
      <c r="G247" s="9">
        <v>5432.77</v>
      </c>
      <c r="H247" s="9">
        <f t="shared" si="8"/>
        <v>620.88800000000015</v>
      </c>
      <c r="I247" t="s">
        <v>179</v>
      </c>
      <c r="J247" s="33" t="s">
        <v>489</v>
      </c>
      <c r="K247" s="18">
        <f>VLOOKUP(D247,Ingredients!C:G,5,0)</f>
        <v>3200</v>
      </c>
      <c r="L247" s="52">
        <f t="shared" si="7"/>
        <v>365.71428571428572</v>
      </c>
    </row>
    <row r="248" spans="1:12">
      <c r="A248" t="s">
        <v>99</v>
      </c>
      <c r="B248" t="s">
        <v>349</v>
      </c>
      <c r="C248" t="s">
        <v>456</v>
      </c>
      <c r="D248" s="3" t="s">
        <v>853</v>
      </c>
      <c r="E248" s="10">
        <v>1.4285714285714287E-2</v>
      </c>
      <c r="F248" s="13" t="s">
        <v>176</v>
      </c>
      <c r="G248" s="9">
        <v>30</v>
      </c>
      <c r="H248" s="9">
        <f t="shared" si="8"/>
        <v>0.4285714285714286</v>
      </c>
      <c r="I248" t="s">
        <v>179</v>
      </c>
      <c r="J248" s="33" t="s">
        <v>489</v>
      </c>
      <c r="K248" s="18">
        <f>VLOOKUP(D248,Ingredients!C:G,5,0)</f>
        <v>55</v>
      </c>
      <c r="L248" s="52">
        <f t="shared" si="7"/>
        <v>0.78571428571428581</v>
      </c>
    </row>
    <row r="249" spans="1:12">
      <c r="A249" t="s">
        <v>99</v>
      </c>
      <c r="B249" t="s">
        <v>349</v>
      </c>
      <c r="C249" t="s">
        <v>456</v>
      </c>
      <c r="D249" s="3" t="s">
        <v>73</v>
      </c>
      <c r="E249" s="10">
        <v>0.14285714285714288</v>
      </c>
      <c r="F249" s="13" t="s">
        <v>176</v>
      </c>
      <c r="G249" s="9">
        <v>305</v>
      </c>
      <c r="H249" s="9">
        <f t="shared" si="8"/>
        <v>43.571428571428577</v>
      </c>
      <c r="I249" t="s">
        <v>179</v>
      </c>
      <c r="J249" s="33" t="s">
        <v>489</v>
      </c>
      <c r="K249" s="18">
        <f>VLOOKUP(D249,Ingredients!C:G,5,0)</f>
        <v>300</v>
      </c>
      <c r="L249" s="52">
        <f t="shared" si="7"/>
        <v>42.857142857142861</v>
      </c>
    </row>
    <row r="250" spans="1:12">
      <c r="A250" t="s">
        <v>99</v>
      </c>
      <c r="B250" t="s">
        <v>349</v>
      </c>
      <c r="C250" t="s">
        <v>456</v>
      </c>
      <c r="D250" s="3" t="s">
        <v>872</v>
      </c>
      <c r="E250" s="10">
        <v>1.1428571428571429E-2</v>
      </c>
      <c r="F250" s="13" t="s">
        <v>176</v>
      </c>
      <c r="G250" s="9">
        <v>2100</v>
      </c>
      <c r="H250" s="9">
        <f t="shared" si="8"/>
        <v>24</v>
      </c>
      <c r="I250" t="s">
        <v>179</v>
      </c>
      <c r="J250" s="33" t="s">
        <v>489</v>
      </c>
      <c r="K250" s="18">
        <f>VLOOKUP(D250,Ingredients!C:G,5,0)</f>
        <v>2150</v>
      </c>
      <c r="L250" s="52">
        <f t="shared" si="7"/>
        <v>24.571428571428573</v>
      </c>
    </row>
    <row r="251" spans="1:12">
      <c r="A251" t="s">
        <v>99</v>
      </c>
      <c r="B251" t="s">
        <v>349</v>
      </c>
      <c r="C251" t="s">
        <v>456</v>
      </c>
      <c r="D251" s="3" t="s">
        <v>851</v>
      </c>
      <c r="E251" s="10">
        <v>0.14285714285714288</v>
      </c>
      <c r="F251" s="13" t="s">
        <v>176</v>
      </c>
      <c r="G251" s="9">
        <v>177</v>
      </c>
      <c r="H251" s="9">
        <f t="shared" si="8"/>
        <v>25.285714285714288</v>
      </c>
      <c r="I251" t="s">
        <v>179</v>
      </c>
      <c r="J251" s="33" t="s">
        <v>489</v>
      </c>
      <c r="K251" s="18">
        <f>VLOOKUP(D251,Ingredients!C:G,5,0)</f>
        <v>920</v>
      </c>
      <c r="L251" s="52">
        <f t="shared" si="7"/>
        <v>131.42857142857144</v>
      </c>
    </row>
    <row r="252" spans="1:12">
      <c r="A252" t="s">
        <v>99</v>
      </c>
      <c r="B252" t="s">
        <v>349</v>
      </c>
      <c r="C252" t="s">
        <v>456</v>
      </c>
      <c r="D252" s="3" t="s">
        <v>831</v>
      </c>
      <c r="E252" s="10">
        <v>1</v>
      </c>
      <c r="F252" s="13" t="s">
        <v>176</v>
      </c>
      <c r="G252" s="9">
        <v>908</v>
      </c>
      <c r="H252" s="9">
        <f t="shared" si="8"/>
        <v>908</v>
      </c>
      <c r="I252" t="s">
        <v>179</v>
      </c>
      <c r="J252" s="33" t="s">
        <v>489</v>
      </c>
      <c r="K252" s="18">
        <f>VLOOKUP(D252,Ingredients!C:G,5,0)</f>
        <v>908</v>
      </c>
      <c r="L252" s="52">
        <f t="shared" si="7"/>
        <v>908</v>
      </c>
    </row>
    <row r="253" spans="1:12">
      <c r="A253" t="s">
        <v>102</v>
      </c>
      <c r="B253" t="s">
        <v>349</v>
      </c>
      <c r="C253" t="s">
        <v>456</v>
      </c>
      <c r="D253" s="3" t="s">
        <v>865</v>
      </c>
      <c r="E253" s="10">
        <v>2.5000000000000001E-2</v>
      </c>
      <c r="F253" s="13" t="s">
        <v>176</v>
      </c>
      <c r="G253" s="9">
        <v>1400</v>
      </c>
      <c r="H253" s="9">
        <f t="shared" si="8"/>
        <v>35</v>
      </c>
      <c r="I253" t="s">
        <v>179</v>
      </c>
      <c r="J253" s="33" t="s">
        <v>489</v>
      </c>
      <c r="K253" s="18">
        <f>VLOOKUP(D253,Ingredients!C:G,5,0)</f>
        <v>1400</v>
      </c>
      <c r="L253" s="52">
        <f t="shared" si="7"/>
        <v>35</v>
      </c>
    </row>
    <row r="254" spans="1:12">
      <c r="A254" t="s">
        <v>102</v>
      </c>
      <c r="B254" t="s">
        <v>349</v>
      </c>
      <c r="C254" t="s">
        <v>456</v>
      </c>
      <c r="D254" s="3" t="s">
        <v>831</v>
      </c>
      <c r="E254" s="10">
        <v>1</v>
      </c>
      <c r="F254" s="13" t="s">
        <v>176</v>
      </c>
      <c r="G254" s="9">
        <v>908</v>
      </c>
      <c r="H254" s="9">
        <f t="shared" si="8"/>
        <v>908</v>
      </c>
      <c r="I254" t="s">
        <v>179</v>
      </c>
      <c r="J254" s="33" t="s">
        <v>489</v>
      </c>
      <c r="K254" s="18">
        <f>VLOOKUP(D254,Ingredients!C:G,5,0)</f>
        <v>908</v>
      </c>
      <c r="L254" s="52">
        <f t="shared" si="7"/>
        <v>908</v>
      </c>
    </row>
    <row r="255" spans="1:12">
      <c r="A255" t="s">
        <v>102</v>
      </c>
      <c r="B255" t="s">
        <v>349</v>
      </c>
      <c r="C255" t="s">
        <v>456</v>
      </c>
      <c r="D255" s="3" t="s">
        <v>864</v>
      </c>
      <c r="E255" s="10">
        <v>2.5000000000000001E-2</v>
      </c>
      <c r="F255" s="13" t="s">
        <v>176</v>
      </c>
      <c r="G255" s="9">
        <v>1400</v>
      </c>
      <c r="H255" s="9">
        <f t="shared" si="8"/>
        <v>35</v>
      </c>
      <c r="I255" t="s">
        <v>179</v>
      </c>
      <c r="J255" s="33" t="s">
        <v>489</v>
      </c>
      <c r="K255" s="18">
        <f>VLOOKUP(D255,Ingredients!C:G,5,0)</f>
        <v>1400</v>
      </c>
      <c r="L255" s="52">
        <f t="shared" si="7"/>
        <v>35</v>
      </c>
    </row>
    <row r="256" spans="1:12">
      <c r="A256" t="s">
        <v>102</v>
      </c>
      <c r="B256" t="s">
        <v>349</v>
      </c>
      <c r="C256" t="s">
        <v>456</v>
      </c>
      <c r="D256" s="3" t="s">
        <v>869</v>
      </c>
      <c r="E256" s="10">
        <v>0.05</v>
      </c>
      <c r="F256" s="13" t="s">
        <v>177</v>
      </c>
      <c r="G256" s="9">
        <v>160</v>
      </c>
      <c r="H256" s="9">
        <f t="shared" si="8"/>
        <v>8</v>
      </c>
      <c r="I256" t="s">
        <v>179</v>
      </c>
      <c r="J256" s="33" t="s">
        <v>489</v>
      </c>
      <c r="K256" s="18">
        <f>VLOOKUP(D256,Ingredients!C:G,5,0)</f>
        <v>527</v>
      </c>
      <c r="L256" s="52">
        <f t="shared" si="7"/>
        <v>26.35</v>
      </c>
    </row>
    <row r="257" spans="1:12">
      <c r="A257" t="s">
        <v>102</v>
      </c>
      <c r="B257" t="s">
        <v>349</v>
      </c>
      <c r="C257" t="s">
        <v>456</v>
      </c>
      <c r="D257" s="3" t="s">
        <v>52</v>
      </c>
      <c r="E257" s="10">
        <v>3.7499999999999999E-2</v>
      </c>
      <c r="F257" s="13" t="s">
        <v>176</v>
      </c>
      <c r="G257" s="9">
        <v>175</v>
      </c>
      <c r="H257" s="9">
        <f t="shared" si="8"/>
        <v>6.5625</v>
      </c>
      <c r="I257" t="s">
        <v>179</v>
      </c>
      <c r="J257" s="33" t="s">
        <v>489</v>
      </c>
      <c r="K257" s="18">
        <f>VLOOKUP(D257,Ingredients!C:G,5,0)</f>
        <v>175</v>
      </c>
      <c r="L257" s="52">
        <f t="shared" si="7"/>
        <v>6.5625</v>
      </c>
    </row>
    <row r="258" spans="1:12">
      <c r="A258" t="s">
        <v>102</v>
      </c>
      <c r="B258" t="s">
        <v>349</v>
      </c>
      <c r="C258" t="s">
        <v>456</v>
      </c>
      <c r="D258" s="3" t="s">
        <v>834</v>
      </c>
      <c r="E258" s="10">
        <v>2.5000000000000001E-2</v>
      </c>
      <c r="F258" s="13" t="s">
        <v>176</v>
      </c>
      <c r="G258" s="9">
        <v>515</v>
      </c>
      <c r="H258" s="9">
        <f t="shared" si="8"/>
        <v>12.875</v>
      </c>
      <c r="I258" t="s">
        <v>179</v>
      </c>
      <c r="J258" s="33" t="s">
        <v>489</v>
      </c>
      <c r="K258" s="18">
        <f>VLOOKUP(D258,Ingredients!C:G,5,0)</f>
        <v>540</v>
      </c>
      <c r="L258" s="52">
        <f t="shared" si="7"/>
        <v>13.5</v>
      </c>
    </row>
    <row r="259" spans="1:12">
      <c r="A259" t="s">
        <v>102</v>
      </c>
      <c r="B259" t="s">
        <v>349</v>
      </c>
      <c r="C259" t="s">
        <v>456</v>
      </c>
      <c r="D259" s="3" t="s">
        <v>849</v>
      </c>
      <c r="E259" s="10">
        <v>0.03</v>
      </c>
      <c r="F259" s="13" t="s">
        <v>176</v>
      </c>
      <c r="G259" s="9">
        <v>1000</v>
      </c>
      <c r="H259" s="9">
        <f t="shared" si="8"/>
        <v>30</v>
      </c>
      <c r="I259" t="s">
        <v>179</v>
      </c>
      <c r="J259" s="33" t="s">
        <v>489</v>
      </c>
      <c r="K259" s="18">
        <f>VLOOKUP(D259,Ingredients!C:G,5,0)</f>
        <v>950</v>
      </c>
      <c r="L259" s="52">
        <f t="shared" si="7"/>
        <v>28.5</v>
      </c>
    </row>
    <row r="260" spans="1:12">
      <c r="A260" t="s">
        <v>102</v>
      </c>
      <c r="B260" t="s">
        <v>349</v>
      </c>
      <c r="C260" t="s">
        <v>456</v>
      </c>
      <c r="D260" s="3" t="s">
        <v>23</v>
      </c>
      <c r="E260" s="10">
        <v>0.05</v>
      </c>
      <c r="F260" s="13" t="s">
        <v>176</v>
      </c>
      <c r="G260" s="9">
        <v>740</v>
      </c>
      <c r="H260" s="9">
        <f t="shared" si="8"/>
        <v>37</v>
      </c>
      <c r="I260" t="s">
        <v>179</v>
      </c>
      <c r="J260" s="33" t="s">
        <v>489</v>
      </c>
      <c r="K260" s="18">
        <f>VLOOKUP(D260,Ingredients!C:G,5,0)</f>
        <v>780</v>
      </c>
      <c r="L260" s="52">
        <f t="shared" ref="L260:L323" si="9">K260*E260</f>
        <v>39</v>
      </c>
    </row>
    <row r="261" spans="1:12">
      <c r="A261" t="s">
        <v>102</v>
      </c>
      <c r="B261" t="s">
        <v>349</v>
      </c>
      <c r="C261" t="s">
        <v>456</v>
      </c>
      <c r="D261" s="3" t="s">
        <v>310</v>
      </c>
      <c r="E261" s="10">
        <v>6.25E-2</v>
      </c>
      <c r="F261" s="13" t="s">
        <v>177</v>
      </c>
      <c r="G261" s="9">
        <v>425</v>
      </c>
      <c r="H261" s="9">
        <f t="shared" si="8"/>
        <v>26.5625</v>
      </c>
      <c r="I261" t="s">
        <v>179</v>
      </c>
      <c r="J261" s="33" t="s">
        <v>489</v>
      </c>
      <c r="K261" s="18">
        <f>VLOOKUP(D261,Ingredients!C:G,5,0)</f>
        <v>850</v>
      </c>
      <c r="L261" s="52">
        <f t="shared" si="9"/>
        <v>53.125</v>
      </c>
    </row>
    <row r="262" spans="1:12">
      <c r="A262" t="s">
        <v>102</v>
      </c>
      <c r="B262" t="s">
        <v>349</v>
      </c>
      <c r="C262" t="s">
        <v>456</v>
      </c>
      <c r="D262" s="3" t="s">
        <v>839</v>
      </c>
      <c r="E262" s="10">
        <v>1.2500000000000001E-2</v>
      </c>
      <c r="F262" s="13" t="s">
        <v>177</v>
      </c>
      <c r="G262" s="9">
        <v>1100</v>
      </c>
      <c r="H262" s="9">
        <f t="shared" si="8"/>
        <v>13.75</v>
      </c>
      <c r="I262" t="s">
        <v>179</v>
      </c>
      <c r="J262" s="33" t="s">
        <v>489</v>
      </c>
      <c r="K262" s="18">
        <f>VLOOKUP(D262,Ingredients!C:G,5,0)</f>
        <v>1100</v>
      </c>
      <c r="L262" s="52">
        <f t="shared" si="9"/>
        <v>13.75</v>
      </c>
    </row>
    <row r="263" spans="1:12">
      <c r="A263" t="s">
        <v>102</v>
      </c>
      <c r="B263" t="s">
        <v>349</v>
      </c>
      <c r="C263" t="s">
        <v>456</v>
      </c>
      <c r="D263" s="3" t="s">
        <v>868</v>
      </c>
      <c r="E263" s="10">
        <v>1.2500000000000001E-2</v>
      </c>
      <c r="F263" s="13" t="s">
        <v>177</v>
      </c>
      <c r="G263" s="9">
        <v>5432.77</v>
      </c>
      <c r="H263" s="9">
        <f t="shared" si="8"/>
        <v>67.909625000000005</v>
      </c>
      <c r="I263" t="s">
        <v>179</v>
      </c>
      <c r="J263" s="33" t="s">
        <v>489</v>
      </c>
      <c r="K263" s="18">
        <f>VLOOKUP(D263,Ingredients!C:G,5,0)</f>
        <v>3200</v>
      </c>
      <c r="L263" s="52">
        <f t="shared" si="9"/>
        <v>40</v>
      </c>
    </row>
    <row r="264" spans="1:12">
      <c r="A264" t="s">
        <v>102</v>
      </c>
      <c r="B264" t="s">
        <v>349</v>
      </c>
      <c r="C264" t="s">
        <v>456</v>
      </c>
      <c r="D264" s="3" t="s">
        <v>866</v>
      </c>
      <c r="E264" s="10">
        <v>3.7499999999999999E-2</v>
      </c>
      <c r="F264" s="13" t="s">
        <v>176</v>
      </c>
      <c r="G264" s="9">
        <v>153.97999999999999</v>
      </c>
      <c r="H264" s="9">
        <f t="shared" si="8"/>
        <v>5.7742499999999994</v>
      </c>
      <c r="I264" t="s">
        <v>179</v>
      </c>
      <c r="J264" s="33" t="s">
        <v>489</v>
      </c>
      <c r="K264" s="18">
        <f>VLOOKUP(D264,Ingredients!C:G,5,0)</f>
        <v>142.13999999999999</v>
      </c>
      <c r="L264" s="52">
        <f t="shared" si="9"/>
        <v>5.3302499999999995</v>
      </c>
    </row>
    <row r="265" spans="1:12">
      <c r="A265" t="s">
        <v>102</v>
      </c>
      <c r="B265" t="s">
        <v>349</v>
      </c>
      <c r="C265" t="s">
        <v>456</v>
      </c>
      <c r="D265" s="3" t="s">
        <v>853</v>
      </c>
      <c r="E265" s="10">
        <v>4.4999999999999996E-5</v>
      </c>
      <c r="F265" s="13" t="s">
        <v>176</v>
      </c>
      <c r="G265" s="9">
        <v>30</v>
      </c>
      <c r="H265" s="9">
        <f t="shared" si="8"/>
        <v>1.3499999999999999E-3</v>
      </c>
      <c r="I265" t="s">
        <v>179</v>
      </c>
      <c r="J265" s="33" t="s">
        <v>489</v>
      </c>
      <c r="K265" s="18">
        <f>VLOOKUP(D265,Ingredients!C:G,5,0)</f>
        <v>55</v>
      </c>
      <c r="L265" s="52">
        <f t="shared" si="9"/>
        <v>2.4749999999999998E-3</v>
      </c>
    </row>
    <row r="266" spans="1:12">
      <c r="A266" t="s">
        <v>102</v>
      </c>
      <c r="B266" t="s">
        <v>349</v>
      </c>
      <c r="C266" t="s">
        <v>456</v>
      </c>
      <c r="D266" s="3" t="s">
        <v>830</v>
      </c>
      <c r="E266" s="10">
        <v>1.2500000000000001E-2</v>
      </c>
      <c r="F266" s="13" t="s">
        <v>176</v>
      </c>
      <c r="G266" s="9">
        <v>149</v>
      </c>
      <c r="H266" s="9">
        <f t="shared" si="8"/>
        <v>1.8625</v>
      </c>
      <c r="I266" t="s">
        <v>179</v>
      </c>
      <c r="J266" s="33" t="s">
        <v>489</v>
      </c>
      <c r="K266" s="18">
        <f>VLOOKUP(D266,Ingredients!C:G,5,0)</f>
        <v>123</v>
      </c>
      <c r="L266" s="52">
        <f t="shared" si="9"/>
        <v>1.5375000000000001</v>
      </c>
    </row>
    <row r="267" spans="1:12">
      <c r="A267" t="s">
        <v>102</v>
      </c>
      <c r="B267" t="s">
        <v>349</v>
      </c>
      <c r="C267" t="s">
        <v>456</v>
      </c>
      <c r="D267" s="3" t="s">
        <v>16</v>
      </c>
      <c r="E267" s="10">
        <v>0.05</v>
      </c>
      <c r="F267" s="13" t="s">
        <v>176</v>
      </c>
      <c r="G267" s="9">
        <v>270</v>
      </c>
      <c r="H267" s="9">
        <f t="shared" si="8"/>
        <v>13.5</v>
      </c>
      <c r="I267" t="s">
        <v>179</v>
      </c>
      <c r="J267" s="33" t="s">
        <v>489</v>
      </c>
      <c r="K267" s="18">
        <f>VLOOKUP(D267,Ingredients!C:G,5,0)</f>
        <v>310</v>
      </c>
      <c r="L267" s="52">
        <f t="shared" si="9"/>
        <v>15.5</v>
      </c>
    </row>
    <row r="268" spans="1:12">
      <c r="A268" t="s">
        <v>102</v>
      </c>
      <c r="B268" t="s">
        <v>349</v>
      </c>
      <c r="C268" t="s">
        <v>456</v>
      </c>
      <c r="D268" s="3" t="s">
        <v>863</v>
      </c>
      <c r="E268" s="10">
        <v>1.7500000000000002E-2</v>
      </c>
      <c r="F268" s="13" t="s">
        <v>176</v>
      </c>
      <c r="G268" s="9">
        <v>675</v>
      </c>
      <c r="H268" s="9">
        <f t="shared" si="8"/>
        <v>11.812500000000002</v>
      </c>
      <c r="I268" t="s">
        <v>179</v>
      </c>
      <c r="J268" s="33" t="s">
        <v>489</v>
      </c>
      <c r="K268" s="18">
        <f>VLOOKUP(D268,Ingredients!C:G,5,0)</f>
        <v>675</v>
      </c>
      <c r="L268" s="52">
        <f t="shared" si="9"/>
        <v>11.812500000000002</v>
      </c>
    </row>
    <row r="269" spans="1:12">
      <c r="A269" t="s">
        <v>102</v>
      </c>
      <c r="B269" t="s">
        <v>349</v>
      </c>
      <c r="C269" t="s">
        <v>456</v>
      </c>
      <c r="D269" s="3" t="s">
        <v>885</v>
      </c>
      <c r="E269" s="10">
        <v>0.08</v>
      </c>
      <c r="F269" s="13" t="s">
        <v>173</v>
      </c>
      <c r="G269" s="9">
        <v>1620</v>
      </c>
      <c r="H269" s="9">
        <f t="shared" si="8"/>
        <v>129.6</v>
      </c>
      <c r="I269" t="s">
        <v>179</v>
      </c>
      <c r="J269" s="33" t="s">
        <v>489</v>
      </c>
      <c r="K269" s="18">
        <f>VLOOKUP(D269,Ingredients!C:F,3,0)</f>
        <v>1296</v>
      </c>
      <c r="L269" s="52">
        <f t="shared" si="9"/>
        <v>103.68</v>
      </c>
    </row>
    <row r="270" spans="1:12">
      <c r="A270" t="s">
        <v>104</v>
      </c>
      <c r="B270" t="s">
        <v>349</v>
      </c>
      <c r="C270" t="s">
        <v>351</v>
      </c>
      <c r="D270" s="3" t="s">
        <v>73</v>
      </c>
      <c r="E270" s="10">
        <v>0.16666666666666669</v>
      </c>
      <c r="F270" s="13" t="s">
        <v>176</v>
      </c>
      <c r="G270" s="9">
        <v>305</v>
      </c>
      <c r="H270" s="9">
        <f t="shared" si="8"/>
        <v>50.833333333333336</v>
      </c>
      <c r="I270" t="s">
        <v>179</v>
      </c>
      <c r="J270" s="33" t="s">
        <v>491</v>
      </c>
      <c r="K270" s="18">
        <f>VLOOKUP(D270,Ingredients!C:G,5,0)</f>
        <v>300</v>
      </c>
      <c r="L270" s="52">
        <f t="shared" si="9"/>
        <v>50.000000000000007</v>
      </c>
    </row>
    <row r="271" spans="1:12">
      <c r="A271" t="s">
        <v>104</v>
      </c>
      <c r="B271" t="s">
        <v>349</v>
      </c>
      <c r="C271" t="s">
        <v>351</v>
      </c>
      <c r="D271" s="3" t="s">
        <v>852</v>
      </c>
      <c r="E271" s="10">
        <v>0.16666666666666669</v>
      </c>
      <c r="F271" s="13" t="s">
        <v>177</v>
      </c>
      <c r="G271" s="9">
        <v>520.63</v>
      </c>
      <c r="H271" s="9">
        <f t="shared" si="8"/>
        <v>86.771666666666675</v>
      </c>
      <c r="I271" t="s">
        <v>179</v>
      </c>
      <c r="J271" s="33" t="s">
        <v>491</v>
      </c>
      <c r="K271" s="18">
        <v>550</v>
      </c>
      <c r="L271" s="52">
        <f t="shared" si="9"/>
        <v>91.666666666666671</v>
      </c>
    </row>
    <row r="272" spans="1:12">
      <c r="A272" t="s">
        <v>104</v>
      </c>
      <c r="B272" t="s">
        <v>349</v>
      </c>
      <c r="C272" t="s">
        <v>351</v>
      </c>
      <c r="D272" s="3" t="s">
        <v>886</v>
      </c>
      <c r="E272" s="10">
        <v>6.6666666666666666E-2</v>
      </c>
      <c r="F272" s="13" t="s">
        <v>176</v>
      </c>
      <c r="G272" s="9">
        <v>180</v>
      </c>
      <c r="H272" s="9">
        <f t="shared" si="8"/>
        <v>12</v>
      </c>
      <c r="I272" t="s">
        <v>179</v>
      </c>
      <c r="J272" s="33" t="s">
        <v>491</v>
      </c>
      <c r="K272" s="18">
        <f>VLOOKUP(D272,Ingredients!C:G,5,0)</f>
        <v>180</v>
      </c>
      <c r="L272" s="52">
        <f t="shared" si="9"/>
        <v>12</v>
      </c>
    </row>
    <row r="273" spans="1:12">
      <c r="A273" t="s">
        <v>104</v>
      </c>
      <c r="B273" t="s">
        <v>349</v>
      </c>
      <c r="C273" t="s">
        <v>351</v>
      </c>
      <c r="D273" s="3" t="s">
        <v>32</v>
      </c>
      <c r="E273" s="10">
        <v>0.05</v>
      </c>
      <c r="F273" s="13" t="s">
        <v>176</v>
      </c>
      <c r="G273" s="9">
        <v>154.99</v>
      </c>
      <c r="H273" s="9">
        <f t="shared" si="8"/>
        <v>7.7495000000000012</v>
      </c>
      <c r="I273" t="s">
        <v>179</v>
      </c>
      <c r="J273" s="33" t="s">
        <v>491</v>
      </c>
      <c r="K273" s="18">
        <f>VLOOKUP(D273,Ingredients!C:G,5,0)</f>
        <v>14870</v>
      </c>
      <c r="L273" s="52">
        <f t="shared" si="9"/>
        <v>743.5</v>
      </c>
    </row>
    <row r="274" spans="1:12">
      <c r="A274" t="s">
        <v>104</v>
      </c>
      <c r="B274" t="s">
        <v>349</v>
      </c>
      <c r="C274" t="s">
        <v>351</v>
      </c>
      <c r="D274" s="33" t="s">
        <v>491</v>
      </c>
      <c r="E274" s="10">
        <v>1</v>
      </c>
      <c r="F274" s="13" t="s">
        <v>176</v>
      </c>
      <c r="G274" s="9">
        <v>614</v>
      </c>
      <c r="H274" s="9">
        <f t="shared" si="8"/>
        <v>614</v>
      </c>
      <c r="I274" t="s">
        <v>179</v>
      </c>
      <c r="J274" s="33" t="s">
        <v>491</v>
      </c>
      <c r="K274" s="18">
        <f>VLOOKUP(D274,Ingredients!C:G,5,0)</f>
        <v>650</v>
      </c>
      <c r="L274" s="52">
        <f t="shared" si="9"/>
        <v>650</v>
      </c>
    </row>
    <row r="275" spans="1:12">
      <c r="A275" t="s">
        <v>104</v>
      </c>
      <c r="B275" t="s">
        <v>349</v>
      </c>
      <c r="C275" t="s">
        <v>351</v>
      </c>
      <c r="D275" s="3" t="s">
        <v>29</v>
      </c>
      <c r="E275" s="10">
        <v>0.05</v>
      </c>
      <c r="F275" s="13" t="s">
        <v>176</v>
      </c>
      <c r="G275" s="9">
        <v>60</v>
      </c>
      <c r="H275" s="9">
        <f t="shared" si="8"/>
        <v>3</v>
      </c>
      <c r="I275" t="s">
        <v>179</v>
      </c>
      <c r="J275" s="33" t="s">
        <v>491</v>
      </c>
      <c r="K275" s="18">
        <f>VLOOKUP(D275,Ingredients!C:G,5,0)</f>
        <v>100</v>
      </c>
      <c r="L275" s="52">
        <f t="shared" si="9"/>
        <v>5</v>
      </c>
    </row>
    <row r="276" spans="1:12">
      <c r="A276" t="s">
        <v>106</v>
      </c>
      <c r="B276" t="s">
        <v>349</v>
      </c>
      <c r="C276" t="s">
        <v>350</v>
      </c>
      <c r="D276" s="3" t="s">
        <v>853</v>
      </c>
      <c r="E276" s="10">
        <v>0.02</v>
      </c>
      <c r="F276" s="13" t="s">
        <v>176</v>
      </c>
      <c r="G276" s="9">
        <v>30</v>
      </c>
      <c r="H276" s="9">
        <f t="shared" si="8"/>
        <v>0.6</v>
      </c>
      <c r="I276" t="s">
        <v>179</v>
      </c>
      <c r="J276" s="33" t="s">
        <v>491</v>
      </c>
      <c r="K276" s="18">
        <f>VLOOKUP(D276,Ingredients!C:G,5,0)</f>
        <v>55</v>
      </c>
      <c r="L276" s="52">
        <f t="shared" si="9"/>
        <v>1.1000000000000001</v>
      </c>
    </row>
    <row r="277" spans="1:12">
      <c r="A277" t="s">
        <v>106</v>
      </c>
      <c r="B277" t="s">
        <v>349</v>
      </c>
      <c r="C277" t="s">
        <v>350</v>
      </c>
      <c r="D277" s="3" t="s">
        <v>860</v>
      </c>
      <c r="E277" s="10">
        <v>1.4999999999999999E-2</v>
      </c>
      <c r="F277" s="13" t="s">
        <v>176</v>
      </c>
      <c r="G277" s="9">
        <v>2000</v>
      </c>
      <c r="H277" s="9">
        <f t="shared" si="8"/>
        <v>30</v>
      </c>
      <c r="I277" t="s">
        <v>179</v>
      </c>
      <c r="J277" s="33" t="s">
        <v>491</v>
      </c>
      <c r="K277" s="18">
        <f>VLOOKUP(D277,Ingredients!C:G,5,0)</f>
        <v>1900</v>
      </c>
      <c r="L277" s="52">
        <f t="shared" si="9"/>
        <v>28.5</v>
      </c>
    </row>
    <row r="278" spans="1:12">
      <c r="A278" t="s">
        <v>106</v>
      </c>
      <c r="B278" t="s">
        <v>349</v>
      </c>
      <c r="C278" t="s">
        <v>350</v>
      </c>
      <c r="D278" s="3" t="s">
        <v>867</v>
      </c>
      <c r="E278" s="10">
        <v>0.02</v>
      </c>
      <c r="F278" s="13" t="s">
        <v>176</v>
      </c>
      <c r="G278" s="9">
        <v>900</v>
      </c>
      <c r="H278" s="9">
        <f t="shared" si="8"/>
        <v>18</v>
      </c>
      <c r="I278" t="s">
        <v>179</v>
      </c>
      <c r="J278" s="33" t="s">
        <v>491</v>
      </c>
      <c r="K278" s="18">
        <f>VLOOKUP(D278,Ingredients!C:G,5,0)</f>
        <v>950</v>
      </c>
      <c r="L278" s="52">
        <f t="shared" si="9"/>
        <v>19</v>
      </c>
    </row>
    <row r="279" spans="1:12">
      <c r="A279" t="s">
        <v>106</v>
      </c>
      <c r="B279" t="s">
        <v>349</v>
      </c>
      <c r="C279" t="s">
        <v>350</v>
      </c>
      <c r="D279" s="3" t="s">
        <v>872</v>
      </c>
      <c r="E279" s="10">
        <v>1.2E-2</v>
      </c>
      <c r="F279" s="13" t="s">
        <v>176</v>
      </c>
      <c r="G279" s="9">
        <v>2100</v>
      </c>
      <c r="H279" s="9">
        <f t="shared" si="8"/>
        <v>25.2</v>
      </c>
      <c r="I279" t="s">
        <v>179</v>
      </c>
      <c r="J279" s="33" t="s">
        <v>491</v>
      </c>
      <c r="K279" s="18">
        <f>VLOOKUP(D279,Ingredients!C:G,5,0)</f>
        <v>2150</v>
      </c>
      <c r="L279" s="52">
        <f t="shared" si="9"/>
        <v>25.8</v>
      </c>
    </row>
    <row r="280" spans="1:12">
      <c r="A280" t="s">
        <v>106</v>
      </c>
      <c r="B280" t="s">
        <v>349</v>
      </c>
      <c r="C280" t="s">
        <v>350</v>
      </c>
      <c r="D280" s="3" t="s">
        <v>863</v>
      </c>
      <c r="E280" s="10">
        <v>0.02</v>
      </c>
      <c r="F280" s="13" t="s">
        <v>176</v>
      </c>
      <c r="G280" s="9">
        <v>675</v>
      </c>
      <c r="H280" s="9">
        <f t="shared" si="8"/>
        <v>13.5</v>
      </c>
      <c r="I280" t="s">
        <v>179</v>
      </c>
      <c r="J280" s="33" t="s">
        <v>491</v>
      </c>
      <c r="K280" s="18">
        <f>VLOOKUP(D280,Ingredients!C:G,5,0)</f>
        <v>675</v>
      </c>
      <c r="L280" s="52">
        <f t="shared" si="9"/>
        <v>13.5</v>
      </c>
    </row>
    <row r="281" spans="1:12">
      <c r="A281" t="s">
        <v>106</v>
      </c>
      <c r="B281" t="s">
        <v>349</v>
      </c>
      <c r="C281" t="s">
        <v>350</v>
      </c>
      <c r="D281" s="3" t="s">
        <v>874</v>
      </c>
      <c r="E281" s="10">
        <v>0.06</v>
      </c>
      <c r="F281" s="13" t="s">
        <v>177</v>
      </c>
      <c r="G281" s="9">
        <v>110</v>
      </c>
      <c r="H281" s="9">
        <f t="shared" si="8"/>
        <v>6.6</v>
      </c>
      <c r="I281" t="s">
        <v>179</v>
      </c>
      <c r="J281" s="33" t="s">
        <v>491</v>
      </c>
      <c r="K281" s="18">
        <f>VLOOKUP(D281,Ingredients!C:G,5,0)</f>
        <v>179</v>
      </c>
      <c r="L281" s="52">
        <f t="shared" si="9"/>
        <v>10.74</v>
      </c>
    </row>
    <row r="282" spans="1:12">
      <c r="A282" t="s">
        <v>106</v>
      </c>
      <c r="B282" t="s">
        <v>349</v>
      </c>
      <c r="C282" t="s">
        <v>350</v>
      </c>
      <c r="D282" s="3" t="s">
        <v>50</v>
      </c>
      <c r="E282" s="10">
        <v>2.4E-2</v>
      </c>
      <c r="F282" s="13" t="s">
        <v>176</v>
      </c>
      <c r="G282" s="9">
        <v>120</v>
      </c>
      <c r="H282" s="9">
        <f t="shared" si="8"/>
        <v>2.88</v>
      </c>
      <c r="I282" t="s">
        <v>179</v>
      </c>
      <c r="J282" s="33" t="s">
        <v>491</v>
      </c>
      <c r="K282" s="18">
        <f>VLOOKUP(D282,Ingredients!C:G,5,0)</f>
        <v>120</v>
      </c>
      <c r="L282" s="52">
        <f t="shared" si="9"/>
        <v>2.88</v>
      </c>
    </row>
    <row r="283" spans="1:12">
      <c r="A283" t="s">
        <v>106</v>
      </c>
      <c r="B283" t="s">
        <v>349</v>
      </c>
      <c r="C283" t="s">
        <v>350</v>
      </c>
      <c r="D283" s="3" t="s">
        <v>16</v>
      </c>
      <c r="E283" s="10">
        <v>0.02</v>
      </c>
      <c r="F283" s="13" t="s">
        <v>176</v>
      </c>
      <c r="G283" s="9">
        <v>270</v>
      </c>
      <c r="H283" s="9">
        <f t="shared" si="8"/>
        <v>5.4</v>
      </c>
      <c r="I283" t="s">
        <v>179</v>
      </c>
      <c r="J283" s="33" t="s">
        <v>491</v>
      </c>
      <c r="K283" s="18">
        <f>VLOOKUP(D283,Ingredients!C:G,5,0)</f>
        <v>310</v>
      </c>
      <c r="L283" s="52">
        <f t="shared" si="9"/>
        <v>6.2</v>
      </c>
    </row>
    <row r="284" spans="1:12">
      <c r="A284" t="s">
        <v>106</v>
      </c>
      <c r="B284" t="s">
        <v>349</v>
      </c>
      <c r="C284" t="s">
        <v>350</v>
      </c>
      <c r="D284" s="3" t="s">
        <v>23</v>
      </c>
      <c r="E284" s="10">
        <v>0.02</v>
      </c>
      <c r="F284" s="13" t="s">
        <v>176</v>
      </c>
      <c r="G284" s="9">
        <v>740</v>
      </c>
      <c r="H284" s="9">
        <f t="shared" si="8"/>
        <v>14.8</v>
      </c>
      <c r="I284" t="s">
        <v>179</v>
      </c>
      <c r="J284" s="33" t="s">
        <v>491</v>
      </c>
      <c r="K284" s="18">
        <f>VLOOKUP(D284,Ingredients!C:G,5,0)</f>
        <v>780</v>
      </c>
      <c r="L284" s="52">
        <f t="shared" si="9"/>
        <v>15.6</v>
      </c>
    </row>
    <row r="285" spans="1:12">
      <c r="A285" t="s">
        <v>106</v>
      </c>
      <c r="B285" t="s">
        <v>349</v>
      </c>
      <c r="C285" t="s">
        <v>350</v>
      </c>
      <c r="D285" s="33" t="s">
        <v>491</v>
      </c>
      <c r="E285" s="10">
        <v>1</v>
      </c>
      <c r="F285" s="13" t="s">
        <v>176</v>
      </c>
      <c r="G285" s="9">
        <v>614</v>
      </c>
      <c r="H285" s="9">
        <f t="shared" si="8"/>
        <v>614</v>
      </c>
      <c r="I285" t="s">
        <v>179</v>
      </c>
      <c r="J285" s="33" t="s">
        <v>491</v>
      </c>
      <c r="K285" s="18">
        <f>VLOOKUP(D285,Ingredients!C:G,5,0)</f>
        <v>650</v>
      </c>
      <c r="L285" s="52">
        <f t="shared" si="9"/>
        <v>650</v>
      </c>
    </row>
    <row r="286" spans="1:12">
      <c r="A286" t="s">
        <v>111</v>
      </c>
      <c r="B286" t="s">
        <v>349</v>
      </c>
      <c r="C286" t="s">
        <v>351</v>
      </c>
      <c r="D286" s="3" t="s">
        <v>853</v>
      </c>
      <c r="E286" s="10">
        <v>1.6666666666666666E-2</v>
      </c>
      <c r="F286" s="13" t="s">
        <v>176</v>
      </c>
      <c r="G286" s="9">
        <v>30</v>
      </c>
      <c r="H286" s="9">
        <f t="shared" si="8"/>
        <v>0.5</v>
      </c>
      <c r="I286" t="s">
        <v>179</v>
      </c>
      <c r="J286" s="33" t="s">
        <v>428</v>
      </c>
      <c r="K286" s="18">
        <f>VLOOKUP(D286,Ingredients!C:G,5,0)</f>
        <v>55</v>
      </c>
      <c r="L286" s="52">
        <f t="shared" si="9"/>
        <v>0.91666666666666663</v>
      </c>
    </row>
    <row r="287" spans="1:12">
      <c r="A287" t="s">
        <v>111</v>
      </c>
      <c r="B287" t="s">
        <v>349</v>
      </c>
      <c r="C287" t="s">
        <v>351</v>
      </c>
      <c r="D287" s="3" t="s">
        <v>870</v>
      </c>
      <c r="E287" s="10">
        <v>1.3333333333333334E-2</v>
      </c>
      <c r="F287" s="13" t="s">
        <v>176</v>
      </c>
      <c r="G287" s="9">
        <v>440</v>
      </c>
      <c r="H287" s="9">
        <f t="shared" si="8"/>
        <v>5.8666666666666671</v>
      </c>
      <c r="I287" t="s">
        <v>179</v>
      </c>
      <c r="J287" s="33" t="s">
        <v>428</v>
      </c>
      <c r="K287" s="18">
        <f>VLOOKUP(D287,Ingredients!C:G,5,0)</f>
        <v>450</v>
      </c>
      <c r="L287" s="52">
        <f t="shared" si="9"/>
        <v>6</v>
      </c>
    </row>
    <row r="288" spans="1:12">
      <c r="A288" t="s">
        <v>111</v>
      </c>
      <c r="B288" t="s">
        <v>349</v>
      </c>
      <c r="C288" t="s">
        <v>351</v>
      </c>
      <c r="D288" s="3" t="s">
        <v>855</v>
      </c>
      <c r="E288" s="10">
        <v>1.3333333333333334E-2</v>
      </c>
      <c r="F288" s="13" t="s">
        <v>176</v>
      </c>
      <c r="G288" s="9">
        <v>2400</v>
      </c>
      <c r="H288" s="9">
        <f t="shared" si="8"/>
        <v>32</v>
      </c>
      <c r="I288" t="s">
        <v>179</v>
      </c>
      <c r="J288" s="33" t="s">
        <v>428</v>
      </c>
      <c r="K288" s="18">
        <f>VLOOKUP(D288,Ingredients!C:G,5,0)</f>
        <v>1600</v>
      </c>
      <c r="L288" s="52">
        <f t="shared" si="9"/>
        <v>21.333333333333336</v>
      </c>
    </row>
    <row r="289" spans="1:12">
      <c r="A289" t="s">
        <v>111</v>
      </c>
      <c r="B289" t="s">
        <v>349</v>
      </c>
      <c r="C289" t="s">
        <v>351</v>
      </c>
      <c r="D289" s="3" t="s">
        <v>849</v>
      </c>
      <c r="E289" s="10">
        <v>1.3333333333333334E-2</v>
      </c>
      <c r="F289" s="13" t="s">
        <v>176</v>
      </c>
      <c r="G289" s="9">
        <v>1000</v>
      </c>
      <c r="H289" s="9">
        <f t="shared" si="8"/>
        <v>13.333333333333334</v>
      </c>
      <c r="I289" t="s">
        <v>179</v>
      </c>
      <c r="J289" s="33" t="s">
        <v>428</v>
      </c>
      <c r="K289" s="18">
        <f>VLOOKUP(D289,Ingredients!C:G,5,0)</f>
        <v>950</v>
      </c>
      <c r="L289" s="52">
        <f t="shared" si="9"/>
        <v>12.666666666666668</v>
      </c>
    </row>
    <row r="290" spans="1:12">
      <c r="A290" t="s">
        <v>111</v>
      </c>
      <c r="B290" t="s">
        <v>349</v>
      </c>
      <c r="C290" t="s">
        <v>351</v>
      </c>
      <c r="D290" s="3" t="s">
        <v>867</v>
      </c>
      <c r="E290" s="10">
        <v>1.3333333333333334E-2</v>
      </c>
      <c r="F290" s="13" t="s">
        <v>176</v>
      </c>
      <c r="G290" s="9">
        <v>900</v>
      </c>
      <c r="H290" s="9">
        <f t="shared" si="8"/>
        <v>12</v>
      </c>
      <c r="I290" t="s">
        <v>179</v>
      </c>
      <c r="J290" s="33" t="s">
        <v>428</v>
      </c>
      <c r="K290" s="18">
        <f>VLOOKUP(D290,Ingredients!C:G,5,0)</f>
        <v>950</v>
      </c>
      <c r="L290" s="52">
        <f t="shared" si="9"/>
        <v>12.666666666666668</v>
      </c>
    </row>
    <row r="291" spans="1:12">
      <c r="A291" t="s">
        <v>111</v>
      </c>
      <c r="B291" t="s">
        <v>349</v>
      </c>
      <c r="C291" t="s">
        <v>351</v>
      </c>
      <c r="D291" s="3" t="s">
        <v>854</v>
      </c>
      <c r="E291" s="10">
        <v>3.3333333333333335</v>
      </c>
      <c r="F291" s="13" t="s">
        <v>173</v>
      </c>
      <c r="G291" s="9">
        <v>24.64</v>
      </c>
      <c r="H291" s="9">
        <f t="shared" si="8"/>
        <v>82.13333333333334</v>
      </c>
      <c r="I291" t="s">
        <v>179</v>
      </c>
      <c r="J291" s="33" t="s">
        <v>428</v>
      </c>
      <c r="K291" s="18">
        <f>VLOOKUP(D291,Ingredients!C:G,5,0)</f>
        <v>20.059999999999999</v>
      </c>
      <c r="L291" s="52">
        <f t="shared" si="9"/>
        <v>66.86666666666666</v>
      </c>
    </row>
    <row r="292" spans="1:12">
      <c r="A292" t="s">
        <v>111</v>
      </c>
      <c r="B292" t="s">
        <v>349</v>
      </c>
      <c r="C292" t="s">
        <v>351</v>
      </c>
      <c r="D292" s="3" t="s">
        <v>23</v>
      </c>
      <c r="E292" s="10">
        <v>0.05</v>
      </c>
      <c r="F292" s="13" t="s">
        <v>176</v>
      </c>
      <c r="G292" s="9">
        <v>740</v>
      </c>
      <c r="H292" s="9">
        <f t="shared" si="8"/>
        <v>37</v>
      </c>
      <c r="I292" t="s">
        <v>179</v>
      </c>
      <c r="J292" s="33" t="s">
        <v>428</v>
      </c>
      <c r="K292" s="18">
        <f>VLOOKUP(D292,Ingredients!C:G,5,0)</f>
        <v>780</v>
      </c>
      <c r="L292" s="52">
        <f t="shared" si="9"/>
        <v>39</v>
      </c>
    </row>
    <row r="293" spans="1:12">
      <c r="A293" t="s">
        <v>111</v>
      </c>
      <c r="B293" t="s">
        <v>349</v>
      </c>
      <c r="C293" t="s">
        <v>351</v>
      </c>
      <c r="D293" s="3" t="s">
        <v>16</v>
      </c>
      <c r="E293" s="10">
        <v>0.05</v>
      </c>
      <c r="F293" s="13" t="s">
        <v>176</v>
      </c>
      <c r="G293" s="9">
        <v>270</v>
      </c>
      <c r="H293" s="9">
        <f t="shared" si="8"/>
        <v>13.5</v>
      </c>
      <c r="I293" t="s">
        <v>179</v>
      </c>
      <c r="J293" s="33" t="s">
        <v>428</v>
      </c>
      <c r="K293" s="18">
        <f>VLOOKUP(D293,Ingredients!C:G,5,0)</f>
        <v>310</v>
      </c>
      <c r="L293" s="52">
        <f t="shared" si="9"/>
        <v>15.5</v>
      </c>
    </row>
    <row r="294" spans="1:12">
      <c r="A294" t="s">
        <v>111</v>
      </c>
      <c r="B294" t="s">
        <v>349</v>
      </c>
      <c r="C294" t="s">
        <v>351</v>
      </c>
      <c r="D294" s="3" t="s">
        <v>310</v>
      </c>
      <c r="E294" s="10">
        <v>0.13333333333333333</v>
      </c>
      <c r="F294" s="13" t="s">
        <v>177</v>
      </c>
      <c r="G294" s="9">
        <v>425</v>
      </c>
      <c r="H294" s="9">
        <f t="shared" si="8"/>
        <v>56.666666666666664</v>
      </c>
      <c r="I294" t="s">
        <v>179</v>
      </c>
      <c r="J294" s="33" t="s">
        <v>428</v>
      </c>
      <c r="K294" s="18">
        <f>VLOOKUP(D294,Ingredients!C:G,5,0)</f>
        <v>850</v>
      </c>
      <c r="L294" s="52">
        <f t="shared" si="9"/>
        <v>113.33333333333333</v>
      </c>
    </row>
    <row r="295" spans="1:12">
      <c r="A295" t="s">
        <v>111</v>
      </c>
      <c r="B295" t="s">
        <v>349</v>
      </c>
      <c r="C295" t="s">
        <v>351</v>
      </c>
      <c r="D295" s="3" t="s">
        <v>866</v>
      </c>
      <c r="E295" s="10">
        <v>0.05</v>
      </c>
      <c r="F295" s="13" t="s">
        <v>176</v>
      </c>
      <c r="G295" s="9">
        <v>153.97999999999999</v>
      </c>
      <c r="H295" s="9">
        <f t="shared" si="8"/>
        <v>7.6989999999999998</v>
      </c>
      <c r="I295" t="s">
        <v>179</v>
      </c>
      <c r="J295" s="33" t="s">
        <v>428</v>
      </c>
      <c r="K295" s="18">
        <f>VLOOKUP(D295,Ingredients!C:G,5,0)</f>
        <v>142.13999999999999</v>
      </c>
      <c r="L295" s="52">
        <f t="shared" si="9"/>
        <v>7.1069999999999993</v>
      </c>
    </row>
    <row r="296" spans="1:12">
      <c r="A296" t="s">
        <v>111</v>
      </c>
      <c r="B296" t="s">
        <v>349</v>
      </c>
      <c r="C296" t="s">
        <v>351</v>
      </c>
      <c r="D296" s="3" t="s">
        <v>835</v>
      </c>
      <c r="E296" s="10">
        <v>0.13333333333333333</v>
      </c>
      <c r="F296" s="13" t="s">
        <v>176</v>
      </c>
      <c r="G296" s="9">
        <v>389.34</v>
      </c>
      <c r="H296" s="9">
        <f t="shared" si="8"/>
        <v>51.911999999999999</v>
      </c>
      <c r="I296" t="s">
        <v>179</v>
      </c>
      <c r="J296" s="33" t="s">
        <v>428</v>
      </c>
      <c r="K296" s="18">
        <f>VLOOKUP(D296,Ingredients!C:G,5,0)</f>
        <v>394.63</v>
      </c>
      <c r="L296" s="52">
        <f t="shared" si="9"/>
        <v>52.617333333333335</v>
      </c>
    </row>
    <row r="297" spans="1:12">
      <c r="A297" t="s">
        <v>111</v>
      </c>
      <c r="B297" t="s">
        <v>349</v>
      </c>
      <c r="C297" t="s">
        <v>351</v>
      </c>
      <c r="D297" s="3" t="s">
        <v>428</v>
      </c>
      <c r="E297" s="10">
        <v>1</v>
      </c>
      <c r="F297" s="13" t="s">
        <v>176</v>
      </c>
      <c r="G297" s="9">
        <v>1600</v>
      </c>
      <c r="H297" s="9">
        <f t="shared" si="8"/>
        <v>1600</v>
      </c>
      <c r="I297" t="s">
        <v>179</v>
      </c>
      <c r="J297" s="33" t="s">
        <v>428</v>
      </c>
      <c r="K297" s="18">
        <f>VLOOKUP(D297,Ingredients!C:G,5,0)</f>
        <v>1514.78</v>
      </c>
      <c r="L297" s="52">
        <f t="shared" si="9"/>
        <v>1514.78</v>
      </c>
    </row>
    <row r="298" spans="1:12">
      <c r="A298" t="s">
        <v>114</v>
      </c>
      <c r="B298" t="s">
        <v>349</v>
      </c>
      <c r="C298" t="s">
        <v>456</v>
      </c>
      <c r="D298" s="3" t="s">
        <v>831</v>
      </c>
      <c r="E298" s="10">
        <v>4.3333333333333335E-2</v>
      </c>
      <c r="F298" s="13" t="s">
        <v>176</v>
      </c>
      <c r="G298" s="9">
        <v>908</v>
      </c>
      <c r="H298" s="9">
        <f t="shared" si="8"/>
        <v>39.346666666666671</v>
      </c>
      <c r="I298" t="s">
        <v>179</v>
      </c>
      <c r="J298" s="33" t="s">
        <v>428</v>
      </c>
      <c r="K298" s="18">
        <f>VLOOKUP(D298,Ingredients!C:G,5,0)</f>
        <v>908</v>
      </c>
      <c r="L298" s="52">
        <f t="shared" si="9"/>
        <v>39.346666666666671</v>
      </c>
    </row>
    <row r="299" spans="1:12">
      <c r="A299" t="s">
        <v>114</v>
      </c>
      <c r="B299" t="s">
        <v>349</v>
      </c>
      <c r="C299" t="s">
        <v>456</v>
      </c>
      <c r="D299" s="3" t="s">
        <v>32</v>
      </c>
      <c r="E299" s="10">
        <v>3.3333333333333333E-2</v>
      </c>
      <c r="F299" s="13" t="s">
        <v>176</v>
      </c>
      <c r="G299" s="9">
        <v>154.99</v>
      </c>
      <c r="H299" s="9">
        <f t="shared" si="8"/>
        <v>5.1663333333333332</v>
      </c>
      <c r="I299" t="s">
        <v>179</v>
      </c>
      <c r="J299" s="33" t="s">
        <v>428</v>
      </c>
      <c r="K299" s="18">
        <f>VLOOKUP(D299,Ingredients!C:G,5,0)</f>
        <v>14870</v>
      </c>
      <c r="L299" s="52">
        <f t="shared" si="9"/>
        <v>495.66666666666669</v>
      </c>
    </row>
    <row r="300" spans="1:12">
      <c r="A300" t="s">
        <v>114</v>
      </c>
      <c r="B300" t="s">
        <v>349</v>
      </c>
      <c r="C300" t="s">
        <v>456</v>
      </c>
      <c r="D300" s="3" t="s">
        <v>878</v>
      </c>
      <c r="E300" s="10">
        <v>1.6666666666666666E-2</v>
      </c>
      <c r="F300" s="13" t="s">
        <v>176</v>
      </c>
      <c r="G300" s="9">
        <v>270</v>
      </c>
      <c r="H300" s="9">
        <f t="shared" si="8"/>
        <v>4.5</v>
      </c>
      <c r="I300" t="s">
        <v>179</v>
      </c>
      <c r="J300" s="33" t="s">
        <v>428</v>
      </c>
      <c r="K300" s="18">
        <f>VLOOKUP(D300,Ingredients!C:G,5,0)</f>
        <v>1260.55</v>
      </c>
      <c r="L300" s="52">
        <f t="shared" si="9"/>
        <v>21.009166666666665</v>
      </c>
    </row>
    <row r="301" spans="1:12">
      <c r="A301" t="s">
        <v>114</v>
      </c>
      <c r="B301" t="s">
        <v>349</v>
      </c>
      <c r="C301" t="s">
        <v>456</v>
      </c>
      <c r="D301" s="3" t="s">
        <v>886</v>
      </c>
      <c r="E301" s="10">
        <v>1.6666666666666666E-2</v>
      </c>
      <c r="F301" s="13" t="s">
        <v>176</v>
      </c>
      <c r="G301" s="9">
        <v>180</v>
      </c>
      <c r="H301" s="9">
        <f t="shared" si="8"/>
        <v>3</v>
      </c>
      <c r="I301" t="s">
        <v>179</v>
      </c>
      <c r="J301" s="33" t="s">
        <v>428</v>
      </c>
      <c r="K301" s="18">
        <f>VLOOKUP(D301,Ingredients!C:G,5,0)</f>
        <v>180</v>
      </c>
      <c r="L301" s="52">
        <f t="shared" si="9"/>
        <v>3</v>
      </c>
    </row>
    <row r="302" spans="1:12">
      <c r="A302" t="s">
        <v>114</v>
      </c>
      <c r="B302" t="s">
        <v>349</v>
      </c>
      <c r="C302" t="s">
        <v>456</v>
      </c>
      <c r="D302" s="3" t="s">
        <v>855</v>
      </c>
      <c r="E302" s="10">
        <v>2.3333333333333334E-2</v>
      </c>
      <c r="F302" s="13" t="s">
        <v>176</v>
      </c>
      <c r="G302" s="9">
        <v>2400</v>
      </c>
      <c r="H302" s="9">
        <f t="shared" si="8"/>
        <v>56</v>
      </c>
      <c r="I302" t="s">
        <v>179</v>
      </c>
      <c r="J302" s="33" t="s">
        <v>428</v>
      </c>
      <c r="K302" s="18">
        <f>VLOOKUP(D302,Ingredients!C:G,5,0)</f>
        <v>1600</v>
      </c>
      <c r="L302" s="52">
        <f t="shared" si="9"/>
        <v>37.333333333333336</v>
      </c>
    </row>
    <row r="303" spans="1:12">
      <c r="A303" t="s">
        <v>114</v>
      </c>
      <c r="B303" t="s">
        <v>349</v>
      </c>
      <c r="C303" t="s">
        <v>456</v>
      </c>
      <c r="D303" s="3" t="s">
        <v>35</v>
      </c>
      <c r="E303" s="10">
        <v>3.3333333333333333E-2</v>
      </c>
      <c r="F303" s="13" t="s">
        <v>176</v>
      </c>
      <c r="G303" s="9">
        <v>13</v>
      </c>
      <c r="H303" s="9">
        <f t="shared" si="8"/>
        <v>0.43333333333333335</v>
      </c>
      <c r="I303" t="s">
        <v>179</v>
      </c>
      <c r="J303" s="33" t="s">
        <v>428</v>
      </c>
      <c r="K303" s="18">
        <f>VLOOKUP(D303,Ingredients!C:G,5,0)</f>
        <v>15</v>
      </c>
      <c r="L303" s="52">
        <f t="shared" si="9"/>
        <v>0.5</v>
      </c>
    </row>
    <row r="304" spans="1:12">
      <c r="A304" t="s">
        <v>114</v>
      </c>
      <c r="B304" t="s">
        <v>349</v>
      </c>
      <c r="C304" t="s">
        <v>456</v>
      </c>
      <c r="D304" s="3" t="s">
        <v>853</v>
      </c>
      <c r="E304" s="10">
        <v>1.6666666666666666E-2</v>
      </c>
      <c r="F304" s="13" t="s">
        <v>176</v>
      </c>
      <c r="G304" s="9">
        <v>30</v>
      </c>
      <c r="H304" s="9">
        <f t="shared" si="8"/>
        <v>0.5</v>
      </c>
      <c r="I304" t="s">
        <v>179</v>
      </c>
      <c r="J304" s="33" t="s">
        <v>428</v>
      </c>
      <c r="K304" s="18">
        <f>VLOOKUP(D304,Ingredients!C:G,5,0)</f>
        <v>55</v>
      </c>
      <c r="L304" s="52">
        <f t="shared" si="9"/>
        <v>0.91666666666666663</v>
      </c>
    </row>
    <row r="305" spans="1:12">
      <c r="A305" t="s">
        <v>114</v>
      </c>
      <c r="B305" t="s">
        <v>349</v>
      </c>
      <c r="C305" t="s">
        <v>456</v>
      </c>
      <c r="D305" s="3" t="s">
        <v>29</v>
      </c>
      <c r="E305" s="10">
        <v>6.6666666666666666E-2</v>
      </c>
      <c r="F305" s="13" t="s">
        <v>176</v>
      </c>
      <c r="G305" s="9">
        <v>60</v>
      </c>
      <c r="H305" s="9">
        <f t="shared" si="8"/>
        <v>4</v>
      </c>
      <c r="I305" t="s">
        <v>179</v>
      </c>
      <c r="J305" s="33" t="s">
        <v>428</v>
      </c>
      <c r="K305" s="18">
        <f>VLOOKUP(D305,Ingredients!C:G,5,0)</f>
        <v>100</v>
      </c>
      <c r="L305" s="52">
        <f t="shared" si="9"/>
        <v>6.666666666666667</v>
      </c>
    </row>
    <row r="306" spans="1:12">
      <c r="A306" t="s">
        <v>114</v>
      </c>
      <c r="B306" t="s">
        <v>349</v>
      </c>
      <c r="C306" t="s">
        <v>456</v>
      </c>
      <c r="D306" s="3" t="s">
        <v>861</v>
      </c>
      <c r="E306" s="10">
        <v>0.16666666666666669</v>
      </c>
      <c r="F306" s="13" t="s">
        <v>176</v>
      </c>
      <c r="G306" s="9">
        <v>500</v>
      </c>
      <c r="H306" s="9">
        <f t="shared" si="8"/>
        <v>83.333333333333343</v>
      </c>
      <c r="I306" t="s">
        <v>179</v>
      </c>
      <c r="J306" s="33" t="s">
        <v>428</v>
      </c>
      <c r="K306" s="18">
        <f>VLOOKUP(D306,Ingredients!C:G,5,0)</f>
        <v>500</v>
      </c>
      <c r="L306" s="52">
        <f t="shared" si="9"/>
        <v>83.333333333333343</v>
      </c>
    </row>
    <row r="307" spans="1:12">
      <c r="A307" t="s">
        <v>114</v>
      </c>
      <c r="B307" t="s">
        <v>349</v>
      </c>
      <c r="C307" t="s">
        <v>456</v>
      </c>
      <c r="D307" s="3" t="s">
        <v>428</v>
      </c>
      <c r="E307" s="10">
        <v>1</v>
      </c>
      <c r="F307" s="13" t="s">
        <v>176</v>
      </c>
      <c r="G307" s="9">
        <v>1600</v>
      </c>
      <c r="H307" s="9">
        <f t="shared" si="8"/>
        <v>1600</v>
      </c>
      <c r="I307" t="s">
        <v>179</v>
      </c>
      <c r="J307" s="33" t="s">
        <v>428</v>
      </c>
      <c r="K307" s="18">
        <f>VLOOKUP(D307,Ingredients!C:G,5,0)</f>
        <v>1514.78</v>
      </c>
      <c r="L307" s="52">
        <f t="shared" si="9"/>
        <v>1514.78</v>
      </c>
    </row>
    <row r="308" spans="1:12">
      <c r="A308" t="s">
        <v>115</v>
      </c>
      <c r="B308" t="s">
        <v>349</v>
      </c>
      <c r="C308" t="s">
        <v>350</v>
      </c>
      <c r="D308" s="3" t="s">
        <v>863</v>
      </c>
      <c r="E308" s="10">
        <v>2.5000000000000001E-2</v>
      </c>
      <c r="F308" s="13" t="s">
        <v>176</v>
      </c>
      <c r="G308" s="9">
        <v>675</v>
      </c>
      <c r="H308" s="9">
        <f t="shared" si="8"/>
        <v>16.875</v>
      </c>
      <c r="I308" t="s">
        <v>179</v>
      </c>
      <c r="J308" s="33" t="s">
        <v>428</v>
      </c>
      <c r="K308" s="18">
        <f>VLOOKUP(D308,Ingredients!C:G,5,0)</f>
        <v>675</v>
      </c>
      <c r="L308" s="52">
        <f t="shared" si="9"/>
        <v>16.875</v>
      </c>
    </row>
    <row r="309" spans="1:12">
      <c r="A309" t="s">
        <v>115</v>
      </c>
      <c r="B309" t="s">
        <v>349</v>
      </c>
      <c r="C309" t="s">
        <v>350</v>
      </c>
      <c r="D309" s="3" t="s">
        <v>834</v>
      </c>
      <c r="E309" s="10">
        <v>1.2500000000000001E-2</v>
      </c>
      <c r="F309" s="13" t="s">
        <v>176</v>
      </c>
      <c r="G309" s="9">
        <v>515</v>
      </c>
      <c r="H309" s="9">
        <f t="shared" ref="H309:H372" si="10">G309*E309</f>
        <v>6.4375</v>
      </c>
      <c r="I309" t="s">
        <v>179</v>
      </c>
      <c r="J309" s="33" t="s">
        <v>428</v>
      </c>
      <c r="K309" s="18">
        <f>VLOOKUP(D309,Ingredients!C:G,5,0)</f>
        <v>540</v>
      </c>
      <c r="L309" s="52">
        <f t="shared" si="9"/>
        <v>6.75</v>
      </c>
    </row>
    <row r="310" spans="1:12">
      <c r="A310" t="s">
        <v>115</v>
      </c>
      <c r="B310" t="s">
        <v>349</v>
      </c>
      <c r="C310" t="s">
        <v>350</v>
      </c>
      <c r="D310" s="3" t="s">
        <v>853</v>
      </c>
      <c r="E310" s="10">
        <v>1.4999999999999999E-2</v>
      </c>
      <c r="F310" s="13" t="s">
        <v>176</v>
      </c>
      <c r="G310" s="9">
        <v>30</v>
      </c>
      <c r="H310" s="9">
        <f t="shared" si="10"/>
        <v>0.44999999999999996</v>
      </c>
      <c r="I310" t="s">
        <v>179</v>
      </c>
      <c r="J310" s="33" t="s">
        <v>428</v>
      </c>
      <c r="K310" s="18">
        <f>VLOOKUP(D310,Ingredients!C:G,5,0)</f>
        <v>55</v>
      </c>
      <c r="L310" s="52">
        <f t="shared" si="9"/>
        <v>0.82499999999999996</v>
      </c>
    </row>
    <row r="311" spans="1:12">
      <c r="A311" t="s">
        <v>115</v>
      </c>
      <c r="B311" t="s">
        <v>349</v>
      </c>
      <c r="C311" t="s">
        <v>350</v>
      </c>
      <c r="D311" s="3" t="s">
        <v>310</v>
      </c>
      <c r="E311" s="10">
        <v>2.5000000000000001E-2</v>
      </c>
      <c r="F311" s="13" t="s">
        <v>177</v>
      </c>
      <c r="G311" s="9">
        <v>425</v>
      </c>
      <c r="H311" s="9">
        <f t="shared" si="10"/>
        <v>10.625</v>
      </c>
      <c r="I311" t="s">
        <v>179</v>
      </c>
      <c r="J311" s="33" t="s">
        <v>428</v>
      </c>
      <c r="K311" s="18">
        <f>VLOOKUP(D311,Ingredients!C:G,5,0)</f>
        <v>850</v>
      </c>
      <c r="L311" s="52">
        <f t="shared" si="9"/>
        <v>21.25</v>
      </c>
    </row>
    <row r="312" spans="1:12">
      <c r="A312" t="s">
        <v>115</v>
      </c>
      <c r="B312" t="s">
        <v>349</v>
      </c>
      <c r="C312" t="s">
        <v>350</v>
      </c>
      <c r="D312" s="3" t="s">
        <v>23</v>
      </c>
      <c r="E312" s="10">
        <v>1.7500000000000002E-2</v>
      </c>
      <c r="F312" s="13" t="s">
        <v>176</v>
      </c>
      <c r="G312" s="9">
        <v>740</v>
      </c>
      <c r="H312" s="9">
        <f t="shared" si="10"/>
        <v>12.950000000000001</v>
      </c>
      <c r="I312" t="s">
        <v>179</v>
      </c>
      <c r="J312" s="33" t="s">
        <v>428</v>
      </c>
      <c r="K312" s="18">
        <f>VLOOKUP(D312,Ingredients!C:G,5,0)</f>
        <v>780</v>
      </c>
      <c r="L312" s="52">
        <f t="shared" si="9"/>
        <v>13.650000000000002</v>
      </c>
    </row>
    <row r="313" spans="1:12">
      <c r="A313" t="s">
        <v>115</v>
      </c>
      <c r="B313" t="s">
        <v>349</v>
      </c>
      <c r="C313" t="s">
        <v>350</v>
      </c>
      <c r="D313" s="3" t="s">
        <v>16</v>
      </c>
      <c r="E313" s="10">
        <v>1.7500000000000002E-2</v>
      </c>
      <c r="F313" s="13" t="s">
        <v>176</v>
      </c>
      <c r="G313" s="9">
        <v>270</v>
      </c>
      <c r="H313" s="9">
        <f t="shared" si="10"/>
        <v>4.7250000000000005</v>
      </c>
      <c r="I313" t="s">
        <v>179</v>
      </c>
      <c r="J313" s="33" t="s">
        <v>428</v>
      </c>
      <c r="K313" s="18">
        <f>VLOOKUP(D313,Ingredients!C:G,5,0)</f>
        <v>310</v>
      </c>
      <c r="L313" s="52">
        <f t="shared" si="9"/>
        <v>5.4250000000000007</v>
      </c>
    </row>
    <row r="314" spans="1:12">
      <c r="A314" t="s">
        <v>115</v>
      </c>
      <c r="B314" t="s">
        <v>349</v>
      </c>
      <c r="C314" t="s">
        <v>350</v>
      </c>
      <c r="D314" s="3" t="s">
        <v>32</v>
      </c>
      <c r="E314" s="10">
        <v>2.5000000000000001E-2</v>
      </c>
      <c r="F314" s="13" t="s">
        <v>176</v>
      </c>
      <c r="G314" s="9">
        <v>154.99</v>
      </c>
      <c r="H314" s="9">
        <f t="shared" si="10"/>
        <v>3.8747500000000006</v>
      </c>
      <c r="I314" t="s">
        <v>179</v>
      </c>
      <c r="J314" s="33" t="s">
        <v>428</v>
      </c>
      <c r="K314" s="18">
        <f>VLOOKUP(D314,Ingredients!C:G,5,0)</f>
        <v>14870</v>
      </c>
      <c r="L314" s="52">
        <f t="shared" si="9"/>
        <v>371.75</v>
      </c>
    </row>
    <row r="315" spans="1:12">
      <c r="A315" t="s">
        <v>115</v>
      </c>
      <c r="B315" t="s">
        <v>349</v>
      </c>
      <c r="C315" t="s">
        <v>350</v>
      </c>
      <c r="D315" s="3" t="s">
        <v>55</v>
      </c>
      <c r="E315" s="10">
        <v>1.7500000000000002E-2</v>
      </c>
      <c r="F315" s="13" t="s">
        <v>176</v>
      </c>
      <c r="G315" s="9">
        <v>350</v>
      </c>
      <c r="H315" s="9">
        <f t="shared" si="10"/>
        <v>6.1250000000000009</v>
      </c>
      <c r="I315" t="s">
        <v>179</v>
      </c>
      <c r="J315" s="33" t="s">
        <v>428</v>
      </c>
      <c r="K315" s="18">
        <f>VLOOKUP(D315,Ingredients!C:G,5,0)</f>
        <v>457.875</v>
      </c>
      <c r="L315" s="52">
        <f t="shared" si="9"/>
        <v>8.0128125000000008</v>
      </c>
    </row>
    <row r="316" spans="1:12">
      <c r="A316" t="s">
        <v>115</v>
      </c>
      <c r="B316" t="s">
        <v>349</v>
      </c>
      <c r="C316" t="s">
        <v>350</v>
      </c>
      <c r="D316" s="3" t="s">
        <v>35</v>
      </c>
      <c r="E316" s="10">
        <v>2.5000000000000001E-2</v>
      </c>
      <c r="F316" s="13" t="s">
        <v>176</v>
      </c>
      <c r="G316" s="9">
        <v>13</v>
      </c>
      <c r="H316" s="9">
        <f t="shared" si="10"/>
        <v>0.32500000000000001</v>
      </c>
      <c r="I316" t="s">
        <v>179</v>
      </c>
      <c r="J316" s="33" t="s">
        <v>428</v>
      </c>
      <c r="K316" s="18">
        <f>VLOOKUP(D316,Ingredients!C:G,5,0)</f>
        <v>15</v>
      </c>
      <c r="L316" s="52">
        <f t="shared" si="9"/>
        <v>0.375</v>
      </c>
    </row>
    <row r="317" spans="1:12">
      <c r="A317" t="s">
        <v>115</v>
      </c>
      <c r="B317" t="s">
        <v>349</v>
      </c>
      <c r="C317" t="s">
        <v>350</v>
      </c>
      <c r="D317" s="3" t="s">
        <v>855</v>
      </c>
      <c r="E317" s="10">
        <v>1.7500000000000002E-2</v>
      </c>
      <c r="F317" s="13" t="s">
        <v>176</v>
      </c>
      <c r="G317" s="9">
        <v>2400</v>
      </c>
      <c r="H317" s="9">
        <f t="shared" si="10"/>
        <v>42.000000000000007</v>
      </c>
      <c r="I317" t="s">
        <v>179</v>
      </c>
      <c r="J317" s="33" t="s">
        <v>428</v>
      </c>
      <c r="K317" s="18">
        <f>VLOOKUP(D317,Ingredients!C:G,5,0)</f>
        <v>1600</v>
      </c>
      <c r="L317" s="52">
        <f t="shared" si="9"/>
        <v>28.000000000000004</v>
      </c>
    </row>
    <row r="318" spans="1:12">
      <c r="A318" t="s">
        <v>115</v>
      </c>
      <c r="B318" t="s">
        <v>349</v>
      </c>
      <c r="C318" t="s">
        <v>350</v>
      </c>
      <c r="D318" s="3" t="s">
        <v>867</v>
      </c>
      <c r="E318" s="10">
        <v>1.2500000000000001E-2</v>
      </c>
      <c r="F318" s="13" t="s">
        <v>176</v>
      </c>
      <c r="G318" s="9">
        <v>900</v>
      </c>
      <c r="H318" s="9">
        <f t="shared" si="10"/>
        <v>11.25</v>
      </c>
      <c r="I318" t="s">
        <v>179</v>
      </c>
      <c r="J318" s="33" t="s">
        <v>428</v>
      </c>
      <c r="K318" s="18">
        <f>VLOOKUP(D318,Ingredients!C:G,5,0)</f>
        <v>950</v>
      </c>
      <c r="L318" s="52">
        <f t="shared" si="9"/>
        <v>11.875</v>
      </c>
    </row>
    <row r="319" spans="1:12">
      <c r="A319" t="s">
        <v>115</v>
      </c>
      <c r="B319" t="s">
        <v>349</v>
      </c>
      <c r="C319" t="s">
        <v>350</v>
      </c>
      <c r="D319" s="3" t="s">
        <v>428</v>
      </c>
      <c r="E319" s="10">
        <v>1</v>
      </c>
      <c r="F319" s="13" t="s">
        <v>176</v>
      </c>
      <c r="G319" s="9">
        <v>1600</v>
      </c>
      <c r="H319" s="9">
        <f t="shared" si="10"/>
        <v>1600</v>
      </c>
      <c r="I319" t="s">
        <v>179</v>
      </c>
      <c r="J319" s="33" t="s">
        <v>428</v>
      </c>
      <c r="K319" s="18">
        <f>VLOOKUP(D319,Ingredients!C:G,5,0)</f>
        <v>1514.78</v>
      </c>
      <c r="L319" s="52">
        <f t="shared" si="9"/>
        <v>1514.78</v>
      </c>
    </row>
    <row r="320" spans="1:12">
      <c r="A320" t="s">
        <v>116</v>
      </c>
      <c r="B320" t="s">
        <v>348</v>
      </c>
      <c r="C320" t="s">
        <v>116</v>
      </c>
      <c r="D320" s="3" t="s">
        <v>853</v>
      </c>
      <c r="E320" s="10">
        <v>0.01</v>
      </c>
      <c r="F320" s="13" t="s">
        <v>176</v>
      </c>
      <c r="G320" s="9">
        <v>30</v>
      </c>
      <c r="H320" s="9">
        <f t="shared" si="10"/>
        <v>0.3</v>
      </c>
      <c r="I320" t="s">
        <v>179</v>
      </c>
      <c r="J320" s="33">
        <v>0</v>
      </c>
      <c r="K320" s="18">
        <f>VLOOKUP(D320,Ingredients!C:G,5,0)</f>
        <v>55</v>
      </c>
      <c r="L320" s="52">
        <f t="shared" si="9"/>
        <v>0.55000000000000004</v>
      </c>
    </row>
    <row r="321" spans="1:12">
      <c r="A321" t="s">
        <v>116</v>
      </c>
      <c r="B321" t="s">
        <v>348</v>
      </c>
      <c r="C321" t="s">
        <v>116</v>
      </c>
      <c r="D321" s="3" t="s">
        <v>171</v>
      </c>
      <c r="E321" s="10">
        <v>1</v>
      </c>
      <c r="F321" s="13" t="s">
        <v>176</v>
      </c>
      <c r="G321" s="9">
        <v>65</v>
      </c>
      <c r="H321" s="9">
        <f t="shared" si="10"/>
        <v>65</v>
      </c>
      <c r="I321" t="s">
        <v>179</v>
      </c>
      <c r="J321" s="33">
        <v>0</v>
      </c>
      <c r="K321" s="18">
        <f>VLOOKUP(D321,Ingredients!C:G,5,0)</f>
        <v>80</v>
      </c>
      <c r="L321" s="52">
        <f t="shared" si="9"/>
        <v>80</v>
      </c>
    </row>
    <row r="322" spans="1:12">
      <c r="A322" t="s">
        <v>116</v>
      </c>
      <c r="B322" t="s">
        <v>348</v>
      </c>
      <c r="C322" t="s">
        <v>116</v>
      </c>
      <c r="D322" s="3" t="s">
        <v>852</v>
      </c>
      <c r="E322" s="10">
        <v>0.2</v>
      </c>
      <c r="F322" s="13" t="s">
        <v>176</v>
      </c>
      <c r="G322" s="9">
        <v>520.63</v>
      </c>
      <c r="H322" s="9">
        <f t="shared" si="10"/>
        <v>104.126</v>
      </c>
      <c r="I322" t="s">
        <v>179</v>
      </c>
      <c r="J322" s="33">
        <v>0</v>
      </c>
      <c r="K322" s="18">
        <v>550</v>
      </c>
      <c r="L322" s="52">
        <f t="shared" si="9"/>
        <v>110</v>
      </c>
    </row>
    <row r="323" spans="1:12">
      <c r="A323" t="s">
        <v>117</v>
      </c>
      <c r="B323" t="s">
        <v>349</v>
      </c>
      <c r="C323" t="s">
        <v>351</v>
      </c>
      <c r="D323" s="3" t="s">
        <v>853</v>
      </c>
      <c r="E323" s="10">
        <v>1.4285714285714287E-2</v>
      </c>
      <c r="F323" s="13" t="s">
        <v>176</v>
      </c>
      <c r="G323" s="9">
        <v>30</v>
      </c>
      <c r="H323" s="9">
        <f t="shared" si="10"/>
        <v>0.4285714285714286</v>
      </c>
      <c r="I323" t="s">
        <v>179</v>
      </c>
      <c r="J323" s="33" t="s">
        <v>428</v>
      </c>
      <c r="K323" s="18">
        <f>VLOOKUP(D323,Ingredients!C:G,5,0)</f>
        <v>55</v>
      </c>
      <c r="L323" s="52">
        <f t="shared" si="9"/>
        <v>0.78571428571428581</v>
      </c>
    </row>
    <row r="324" spans="1:12">
      <c r="A324" t="s">
        <v>117</v>
      </c>
      <c r="B324" t="s">
        <v>349</v>
      </c>
      <c r="C324" t="s">
        <v>351</v>
      </c>
      <c r="D324" s="3" t="s">
        <v>870</v>
      </c>
      <c r="E324" s="10">
        <v>0.1142857142857143</v>
      </c>
      <c r="F324" s="13" t="s">
        <v>176</v>
      </c>
      <c r="G324" s="9">
        <v>440</v>
      </c>
      <c r="H324" s="9">
        <f t="shared" si="10"/>
        <v>50.285714285714292</v>
      </c>
      <c r="I324" t="s">
        <v>179</v>
      </c>
      <c r="J324" s="33" t="s">
        <v>428</v>
      </c>
      <c r="K324" s="18">
        <f>VLOOKUP(D324,Ingredients!C:G,5,0)</f>
        <v>450</v>
      </c>
      <c r="L324" s="52">
        <f t="shared" ref="L324:L387" si="11">K324*E324</f>
        <v>51.428571428571431</v>
      </c>
    </row>
    <row r="325" spans="1:12">
      <c r="A325" t="s">
        <v>117</v>
      </c>
      <c r="B325" t="s">
        <v>349</v>
      </c>
      <c r="C325" t="s">
        <v>351</v>
      </c>
      <c r="D325" s="3" t="s">
        <v>855</v>
      </c>
      <c r="E325" s="10">
        <v>1.1428571428571429E-2</v>
      </c>
      <c r="F325" s="13" t="s">
        <v>176</v>
      </c>
      <c r="G325" s="9">
        <v>2400</v>
      </c>
      <c r="H325" s="9">
        <f t="shared" si="10"/>
        <v>27.428571428571427</v>
      </c>
      <c r="I325" t="s">
        <v>179</v>
      </c>
      <c r="J325" s="33" t="s">
        <v>428</v>
      </c>
      <c r="K325" s="18">
        <f>VLOOKUP(D325,Ingredients!C:G,5,0)</f>
        <v>1600</v>
      </c>
      <c r="L325" s="52">
        <f t="shared" si="11"/>
        <v>18.285714285714285</v>
      </c>
    </row>
    <row r="326" spans="1:12">
      <c r="A326" t="s">
        <v>117</v>
      </c>
      <c r="B326" t="s">
        <v>349</v>
      </c>
      <c r="C326" t="s">
        <v>351</v>
      </c>
      <c r="D326" s="3" t="s">
        <v>849</v>
      </c>
      <c r="E326" s="10">
        <v>1.4285714285714287E-2</v>
      </c>
      <c r="F326" s="13" t="s">
        <v>176</v>
      </c>
      <c r="G326" s="9">
        <v>1000</v>
      </c>
      <c r="H326" s="9">
        <f t="shared" si="10"/>
        <v>14.285714285714286</v>
      </c>
      <c r="I326" t="s">
        <v>179</v>
      </c>
      <c r="J326" s="33" t="s">
        <v>428</v>
      </c>
      <c r="K326" s="18">
        <f>VLOOKUP(D326,Ingredients!C:G,5,0)</f>
        <v>950</v>
      </c>
      <c r="L326" s="52">
        <f t="shared" si="11"/>
        <v>13.571428571428573</v>
      </c>
    </row>
    <row r="327" spans="1:12">
      <c r="A327" t="s">
        <v>117</v>
      </c>
      <c r="B327" t="s">
        <v>349</v>
      </c>
      <c r="C327" t="s">
        <v>351</v>
      </c>
      <c r="D327" s="3" t="s">
        <v>867</v>
      </c>
      <c r="E327" s="10">
        <v>1.4285714285714287E-2</v>
      </c>
      <c r="F327" s="13" t="s">
        <v>176</v>
      </c>
      <c r="G327" s="9">
        <v>900</v>
      </c>
      <c r="H327" s="9">
        <f t="shared" si="10"/>
        <v>12.857142857142858</v>
      </c>
      <c r="I327" t="s">
        <v>179</v>
      </c>
      <c r="J327" s="33" t="s">
        <v>428</v>
      </c>
      <c r="K327" s="18">
        <f>VLOOKUP(D327,Ingredients!C:G,5,0)</f>
        <v>950</v>
      </c>
      <c r="L327" s="52">
        <f t="shared" si="11"/>
        <v>13.571428571428573</v>
      </c>
    </row>
    <row r="328" spans="1:12">
      <c r="A328" t="s">
        <v>117</v>
      </c>
      <c r="B328" t="s">
        <v>349</v>
      </c>
      <c r="C328" t="s">
        <v>351</v>
      </c>
      <c r="D328" s="3" t="s">
        <v>854</v>
      </c>
      <c r="E328" s="10">
        <v>2.8571428571428572</v>
      </c>
      <c r="F328" s="13" t="s">
        <v>173</v>
      </c>
      <c r="G328" s="9">
        <v>24.64</v>
      </c>
      <c r="H328" s="9">
        <f t="shared" si="10"/>
        <v>70.400000000000006</v>
      </c>
      <c r="I328" t="s">
        <v>179</v>
      </c>
      <c r="J328" s="33" t="s">
        <v>428</v>
      </c>
      <c r="K328" s="18">
        <f>VLOOKUP(D328,Ingredients!C:G,5,0)</f>
        <v>20.059999999999999</v>
      </c>
      <c r="L328" s="52">
        <f t="shared" si="11"/>
        <v>57.31428571428571</v>
      </c>
    </row>
    <row r="329" spans="1:12">
      <c r="A329" t="s">
        <v>117</v>
      </c>
      <c r="B329" t="s">
        <v>349</v>
      </c>
      <c r="C329" t="s">
        <v>351</v>
      </c>
      <c r="D329" s="3" t="s">
        <v>23</v>
      </c>
      <c r="E329" s="10">
        <v>4.2857142857142858E-2</v>
      </c>
      <c r="F329" s="13" t="s">
        <v>176</v>
      </c>
      <c r="G329" s="9">
        <v>740</v>
      </c>
      <c r="H329" s="9">
        <f t="shared" si="10"/>
        <v>31.714285714285715</v>
      </c>
      <c r="I329" t="s">
        <v>179</v>
      </c>
      <c r="J329" s="33" t="s">
        <v>428</v>
      </c>
      <c r="K329" s="18">
        <f>VLOOKUP(D329,Ingredients!C:G,5,0)</f>
        <v>780</v>
      </c>
      <c r="L329" s="52">
        <f t="shared" si="11"/>
        <v>33.428571428571431</v>
      </c>
    </row>
    <row r="330" spans="1:12">
      <c r="A330" t="s">
        <v>117</v>
      </c>
      <c r="B330" t="s">
        <v>349</v>
      </c>
      <c r="C330" t="s">
        <v>351</v>
      </c>
      <c r="D330" s="3" t="s">
        <v>16</v>
      </c>
      <c r="E330" s="10">
        <v>4.2857142857142858E-2</v>
      </c>
      <c r="F330" s="13" t="s">
        <v>176</v>
      </c>
      <c r="G330" s="9">
        <v>270</v>
      </c>
      <c r="H330" s="9">
        <f t="shared" si="10"/>
        <v>11.571428571428571</v>
      </c>
      <c r="I330" t="s">
        <v>179</v>
      </c>
      <c r="J330" s="33" t="s">
        <v>428</v>
      </c>
      <c r="K330" s="18">
        <f>VLOOKUP(D330,Ingredients!C:G,5,0)</f>
        <v>310</v>
      </c>
      <c r="L330" s="52">
        <f t="shared" si="11"/>
        <v>13.285714285714286</v>
      </c>
    </row>
    <row r="331" spans="1:12">
      <c r="A331" t="s">
        <v>117</v>
      </c>
      <c r="B331" t="s">
        <v>349</v>
      </c>
      <c r="C331" t="s">
        <v>351</v>
      </c>
      <c r="D331" s="3" t="s">
        <v>310</v>
      </c>
      <c r="E331" s="10">
        <v>0.1142857142857143</v>
      </c>
      <c r="F331" s="13" t="s">
        <v>177</v>
      </c>
      <c r="G331" s="9">
        <v>425</v>
      </c>
      <c r="H331" s="9">
        <f t="shared" si="10"/>
        <v>48.571428571428577</v>
      </c>
      <c r="I331" t="s">
        <v>179</v>
      </c>
      <c r="J331" s="33" t="s">
        <v>428</v>
      </c>
      <c r="K331" s="18">
        <f>VLOOKUP(D331,Ingredients!C:G,5,0)</f>
        <v>850</v>
      </c>
      <c r="L331" s="52">
        <f t="shared" si="11"/>
        <v>97.142857142857153</v>
      </c>
    </row>
    <row r="332" spans="1:12">
      <c r="A332" t="s">
        <v>117</v>
      </c>
      <c r="B332" t="s">
        <v>349</v>
      </c>
      <c r="C332" t="s">
        <v>351</v>
      </c>
      <c r="D332" s="3" t="s">
        <v>866</v>
      </c>
      <c r="E332" s="10">
        <v>4.2857142857142858E-2</v>
      </c>
      <c r="F332" s="13" t="s">
        <v>176</v>
      </c>
      <c r="G332" s="9">
        <v>153.97999999999999</v>
      </c>
      <c r="H332" s="9">
        <f t="shared" si="10"/>
        <v>6.5991428571428568</v>
      </c>
      <c r="I332" t="s">
        <v>179</v>
      </c>
      <c r="J332" s="33" t="s">
        <v>428</v>
      </c>
      <c r="K332" s="18">
        <f>VLOOKUP(D332,Ingredients!C:G,5,0)</f>
        <v>142.13999999999999</v>
      </c>
      <c r="L332" s="52">
        <f t="shared" si="11"/>
        <v>6.0917142857142847</v>
      </c>
    </row>
    <row r="333" spans="1:12">
      <c r="A333" t="s">
        <v>117</v>
      </c>
      <c r="B333" t="s">
        <v>349</v>
      </c>
      <c r="C333" t="s">
        <v>351</v>
      </c>
      <c r="D333" s="3" t="s">
        <v>835</v>
      </c>
      <c r="E333" s="10">
        <v>0.1142857142857143</v>
      </c>
      <c r="F333" s="13" t="s">
        <v>176</v>
      </c>
      <c r="G333" s="9">
        <v>389.34</v>
      </c>
      <c r="H333" s="9">
        <f t="shared" si="10"/>
        <v>44.496000000000002</v>
      </c>
      <c r="I333" t="s">
        <v>179</v>
      </c>
      <c r="J333" s="33" t="s">
        <v>428</v>
      </c>
      <c r="K333" s="18">
        <f>VLOOKUP(D333,Ingredients!C:G,5,0)</f>
        <v>394.63</v>
      </c>
      <c r="L333" s="52">
        <f t="shared" si="11"/>
        <v>45.100571428571435</v>
      </c>
    </row>
    <row r="334" spans="1:12">
      <c r="A334" t="s">
        <v>117</v>
      </c>
      <c r="B334" t="s">
        <v>349</v>
      </c>
      <c r="C334" t="s">
        <v>351</v>
      </c>
      <c r="D334" s="3" t="s">
        <v>428</v>
      </c>
      <c r="E334" s="10">
        <v>1</v>
      </c>
      <c r="F334" s="13" t="s">
        <v>176</v>
      </c>
      <c r="G334" s="9">
        <v>1600</v>
      </c>
      <c r="H334" s="9">
        <f t="shared" si="10"/>
        <v>1600</v>
      </c>
      <c r="I334" t="s">
        <v>179</v>
      </c>
      <c r="J334" s="33" t="s">
        <v>428</v>
      </c>
      <c r="K334" s="18">
        <f>VLOOKUP(D334,Ingredients!C:G,5,0)</f>
        <v>1514.78</v>
      </c>
      <c r="L334" s="52">
        <f t="shared" si="11"/>
        <v>1514.78</v>
      </c>
    </row>
    <row r="335" spans="1:12">
      <c r="A335" t="s">
        <v>123</v>
      </c>
      <c r="B335" t="s">
        <v>347</v>
      </c>
      <c r="C335" t="s">
        <v>354</v>
      </c>
      <c r="D335" s="3" t="s">
        <v>830</v>
      </c>
      <c r="E335" s="10">
        <v>2E-3</v>
      </c>
      <c r="F335" s="13" t="s">
        <v>176</v>
      </c>
      <c r="G335" s="9">
        <v>149</v>
      </c>
      <c r="H335" s="9">
        <f t="shared" si="10"/>
        <v>0.29799999999999999</v>
      </c>
      <c r="I335" t="s">
        <v>486</v>
      </c>
      <c r="J335" s="33">
        <v>0</v>
      </c>
      <c r="K335" s="18">
        <f>VLOOKUP(D335,Ingredients!C:G,5,0)</f>
        <v>123</v>
      </c>
      <c r="L335" s="52">
        <f t="shared" si="11"/>
        <v>0.246</v>
      </c>
    </row>
    <row r="336" spans="1:12">
      <c r="A336" t="s">
        <v>123</v>
      </c>
      <c r="B336" t="s">
        <v>347</v>
      </c>
      <c r="C336" t="s">
        <v>354</v>
      </c>
      <c r="D336" s="3" t="s">
        <v>853</v>
      </c>
      <c r="E336" s="10">
        <v>2E-3</v>
      </c>
      <c r="F336" s="13" t="s">
        <v>176</v>
      </c>
      <c r="G336" s="9">
        <v>30</v>
      </c>
      <c r="H336" s="9">
        <f t="shared" si="10"/>
        <v>0.06</v>
      </c>
      <c r="I336" t="s">
        <v>486</v>
      </c>
      <c r="J336" s="33">
        <v>0</v>
      </c>
      <c r="K336" s="18">
        <f>VLOOKUP(D336,Ingredients!C:G,5,0)</f>
        <v>55</v>
      </c>
      <c r="L336" s="52">
        <f t="shared" si="11"/>
        <v>0.11</v>
      </c>
    </row>
    <row r="337" spans="1:12">
      <c r="A337" t="s">
        <v>123</v>
      </c>
      <c r="B337" t="s">
        <v>347</v>
      </c>
      <c r="C337" t="s">
        <v>354</v>
      </c>
      <c r="D337" s="3" t="s">
        <v>839</v>
      </c>
      <c r="E337" s="10">
        <v>5.0000000000000001E-3</v>
      </c>
      <c r="F337" s="13" t="s">
        <v>177</v>
      </c>
      <c r="G337" s="9">
        <v>1100</v>
      </c>
      <c r="H337" s="9">
        <f t="shared" si="10"/>
        <v>5.5</v>
      </c>
      <c r="I337" t="s">
        <v>486</v>
      </c>
      <c r="J337" s="33">
        <v>0</v>
      </c>
      <c r="K337" s="18">
        <f>VLOOKUP(D337,Ingredients!C:G,5,0)</f>
        <v>1100</v>
      </c>
      <c r="L337" s="52">
        <f t="shared" si="11"/>
        <v>5.5</v>
      </c>
    </row>
    <row r="338" spans="1:12">
      <c r="A338" t="s">
        <v>123</v>
      </c>
      <c r="B338" t="s">
        <v>347</v>
      </c>
      <c r="C338" t="s">
        <v>354</v>
      </c>
      <c r="D338" s="3" t="s">
        <v>863</v>
      </c>
      <c r="E338" s="10">
        <v>5.0000000000000001E-3</v>
      </c>
      <c r="F338" s="13" t="s">
        <v>176</v>
      </c>
      <c r="G338" s="9">
        <v>675</v>
      </c>
      <c r="H338" s="9">
        <f t="shared" si="10"/>
        <v>3.375</v>
      </c>
      <c r="I338" t="s">
        <v>486</v>
      </c>
      <c r="J338" s="33">
        <v>0</v>
      </c>
      <c r="K338" s="18">
        <f>VLOOKUP(D338,Ingredients!C:G,5,0)</f>
        <v>675</v>
      </c>
      <c r="L338" s="52">
        <f t="shared" si="11"/>
        <v>3.375</v>
      </c>
    </row>
    <row r="339" spans="1:12">
      <c r="A339" t="s">
        <v>123</v>
      </c>
      <c r="B339" t="s">
        <v>347</v>
      </c>
      <c r="C339" t="s">
        <v>354</v>
      </c>
      <c r="D339" s="3" t="s">
        <v>121</v>
      </c>
      <c r="E339" s="10">
        <v>0.05</v>
      </c>
      <c r="F339" s="13" t="s">
        <v>173</v>
      </c>
      <c r="G339" s="9">
        <v>190</v>
      </c>
      <c r="H339" s="9">
        <f t="shared" si="10"/>
        <v>9.5</v>
      </c>
      <c r="I339" t="s">
        <v>486</v>
      </c>
      <c r="J339" s="33">
        <v>0</v>
      </c>
      <c r="K339" s="18">
        <f>VLOOKUP(D339,Ingredients!C:G,5,0)</f>
        <v>190</v>
      </c>
      <c r="L339" s="52">
        <f t="shared" si="11"/>
        <v>9.5</v>
      </c>
    </row>
    <row r="340" spans="1:12">
      <c r="A340" t="s">
        <v>123</v>
      </c>
      <c r="B340" t="s">
        <v>347</v>
      </c>
      <c r="C340" t="s">
        <v>354</v>
      </c>
      <c r="D340" s="3" t="s">
        <v>15</v>
      </c>
      <c r="E340" s="10">
        <v>2E-3</v>
      </c>
      <c r="F340" s="13" t="s">
        <v>176</v>
      </c>
      <c r="G340" s="9">
        <v>130</v>
      </c>
      <c r="H340" s="9">
        <f t="shared" si="10"/>
        <v>0.26</v>
      </c>
      <c r="I340" t="s">
        <v>486</v>
      </c>
      <c r="J340" s="33">
        <v>0</v>
      </c>
      <c r="K340" s="18">
        <f>VLOOKUP(D340,Ingredients!C:G,5,0)</f>
        <v>90</v>
      </c>
      <c r="L340" s="52">
        <f t="shared" si="11"/>
        <v>0.18</v>
      </c>
    </row>
    <row r="341" spans="1:12">
      <c r="A341" t="s">
        <v>123</v>
      </c>
      <c r="B341" t="s">
        <v>347</v>
      </c>
      <c r="C341" t="s">
        <v>354</v>
      </c>
      <c r="D341" s="3" t="s">
        <v>94</v>
      </c>
      <c r="E341" s="10">
        <v>2E-3</v>
      </c>
      <c r="F341" s="13" t="s">
        <v>176</v>
      </c>
      <c r="G341" s="9">
        <v>90</v>
      </c>
      <c r="H341" s="9">
        <f t="shared" si="10"/>
        <v>0.18</v>
      </c>
      <c r="I341" t="s">
        <v>486</v>
      </c>
      <c r="J341" s="33">
        <v>0</v>
      </c>
      <c r="K341" s="18">
        <f>VLOOKUP(D341,Ingredients!C:G,5,0)</f>
        <v>40</v>
      </c>
      <c r="L341" s="52">
        <f t="shared" si="11"/>
        <v>0.08</v>
      </c>
    </row>
    <row r="342" spans="1:12">
      <c r="A342" t="s">
        <v>123</v>
      </c>
      <c r="B342" t="s">
        <v>347</v>
      </c>
      <c r="C342" t="s">
        <v>354</v>
      </c>
      <c r="D342" s="3" t="s">
        <v>854</v>
      </c>
      <c r="E342" s="10">
        <v>1</v>
      </c>
      <c r="F342" s="13" t="s">
        <v>173</v>
      </c>
      <c r="G342" s="9">
        <v>24.64</v>
      </c>
      <c r="H342" s="9">
        <f t="shared" si="10"/>
        <v>24.64</v>
      </c>
      <c r="I342" t="s">
        <v>486</v>
      </c>
      <c r="J342" s="33">
        <v>0</v>
      </c>
      <c r="K342" s="18">
        <f>VLOOKUP(D342,Ingredients!C:G,5,0)</f>
        <v>20.059999999999999</v>
      </c>
      <c r="L342" s="52">
        <f t="shared" si="11"/>
        <v>20.059999999999999</v>
      </c>
    </row>
    <row r="343" spans="1:12">
      <c r="A343" t="s">
        <v>342</v>
      </c>
      <c r="B343" t="s">
        <v>349</v>
      </c>
      <c r="C343" t="s">
        <v>350</v>
      </c>
      <c r="D343" s="3" t="s">
        <v>836</v>
      </c>
      <c r="E343" s="10">
        <v>0.8</v>
      </c>
      <c r="F343" s="7" t="s">
        <v>179</v>
      </c>
      <c r="G343" s="9">
        <v>1957.5</v>
      </c>
      <c r="H343" s="9">
        <f t="shared" si="10"/>
        <v>1566</v>
      </c>
      <c r="I343" t="s">
        <v>179</v>
      </c>
      <c r="J343" s="33" t="s">
        <v>504</v>
      </c>
      <c r="K343" s="18">
        <f>VLOOKUP(D343,Ingredients!C:G,5,0)</f>
        <v>2200</v>
      </c>
      <c r="L343" s="52">
        <f t="shared" si="11"/>
        <v>1760</v>
      </c>
    </row>
    <row r="344" spans="1:12">
      <c r="A344" t="s">
        <v>342</v>
      </c>
      <c r="B344" t="s">
        <v>349</v>
      </c>
      <c r="C344" t="s">
        <v>350</v>
      </c>
      <c r="D344" s="3" t="s">
        <v>831</v>
      </c>
      <c r="E344" s="10">
        <v>0.2</v>
      </c>
      <c r="F344" s="7" t="s">
        <v>179</v>
      </c>
      <c r="G344" s="9">
        <v>908</v>
      </c>
      <c r="H344" s="9">
        <f t="shared" si="10"/>
        <v>181.60000000000002</v>
      </c>
      <c r="I344" t="s">
        <v>179</v>
      </c>
      <c r="J344" s="33" t="s">
        <v>504</v>
      </c>
      <c r="K344" s="18">
        <f>VLOOKUP(D344,Ingredients!C:G,5,0)</f>
        <v>908</v>
      </c>
      <c r="L344" s="52">
        <f t="shared" si="11"/>
        <v>181.60000000000002</v>
      </c>
    </row>
    <row r="345" spans="1:12">
      <c r="A345" t="s">
        <v>342</v>
      </c>
      <c r="B345" t="s">
        <v>349</v>
      </c>
      <c r="C345" t="s">
        <v>350</v>
      </c>
      <c r="D345" s="3" t="s">
        <v>861</v>
      </c>
      <c r="E345" s="10">
        <v>0.2</v>
      </c>
      <c r="F345" s="7" t="s">
        <v>179</v>
      </c>
      <c r="G345" s="9">
        <v>500</v>
      </c>
      <c r="H345" s="9">
        <f t="shared" si="10"/>
        <v>100</v>
      </c>
      <c r="I345" t="s">
        <v>179</v>
      </c>
      <c r="J345" s="33" t="s">
        <v>504</v>
      </c>
      <c r="K345" s="18">
        <f>VLOOKUP(D345,Ingredients!C:G,5,0)</f>
        <v>500</v>
      </c>
      <c r="L345" s="52">
        <f t="shared" si="11"/>
        <v>100</v>
      </c>
    </row>
    <row r="346" spans="1:12">
      <c r="A346" t="s">
        <v>342</v>
      </c>
      <c r="B346" t="s">
        <v>349</v>
      </c>
      <c r="C346" t="s">
        <v>350</v>
      </c>
      <c r="D346" s="3" t="s">
        <v>24</v>
      </c>
      <c r="E346" s="10">
        <v>0.30000000000000004</v>
      </c>
      <c r="F346" s="7" t="s">
        <v>179</v>
      </c>
      <c r="G346" s="9">
        <v>55</v>
      </c>
      <c r="H346" s="9">
        <f t="shared" si="10"/>
        <v>16.500000000000004</v>
      </c>
      <c r="I346" t="s">
        <v>179</v>
      </c>
      <c r="J346" s="33" t="s">
        <v>504</v>
      </c>
      <c r="K346" s="18">
        <f>VLOOKUP(D346,Ingredients!C:G,5,0)</f>
        <v>80</v>
      </c>
      <c r="L346" s="52">
        <f t="shared" si="11"/>
        <v>24.000000000000004</v>
      </c>
    </row>
    <row r="347" spans="1:12">
      <c r="A347" t="s">
        <v>342</v>
      </c>
      <c r="B347" t="s">
        <v>349</v>
      </c>
      <c r="C347" t="s">
        <v>350</v>
      </c>
      <c r="D347" s="3" t="s">
        <v>29</v>
      </c>
      <c r="E347" s="10">
        <v>8.0000000000000016E-2</v>
      </c>
      <c r="F347" s="7" t="s">
        <v>179</v>
      </c>
      <c r="G347" s="9">
        <v>60</v>
      </c>
      <c r="H347" s="9">
        <f t="shared" si="10"/>
        <v>4.8000000000000007</v>
      </c>
      <c r="I347" t="s">
        <v>179</v>
      </c>
      <c r="J347" s="33" t="s">
        <v>504</v>
      </c>
      <c r="K347" s="18">
        <f>VLOOKUP(D347,Ingredients!C:G,5,0)</f>
        <v>100</v>
      </c>
      <c r="L347" s="52">
        <f t="shared" si="11"/>
        <v>8.0000000000000018</v>
      </c>
    </row>
    <row r="348" spans="1:12">
      <c r="A348" t="s">
        <v>342</v>
      </c>
      <c r="B348" t="s">
        <v>349</v>
      </c>
      <c r="C348" t="s">
        <v>350</v>
      </c>
      <c r="D348" s="3" t="s">
        <v>853</v>
      </c>
      <c r="E348" s="10">
        <v>3.4000000000000002E-2</v>
      </c>
      <c r="F348" s="7" t="s">
        <v>179</v>
      </c>
      <c r="G348" s="9">
        <v>30</v>
      </c>
      <c r="H348" s="9">
        <f t="shared" si="10"/>
        <v>1.02</v>
      </c>
      <c r="I348" t="s">
        <v>179</v>
      </c>
      <c r="J348" s="33" t="s">
        <v>504</v>
      </c>
      <c r="K348" s="18">
        <f>VLOOKUP(D348,Ingredients!C:G,5,0)</f>
        <v>55</v>
      </c>
      <c r="L348" s="52">
        <f t="shared" si="11"/>
        <v>1.87</v>
      </c>
    </row>
    <row r="349" spans="1:12">
      <c r="A349" t="s">
        <v>342</v>
      </c>
      <c r="B349" t="s">
        <v>349</v>
      </c>
      <c r="C349" t="s">
        <v>350</v>
      </c>
      <c r="D349" s="3" t="s">
        <v>887</v>
      </c>
      <c r="E349" s="10">
        <v>8.0000000000000002E-3</v>
      </c>
      <c r="F349" s="7" t="s">
        <v>179</v>
      </c>
      <c r="G349" s="9">
        <v>1600</v>
      </c>
      <c r="H349" s="9">
        <f t="shared" si="10"/>
        <v>12.8</v>
      </c>
      <c r="I349" t="s">
        <v>179</v>
      </c>
      <c r="J349" s="33" t="s">
        <v>504</v>
      </c>
      <c r="K349" s="18">
        <f>VLOOKUP(D349,Ingredients!C:G,5,0)</f>
        <v>1830</v>
      </c>
      <c r="L349" s="52">
        <f t="shared" si="11"/>
        <v>14.64</v>
      </c>
    </row>
    <row r="350" spans="1:12">
      <c r="A350" t="s">
        <v>342</v>
      </c>
      <c r="B350" t="s">
        <v>349</v>
      </c>
      <c r="C350" t="s">
        <v>350</v>
      </c>
      <c r="D350" s="3" t="s">
        <v>882</v>
      </c>
      <c r="E350" s="10">
        <v>6.0000000000000001E-3</v>
      </c>
      <c r="F350" s="7" t="s">
        <v>179</v>
      </c>
      <c r="G350" s="9">
        <v>1500</v>
      </c>
      <c r="H350" s="9">
        <f t="shared" si="10"/>
        <v>9</v>
      </c>
      <c r="I350" t="s">
        <v>179</v>
      </c>
      <c r="J350" s="33" t="s">
        <v>504</v>
      </c>
      <c r="K350" s="18">
        <f>VLOOKUP(D350,Ingredients!C:G,5,0)</f>
        <v>1450</v>
      </c>
      <c r="L350" s="52">
        <f t="shared" si="11"/>
        <v>8.7000000000000011</v>
      </c>
    </row>
    <row r="351" spans="1:12">
      <c r="A351" t="s">
        <v>342</v>
      </c>
      <c r="B351" t="s">
        <v>349</v>
      </c>
      <c r="C351" t="s">
        <v>350</v>
      </c>
      <c r="D351" s="3" t="s">
        <v>849</v>
      </c>
      <c r="E351" s="10">
        <v>6.0000000000000001E-3</v>
      </c>
      <c r="F351" s="7" t="s">
        <v>179</v>
      </c>
      <c r="G351" s="9">
        <v>1000</v>
      </c>
      <c r="H351" s="9">
        <f t="shared" si="10"/>
        <v>6</v>
      </c>
      <c r="I351" t="s">
        <v>179</v>
      </c>
      <c r="J351" s="33" t="s">
        <v>504</v>
      </c>
      <c r="K351" s="18">
        <f>VLOOKUP(D351,Ingredients!C:G,5,0)</f>
        <v>950</v>
      </c>
      <c r="L351" s="52">
        <f t="shared" si="11"/>
        <v>5.7</v>
      </c>
    </row>
    <row r="352" spans="1:12">
      <c r="A352" t="s">
        <v>342</v>
      </c>
      <c r="B352" t="s">
        <v>349</v>
      </c>
      <c r="C352" t="s">
        <v>350</v>
      </c>
      <c r="D352" s="3" t="s">
        <v>865</v>
      </c>
      <c r="E352" s="10">
        <v>2.0000000000000004E-2</v>
      </c>
      <c r="F352" s="7" t="s">
        <v>179</v>
      </c>
      <c r="G352" s="9">
        <v>1400</v>
      </c>
      <c r="H352" s="9">
        <f t="shared" si="10"/>
        <v>28.000000000000007</v>
      </c>
      <c r="I352" t="s">
        <v>179</v>
      </c>
      <c r="J352" s="33" t="s">
        <v>504</v>
      </c>
      <c r="K352" s="18">
        <f>VLOOKUP(D352,Ingredients!C:G,5,0)</f>
        <v>1400</v>
      </c>
      <c r="L352" s="52">
        <f t="shared" si="11"/>
        <v>28.000000000000007</v>
      </c>
    </row>
    <row r="353" spans="1:12">
      <c r="A353" t="s">
        <v>129</v>
      </c>
      <c r="B353" t="s">
        <v>349</v>
      </c>
      <c r="C353" t="s">
        <v>350</v>
      </c>
      <c r="D353" s="3" t="s">
        <v>872</v>
      </c>
      <c r="E353" s="10">
        <v>3.3333333333333338E-4</v>
      </c>
      <c r="F353" s="13" t="s">
        <v>176</v>
      </c>
      <c r="G353" s="9">
        <v>2100</v>
      </c>
      <c r="H353" s="9">
        <f t="shared" si="10"/>
        <v>0.70000000000000007</v>
      </c>
      <c r="I353" t="s">
        <v>179</v>
      </c>
      <c r="J353" s="33" t="s">
        <v>489</v>
      </c>
      <c r="K353" s="18">
        <f>VLOOKUP(D353,Ingredients!C:G,5,0)</f>
        <v>2150</v>
      </c>
      <c r="L353" s="52">
        <f t="shared" si="11"/>
        <v>0.71666666666666679</v>
      </c>
    </row>
    <row r="354" spans="1:12">
      <c r="A354" t="s">
        <v>129</v>
      </c>
      <c r="B354" t="s">
        <v>349</v>
      </c>
      <c r="C354" t="s">
        <v>350</v>
      </c>
      <c r="D354" s="3" t="s">
        <v>888</v>
      </c>
      <c r="E354" s="10">
        <v>0.1</v>
      </c>
      <c r="F354" s="13" t="s">
        <v>176</v>
      </c>
      <c r="G354" s="9">
        <v>580</v>
      </c>
      <c r="H354" s="9">
        <f t="shared" si="10"/>
        <v>58</v>
      </c>
      <c r="I354" t="s">
        <v>179</v>
      </c>
      <c r="J354" s="33" t="s">
        <v>489</v>
      </c>
      <c r="K354" s="18">
        <f>VLOOKUP(D354,Ingredients!C:G,5,0)</f>
        <v>580</v>
      </c>
      <c r="L354" s="52">
        <f t="shared" si="11"/>
        <v>58</v>
      </c>
    </row>
    <row r="355" spans="1:12">
      <c r="A355" t="s">
        <v>129</v>
      </c>
      <c r="B355" t="s">
        <v>349</v>
      </c>
      <c r="C355" t="s">
        <v>350</v>
      </c>
      <c r="D355" s="3" t="s">
        <v>24</v>
      </c>
      <c r="E355" s="10">
        <v>7.3333333333333334E-4</v>
      </c>
      <c r="F355" s="13" t="s">
        <v>176</v>
      </c>
      <c r="G355" s="9">
        <v>55</v>
      </c>
      <c r="H355" s="9">
        <f t="shared" si="10"/>
        <v>4.0333333333333332E-2</v>
      </c>
      <c r="I355" t="s">
        <v>179</v>
      </c>
      <c r="J355" s="33" t="s">
        <v>489</v>
      </c>
      <c r="K355" s="18">
        <f>VLOOKUP(D355,Ingredients!C:G,5,0)</f>
        <v>80</v>
      </c>
      <c r="L355" s="52">
        <f t="shared" si="11"/>
        <v>5.8666666666666666E-2</v>
      </c>
    </row>
    <row r="356" spans="1:12">
      <c r="A356" t="s">
        <v>129</v>
      </c>
      <c r="B356" t="s">
        <v>349</v>
      </c>
      <c r="C356" t="s">
        <v>350</v>
      </c>
      <c r="D356" s="3" t="s">
        <v>859</v>
      </c>
      <c r="E356" s="10">
        <v>3.3333333333333335E-5</v>
      </c>
      <c r="F356" s="13" t="s">
        <v>176</v>
      </c>
      <c r="G356" s="9">
        <v>650</v>
      </c>
      <c r="H356" s="9">
        <f t="shared" si="10"/>
        <v>2.1666666666666667E-2</v>
      </c>
      <c r="I356" t="s">
        <v>179</v>
      </c>
      <c r="J356" s="33" t="s">
        <v>489</v>
      </c>
      <c r="K356" s="18">
        <f>VLOOKUP(D356,Ingredients!C:G,5,0)</f>
        <v>700</v>
      </c>
      <c r="L356" s="52">
        <f t="shared" si="11"/>
        <v>2.3333333333333334E-2</v>
      </c>
    </row>
    <row r="357" spans="1:12">
      <c r="A357" t="s">
        <v>129</v>
      </c>
      <c r="B357" t="s">
        <v>349</v>
      </c>
      <c r="C357" t="s">
        <v>350</v>
      </c>
      <c r="D357" s="3" t="s">
        <v>864</v>
      </c>
      <c r="E357" s="10">
        <v>3.3333333333333335E-5</v>
      </c>
      <c r="F357" s="13" t="s">
        <v>176</v>
      </c>
      <c r="G357" s="9">
        <v>1400</v>
      </c>
      <c r="H357" s="9">
        <f t="shared" si="10"/>
        <v>4.6666666666666669E-2</v>
      </c>
      <c r="I357" t="s">
        <v>179</v>
      </c>
      <c r="J357" s="33" t="s">
        <v>489</v>
      </c>
      <c r="K357" s="18">
        <f>VLOOKUP(D357,Ingredients!C:G,5,0)</f>
        <v>1400</v>
      </c>
      <c r="L357" s="52">
        <f t="shared" si="11"/>
        <v>4.6666666666666669E-2</v>
      </c>
    </row>
    <row r="358" spans="1:12">
      <c r="A358" t="s">
        <v>129</v>
      </c>
      <c r="B358" t="s">
        <v>349</v>
      </c>
      <c r="C358" t="s">
        <v>350</v>
      </c>
      <c r="D358" s="3" t="s">
        <v>16</v>
      </c>
      <c r="E358" s="10">
        <v>3.3333333333333338E-4</v>
      </c>
      <c r="F358" s="13" t="s">
        <v>176</v>
      </c>
      <c r="G358" s="9">
        <v>270</v>
      </c>
      <c r="H358" s="9">
        <f t="shared" si="10"/>
        <v>9.0000000000000011E-2</v>
      </c>
      <c r="I358" t="s">
        <v>179</v>
      </c>
      <c r="J358" s="33" t="s">
        <v>489</v>
      </c>
      <c r="K358" s="18">
        <f>VLOOKUP(D358,Ingredients!C:G,5,0)</f>
        <v>310</v>
      </c>
      <c r="L358" s="52">
        <f t="shared" si="11"/>
        <v>0.10333333333333335</v>
      </c>
    </row>
    <row r="359" spans="1:12">
      <c r="A359" t="s">
        <v>129</v>
      </c>
      <c r="B359" t="s">
        <v>349</v>
      </c>
      <c r="C359" t="s">
        <v>350</v>
      </c>
      <c r="D359" s="3" t="s">
        <v>23</v>
      </c>
      <c r="E359" s="10">
        <v>3.3333333333333338E-4</v>
      </c>
      <c r="F359" s="13" t="s">
        <v>176</v>
      </c>
      <c r="G359" s="9">
        <v>740</v>
      </c>
      <c r="H359" s="9">
        <f t="shared" si="10"/>
        <v>0.2466666666666667</v>
      </c>
      <c r="I359" t="s">
        <v>179</v>
      </c>
      <c r="J359" s="33" t="s">
        <v>489</v>
      </c>
      <c r="K359" s="18">
        <f>VLOOKUP(D359,Ingredients!C:G,5,0)</f>
        <v>780</v>
      </c>
      <c r="L359" s="52">
        <f t="shared" si="11"/>
        <v>0.26</v>
      </c>
    </row>
    <row r="360" spans="1:12">
      <c r="A360" t="s">
        <v>129</v>
      </c>
      <c r="B360" t="s">
        <v>349</v>
      </c>
      <c r="C360" t="s">
        <v>350</v>
      </c>
      <c r="D360" s="3" t="s">
        <v>889</v>
      </c>
      <c r="E360" s="10">
        <v>7.3333333333333334E-2</v>
      </c>
      <c r="F360" s="13" t="s">
        <v>176</v>
      </c>
      <c r="G360" s="9">
        <v>1648.3235294117644</v>
      </c>
      <c r="H360" s="9">
        <f t="shared" si="10"/>
        <v>120.8770588235294</v>
      </c>
      <c r="I360" t="s">
        <v>179</v>
      </c>
      <c r="J360" s="33" t="s">
        <v>489</v>
      </c>
      <c r="K360" s="18">
        <f>VLOOKUP(D360,Ingredients!C:F,3,0)</f>
        <v>560.42999999999995</v>
      </c>
      <c r="L360" s="52">
        <f t="shared" si="11"/>
        <v>41.098199999999999</v>
      </c>
    </row>
    <row r="361" spans="1:12">
      <c r="A361" t="s">
        <v>129</v>
      </c>
      <c r="B361" t="s">
        <v>349</v>
      </c>
      <c r="C361" t="s">
        <v>350</v>
      </c>
      <c r="D361" s="3" t="s">
        <v>879</v>
      </c>
      <c r="E361" s="10">
        <v>6.2333333333333338E-3</v>
      </c>
      <c r="F361" s="13" t="s">
        <v>176</v>
      </c>
      <c r="G361" s="9">
        <v>1113.51</v>
      </c>
      <c r="H361" s="9">
        <f t="shared" si="10"/>
        <v>6.9408790000000007</v>
      </c>
      <c r="I361" t="s">
        <v>179</v>
      </c>
      <c r="J361" s="33" t="s">
        <v>489</v>
      </c>
      <c r="K361" s="18">
        <f>VLOOKUP(D361,Ingredients!C:G,5,0)</f>
        <v>1066.33</v>
      </c>
      <c r="L361" s="52">
        <f t="shared" si="11"/>
        <v>6.6467903333333336</v>
      </c>
    </row>
    <row r="362" spans="1:12">
      <c r="A362" t="s">
        <v>129</v>
      </c>
      <c r="B362" t="s">
        <v>349</v>
      </c>
      <c r="C362" t="s">
        <v>350</v>
      </c>
      <c r="D362" s="3" t="s">
        <v>853</v>
      </c>
      <c r="E362" s="10">
        <v>5.0100000000000006E-3</v>
      </c>
      <c r="F362" s="13" t="s">
        <v>176</v>
      </c>
      <c r="G362" s="9">
        <v>30</v>
      </c>
      <c r="H362" s="9">
        <f t="shared" si="10"/>
        <v>0.15030000000000002</v>
      </c>
      <c r="I362" t="s">
        <v>179</v>
      </c>
      <c r="J362" s="33" t="s">
        <v>489</v>
      </c>
      <c r="K362" s="18">
        <f>VLOOKUP(D362,Ingredients!C:G,5,0)</f>
        <v>55</v>
      </c>
      <c r="L362" s="52">
        <f t="shared" si="11"/>
        <v>0.27555000000000002</v>
      </c>
    </row>
    <row r="363" spans="1:12">
      <c r="A363" t="s">
        <v>129</v>
      </c>
      <c r="B363" t="s">
        <v>349</v>
      </c>
      <c r="C363" t="s">
        <v>350</v>
      </c>
      <c r="D363" s="3" t="s">
        <v>127</v>
      </c>
      <c r="E363" s="10">
        <v>1.2333333333333334E-4</v>
      </c>
      <c r="F363" s="13" t="s">
        <v>176</v>
      </c>
      <c r="G363" s="9">
        <v>280</v>
      </c>
      <c r="H363" s="9">
        <f t="shared" si="10"/>
        <v>3.4533333333333333E-2</v>
      </c>
      <c r="I363" t="s">
        <v>179</v>
      </c>
      <c r="J363" s="33" t="s">
        <v>489</v>
      </c>
      <c r="K363" s="18">
        <f>VLOOKUP(D363,Ingredients!C:G,5,0)</f>
        <v>14870</v>
      </c>
      <c r="L363" s="52">
        <f t="shared" si="11"/>
        <v>1.8339666666666667</v>
      </c>
    </row>
    <row r="364" spans="1:12">
      <c r="A364" t="s">
        <v>129</v>
      </c>
      <c r="B364" t="s">
        <v>349</v>
      </c>
      <c r="C364" t="s">
        <v>350</v>
      </c>
      <c r="D364" s="3" t="s">
        <v>831</v>
      </c>
      <c r="E364" s="10">
        <v>1</v>
      </c>
      <c r="F364" s="13" t="s">
        <v>176</v>
      </c>
      <c r="G364" s="9">
        <v>908</v>
      </c>
      <c r="H364" s="9">
        <f t="shared" si="10"/>
        <v>908</v>
      </c>
      <c r="I364" t="s">
        <v>179</v>
      </c>
      <c r="J364" s="33" t="s">
        <v>489</v>
      </c>
      <c r="K364" s="18">
        <f>VLOOKUP(D364,Ingredients!C:G,5,0)</f>
        <v>908</v>
      </c>
      <c r="L364" s="52">
        <f t="shared" si="11"/>
        <v>908</v>
      </c>
    </row>
    <row r="365" spans="1:12">
      <c r="A365" t="s">
        <v>131</v>
      </c>
      <c r="B365" t="s">
        <v>349</v>
      </c>
      <c r="C365" t="s">
        <v>456</v>
      </c>
      <c r="D365" s="3" t="s">
        <v>863</v>
      </c>
      <c r="E365" s="10">
        <v>0.02</v>
      </c>
      <c r="F365" s="13" t="s">
        <v>176</v>
      </c>
      <c r="G365" s="9">
        <v>675</v>
      </c>
      <c r="H365" s="9">
        <f t="shared" si="10"/>
        <v>13.5</v>
      </c>
      <c r="I365" t="s">
        <v>179</v>
      </c>
      <c r="J365" s="33" t="s">
        <v>492</v>
      </c>
      <c r="K365" s="18">
        <f>VLOOKUP(D365,Ingredients!C:G,5,0)</f>
        <v>675</v>
      </c>
      <c r="L365" s="52">
        <f t="shared" si="11"/>
        <v>13.5</v>
      </c>
    </row>
    <row r="366" spans="1:12">
      <c r="A366" t="s">
        <v>131</v>
      </c>
      <c r="B366" t="s">
        <v>349</v>
      </c>
      <c r="C366" t="s">
        <v>456</v>
      </c>
      <c r="D366" s="3" t="s">
        <v>853</v>
      </c>
      <c r="E366" s="10">
        <v>0.02</v>
      </c>
      <c r="F366" s="13" t="s">
        <v>176</v>
      </c>
      <c r="G366" s="9">
        <v>30</v>
      </c>
      <c r="H366" s="9">
        <f t="shared" si="10"/>
        <v>0.6</v>
      </c>
      <c r="I366" t="s">
        <v>179</v>
      </c>
      <c r="J366" s="33" t="s">
        <v>492</v>
      </c>
      <c r="K366" s="18">
        <f>VLOOKUP(D366,Ingredients!C:G,5,0)</f>
        <v>55</v>
      </c>
      <c r="L366" s="52">
        <f t="shared" si="11"/>
        <v>1.1000000000000001</v>
      </c>
    </row>
    <row r="367" spans="1:12">
      <c r="A367" t="s">
        <v>131</v>
      </c>
      <c r="B367" t="s">
        <v>349</v>
      </c>
      <c r="C367" t="s">
        <v>456</v>
      </c>
      <c r="D367" s="3" t="s">
        <v>872</v>
      </c>
      <c r="E367" s="10">
        <v>0.02</v>
      </c>
      <c r="F367" s="13" t="s">
        <v>176</v>
      </c>
      <c r="G367" s="9">
        <v>2100</v>
      </c>
      <c r="H367" s="9">
        <f t="shared" si="10"/>
        <v>42</v>
      </c>
      <c r="I367" t="s">
        <v>179</v>
      </c>
      <c r="J367" s="33" t="s">
        <v>492</v>
      </c>
      <c r="K367" s="18">
        <f>VLOOKUP(D367,Ingredients!C:G,5,0)</f>
        <v>2150</v>
      </c>
      <c r="L367" s="52">
        <f t="shared" si="11"/>
        <v>43</v>
      </c>
    </row>
    <row r="368" spans="1:12">
      <c r="A368" t="s">
        <v>131</v>
      </c>
      <c r="B368" t="s">
        <v>349</v>
      </c>
      <c r="C368" t="s">
        <v>456</v>
      </c>
      <c r="D368" s="3" t="s">
        <v>867</v>
      </c>
      <c r="E368" s="10">
        <v>0.04</v>
      </c>
      <c r="F368" s="13" t="s">
        <v>176</v>
      </c>
      <c r="G368" s="9">
        <v>900</v>
      </c>
      <c r="H368" s="9">
        <f t="shared" si="10"/>
        <v>36</v>
      </c>
      <c r="I368" t="s">
        <v>179</v>
      </c>
      <c r="J368" s="33" t="s">
        <v>492</v>
      </c>
      <c r="K368" s="18">
        <f>VLOOKUP(D368,Ingredients!C:G,5,0)</f>
        <v>950</v>
      </c>
      <c r="L368" s="52">
        <f t="shared" si="11"/>
        <v>38</v>
      </c>
    </row>
    <row r="369" spans="1:12">
      <c r="A369" t="s">
        <v>131</v>
      </c>
      <c r="B369" t="s">
        <v>349</v>
      </c>
      <c r="C369" t="s">
        <v>456</v>
      </c>
      <c r="D369" s="3" t="s">
        <v>890</v>
      </c>
      <c r="E369" s="10">
        <v>0.02</v>
      </c>
      <c r="F369" s="13" t="s">
        <v>176</v>
      </c>
      <c r="G369" s="9">
        <v>92</v>
      </c>
      <c r="H369" s="9">
        <f t="shared" si="10"/>
        <v>1.84</v>
      </c>
      <c r="I369" t="s">
        <v>179</v>
      </c>
      <c r="J369" s="33" t="s">
        <v>492</v>
      </c>
      <c r="K369" s="18">
        <f>VLOOKUP(D369,Ingredients!C:G,5,0)</f>
        <v>150</v>
      </c>
      <c r="L369" s="52">
        <f t="shared" si="11"/>
        <v>3</v>
      </c>
    </row>
    <row r="370" spans="1:12">
      <c r="A370" t="s">
        <v>131</v>
      </c>
      <c r="B370" t="s">
        <v>349</v>
      </c>
      <c r="C370" t="s">
        <v>456</v>
      </c>
      <c r="D370" s="3" t="s">
        <v>874</v>
      </c>
      <c r="E370" s="10">
        <v>0.04</v>
      </c>
      <c r="F370" s="13" t="s">
        <v>177</v>
      </c>
      <c r="G370" s="9">
        <v>110</v>
      </c>
      <c r="H370" s="9">
        <f t="shared" si="10"/>
        <v>4.4000000000000004</v>
      </c>
      <c r="I370" t="s">
        <v>179</v>
      </c>
      <c r="J370" s="33" t="s">
        <v>492</v>
      </c>
      <c r="K370" s="18">
        <f>VLOOKUP(D370,Ingredients!C:G,5,0)</f>
        <v>179</v>
      </c>
      <c r="L370" s="52">
        <f t="shared" si="11"/>
        <v>7.16</v>
      </c>
    </row>
    <row r="371" spans="1:12">
      <c r="A371" t="s">
        <v>131</v>
      </c>
      <c r="B371" t="s">
        <v>349</v>
      </c>
      <c r="C371" t="s">
        <v>456</v>
      </c>
      <c r="D371" s="3" t="s">
        <v>16</v>
      </c>
      <c r="E371" s="10">
        <v>0.04</v>
      </c>
      <c r="F371" s="13" t="s">
        <v>176</v>
      </c>
      <c r="G371" s="9">
        <v>270</v>
      </c>
      <c r="H371" s="9">
        <f t="shared" si="10"/>
        <v>10.8</v>
      </c>
      <c r="I371" t="s">
        <v>179</v>
      </c>
      <c r="J371" s="33" t="s">
        <v>492</v>
      </c>
      <c r="K371" s="18">
        <f>VLOOKUP(D371,Ingredients!C:G,5,0)</f>
        <v>310</v>
      </c>
      <c r="L371" s="52">
        <f t="shared" si="11"/>
        <v>12.4</v>
      </c>
    </row>
    <row r="372" spans="1:12">
      <c r="A372" t="s">
        <v>131</v>
      </c>
      <c r="B372" t="s">
        <v>349</v>
      </c>
      <c r="C372" t="s">
        <v>456</v>
      </c>
      <c r="D372" s="3" t="s">
        <v>23</v>
      </c>
      <c r="E372" s="10">
        <v>0.04</v>
      </c>
      <c r="F372" s="13" t="s">
        <v>176</v>
      </c>
      <c r="G372" s="9">
        <v>740</v>
      </c>
      <c r="H372" s="9">
        <f t="shared" si="10"/>
        <v>29.6</v>
      </c>
      <c r="I372" t="s">
        <v>179</v>
      </c>
      <c r="J372" s="33" t="s">
        <v>492</v>
      </c>
      <c r="K372" s="18">
        <f>VLOOKUP(D372,Ingredients!C:G,5,0)</f>
        <v>780</v>
      </c>
      <c r="L372" s="52">
        <f t="shared" si="11"/>
        <v>31.2</v>
      </c>
    </row>
    <row r="373" spans="1:12">
      <c r="A373" t="s">
        <v>131</v>
      </c>
      <c r="B373" t="s">
        <v>349</v>
      </c>
      <c r="C373" t="s">
        <v>456</v>
      </c>
      <c r="D373" s="3" t="s">
        <v>897</v>
      </c>
      <c r="E373" s="10">
        <v>1</v>
      </c>
      <c r="F373" s="13" t="s">
        <v>176</v>
      </c>
      <c r="G373" s="9">
        <v>1890.54</v>
      </c>
      <c r="H373" s="9">
        <f t="shared" ref="H373:H440" si="12">G373*E373</f>
        <v>1890.54</v>
      </c>
      <c r="I373" t="s">
        <v>179</v>
      </c>
      <c r="J373" s="33" t="s">
        <v>492</v>
      </c>
      <c r="K373" s="18">
        <f>VLOOKUP(D373,Ingredients!C:G,5,0)</f>
        <v>1462.18</v>
      </c>
      <c r="L373" s="52">
        <f t="shared" si="11"/>
        <v>1462.18</v>
      </c>
    </row>
    <row r="374" spans="1:12">
      <c r="A374" t="s">
        <v>135</v>
      </c>
      <c r="B374" t="s">
        <v>349</v>
      </c>
      <c r="C374" t="s">
        <v>353</v>
      </c>
      <c r="D374" s="3" t="s">
        <v>891</v>
      </c>
      <c r="E374" s="10">
        <v>0.08</v>
      </c>
      <c r="F374" s="13" t="s">
        <v>176</v>
      </c>
      <c r="G374" s="9">
        <v>380</v>
      </c>
      <c r="H374" s="9">
        <f t="shared" si="12"/>
        <v>30.400000000000002</v>
      </c>
      <c r="I374" t="s">
        <v>179</v>
      </c>
      <c r="J374" s="33" t="s">
        <v>491</v>
      </c>
      <c r="K374" s="18">
        <f>VLOOKUP(D374,Ingredients!C:G,5,0)</f>
        <v>800</v>
      </c>
      <c r="L374" s="52">
        <f t="shared" si="11"/>
        <v>64</v>
      </c>
    </row>
    <row r="375" spans="1:12">
      <c r="A375" t="s">
        <v>135</v>
      </c>
      <c r="B375" t="s">
        <v>349</v>
      </c>
      <c r="C375" t="s">
        <v>353</v>
      </c>
      <c r="D375" s="3" t="s">
        <v>892</v>
      </c>
      <c r="E375" s="10">
        <v>0.08</v>
      </c>
      <c r="F375" s="13" t="s">
        <v>176</v>
      </c>
      <c r="G375" s="9">
        <v>2000</v>
      </c>
      <c r="H375" s="9">
        <f t="shared" si="12"/>
        <v>160</v>
      </c>
      <c r="I375" t="s">
        <v>179</v>
      </c>
      <c r="J375" s="33" t="s">
        <v>491</v>
      </c>
      <c r="K375" s="18">
        <f>VLOOKUP(D375,Ingredients!C:G,5,0)</f>
        <v>2080</v>
      </c>
      <c r="L375" s="52">
        <f t="shared" si="11"/>
        <v>166.4</v>
      </c>
    </row>
    <row r="376" spans="1:12">
      <c r="A376" t="s">
        <v>135</v>
      </c>
      <c r="B376" t="s">
        <v>349</v>
      </c>
      <c r="C376" t="s">
        <v>353</v>
      </c>
      <c r="D376" s="3" t="s">
        <v>15</v>
      </c>
      <c r="E376" s="10">
        <v>0.04</v>
      </c>
      <c r="F376" s="13" t="s">
        <v>176</v>
      </c>
      <c r="G376" s="9">
        <v>130</v>
      </c>
      <c r="H376" s="9">
        <f t="shared" si="12"/>
        <v>5.2</v>
      </c>
      <c r="I376" t="s">
        <v>179</v>
      </c>
      <c r="J376" s="33" t="s">
        <v>491</v>
      </c>
      <c r="K376" s="18">
        <f>VLOOKUP(D376,Ingredients!C:G,5,0)</f>
        <v>90</v>
      </c>
      <c r="L376" s="52">
        <f t="shared" si="11"/>
        <v>3.6</v>
      </c>
    </row>
    <row r="377" spans="1:12">
      <c r="A377" t="s">
        <v>135</v>
      </c>
      <c r="B377" t="s">
        <v>349</v>
      </c>
      <c r="C377" t="s">
        <v>353</v>
      </c>
      <c r="D377" s="3" t="s">
        <v>24</v>
      </c>
      <c r="E377" s="10">
        <v>0.28000000000000003</v>
      </c>
      <c r="F377" s="13" t="s">
        <v>176</v>
      </c>
      <c r="G377" s="9">
        <v>55</v>
      </c>
      <c r="H377" s="9">
        <f t="shared" si="12"/>
        <v>15.400000000000002</v>
      </c>
      <c r="I377" t="s">
        <v>179</v>
      </c>
      <c r="J377" s="33" t="s">
        <v>491</v>
      </c>
      <c r="K377" s="18">
        <f>VLOOKUP(D377,Ingredients!C:G,5,0)</f>
        <v>80</v>
      </c>
      <c r="L377" s="52">
        <f t="shared" si="11"/>
        <v>22.400000000000002</v>
      </c>
    </row>
    <row r="378" spans="1:12">
      <c r="A378" t="s">
        <v>135</v>
      </c>
      <c r="B378" t="s">
        <v>349</v>
      </c>
      <c r="C378" t="s">
        <v>353</v>
      </c>
      <c r="D378" s="3" t="s">
        <v>852</v>
      </c>
      <c r="E378" s="10">
        <v>0.12</v>
      </c>
      <c r="F378" s="13" t="s">
        <v>177</v>
      </c>
      <c r="G378" s="9">
        <v>520.63</v>
      </c>
      <c r="H378" s="9">
        <f t="shared" si="12"/>
        <v>62.4756</v>
      </c>
      <c r="I378" t="s">
        <v>179</v>
      </c>
      <c r="J378" s="33" t="s">
        <v>491</v>
      </c>
      <c r="K378" s="18">
        <v>550</v>
      </c>
      <c r="L378" s="52">
        <f t="shared" si="11"/>
        <v>66</v>
      </c>
    </row>
    <row r="379" spans="1:12">
      <c r="A379" t="s">
        <v>135</v>
      </c>
      <c r="B379" t="s">
        <v>349</v>
      </c>
      <c r="C379" t="s">
        <v>353</v>
      </c>
      <c r="D379" s="3" t="s">
        <v>23</v>
      </c>
      <c r="E379" s="10">
        <v>0.03</v>
      </c>
      <c r="F379" s="13" t="s">
        <v>176</v>
      </c>
      <c r="G379" s="9">
        <v>740</v>
      </c>
      <c r="H379" s="9">
        <f t="shared" si="12"/>
        <v>22.2</v>
      </c>
      <c r="I379" t="s">
        <v>179</v>
      </c>
      <c r="J379" s="33" t="s">
        <v>491</v>
      </c>
      <c r="K379" s="18">
        <f>VLOOKUP(D379,Ingredients!C:G,5,0)</f>
        <v>780</v>
      </c>
      <c r="L379" s="52">
        <f t="shared" si="11"/>
        <v>23.4</v>
      </c>
    </row>
    <row r="380" spans="1:12">
      <c r="A380" t="s">
        <v>135</v>
      </c>
      <c r="B380" t="s">
        <v>349</v>
      </c>
      <c r="C380" t="s">
        <v>353</v>
      </c>
      <c r="D380" s="3" t="s">
        <v>16</v>
      </c>
      <c r="E380" s="10">
        <v>0.03</v>
      </c>
      <c r="F380" s="13" t="s">
        <v>176</v>
      </c>
      <c r="G380" s="9">
        <v>270</v>
      </c>
      <c r="H380" s="9">
        <f t="shared" si="12"/>
        <v>8.1</v>
      </c>
      <c r="I380" t="s">
        <v>179</v>
      </c>
      <c r="J380" s="33" t="s">
        <v>491</v>
      </c>
      <c r="K380" s="18">
        <f>VLOOKUP(D380,Ingredients!C:G,5,0)</f>
        <v>310</v>
      </c>
      <c r="L380" s="52">
        <f t="shared" si="11"/>
        <v>9.2999999999999989</v>
      </c>
    </row>
    <row r="381" spans="1:12">
      <c r="A381" t="s">
        <v>135</v>
      </c>
      <c r="B381" t="s">
        <v>349</v>
      </c>
      <c r="C381" t="s">
        <v>353</v>
      </c>
      <c r="D381" s="3" t="s">
        <v>867</v>
      </c>
      <c r="E381" s="10">
        <v>0.06</v>
      </c>
      <c r="F381" s="13" t="s">
        <v>176</v>
      </c>
      <c r="G381" s="9">
        <v>900</v>
      </c>
      <c r="H381" s="9">
        <f t="shared" si="12"/>
        <v>54</v>
      </c>
      <c r="I381" t="s">
        <v>179</v>
      </c>
      <c r="J381" s="33" t="s">
        <v>491</v>
      </c>
      <c r="K381" s="18">
        <f>VLOOKUP(D381,Ingredients!C:G,5,0)</f>
        <v>950</v>
      </c>
      <c r="L381" s="52">
        <f t="shared" si="11"/>
        <v>57</v>
      </c>
    </row>
    <row r="382" spans="1:12">
      <c r="A382" t="s">
        <v>135</v>
      </c>
      <c r="B382" t="s">
        <v>349</v>
      </c>
      <c r="C382" t="s">
        <v>353</v>
      </c>
      <c r="D382" s="3" t="s">
        <v>860</v>
      </c>
      <c r="E382" s="10">
        <v>0.06</v>
      </c>
      <c r="F382" s="13" t="s">
        <v>176</v>
      </c>
      <c r="G382" s="9">
        <v>2000</v>
      </c>
      <c r="H382" s="9">
        <f t="shared" si="12"/>
        <v>120</v>
      </c>
      <c r="I382" t="s">
        <v>179</v>
      </c>
      <c r="J382" s="33" t="s">
        <v>491</v>
      </c>
      <c r="K382" s="18">
        <f>VLOOKUP(D382,Ingredients!C:G,5,0)</f>
        <v>1900</v>
      </c>
      <c r="L382" s="52">
        <f t="shared" si="11"/>
        <v>114</v>
      </c>
    </row>
    <row r="383" spans="1:12">
      <c r="A383" t="s">
        <v>135</v>
      </c>
      <c r="B383" t="s">
        <v>349</v>
      </c>
      <c r="C383" t="s">
        <v>353</v>
      </c>
      <c r="D383" s="3" t="s">
        <v>855</v>
      </c>
      <c r="E383" s="10">
        <v>0.02</v>
      </c>
      <c r="F383" s="13" t="s">
        <v>176</v>
      </c>
      <c r="G383" s="9">
        <v>2400</v>
      </c>
      <c r="H383" s="9">
        <f t="shared" si="12"/>
        <v>48</v>
      </c>
      <c r="I383" t="s">
        <v>179</v>
      </c>
      <c r="J383" s="33" t="s">
        <v>491</v>
      </c>
      <c r="K383" s="18">
        <f>VLOOKUP(D383,Ingredients!C:G,5,0)</f>
        <v>1600</v>
      </c>
      <c r="L383" s="52">
        <f t="shared" si="11"/>
        <v>32</v>
      </c>
    </row>
    <row r="384" spans="1:12">
      <c r="A384" t="s">
        <v>135</v>
      </c>
      <c r="B384" t="s">
        <v>349</v>
      </c>
      <c r="C384" t="s">
        <v>353</v>
      </c>
      <c r="D384" s="3" t="s">
        <v>853</v>
      </c>
      <c r="E384" s="10">
        <v>0.12</v>
      </c>
      <c r="F384" s="13" t="s">
        <v>176</v>
      </c>
      <c r="G384" s="9">
        <v>30</v>
      </c>
      <c r="H384" s="9">
        <f t="shared" si="12"/>
        <v>3.5999999999999996</v>
      </c>
      <c r="I384" t="s">
        <v>179</v>
      </c>
      <c r="J384" s="33" t="s">
        <v>491</v>
      </c>
      <c r="K384" s="18">
        <f>VLOOKUP(D384,Ingredients!C:G,5,0)</f>
        <v>55</v>
      </c>
      <c r="L384" s="52">
        <f t="shared" si="11"/>
        <v>6.6</v>
      </c>
    </row>
    <row r="385" spans="1:12">
      <c r="A385" t="s">
        <v>135</v>
      </c>
      <c r="B385" t="s">
        <v>349</v>
      </c>
      <c r="C385" t="s">
        <v>353</v>
      </c>
      <c r="D385" s="33" t="s">
        <v>491</v>
      </c>
      <c r="E385" s="10">
        <v>1</v>
      </c>
      <c r="F385" s="13" t="s">
        <v>176</v>
      </c>
      <c r="G385" s="9">
        <v>614</v>
      </c>
      <c r="H385" s="9">
        <f t="shared" si="12"/>
        <v>614</v>
      </c>
      <c r="I385" t="s">
        <v>179</v>
      </c>
      <c r="J385" s="33" t="s">
        <v>491</v>
      </c>
      <c r="K385" s="18">
        <f>VLOOKUP(D385,Ingredients!C:G,5,0)</f>
        <v>650</v>
      </c>
      <c r="L385" s="52">
        <f t="shared" si="11"/>
        <v>650</v>
      </c>
    </row>
    <row r="386" spans="1:12">
      <c r="A386" t="s">
        <v>135</v>
      </c>
      <c r="B386" t="s">
        <v>349</v>
      </c>
      <c r="C386" t="s">
        <v>353</v>
      </c>
      <c r="D386" s="3" t="s">
        <v>884</v>
      </c>
      <c r="E386" s="10">
        <v>1</v>
      </c>
      <c r="F386" s="13" t="s">
        <v>176</v>
      </c>
      <c r="G386" s="9">
        <v>344</v>
      </c>
      <c r="H386" s="9">
        <f t="shared" si="12"/>
        <v>344</v>
      </c>
      <c r="I386" t="s">
        <v>179</v>
      </c>
      <c r="J386" s="33" t="s">
        <v>491</v>
      </c>
      <c r="K386" s="18">
        <f>VLOOKUP(D386,Ingredients!C:G,5,0)</f>
        <v>344</v>
      </c>
      <c r="L386" s="52">
        <f t="shared" si="11"/>
        <v>344</v>
      </c>
    </row>
    <row r="387" spans="1:12">
      <c r="A387" t="s">
        <v>367</v>
      </c>
      <c r="B387" t="s">
        <v>349</v>
      </c>
      <c r="C387" t="s">
        <v>351</v>
      </c>
      <c r="D387" s="3" t="s">
        <v>851</v>
      </c>
      <c r="E387" s="10">
        <v>4.6875E-2</v>
      </c>
      <c r="F387" s="13" t="s">
        <v>176</v>
      </c>
      <c r="G387" s="9">
        <v>177</v>
      </c>
      <c r="H387" s="9">
        <f t="shared" si="12"/>
        <v>8.296875</v>
      </c>
      <c r="I387" t="s">
        <v>179</v>
      </c>
      <c r="J387" s="33" t="s">
        <v>514</v>
      </c>
      <c r="K387" s="18">
        <f>VLOOKUP(D387,Ingredients!C:G,5,0)</f>
        <v>920</v>
      </c>
      <c r="L387" s="52">
        <f t="shared" si="11"/>
        <v>43.125</v>
      </c>
    </row>
    <row r="388" spans="1:12">
      <c r="A388" t="s">
        <v>367</v>
      </c>
      <c r="B388" t="s">
        <v>349</v>
      </c>
      <c r="C388" t="s">
        <v>351</v>
      </c>
      <c r="D388" s="3" t="s">
        <v>805</v>
      </c>
      <c r="E388" s="10">
        <v>6.2500000000000003E-3</v>
      </c>
      <c r="F388" s="13" t="s">
        <v>176</v>
      </c>
      <c r="G388" s="9">
        <v>200</v>
      </c>
      <c r="H388" s="9">
        <f t="shared" si="12"/>
        <v>1.25</v>
      </c>
      <c r="I388" t="s">
        <v>179</v>
      </c>
      <c r="J388" s="33" t="s">
        <v>514</v>
      </c>
      <c r="K388" s="18">
        <f>VLOOKUP(D388,Ingredients!C:G,5,0)</f>
        <v>50</v>
      </c>
      <c r="L388" s="52">
        <f t="shared" ref="L388:L451" si="13">K388*E388</f>
        <v>0.3125</v>
      </c>
    </row>
    <row r="389" spans="1:12">
      <c r="A389" t="s">
        <v>367</v>
      </c>
      <c r="B389" t="s">
        <v>349</v>
      </c>
      <c r="C389" t="s">
        <v>351</v>
      </c>
      <c r="D389" s="3" t="s">
        <v>16</v>
      </c>
      <c r="E389" s="10">
        <v>1.2500000000000001E-2</v>
      </c>
      <c r="F389" s="13" t="s">
        <v>176</v>
      </c>
      <c r="G389" s="9">
        <v>270</v>
      </c>
      <c r="H389" s="9">
        <f t="shared" si="12"/>
        <v>3.375</v>
      </c>
      <c r="I389" t="s">
        <v>179</v>
      </c>
      <c r="J389" s="33" t="s">
        <v>514</v>
      </c>
      <c r="K389" s="18">
        <f>VLOOKUP(D389,Ingredients!C:G,5,0)</f>
        <v>310</v>
      </c>
      <c r="L389" s="52">
        <f t="shared" si="13"/>
        <v>3.875</v>
      </c>
    </row>
    <row r="390" spans="1:12">
      <c r="A390" t="s">
        <v>367</v>
      </c>
      <c r="B390" t="s">
        <v>349</v>
      </c>
      <c r="C390" t="s">
        <v>351</v>
      </c>
      <c r="D390" s="3" t="s">
        <v>23</v>
      </c>
      <c r="E390" s="10">
        <v>1.2500000000000001E-2</v>
      </c>
      <c r="F390" s="13" t="s">
        <v>176</v>
      </c>
      <c r="G390" s="9">
        <v>740</v>
      </c>
      <c r="H390" s="9">
        <f t="shared" si="12"/>
        <v>9.25</v>
      </c>
      <c r="I390" t="s">
        <v>179</v>
      </c>
      <c r="J390" s="33" t="s">
        <v>514</v>
      </c>
      <c r="K390" s="18">
        <f>VLOOKUP(D390,Ingredients!C:G,5,0)</f>
        <v>780</v>
      </c>
      <c r="L390" s="52">
        <f t="shared" si="13"/>
        <v>9.75</v>
      </c>
    </row>
    <row r="391" spans="1:12">
      <c r="A391" t="s">
        <v>367</v>
      </c>
      <c r="B391" t="s">
        <v>349</v>
      </c>
      <c r="C391" t="s">
        <v>351</v>
      </c>
      <c r="D391" s="3" t="s">
        <v>852</v>
      </c>
      <c r="E391" s="10">
        <v>9.375E-2</v>
      </c>
      <c r="F391" s="13" t="s">
        <v>177</v>
      </c>
      <c r="G391" s="9">
        <v>520.63</v>
      </c>
      <c r="H391" s="9">
        <f t="shared" si="12"/>
        <v>48.809062499999996</v>
      </c>
      <c r="I391" t="s">
        <v>179</v>
      </c>
      <c r="J391" s="33" t="s">
        <v>514</v>
      </c>
      <c r="K391" s="18">
        <v>550</v>
      </c>
      <c r="L391" s="52">
        <f t="shared" si="13"/>
        <v>51.5625</v>
      </c>
    </row>
    <row r="392" spans="1:12">
      <c r="A392" t="s">
        <v>367</v>
      </c>
      <c r="B392" t="s">
        <v>349</v>
      </c>
      <c r="C392" t="s">
        <v>351</v>
      </c>
      <c r="D392" s="3" t="s">
        <v>860</v>
      </c>
      <c r="E392" s="10">
        <v>1.5625E-2</v>
      </c>
      <c r="F392" s="13" t="s">
        <v>176</v>
      </c>
      <c r="G392" s="9">
        <v>2000</v>
      </c>
      <c r="H392" s="9">
        <f t="shared" si="12"/>
        <v>31.25</v>
      </c>
      <c r="I392" t="s">
        <v>179</v>
      </c>
      <c r="J392" s="33" t="s">
        <v>514</v>
      </c>
      <c r="K392" s="18">
        <f>VLOOKUP(D392,Ingredients!C:G,5,0)</f>
        <v>1900</v>
      </c>
      <c r="L392" s="52">
        <f t="shared" si="13"/>
        <v>29.6875</v>
      </c>
    </row>
    <row r="393" spans="1:12">
      <c r="A393" t="s">
        <v>367</v>
      </c>
      <c r="B393" t="s">
        <v>349</v>
      </c>
      <c r="C393" t="s">
        <v>351</v>
      </c>
      <c r="D393" s="3" t="s">
        <v>855</v>
      </c>
      <c r="E393" s="10">
        <v>1.5625E-2</v>
      </c>
      <c r="F393" s="13" t="s">
        <v>176</v>
      </c>
      <c r="G393" s="9">
        <v>2400</v>
      </c>
      <c r="H393" s="9">
        <f t="shared" si="12"/>
        <v>37.5</v>
      </c>
      <c r="I393" t="s">
        <v>179</v>
      </c>
      <c r="J393" s="33" t="s">
        <v>514</v>
      </c>
      <c r="K393" s="18">
        <f>VLOOKUP(D393,Ingredients!C:G,5,0)</f>
        <v>1600</v>
      </c>
      <c r="L393" s="52">
        <f t="shared" si="13"/>
        <v>25</v>
      </c>
    </row>
    <row r="394" spans="1:12">
      <c r="A394" t="s">
        <v>367</v>
      </c>
      <c r="B394" t="s">
        <v>349</v>
      </c>
      <c r="C394" t="s">
        <v>351</v>
      </c>
      <c r="D394" s="3" t="s">
        <v>856</v>
      </c>
      <c r="E394" s="10">
        <v>9.3749999999999997E-3</v>
      </c>
      <c r="F394" s="13" t="s">
        <v>176</v>
      </c>
      <c r="G394" s="9">
        <v>850</v>
      </c>
      <c r="H394" s="9">
        <f t="shared" si="12"/>
        <v>7.96875</v>
      </c>
      <c r="I394" t="s">
        <v>179</v>
      </c>
      <c r="J394" s="33" t="s">
        <v>514</v>
      </c>
      <c r="K394" s="18">
        <f>VLOOKUP(D394,Ingredients!C:G,5,0)</f>
        <v>980</v>
      </c>
      <c r="L394" s="52">
        <f t="shared" si="13"/>
        <v>9.1875</v>
      </c>
    </row>
    <row r="395" spans="1:12">
      <c r="A395" t="s">
        <v>367</v>
      </c>
      <c r="B395" t="s">
        <v>349</v>
      </c>
      <c r="C395" t="s">
        <v>351</v>
      </c>
      <c r="D395" s="3" t="s">
        <v>853</v>
      </c>
      <c r="E395" s="10">
        <v>9.3749999999999997E-3</v>
      </c>
      <c r="F395" s="13" t="s">
        <v>176</v>
      </c>
      <c r="G395" s="9">
        <v>30</v>
      </c>
      <c r="H395" s="9">
        <f t="shared" si="12"/>
        <v>0.28125</v>
      </c>
      <c r="I395" t="s">
        <v>179</v>
      </c>
      <c r="J395" s="33" t="s">
        <v>514</v>
      </c>
      <c r="K395" s="18">
        <f>VLOOKUP(D395,Ingredients!C:G,5,0)</f>
        <v>55</v>
      </c>
      <c r="L395" s="52">
        <f t="shared" si="13"/>
        <v>0.515625</v>
      </c>
    </row>
    <row r="396" spans="1:12">
      <c r="A396" t="s">
        <v>367</v>
      </c>
      <c r="B396" t="s">
        <v>349</v>
      </c>
      <c r="C396" t="s">
        <v>351</v>
      </c>
      <c r="D396" s="3" t="s">
        <v>837</v>
      </c>
      <c r="E396" s="10">
        <v>1</v>
      </c>
      <c r="F396" s="13" t="s">
        <v>176</v>
      </c>
      <c r="G396" s="9">
        <v>1700</v>
      </c>
      <c r="H396" s="9">
        <f t="shared" si="12"/>
        <v>1700</v>
      </c>
      <c r="I396" t="s">
        <v>179</v>
      </c>
      <c r="J396" s="33" t="s">
        <v>514</v>
      </c>
      <c r="K396" s="18">
        <f>VLOOKUP(D396,Ingredients!C:G,5,0)</f>
        <v>1800</v>
      </c>
      <c r="L396" s="52">
        <f t="shared" si="13"/>
        <v>1800</v>
      </c>
    </row>
    <row r="397" spans="1:12">
      <c r="A397" t="s">
        <v>141</v>
      </c>
      <c r="B397" t="s">
        <v>349</v>
      </c>
      <c r="C397" t="s">
        <v>350</v>
      </c>
      <c r="D397" s="3" t="s">
        <v>16</v>
      </c>
      <c r="E397" s="10">
        <v>1.4285714285714287E-2</v>
      </c>
      <c r="F397" s="13" t="s">
        <v>176</v>
      </c>
      <c r="G397" s="9">
        <v>270</v>
      </c>
      <c r="H397" s="9">
        <f t="shared" si="12"/>
        <v>3.8571428571428577</v>
      </c>
      <c r="I397" t="s">
        <v>179</v>
      </c>
      <c r="J397" s="33" t="s">
        <v>489</v>
      </c>
      <c r="K397" s="18">
        <f>VLOOKUP(D397,Ingredients!C:G,5,0)</f>
        <v>310</v>
      </c>
      <c r="L397" s="52">
        <f t="shared" si="13"/>
        <v>4.4285714285714288</v>
      </c>
    </row>
    <row r="398" spans="1:12">
      <c r="A398" t="s">
        <v>141</v>
      </c>
      <c r="B398" t="s">
        <v>349</v>
      </c>
      <c r="C398" t="s">
        <v>350</v>
      </c>
      <c r="D398" s="3" t="s">
        <v>23</v>
      </c>
      <c r="E398" s="10">
        <v>1.4285714285714287E-2</v>
      </c>
      <c r="F398" s="13" t="s">
        <v>176</v>
      </c>
      <c r="G398" s="9">
        <v>740</v>
      </c>
      <c r="H398" s="9">
        <f t="shared" si="12"/>
        <v>10.571428571428573</v>
      </c>
      <c r="I398" t="s">
        <v>179</v>
      </c>
      <c r="J398" s="33" t="s">
        <v>489</v>
      </c>
      <c r="K398" s="18">
        <f>VLOOKUP(D398,Ingredients!C:G,5,0)</f>
        <v>780</v>
      </c>
      <c r="L398" s="52">
        <f t="shared" si="13"/>
        <v>11.142857142857144</v>
      </c>
    </row>
    <row r="399" spans="1:12">
      <c r="A399" t="s">
        <v>141</v>
      </c>
      <c r="B399" t="s">
        <v>349</v>
      </c>
      <c r="C399" t="s">
        <v>350</v>
      </c>
      <c r="D399" s="3" t="s">
        <v>864</v>
      </c>
      <c r="E399" s="10">
        <v>1.4285714285714287E-2</v>
      </c>
      <c r="F399" s="13" t="s">
        <v>176</v>
      </c>
      <c r="G399" s="9">
        <v>1400</v>
      </c>
      <c r="H399" s="9">
        <f t="shared" si="12"/>
        <v>20.000000000000004</v>
      </c>
      <c r="I399" t="s">
        <v>179</v>
      </c>
      <c r="J399" s="33" t="s">
        <v>489</v>
      </c>
      <c r="K399" s="18">
        <f>VLOOKUP(D399,Ingredients!C:G,5,0)</f>
        <v>1400</v>
      </c>
      <c r="L399" s="52">
        <f t="shared" si="13"/>
        <v>20.000000000000004</v>
      </c>
    </row>
    <row r="400" spans="1:12">
      <c r="A400" t="s">
        <v>141</v>
      </c>
      <c r="B400" t="s">
        <v>349</v>
      </c>
      <c r="C400" t="s">
        <v>350</v>
      </c>
      <c r="D400" s="3" t="s">
        <v>872</v>
      </c>
      <c r="E400" s="10">
        <v>1.4285714285714287E-2</v>
      </c>
      <c r="F400" s="13" t="s">
        <v>176</v>
      </c>
      <c r="G400" s="9">
        <v>2100</v>
      </c>
      <c r="H400" s="9">
        <f t="shared" si="12"/>
        <v>30.000000000000004</v>
      </c>
      <c r="I400" t="s">
        <v>179</v>
      </c>
      <c r="J400" s="33" t="s">
        <v>489</v>
      </c>
      <c r="K400" s="18">
        <f>VLOOKUP(D400,Ingredients!C:G,5,0)</f>
        <v>2150</v>
      </c>
      <c r="L400" s="52">
        <f t="shared" si="13"/>
        <v>30.714285714285715</v>
      </c>
    </row>
    <row r="401" spans="1:12">
      <c r="A401" t="s">
        <v>141</v>
      </c>
      <c r="B401" t="s">
        <v>349</v>
      </c>
      <c r="C401" t="s">
        <v>350</v>
      </c>
      <c r="D401" s="3" t="s">
        <v>805</v>
      </c>
      <c r="E401" s="10">
        <v>1.4285714285714287E-2</v>
      </c>
      <c r="F401" s="13" t="s">
        <v>176</v>
      </c>
      <c r="G401" s="9">
        <v>200</v>
      </c>
      <c r="H401" s="9">
        <f t="shared" si="12"/>
        <v>2.8571428571428572</v>
      </c>
      <c r="I401" t="s">
        <v>179</v>
      </c>
      <c r="J401" s="33" t="s">
        <v>489</v>
      </c>
      <c r="K401" s="18">
        <f>VLOOKUP(D401,Ingredients!C:G,5,0)</f>
        <v>50</v>
      </c>
      <c r="L401" s="52">
        <f t="shared" si="13"/>
        <v>0.7142857142857143</v>
      </c>
    </row>
    <row r="402" spans="1:12">
      <c r="A402" t="s">
        <v>141</v>
      </c>
      <c r="B402" t="s">
        <v>349</v>
      </c>
      <c r="C402" t="s">
        <v>350</v>
      </c>
      <c r="D402" s="3" t="s">
        <v>851</v>
      </c>
      <c r="E402" s="10">
        <v>0.14285714285714288</v>
      </c>
      <c r="F402" s="13" t="s">
        <v>176</v>
      </c>
      <c r="G402" s="9">
        <v>177</v>
      </c>
      <c r="H402" s="9">
        <f t="shared" si="12"/>
        <v>25.285714285714288</v>
      </c>
      <c r="I402" t="s">
        <v>179</v>
      </c>
      <c r="J402" s="33" t="s">
        <v>489</v>
      </c>
      <c r="K402" s="18">
        <f>VLOOKUP(D402,Ingredients!C:G,5,0)</f>
        <v>920</v>
      </c>
      <c r="L402" s="52">
        <f t="shared" si="13"/>
        <v>131.42857142857144</v>
      </c>
    </row>
    <row r="403" spans="1:12">
      <c r="A403" t="s">
        <v>141</v>
      </c>
      <c r="B403" t="s">
        <v>349</v>
      </c>
      <c r="C403" t="s">
        <v>350</v>
      </c>
      <c r="D403" s="3" t="s">
        <v>29</v>
      </c>
      <c r="E403" s="10">
        <v>8.5714285714285715E-2</v>
      </c>
      <c r="F403" s="13" t="s">
        <v>176</v>
      </c>
      <c r="G403" s="9">
        <v>60</v>
      </c>
      <c r="H403" s="9">
        <f t="shared" si="12"/>
        <v>5.1428571428571432</v>
      </c>
      <c r="I403" t="s">
        <v>179</v>
      </c>
      <c r="J403" s="33" t="s">
        <v>489</v>
      </c>
      <c r="K403" s="18">
        <f>VLOOKUP(D403,Ingredients!C:G,5,0)</f>
        <v>100</v>
      </c>
      <c r="L403" s="52">
        <f t="shared" si="13"/>
        <v>8.5714285714285712</v>
      </c>
    </row>
    <row r="404" spans="1:12">
      <c r="A404" t="s">
        <v>141</v>
      </c>
      <c r="B404" t="s">
        <v>349</v>
      </c>
      <c r="C404" t="s">
        <v>350</v>
      </c>
      <c r="D404" s="3" t="s">
        <v>853</v>
      </c>
      <c r="E404" s="10">
        <v>1.4285714285714287E-2</v>
      </c>
      <c r="F404" s="13" t="s">
        <v>176</v>
      </c>
      <c r="G404" s="9">
        <v>30</v>
      </c>
      <c r="H404" s="9">
        <f t="shared" si="12"/>
        <v>0.4285714285714286</v>
      </c>
      <c r="I404" t="s">
        <v>179</v>
      </c>
      <c r="J404" s="33" t="s">
        <v>489</v>
      </c>
      <c r="K404" s="18">
        <f>VLOOKUP(D404,Ingredients!C:G,5,0)</f>
        <v>55</v>
      </c>
      <c r="L404" s="52">
        <f t="shared" si="13"/>
        <v>0.78571428571428581</v>
      </c>
    </row>
    <row r="405" spans="1:12">
      <c r="A405" t="s">
        <v>141</v>
      </c>
      <c r="B405" t="s">
        <v>349</v>
      </c>
      <c r="C405" t="s">
        <v>350</v>
      </c>
      <c r="D405" s="3" t="s">
        <v>831</v>
      </c>
      <c r="E405" s="10">
        <v>1</v>
      </c>
      <c r="F405" s="13" t="s">
        <v>176</v>
      </c>
      <c r="G405" s="9">
        <v>908</v>
      </c>
      <c r="H405" s="9">
        <f t="shared" si="12"/>
        <v>908</v>
      </c>
      <c r="I405" t="s">
        <v>179</v>
      </c>
      <c r="J405" s="33" t="s">
        <v>489</v>
      </c>
      <c r="K405" s="18">
        <f>VLOOKUP(D405,Ingredients!C:G,5,0)</f>
        <v>908</v>
      </c>
      <c r="L405" s="52">
        <f t="shared" si="13"/>
        <v>908</v>
      </c>
    </row>
    <row r="406" spans="1:12">
      <c r="A406" t="s">
        <v>149</v>
      </c>
      <c r="B406" t="s">
        <v>347</v>
      </c>
      <c r="C406" t="s">
        <v>365</v>
      </c>
      <c r="D406" s="3" t="s">
        <v>880</v>
      </c>
      <c r="E406" s="10">
        <v>3.0000000000000001E-3</v>
      </c>
      <c r="F406" s="13" t="s">
        <v>176</v>
      </c>
      <c r="G406" s="9">
        <v>650</v>
      </c>
      <c r="H406" s="43">
        <f t="shared" si="12"/>
        <v>1.95</v>
      </c>
      <c r="I406" t="s">
        <v>486</v>
      </c>
      <c r="J406" s="33">
        <v>0</v>
      </c>
      <c r="K406" s="18">
        <f>VLOOKUP(D406,Ingredients!C:G,5,0)</f>
        <v>520</v>
      </c>
      <c r="L406" s="52">
        <f t="shared" si="13"/>
        <v>1.56</v>
      </c>
    </row>
    <row r="407" spans="1:12">
      <c r="A407" t="s">
        <v>149</v>
      </c>
      <c r="B407" t="s">
        <v>347</v>
      </c>
      <c r="C407" t="s">
        <v>365</v>
      </c>
      <c r="D407" s="3" t="s">
        <v>310</v>
      </c>
      <c r="E407" s="10">
        <v>3.0000000000000001E-3</v>
      </c>
      <c r="F407" s="13" t="s">
        <v>177</v>
      </c>
      <c r="G407" s="9">
        <v>425</v>
      </c>
      <c r="H407" s="43">
        <f t="shared" si="12"/>
        <v>1.2750000000000001</v>
      </c>
      <c r="I407" t="s">
        <v>486</v>
      </c>
      <c r="J407" s="33">
        <v>0</v>
      </c>
      <c r="K407" s="18">
        <f>VLOOKUP(D407,Ingredients!C:G,5,0)</f>
        <v>850</v>
      </c>
      <c r="L407" s="52">
        <f t="shared" si="13"/>
        <v>2.5500000000000003</v>
      </c>
    </row>
    <row r="408" spans="1:12">
      <c r="A408" t="s">
        <v>149</v>
      </c>
      <c r="B408" t="s">
        <v>347</v>
      </c>
      <c r="C408" t="s">
        <v>365</v>
      </c>
      <c r="D408" s="3" t="s">
        <v>146</v>
      </c>
      <c r="E408" s="10">
        <v>0.25</v>
      </c>
      <c r="F408" s="13" t="s">
        <v>253</v>
      </c>
      <c r="G408" s="9">
        <v>130</v>
      </c>
      <c r="H408" s="43">
        <f t="shared" si="12"/>
        <v>32.5</v>
      </c>
      <c r="I408" t="s">
        <v>486</v>
      </c>
      <c r="J408" s="33">
        <v>0</v>
      </c>
      <c r="K408" s="18">
        <f>VLOOKUP(D408,Ingredients!C:G,5,0)</f>
        <v>20</v>
      </c>
      <c r="L408" s="52">
        <f t="shared" si="13"/>
        <v>5</v>
      </c>
    </row>
    <row r="409" spans="1:12">
      <c r="A409" t="s">
        <v>149</v>
      </c>
      <c r="B409" t="s">
        <v>347</v>
      </c>
      <c r="C409" t="s">
        <v>365</v>
      </c>
      <c r="D409" s="3" t="s">
        <v>975</v>
      </c>
      <c r="E409" s="10">
        <v>2.5000000000000001E-2</v>
      </c>
      <c r="F409" s="13" t="s">
        <v>176</v>
      </c>
      <c r="G409" s="9">
        <v>142.85</v>
      </c>
      <c r="H409" s="43">
        <f t="shared" si="12"/>
        <v>3.57125</v>
      </c>
      <c r="I409" t="s">
        <v>486</v>
      </c>
      <c r="J409" s="33">
        <v>0</v>
      </c>
      <c r="K409" s="18">
        <f>VLOOKUP(D409,Ingredients!C:G,5,0)</f>
        <v>142.85</v>
      </c>
      <c r="L409" s="52">
        <f t="shared" si="13"/>
        <v>3.57125</v>
      </c>
    </row>
    <row r="410" spans="1:12">
      <c r="A410" t="s">
        <v>149</v>
      </c>
      <c r="B410" t="s">
        <v>347</v>
      </c>
      <c r="C410" t="s">
        <v>365</v>
      </c>
      <c r="D410" s="3" t="s">
        <v>148</v>
      </c>
      <c r="E410" s="10">
        <v>2</v>
      </c>
      <c r="F410" s="13" t="s">
        <v>173</v>
      </c>
      <c r="G410" s="9">
        <v>5</v>
      </c>
      <c r="H410" s="43">
        <f t="shared" si="12"/>
        <v>10</v>
      </c>
      <c r="I410" t="s">
        <v>486</v>
      </c>
      <c r="J410" s="33">
        <v>0</v>
      </c>
      <c r="K410" s="18">
        <f>VLOOKUP(D410,Ingredients!C:G,5,0)</f>
        <v>5</v>
      </c>
      <c r="L410" s="52">
        <f t="shared" si="13"/>
        <v>10</v>
      </c>
    </row>
    <row r="411" spans="1:12">
      <c r="A411" t="s">
        <v>149</v>
      </c>
      <c r="B411" t="s">
        <v>347</v>
      </c>
      <c r="C411" t="s">
        <v>365</v>
      </c>
      <c r="D411" s="3" t="s">
        <v>29</v>
      </c>
      <c r="E411" s="10">
        <v>0.01</v>
      </c>
      <c r="F411" s="13" t="s">
        <v>176</v>
      </c>
      <c r="G411" s="9">
        <v>60</v>
      </c>
      <c r="H411" s="43">
        <f t="shared" si="12"/>
        <v>0.6</v>
      </c>
      <c r="I411" t="s">
        <v>486</v>
      </c>
      <c r="J411" s="33">
        <v>0</v>
      </c>
      <c r="K411" s="18">
        <f>VLOOKUP(D411,Ingredients!C:G,5,0)</f>
        <v>100</v>
      </c>
      <c r="L411" s="52">
        <f t="shared" si="13"/>
        <v>1</v>
      </c>
    </row>
    <row r="412" spans="1:12">
      <c r="A412" t="s">
        <v>149</v>
      </c>
      <c r="B412" t="s">
        <v>347</v>
      </c>
      <c r="C412" t="s">
        <v>365</v>
      </c>
      <c r="D412" s="3" t="s">
        <v>24</v>
      </c>
      <c r="E412" s="10">
        <v>0.02</v>
      </c>
      <c r="F412" s="13" t="s">
        <v>176</v>
      </c>
      <c r="G412" s="9">
        <v>55</v>
      </c>
      <c r="H412" s="43">
        <f t="shared" si="12"/>
        <v>1.1000000000000001</v>
      </c>
      <c r="I412" t="s">
        <v>486</v>
      </c>
      <c r="J412" s="33">
        <v>0</v>
      </c>
      <c r="K412" s="18">
        <f>VLOOKUP(D412,Ingredients!C:G,5,0)</f>
        <v>80</v>
      </c>
      <c r="L412" s="52">
        <f t="shared" si="13"/>
        <v>1.6</v>
      </c>
    </row>
    <row r="413" spans="1:12">
      <c r="A413" t="s">
        <v>149</v>
      </c>
      <c r="B413" t="s">
        <v>347</v>
      </c>
      <c r="C413" t="s">
        <v>365</v>
      </c>
      <c r="D413" s="3" t="s">
        <v>865</v>
      </c>
      <c r="E413" s="10">
        <v>0.01</v>
      </c>
      <c r="F413" s="13" t="s">
        <v>176</v>
      </c>
      <c r="G413" s="9">
        <v>1400</v>
      </c>
      <c r="H413" s="43">
        <f t="shared" si="12"/>
        <v>14</v>
      </c>
      <c r="I413" t="s">
        <v>486</v>
      </c>
      <c r="J413" s="33">
        <v>0</v>
      </c>
      <c r="K413" s="18">
        <f>VLOOKUP(D413,Ingredients!C:G,5,0)</f>
        <v>1400</v>
      </c>
      <c r="L413" s="52">
        <f t="shared" si="13"/>
        <v>14</v>
      </c>
    </row>
    <row r="414" spans="1:12">
      <c r="A414" t="s">
        <v>149</v>
      </c>
      <c r="B414" t="s">
        <v>347</v>
      </c>
      <c r="C414" t="s">
        <v>365</v>
      </c>
      <c r="D414" s="3" t="s">
        <v>831</v>
      </c>
      <c r="E414" s="10">
        <v>1.4999999999999999E-2</v>
      </c>
      <c r="F414" s="13" t="s">
        <v>176</v>
      </c>
      <c r="G414" s="9">
        <v>908</v>
      </c>
      <c r="H414" s="43">
        <f t="shared" si="12"/>
        <v>13.62</v>
      </c>
      <c r="I414" t="s">
        <v>486</v>
      </c>
      <c r="J414" s="33">
        <v>0</v>
      </c>
      <c r="K414" s="18">
        <f>VLOOKUP(D414,Ingredients!C:G,5,0)</f>
        <v>908</v>
      </c>
      <c r="L414" s="52">
        <f t="shared" si="13"/>
        <v>13.62</v>
      </c>
    </row>
    <row r="415" spans="1:12">
      <c r="A415" t="s">
        <v>150</v>
      </c>
      <c r="B415" t="s">
        <v>349</v>
      </c>
      <c r="C415" t="s">
        <v>350</v>
      </c>
      <c r="D415" s="3" t="s">
        <v>805</v>
      </c>
      <c r="E415" s="10">
        <v>1.6666666666666666E-2</v>
      </c>
      <c r="F415" s="13" t="s">
        <v>176</v>
      </c>
      <c r="G415" s="9">
        <v>200</v>
      </c>
      <c r="H415" s="9">
        <f t="shared" si="12"/>
        <v>3.3333333333333335</v>
      </c>
      <c r="I415" t="s">
        <v>179</v>
      </c>
      <c r="J415" s="33" t="s">
        <v>504</v>
      </c>
      <c r="K415" s="18">
        <f>VLOOKUP(D415,Ingredients!C:G,5,0)</f>
        <v>50</v>
      </c>
      <c r="L415" s="52">
        <f t="shared" si="13"/>
        <v>0.83333333333333337</v>
      </c>
    </row>
    <row r="416" spans="1:12">
      <c r="A416" t="s">
        <v>150</v>
      </c>
      <c r="B416" t="s">
        <v>349</v>
      </c>
      <c r="C416" t="s">
        <v>350</v>
      </c>
      <c r="D416" s="3" t="s">
        <v>16</v>
      </c>
      <c r="E416" s="10">
        <v>3.3333333333333333E-2</v>
      </c>
      <c r="F416" s="13" t="s">
        <v>176</v>
      </c>
      <c r="G416" s="9">
        <v>270</v>
      </c>
      <c r="H416" s="9">
        <f t="shared" si="12"/>
        <v>9</v>
      </c>
      <c r="I416" t="s">
        <v>179</v>
      </c>
      <c r="J416" s="33" t="s">
        <v>504</v>
      </c>
      <c r="K416" s="18">
        <f>VLOOKUP(D416,Ingredients!C:G,5,0)</f>
        <v>310</v>
      </c>
      <c r="L416" s="52">
        <f t="shared" si="13"/>
        <v>10.333333333333334</v>
      </c>
    </row>
    <row r="417" spans="1:12">
      <c r="A417" t="s">
        <v>150</v>
      </c>
      <c r="B417" t="s">
        <v>349</v>
      </c>
      <c r="C417" t="s">
        <v>350</v>
      </c>
      <c r="D417" s="3" t="s">
        <v>23</v>
      </c>
      <c r="E417" s="10">
        <v>0.02</v>
      </c>
      <c r="F417" s="13" t="s">
        <v>176</v>
      </c>
      <c r="G417" s="9">
        <v>740</v>
      </c>
      <c r="H417" s="9">
        <f t="shared" si="12"/>
        <v>14.8</v>
      </c>
      <c r="I417" t="s">
        <v>179</v>
      </c>
      <c r="J417" s="33" t="s">
        <v>504</v>
      </c>
      <c r="K417" s="18">
        <f>VLOOKUP(D417,Ingredients!C:G,5,0)</f>
        <v>780</v>
      </c>
      <c r="L417" s="52">
        <f t="shared" si="13"/>
        <v>15.6</v>
      </c>
    </row>
    <row r="418" spans="1:12">
      <c r="A418" t="s">
        <v>150</v>
      </c>
      <c r="B418" t="s">
        <v>349</v>
      </c>
      <c r="C418" t="s">
        <v>350</v>
      </c>
      <c r="D418" s="3" t="s">
        <v>868</v>
      </c>
      <c r="E418" s="10">
        <v>3.3333333333333333E-2</v>
      </c>
      <c r="F418" s="13" t="s">
        <v>177</v>
      </c>
      <c r="G418" s="9">
        <v>5432.77</v>
      </c>
      <c r="H418" s="9">
        <f t="shared" si="12"/>
        <v>181.09233333333336</v>
      </c>
      <c r="I418" t="s">
        <v>179</v>
      </c>
      <c r="J418" s="33" t="s">
        <v>504</v>
      </c>
      <c r="K418" s="18">
        <f>VLOOKUP(D418,Ingredients!C:G,5,0)</f>
        <v>3200</v>
      </c>
      <c r="L418" s="52">
        <f t="shared" si="13"/>
        <v>106.66666666666667</v>
      </c>
    </row>
    <row r="419" spans="1:12">
      <c r="A419" t="s">
        <v>150</v>
      </c>
      <c r="B419" t="s">
        <v>349</v>
      </c>
      <c r="C419" t="s">
        <v>350</v>
      </c>
      <c r="D419" s="3" t="s">
        <v>851</v>
      </c>
      <c r="E419" s="10">
        <v>1.6666666666666666E-2</v>
      </c>
      <c r="F419" s="13" t="s">
        <v>176</v>
      </c>
      <c r="G419" s="9">
        <v>177</v>
      </c>
      <c r="H419" s="9">
        <f t="shared" si="12"/>
        <v>2.95</v>
      </c>
      <c r="I419" t="s">
        <v>179</v>
      </c>
      <c r="J419" s="33" t="s">
        <v>504</v>
      </c>
      <c r="K419" s="18">
        <f>VLOOKUP(D419,Ingredients!C:G,5,0)</f>
        <v>920</v>
      </c>
      <c r="L419" s="52">
        <f t="shared" si="13"/>
        <v>15.333333333333334</v>
      </c>
    </row>
    <row r="420" spans="1:12">
      <c r="A420" t="s">
        <v>150</v>
      </c>
      <c r="B420" t="s">
        <v>349</v>
      </c>
      <c r="C420" t="s">
        <v>350</v>
      </c>
      <c r="D420" s="3" t="s">
        <v>860</v>
      </c>
      <c r="E420" s="10">
        <v>3.3333333333333335E-3</v>
      </c>
      <c r="F420" s="13" t="s">
        <v>176</v>
      </c>
      <c r="G420" s="9">
        <v>2000</v>
      </c>
      <c r="H420" s="9">
        <f t="shared" si="12"/>
        <v>6.666666666666667</v>
      </c>
      <c r="I420" t="s">
        <v>179</v>
      </c>
      <c r="J420" s="33" t="s">
        <v>504</v>
      </c>
      <c r="K420" s="18">
        <f>VLOOKUP(D420,Ingredients!C:G,5,0)</f>
        <v>1900</v>
      </c>
      <c r="L420" s="52">
        <f t="shared" si="13"/>
        <v>6.3333333333333339</v>
      </c>
    </row>
    <row r="421" spans="1:12">
      <c r="A421" t="s">
        <v>150</v>
      </c>
      <c r="B421" t="s">
        <v>349</v>
      </c>
      <c r="C421" t="s">
        <v>350</v>
      </c>
      <c r="D421" s="3" t="s">
        <v>855</v>
      </c>
      <c r="E421" s="10">
        <v>3.3333333333333335E-3</v>
      </c>
      <c r="F421" s="13" t="s">
        <v>176</v>
      </c>
      <c r="G421" s="9">
        <v>2400</v>
      </c>
      <c r="H421" s="9">
        <f t="shared" si="12"/>
        <v>8</v>
      </c>
      <c r="I421" t="s">
        <v>179</v>
      </c>
      <c r="J421" s="33" t="s">
        <v>504</v>
      </c>
      <c r="K421" s="18">
        <f>VLOOKUP(D421,Ingredients!C:G,5,0)</f>
        <v>1600</v>
      </c>
      <c r="L421" s="52">
        <f t="shared" si="13"/>
        <v>5.3333333333333339</v>
      </c>
    </row>
    <row r="422" spans="1:12">
      <c r="A422" t="s">
        <v>150</v>
      </c>
      <c r="B422" t="s">
        <v>349</v>
      </c>
      <c r="C422" t="s">
        <v>350</v>
      </c>
      <c r="D422" s="3" t="s">
        <v>856</v>
      </c>
      <c r="E422" s="10">
        <v>0.01</v>
      </c>
      <c r="F422" s="13" t="s">
        <v>176</v>
      </c>
      <c r="G422" s="9">
        <v>850</v>
      </c>
      <c r="H422" s="9">
        <f t="shared" si="12"/>
        <v>8.5</v>
      </c>
      <c r="I422" t="s">
        <v>179</v>
      </c>
      <c r="J422" s="33" t="s">
        <v>504</v>
      </c>
      <c r="K422" s="18">
        <f>VLOOKUP(D422,Ingredients!C:G,5,0)</f>
        <v>980</v>
      </c>
      <c r="L422" s="52">
        <f t="shared" si="13"/>
        <v>9.8000000000000007</v>
      </c>
    </row>
    <row r="423" spans="1:12">
      <c r="A423" t="s">
        <v>150</v>
      </c>
      <c r="B423" t="s">
        <v>349</v>
      </c>
      <c r="C423" t="s">
        <v>350</v>
      </c>
      <c r="D423" s="3" t="s">
        <v>853</v>
      </c>
      <c r="E423" s="10">
        <v>0.01</v>
      </c>
      <c r="F423" s="13" t="s">
        <v>176</v>
      </c>
      <c r="G423" s="9">
        <v>30</v>
      </c>
      <c r="H423" s="9">
        <f t="shared" si="12"/>
        <v>0.3</v>
      </c>
      <c r="I423" t="s">
        <v>179</v>
      </c>
      <c r="J423" s="33" t="s">
        <v>504</v>
      </c>
      <c r="K423" s="18">
        <f>VLOOKUP(D423,Ingredients!C:G,5,0)</f>
        <v>55</v>
      </c>
      <c r="L423" s="52">
        <f t="shared" si="13"/>
        <v>0.55000000000000004</v>
      </c>
    </row>
    <row r="424" spans="1:12">
      <c r="A424" t="s">
        <v>150</v>
      </c>
      <c r="B424" t="s">
        <v>349</v>
      </c>
      <c r="C424" t="s">
        <v>350</v>
      </c>
      <c r="D424" s="3" t="s">
        <v>836</v>
      </c>
      <c r="E424" s="10">
        <v>1</v>
      </c>
      <c r="F424" s="13" t="s">
        <v>176</v>
      </c>
      <c r="G424" s="9">
        <v>1957.5</v>
      </c>
      <c r="H424" s="9">
        <f t="shared" si="12"/>
        <v>1957.5</v>
      </c>
      <c r="I424" t="s">
        <v>179</v>
      </c>
      <c r="J424" s="33" t="s">
        <v>504</v>
      </c>
      <c r="K424" s="18">
        <f>VLOOKUP(D424,Ingredients!C:G,5,0)</f>
        <v>2200</v>
      </c>
      <c r="L424" s="52">
        <f t="shared" si="13"/>
        <v>2200</v>
      </c>
    </row>
    <row r="425" spans="1:12">
      <c r="A425" t="s">
        <v>151</v>
      </c>
      <c r="B425" t="s">
        <v>349</v>
      </c>
      <c r="C425" t="s">
        <v>456</v>
      </c>
      <c r="D425" s="3" t="s">
        <v>851</v>
      </c>
      <c r="E425" s="10">
        <v>5.7142857142857143E-3</v>
      </c>
      <c r="F425" s="13" t="s">
        <v>176</v>
      </c>
      <c r="G425" s="9">
        <v>177</v>
      </c>
      <c r="H425" s="9">
        <f t="shared" si="12"/>
        <v>1.0114285714285713</v>
      </c>
      <c r="I425" t="s">
        <v>179</v>
      </c>
      <c r="J425" s="3" t="s">
        <v>894</v>
      </c>
      <c r="K425" s="18">
        <f>VLOOKUP(D425,Ingredients!C:G,5,0)</f>
        <v>920</v>
      </c>
      <c r="L425" s="52">
        <f t="shared" si="13"/>
        <v>5.2571428571428571</v>
      </c>
    </row>
    <row r="426" spans="1:12">
      <c r="A426" t="s">
        <v>151</v>
      </c>
      <c r="B426" t="s">
        <v>349</v>
      </c>
      <c r="C426" t="s">
        <v>456</v>
      </c>
      <c r="D426" s="3" t="s">
        <v>805</v>
      </c>
      <c r="E426" s="10">
        <v>5.7142857142857143E-3</v>
      </c>
      <c r="F426" s="13" t="s">
        <v>176</v>
      </c>
      <c r="G426" s="9">
        <v>200</v>
      </c>
      <c r="H426" s="9">
        <f t="shared" si="12"/>
        <v>1.1428571428571428</v>
      </c>
      <c r="I426" t="s">
        <v>179</v>
      </c>
      <c r="J426" s="3" t="s">
        <v>894</v>
      </c>
      <c r="K426" s="18">
        <f>VLOOKUP(D426,Ingredients!C:G,5,0)</f>
        <v>50</v>
      </c>
      <c r="L426" s="52">
        <f t="shared" si="13"/>
        <v>0.2857142857142857</v>
      </c>
    </row>
    <row r="427" spans="1:12">
      <c r="A427" t="s">
        <v>151</v>
      </c>
      <c r="B427" t="s">
        <v>349</v>
      </c>
      <c r="C427" t="s">
        <v>456</v>
      </c>
      <c r="D427" s="3" t="s">
        <v>16</v>
      </c>
      <c r="E427" s="10">
        <v>1.1428571428571429E-2</v>
      </c>
      <c r="F427" s="13" t="s">
        <v>176</v>
      </c>
      <c r="G427" s="9">
        <v>270</v>
      </c>
      <c r="H427" s="9">
        <f t="shared" si="12"/>
        <v>3.0857142857142859</v>
      </c>
      <c r="I427" t="s">
        <v>179</v>
      </c>
      <c r="J427" s="3" t="s">
        <v>894</v>
      </c>
      <c r="K427" s="18">
        <f>VLOOKUP(D427,Ingredients!C:G,5,0)</f>
        <v>310</v>
      </c>
      <c r="L427" s="52">
        <f t="shared" si="13"/>
        <v>3.5428571428571427</v>
      </c>
    </row>
    <row r="428" spans="1:12">
      <c r="A428" t="s">
        <v>151</v>
      </c>
      <c r="B428" t="s">
        <v>349</v>
      </c>
      <c r="C428" t="s">
        <v>456</v>
      </c>
      <c r="D428" s="3" t="s">
        <v>23</v>
      </c>
      <c r="E428" s="10">
        <v>1.1428571428571429E-2</v>
      </c>
      <c r="F428" s="13" t="s">
        <v>176</v>
      </c>
      <c r="G428" s="9">
        <v>740</v>
      </c>
      <c r="H428" s="9">
        <f t="shared" si="12"/>
        <v>8.4571428571428573</v>
      </c>
      <c r="I428" t="s">
        <v>179</v>
      </c>
      <c r="J428" s="3" t="s">
        <v>894</v>
      </c>
      <c r="K428" s="18">
        <f>VLOOKUP(D428,Ingredients!C:G,5,0)</f>
        <v>780</v>
      </c>
      <c r="L428" s="52">
        <f t="shared" si="13"/>
        <v>8.9142857142857146</v>
      </c>
    </row>
    <row r="429" spans="1:12">
      <c r="A429" t="s">
        <v>151</v>
      </c>
      <c r="B429" t="s">
        <v>349</v>
      </c>
      <c r="C429" t="s">
        <v>456</v>
      </c>
      <c r="D429" s="3" t="s">
        <v>868</v>
      </c>
      <c r="E429" s="10">
        <v>4.2857142857142858E-2</v>
      </c>
      <c r="F429" s="13" t="s">
        <v>177</v>
      </c>
      <c r="G429" s="9">
        <v>5432.77</v>
      </c>
      <c r="H429" s="9">
        <f t="shared" si="12"/>
        <v>232.83300000000003</v>
      </c>
      <c r="I429" t="s">
        <v>179</v>
      </c>
      <c r="J429" s="3" t="s">
        <v>894</v>
      </c>
      <c r="K429" s="18">
        <f>VLOOKUP(D429,Ingredients!C:G,5,0)</f>
        <v>3200</v>
      </c>
      <c r="L429" s="52">
        <f t="shared" si="13"/>
        <v>137.14285714285714</v>
      </c>
    </row>
    <row r="430" spans="1:12">
      <c r="A430" t="s">
        <v>151</v>
      </c>
      <c r="B430" t="s">
        <v>349</v>
      </c>
      <c r="C430" t="s">
        <v>456</v>
      </c>
      <c r="D430" s="3" t="s">
        <v>860</v>
      </c>
      <c r="E430" s="10">
        <v>2.8571428571428571E-3</v>
      </c>
      <c r="F430" s="13" t="s">
        <v>176</v>
      </c>
      <c r="G430" s="9">
        <v>2000</v>
      </c>
      <c r="H430" s="9">
        <f t="shared" si="12"/>
        <v>5.7142857142857144</v>
      </c>
      <c r="I430" t="s">
        <v>179</v>
      </c>
      <c r="J430" s="3" t="s">
        <v>894</v>
      </c>
      <c r="K430" s="18">
        <f>VLOOKUP(D430,Ingredients!C:G,5,0)</f>
        <v>1900</v>
      </c>
      <c r="L430" s="52">
        <f t="shared" si="13"/>
        <v>5.4285714285714288</v>
      </c>
    </row>
    <row r="431" spans="1:12">
      <c r="A431" t="s">
        <v>151</v>
      </c>
      <c r="B431" t="s">
        <v>349</v>
      </c>
      <c r="C431" t="s">
        <v>456</v>
      </c>
      <c r="D431" s="3" t="s">
        <v>855</v>
      </c>
      <c r="E431" s="10">
        <v>2.8571428571428571E-3</v>
      </c>
      <c r="F431" s="13" t="s">
        <v>176</v>
      </c>
      <c r="G431" s="9">
        <v>2400</v>
      </c>
      <c r="H431" s="9">
        <f t="shared" si="12"/>
        <v>6.8571428571428568</v>
      </c>
      <c r="I431" t="s">
        <v>179</v>
      </c>
      <c r="J431" s="3" t="s">
        <v>894</v>
      </c>
      <c r="K431" s="18">
        <f>VLOOKUP(D431,Ingredients!C:G,5,0)</f>
        <v>1600</v>
      </c>
      <c r="L431" s="52">
        <f t="shared" si="13"/>
        <v>4.5714285714285712</v>
      </c>
    </row>
    <row r="432" spans="1:12">
      <c r="A432" t="s">
        <v>151</v>
      </c>
      <c r="B432" t="s">
        <v>349</v>
      </c>
      <c r="C432" t="s">
        <v>456</v>
      </c>
      <c r="D432" s="3" t="s">
        <v>856</v>
      </c>
      <c r="E432" s="10">
        <v>8.5714285714285719E-3</v>
      </c>
      <c r="F432" s="13" t="s">
        <v>176</v>
      </c>
      <c r="G432" s="9">
        <v>850</v>
      </c>
      <c r="H432" s="9">
        <f t="shared" si="12"/>
        <v>7.2857142857142865</v>
      </c>
      <c r="I432" t="s">
        <v>179</v>
      </c>
      <c r="J432" s="3" t="s">
        <v>894</v>
      </c>
      <c r="K432" s="18">
        <f>VLOOKUP(D432,Ingredients!C:G,5,0)</f>
        <v>980</v>
      </c>
      <c r="L432" s="52">
        <f t="shared" si="13"/>
        <v>8.4</v>
      </c>
    </row>
    <row r="433" spans="1:12">
      <c r="A433" t="s">
        <v>151</v>
      </c>
      <c r="B433" t="s">
        <v>349</v>
      </c>
      <c r="C433" t="s">
        <v>456</v>
      </c>
      <c r="D433" s="3" t="s">
        <v>853</v>
      </c>
      <c r="E433" s="10">
        <v>8.5714285714285719E-3</v>
      </c>
      <c r="F433" s="13" t="s">
        <v>176</v>
      </c>
      <c r="G433" s="9">
        <v>30</v>
      </c>
      <c r="H433" s="9">
        <f t="shared" si="12"/>
        <v>0.25714285714285717</v>
      </c>
      <c r="I433" t="s">
        <v>179</v>
      </c>
      <c r="J433" s="3" t="s">
        <v>894</v>
      </c>
      <c r="K433" s="18">
        <f>VLOOKUP(D433,Ingredients!C:G,5,0)</f>
        <v>55</v>
      </c>
      <c r="L433" s="52">
        <f t="shared" si="13"/>
        <v>0.47142857142857147</v>
      </c>
    </row>
    <row r="434" spans="1:12">
      <c r="A434" t="s">
        <v>151</v>
      </c>
      <c r="B434" t="s">
        <v>349</v>
      </c>
      <c r="C434" t="s">
        <v>456</v>
      </c>
      <c r="D434" s="3" t="s">
        <v>894</v>
      </c>
      <c r="E434" s="10">
        <v>1</v>
      </c>
      <c r="F434" s="13" t="s">
        <v>176</v>
      </c>
      <c r="G434" s="9">
        <v>1620</v>
      </c>
      <c r="H434" s="9">
        <f t="shared" si="12"/>
        <v>1620</v>
      </c>
      <c r="I434" t="s">
        <v>179</v>
      </c>
      <c r="J434" s="3" t="s">
        <v>894</v>
      </c>
      <c r="K434" s="18">
        <f>VLOOKUP(D434,Ingredients!C:G,5,0)</f>
        <v>1800</v>
      </c>
      <c r="L434" s="52">
        <f t="shared" si="13"/>
        <v>1800</v>
      </c>
    </row>
    <row r="435" spans="1:12">
      <c r="A435" t="s">
        <v>152</v>
      </c>
      <c r="B435" t="s">
        <v>349</v>
      </c>
      <c r="C435" t="s">
        <v>350</v>
      </c>
      <c r="D435" s="3" t="s">
        <v>865</v>
      </c>
      <c r="E435" s="10">
        <v>0.04</v>
      </c>
      <c r="F435" s="13" t="s">
        <v>176</v>
      </c>
      <c r="G435" s="9">
        <v>1400</v>
      </c>
      <c r="H435" s="9">
        <f t="shared" si="12"/>
        <v>56</v>
      </c>
      <c r="I435" t="s">
        <v>179</v>
      </c>
      <c r="J435" s="33" t="s">
        <v>504</v>
      </c>
      <c r="K435" s="18">
        <f>VLOOKUP(D435,Ingredients!C:G,5,0)</f>
        <v>1400</v>
      </c>
      <c r="L435" s="52">
        <f t="shared" si="13"/>
        <v>56</v>
      </c>
    </row>
    <row r="436" spans="1:12">
      <c r="A436" t="s">
        <v>152</v>
      </c>
      <c r="B436" t="s">
        <v>349</v>
      </c>
      <c r="C436" t="s">
        <v>350</v>
      </c>
      <c r="D436" s="3" t="s">
        <v>878</v>
      </c>
      <c r="E436" s="10">
        <v>0.02</v>
      </c>
      <c r="F436" s="13" t="s">
        <v>176</v>
      </c>
      <c r="G436" s="9">
        <v>270</v>
      </c>
      <c r="H436" s="9">
        <f t="shared" si="12"/>
        <v>5.4</v>
      </c>
      <c r="I436" t="s">
        <v>179</v>
      </c>
      <c r="J436" s="33" t="s">
        <v>504</v>
      </c>
      <c r="K436" s="18">
        <f>VLOOKUP(D436,Ingredients!C:G,5,0)</f>
        <v>1260.55</v>
      </c>
      <c r="L436" s="52">
        <f t="shared" si="13"/>
        <v>25.210999999999999</v>
      </c>
    </row>
    <row r="437" spans="1:12">
      <c r="A437" t="s">
        <v>152</v>
      </c>
      <c r="B437" t="s">
        <v>349</v>
      </c>
      <c r="C437" t="s">
        <v>350</v>
      </c>
      <c r="D437" s="3" t="s">
        <v>849</v>
      </c>
      <c r="E437" s="10">
        <v>0.02</v>
      </c>
      <c r="F437" s="13" t="s">
        <v>176</v>
      </c>
      <c r="G437" s="9">
        <v>1000</v>
      </c>
      <c r="H437" s="9">
        <f t="shared" si="12"/>
        <v>20</v>
      </c>
      <c r="I437" t="s">
        <v>179</v>
      </c>
      <c r="J437" s="33" t="s">
        <v>504</v>
      </c>
      <c r="K437" s="18">
        <f>VLOOKUP(D437,Ingredients!C:G,5,0)</f>
        <v>950</v>
      </c>
      <c r="L437" s="52">
        <f t="shared" si="13"/>
        <v>19</v>
      </c>
    </row>
    <row r="438" spans="1:12">
      <c r="A438" t="s">
        <v>152</v>
      </c>
      <c r="B438" t="s">
        <v>349</v>
      </c>
      <c r="C438" t="s">
        <v>350</v>
      </c>
      <c r="D438" s="3" t="s">
        <v>859</v>
      </c>
      <c r="E438" s="10">
        <v>0.02</v>
      </c>
      <c r="F438" s="13" t="s">
        <v>176</v>
      </c>
      <c r="G438" s="9">
        <v>650</v>
      </c>
      <c r="H438" s="9">
        <f t="shared" si="12"/>
        <v>13</v>
      </c>
      <c r="I438" t="s">
        <v>179</v>
      </c>
      <c r="J438" s="33" t="s">
        <v>504</v>
      </c>
      <c r="K438" s="18">
        <f>VLOOKUP(D438,Ingredients!C:G,5,0)</f>
        <v>700</v>
      </c>
      <c r="L438" s="52">
        <f t="shared" si="13"/>
        <v>14</v>
      </c>
    </row>
    <row r="439" spans="1:12">
      <c r="A439" t="s">
        <v>152</v>
      </c>
      <c r="B439" t="s">
        <v>349</v>
      </c>
      <c r="C439" t="s">
        <v>350</v>
      </c>
      <c r="D439" s="3" t="s">
        <v>860</v>
      </c>
      <c r="E439" s="10">
        <v>0.02</v>
      </c>
      <c r="F439" s="13" t="s">
        <v>176</v>
      </c>
      <c r="G439" s="9">
        <v>2000</v>
      </c>
      <c r="H439" s="9">
        <f t="shared" si="12"/>
        <v>40</v>
      </c>
      <c r="I439" t="s">
        <v>179</v>
      </c>
      <c r="J439" s="33" t="s">
        <v>504</v>
      </c>
      <c r="K439" s="18">
        <f>VLOOKUP(D439,Ingredients!C:G,5,0)</f>
        <v>1900</v>
      </c>
      <c r="L439" s="52">
        <f t="shared" si="13"/>
        <v>38</v>
      </c>
    </row>
    <row r="440" spans="1:12">
      <c r="A440" t="s">
        <v>152</v>
      </c>
      <c r="B440" t="s">
        <v>349</v>
      </c>
      <c r="C440" t="s">
        <v>350</v>
      </c>
      <c r="D440" s="3" t="s">
        <v>832</v>
      </c>
      <c r="E440" s="10">
        <v>0.02</v>
      </c>
      <c r="F440" s="13" t="s">
        <v>176</v>
      </c>
      <c r="G440" s="9">
        <v>128</v>
      </c>
      <c r="H440" s="9">
        <f t="shared" si="12"/>
        <v>2.56</v>
      </c>
      <c r="I440" t="s">
        <v>179</v>
      </c>
      <c r="J440" s="33" t="s">
        <v>504</v>
      </c>
      <c r="K440" s="18">
        <f>VLOOKUP(D440,Ingredients!C:G,5,0)</f>
        <v>131.19999999999999</v>
      </c>
      <c r="L440" s="52">
        <f t="shared" si="13"/>
        <v>2.6239999999999997</v>
      </c>
    </row>
    <row r="441" spans="1:12">
      <c r="A441" t="s">
        <v>152</v>
      </c>
      <c r="B441" t="s">
        <v>349</v>
      </c>
      <c r="C441" t="s">
        <v>350</v>
      </c>
      <c r="D441" s="3" t="s">
        <v>35</v>
      </c>
      <c r="E441" s="10">
        <v>0.04</v>
      </c>
      <c r="F441" s="13" t="s">
        <v>176</v>
      </c>
      <c r="G441" s="9">
        <v>13</v>
      </c>
      <c r="H441" s="9">
        <f t="shared" ref="H441:H504" si="14">G441*E441</f>
        <v>0.52</v>
      </c>
      <c r="I441" t="s">
        <v>179</v>
      </c>
      <c r="J441" s="33" t="s">
        <v>504</v>
      </c>
      <c r="K441" s="18">
        <f>VLOOKUP(D441,Ingredients!C:G,5,0)</f>
        <v>15</v>
      </c>
      <c r="L441" s="52">
        <f t="shared" si="13"/>
        <v>0.6</v>
      </c>
    </row>
    <row r="442" spans="1:12">
      <c r="A442" t="s">
        <v>152</v>
      </c>
      <c r="B442" t="s">
        <v>349</v>
      </c>
      <c r="C442" t="s">
        <v>350</v>
      </c>
      <c r="D442" s="3" t="s">
        <v>855</v>
      </c>
      <c r="E442" s="10">
        <v>0.02</v>
      </c>
      <c r="F442" s="13" t="s">
        <v>176</v>
      </c>
      <c r="G442" s="9">
        <v>2400</v>
      </c>
      <c r="H442" s="9">
        <f t="shared" si="14"/>
        <v>48</v>
      </c>
      <c r="I442" t="s">
        <v>179</v>
      </c>
      <c r="J442" s="33" t="s">
        <v>504</v>
      </c>
      <c r="K442" s="18">
        <f>VLOOKUP(D442,Ingredients!C:G,5,0)</f>
        <v>1600</v>
      </c>
      <c r="L442" s="52">
        <f t="shared" si="13"/>
        <v>32</v>
      </c>
    </row>
    <row r="443" spans="1:12">
      <c r="A443" t="s">
        <v>152</v>
      </c>
      <c r="B443" t="s">
        <v>349</v>
      </c>
      <c r="C443" t="s">
        <v>350</v>
      </c>
      <c r="D443" s="3" t="s">
        <v>853</v>
      </c>
      <c r="E443" s="10">
        <v>0.02</v>
      </c>
      <c r="F443" s="13" t="s">
        <v>176</v>
      </c>
      <c r="G443" s="9">
        <v>30</v>
      </c>
      <c r="H443" s="9">
        <f t="shared" si="14"/>
        <v>0.6</v>
      </c>
      <c r="I443" t="s">
        <v>179</v>
      </c>
      <c r="J443" s="33" t="s">
        <v>504</v>
      </c>
      <c r="K443" s="18">
        <f>VLOOKUP(D443,Ingredients!C:G,5,0)</f>
        <v>55</v>
      </c>
      <c r="L443" s="52">
        <f t="shared" si="13"/>
        <v>1.1000000000000001</v>
      </c>
    </row>
    <row r="444" spans="1:12">
      <c r="A444" t="s">
        <v>152</v>
      </c>
      <c r="B444" t="s">
        <v>349</v>
      </c>
      <c r="C444" t="s">
        <v>350</v>
      </c>
      <c r="D444" s="3" t="s">
        <v>29</v>
      </c>
      <c r="E444" s="10">
        <v>0.08</v>
      </c>
      <c r="F444" s="13" t="s">
        <v>176</v>
      </c>
      <c r="G444" s="9">
        <v>60</v>
      </c>
      <c r="H444" s="9">
        <f t="shared" si="14"/>
        <v>4.8</v>
      </c>
      <c r="I444" t="s">
        <v>179</v>
      </c>
      <c r="J444" s="33" t="s">
        <v>504</v>
      </c>
      <c r="K444" s="18">
        <f>VLOOKUP(D444,Ingredients!C:G,5,0)</f>
        <v>100</v>
      </c>
      <c r="L444" s="52">
        <f t="shared" si="13"/>
        <v>8</v>
      </c>
    </row>
    <row r="445" spans="1:12">
      <c r="A445" t="s">
        <v>152</v>
      </c>
      <c r="B445" t="s">
        <v>349</v>
      </c>
      <c r="C445" t="s">
        <v>350</v>
      </c>
      <c r="D445" s="3" t="s">
        <v>24</v>
      </c>
      <c r="E445" s="10">
        <v>0.2</v>
      </c>
      <c r="F445" s="13" t="s">
        <v>176</v>
      </c>
      <c r="G445" s="9">
        <v>55</v>
      </c>
      <c r="H445" s="9">
        <f t="shared" si="14"/>
        <v>11</v>
      </c>
      <c r="I445" t="s">
        <v>179</v>
      </c>
      <c r="J445" s="33" t="s">
        <v>504</v>
      </c>
      <c r="K445" s="18">
        <f>VLOOKUP(D445,Ingredients!C:G,5,0)</f>
        <v>80</v>
      </c>
      <c r="L445" s="52">
        <f t="shared" si="13"/>
        <v>16</v>
      </c>
    </row>
    <row r="446" spans="1:12">
      <c r="A446" t="s">
        <v>152</v>
      </c>
      <c r="B446" t="s">
        <v>349</v>
      </c>
      <c r="C446" t="s">
        <v>350</v>
      </c>
      <c r="D446" s="3" t="s">
        <v>861</v>
      </c>
      <c r="E446" s="10">
        <v>0.16</v>
      </c>
      <c r="F446" s="13" t="s">
        <v>176</v>
      </c>
      <c r="G446" s="9">
        <v>500</v>
      </c>
      <c r="H446" s="9">
        <f t="shared" si="14"/>
        <v>80</v>
      </c>
      <c r="I446" t="s">
        <v>179</v>
      </c>
      <c r="J446" s="33" t="s">
        <v>504</v>
      </c>
      <c r="K446" s="18">
        <f>VLOOKUP(D446,Ingredients!C:G,5,0)</f>
        <v>500</v>
      </c>
      <c r="L446" s="52">
        <f t="shared" si="13"/>
        <v>80</v>
      </c>
    </row>
    <row r="447" spans="1:12">
      <c r="A447" t="s">
        <v>152</v>
      </c>
      <c r="B447" t="s">
        <v>349</v>
      </c>
      <c r="C447" t="s">
        <v>350</v>
      </c>
      <c r="D447" s="3" t="s">
        <v>831</v>
      </c>
      <c r="E447" s="10">
        <v>0.04</v>
      </c>
      <c r="F447" s="13" t="s">
        <v>176</v>
      </c>
      <c r="G447" s="9">
        <v>908</v>
      </c>
      <c r="H447" s="9">
        <f t="shared" si="14"/>
        <v>36.32</v>
      </c>
      <c r="I447" t="s">
        <v>179</v>
      </c>
      <c r="J447" s="33" t="s">
        <v>504</v>
      </c>
      <c r="K447" s="18">
        <f>VLOOKUP(D447,Ingredients!C:G,5,0)</f>
        <v>908</v>
      </c>
      <c r="L447" s="52">
        <f t="shared" si="13"/>
        <v>36.32</v>
      </c>
    </row>
    <row r="448" spans="1:12">
      <c r="A448" t="s">
        <v>152</v>
      </c>
      <c r="B448" t="s">
        <v>349</v>
      </c>
      <c r="C448" t="s">
        <v>350</v>
      </c>
      <c r="D448" s="3" t="s">
        <v>836</v>
      </c>
      <c r="E448" s="10">
        <v>1</v>
      </c>
      <c r="F448" s="13" t="s">
        <v>176</v>
      </c>
      <c r="G448" s="9">
        <v>1957.5</v>
      </c>
      <c r="H448" s="9">
        <f t="shared" si="14"/>
        <v>1957.5</v>
      </c>
      <c r="I448" t="s">
        <v>179</v>
      </c>
      <c r="J448" s="33" t="s">
        <v>504</v>
      </c>
      <c r="K448" s="18">
        <f>VLOOKUP(D448,Ingredients!C:G,5,0)</f>
        <v>2200</v>
      </c>
      <c r="L448" s="52">
        <f t="shared" si="13"/>
        <v>2200</v>
      </c>
    </row>
    <row r="449" spans="1:12">
      <c r="A449" t="s">
        <v>152</v>
      </c>
      <c r="B449" t="s">
        <v>349</v>
      </c>
      <c r="C449" t="s">
        <v>350</v>
      </c>
      <c r="D449" s="3" t="s">
        <v>41</v>
      </c>
      <c r="E449" s="10">
        <v>0.02</v>
      </c>
      <c r="F449" s="13" t="s">
        <v>176</v>
      </c>
      <c r="G449" s="9">
        <v>550</v>
      </c>
      <c r="H449" s="9">
        <f t="shared" si="14"/>
        <v>11</v>
      </c>
      <c r="I449" t="s">
        <v>179</v>
      </c>
      <c r="J449" s="33" t="s">
        <v>504</v>
      </c>
      <c r="K449" s="18">
        <f>VLOOKUP(D449,Ingredients!C:G,5,0)</f>
        <v>550</v>
      </c>
      <c r="L449" s="52">
        <f t="shared" si="13"/>
        <v>11</v>
      </c>
    </row>
    <row r="450" spans="1:12">
      <c r="A450" t="s">
        <v>153</v>
      </c>
      <c r="B450" t="s">
        <v>349</v>
      </c>
      <c r="C450" t="s">
        <v>350</v>
      </c>
      <c r="D450" s="3" t="s">
        <v>878</v>
      </c>
      <c r="E450" s="10">
        <v>8.0000000000000002E-3</v>
      </c>
      <c r="F450" s="13" t="s">
        <v>176</v>
      </c>
      <c r="G450" s="9">
        <v>270</v>
      </c>
      <c r="H450" s="9">
        <f t="shared" si="14"/>
        <v>2.16</v>
      </c>
      <c r="I450" t="s">
        <v>179</v>
      </c>
      <c r="J450" s="33" t="s">
        <v>504</v>
      </c>
      <c r="K450" s="18">
        <f>VLOOKUP(D450,Ingredients!C:G,5,0)</f>
        <v>1260.55</v>
      </c>
      <c r="L450" s="52">
        <f t="shared" si="13"/>
        <v>10.0844</v>
      </c>
    </row>
    <row r="451" spans="1:12">
      <c r="A451" t="s">
        <v>153</v>
      </c>
      <c r="B451" t="s">
        <v>349</v>
      </c>
      <c r="C451" t="s">
        <v>350</v>
      </c>
      <c r="D451" s="3" t="s">
        <v>856</v>
      </c>
      <c r="E451" s="10">
        <v>8.0000000000000002E-3</v>
      </c>
      <c r="F451" s="13" t="s">
        <v>176</v>
      </c>
      <c r="G451" s="9">
        <v>850</v>
      </c>
      <c r="H451" s="9">
        <f t="shared" si="14"/>
        <v>6.8</v>
      </c>
      <c r="I451" t="s">
        <v>179</v>
      </c>
      <c r="J451" s="33" t="s">
        <v>504</v>
      </c>
      <c r="K451" s="18">
        <f>VLOOKUP(D451,Ingredients!C:G,5,0)</f>
        <v>980</v>
      </c>
      <c r="L451" s="52">
        <f t="shared" si="13"/>
        <v>7.84</v>
      </c>
    </row>
    <row r="452" spans="1:12">
      <c r="A452" t="s">
        <v>153</v>
      </c>
      <c r="B452" t="s">
        <v>349</v>
      </c>
      <c r="C452" t="s">
        <v>350</v>
      </c>
      <c r="D452" s="3" t="s">
        <v>859</v>
      </c>
      <c r="E452" s="10">
        <v>8.0000000000000002E-3</v>
      </c>
      <c r="F452" s="13" t="s">
        <v>176</v>
      </c>
      <c r="G452" s="9">
        <v>650</v>
      </c>
      <c r="H452" s="9">
        <f t="shared" si="14"/>
        <v>5.2</v>
      </c>
      <c r="I452" t="s">
        <v>179</v>
      </c>
      <c r="J452" s="33" t="s">
        <v>504</v>
      </c>
      <c r="K452" s="18">
        <f>VLOOKUP(D452,Ingredients!C:G,5,0)</f>
        <v>700</v>
      </c>
      <c r="L452" s="52">
        <f t="shared" ref="L452:L515" si="15">K452*E452</f>
        <v>5.6000000000000005</v>
      </c>
    </row>
    <row r="453" spans="1:12">
      <c r="A453" t="s">
        <v>153</v>
      </c>
      <c r="B453" t="s">
        <v>349</v>
      </c>
      <c r="C453" t="s">
        <v>350</v>
      </c>
      <c r="D453" s="3" t="s">
        <v>860</v>
      </c>
      <c r="E453" s="10">
        <v>8.0000000000000002E-3</v>
      </c>
      <c r="F453" s="13" t="s">
        <v>176</v>
      </c>
      <c r="G453" s="9">
        <v>2000</v>
      </c>
      <c r="H453" s="9">
        <f t="shared" si="14"/>
        <v>16</v>
      </c>
      <c r="I453" t="s">
        <v>179</v>
      </c>
      <c r="J453" s="33" t="s">
        <v>504</v>
      </c>
      <c r="K453" s="18">
        <f>VLOOKUP(D453,Ingredients!C:G,5,0)</f>
        <v>1900</v>
      </c>
      <c r="L453" s="52">
        <f t="shared" si="15"/>
        <v>15.200000000000001</v>
      </c>
    </row>
    <row r="454" spans="1:12">
      <c r="A454" t="s">
        <v>153</v>
      </c>
      <c r="B454" t="s">
        <v>349</v>
      </c>
      <c r="C454" t="s">
        <v>350</v>
      </c>
      <c r="D454" s="3" t="s">
        <v>832</v>
      </c>
      <c r="E454" s="10">
        <v>8.0000000000000002E-3</v>
      </c>
      <c r="F454" s="13" t="s">
        <v>176</v>
      </c>
      <c r="G454" s="9">
        <v>128</v>
      </c>
      <c r="H454" s="9">
        <f t="shared" si="14"/>
        <v>1.024</v>
      </c>
      <c r="I454" t="s">
        <v>179</v>
      </c>
      <c r="J454" s="33" t="s">
        <v>504</v>
      </c>
      <c r="K454" s="18">
        <f>VLOOKUP(D454,Ingredients!C:G,5,0)</f>
        <v>131.19999999999999</v>
      </c>
      <c r="L454" s="52">
        <f t="shared" si="15"/>
        <v>1.0495999999999999</v>
      </c>
    </row>
    <row r="455" spans="1:12">
      <c r="A455" t="s">
        <v>153</v>
      </c>
      <c r="B455" t="s">
        <v>349</v>
      </c>
      <c r="C455" t="s">
        <v>350</v>
      </c>
      <c r="D455" s="3" t="s">
        <v>35</v>
      </c>
      <c r="E455" s="10">
        <v>8.0000000000000002E-3</v>
      </c>
      <c r="F455" s="13" t="s">
        <v>176</v>
      </c>
      <c r="G455" s="9">
        <v>13</v>
      </c>
      <c r="H455" s="9">
        <f t="shared" si="14"/>
        <v>0.10400000000000001</v>
      </c>
      <c r="I455" t="s">
        <v>179</v>
      </c>
      <c r="J455" s="33" t="s">
        <v>504</v>
      </c>
      <c r="K455" s="18">
        <f>VLOOKUP(D455,Ingredients!C:G,5,0)</f>
        <v>15</v>
      </c>
      <c r="L455" s="52">
        <f t="shared" si="15"/>
        <v>0.12</v>
      </c>
    </row>
    <row r="456" spans="1:12">
      <c r="A456" t="s">
        <v>153</v>
      </c>
      <c r="B456" t="s">
        <v>349</v>
      </c>
      <c r="C456" t="s">
        <v>350</v>
      </c>
      <c r="D456" s="3" t="s">
        <v>853</v>
      </c>
      <c r="E456" s="10">
        <v>8.0000000000000002E-3</v>
      </c>
      <c r="F456" s="13" t="s">
        <v>176</v>
      </c>
      <c r="G456" s="9">
        <v>30</v>
      </c>
      <c r="H456" s="9">
        <f t="shared" si="14"/>
        <v>0.24</v>
      </c>
      <c r="I456" t="s">
        <v>179</v>
      </c>
      <c r="J456" s="33" t="s">
        <v>504</v>
      </c>
      <c r="K456" s="18">
        <f>VLOOKUP(D456,Ingredients!C:G,5,0)</f>
        <v>55</v>
      </c>
      <c r="L456" s="52">
        <f t="shared" si="15"/>
        <v>0.44</v>
      </c>
    </row>
    <row r="457" spans="1:12">
      <c r="A457" t="s">
        <v>153</v>
      </c>
      <c r="B457" t="s">
        <v>349</v>
      </c>
      <c r="C457" t="s">
        <v>350</v>
      </c>
      <c r="D457" s="3" t="s">
        <v>29</v>
      </c>
      <c r="E457" s="10">
        <v>0.08</v>
      </c>
      <c r="F457" s="13" t="s">
        <v>176</v>
      </c>
      <c r="G457" s="9">
        <v>60</v>
      </c>
      <c r="H457" s="9">
        <f t="shared" si="14"/>
        <v>4.8</v>
      </c>
      <c r="I457" t="s">
        <v>179</v>
      </c>
      <c r="J457" s="33" t="s">
        <v>504</v>
      </c>
      <c r="K457" s="18">
        <f>VLOOKUP(D457,Ingredients!C:G,5,0)</f>
        <v>100</v>
      </c>
      <c r="L457" s="52">
        <f t="shared" si="15"/>
        <v>8</v>
      </c>
    </row>
    <row r="458" spans="1:12">
      <c r="A458" t="s">
        <v>153</v>
      </c>
      <c r="B458" t="s">
        <v>349</v>
      </c>
      <c r="C458" t="s">
        <v>350</v>
      </c>
      <c r="D458" s="3" t="s">
        <v>24</v>
      </c>
      <c r="E458" s="10">
        <v>0.2</v>
      </c>
      <c r="F458" s="13" t="s">
        <v>176</v>
      </c>
      <c r="G458" s="9">
        <v>55</v>
      </c>
      <c r="H458" s="9">
        <f t="shared" si="14"/>
        <v>11</v>
      </c>
      <c r="I458" t="s">
        <v>179</v>
      </c>
      <c r="J458" s="33" t="s">
        <v>504</v>
      </c>
      <c r="K458" s="18">
        <f>VLOOKUP(D458,Ingredients!C:G,5,0)</f>
        <v>80</v>
      </c>
      <c r="L458" s="52">
        <f t="shared" si="15"/>
        <v>16</v>
      </c>
    </row>
    <row r="459" spans="1:12">
      <c r="A459" t="s">
        <v>153</v>
      </c>
      <c r="B459" t="s">
        <v>349</v>
      </c>
      <c r="C459" t="s">
        <v>350</v>
      </c>
      <c r="D459" s="3" t="s">
        <v>861</v>
      </c>
      <c r="E459" s="10">
        <v>0.16</v>
      </c>
      <c r="F459" s="13" t="s">
        <v>176</v>
      </c>
      <c r="G459" s="9">
        <v>500</v>
      </c>
      <c r="H459" s="9">
        <f t="shared" si="14"/>
        <v>80</v>
      </c>
      <c r="I459" t="s">
        <v>179</v>
      </c>
      <c r="J459" s="33" t="s">
        <v>504</v>
      </c>
      <c r="K459" s="18">
        <f>VLOOKUP(D459,Ingredients!C:G,5,0)</f>
        <v>500</v>
      </c>
      <c r="L459" s="52">
        <f t="shared" si="15"/>
        <v>80</v>
      </c>
    </row>
    <row r="460" spans="1:12">
      <c r="A460" t="s">
        <v>153</v>
      </c>
      <c r="B460" t="s">
        <v>349</v>
      </c>
      <c r="C460" t="s">
        <v>350</v>
      </c>
      <c r="D460" s="3" t="s">
        <v>831</v>
      </c>
      <c r="E460" s="10">
        <v>0.04</v>
      </c>
      <c r="F460" s="13" t="s">
        <v>176</v>
      </c>
      <c r="G460" s="9">
        <v>908</v>
      </c>
      <c r="H460" s="9">
        <f t="shared" si="14"/>
        <v>36.32</v>
      </c>
      <c r="I460" t="s">
        <v>179</v>
      </c>
      <c r="J460" s="33" t="s">
        <v>504</v>
      </c>
      <c r="K460" s="18">
        <f>VLOOKUP(D460,Ingredients!C:G,5,0)</f>
        <v>908</v>
      </c>
      <c r="L460" s="52">
        <f t="shared" si="15"/>
        <v>36.32</v>
      </c>
    </row>
    <row r="461" spans="1:12">
      <c r="A461" t="s">
        <v>153</v>
      </c>
      <c r="B461" t="s">
        <v>349</v>
      </c>
      <c r="C461" t="s">
        <v>350</v>
      </c>
      <c r="D461" s="3" t="s">
        <v>836</v>
      </c>
      <c r="E461" s="10">
        <v>1</v>
      </c>
      <c r="F461" s="13" t="s">
        <v>176</v>
      </c>
      <c r="G461" s="9">
        <v>1957.5</v>
      </c>
      <c r="H461" s="9">
        <f t="shared" si="14"/>
        <v>1957.5</v>
      </c>
      <c r="I461" t="s">
        <v>179</v>
      </c>
      <c r="J461" s="33" t="s">
        <v>504</v>
      </c>
      <c r="K461" s="18">
        <f>VLOOKUP(D461,Ingredients!C:G,5,0)</f>
        <v>2200</v>
      </c>
      <c r="L461" s="52">
        <f t="shared" si="15"/>
        <v>2200</v>
      </c>
    </row>
    <row r="462" spans="1:12">
      <c r="A462" t="s">
        <v>153</v>
      </c>
      <c r="B462" t="s">
        <v>349</v>
      </c>
      <c r="C462" t="s">
        <v>350</v>
      </c>
      <c r="D462" s="3" t="s">
        <v>41</v>
      </c>
      <c r="E462" s="10">
        <v>4.0000000000000001E-3</v>
      </c>
      <c r="F462" s="13" t="s">
        <v>176</v>
      </c>
      <c r="G462" s="9">
        <v>550</v>
      </c>
      <c r="H462" s="9">
        <f t="shared" si="14"/>
        <v>2.2000000000000002</v>
      </c>
      <c r="I462" t="s">
        <v>179</v>
      </c>
      <c r="J462" s="33" t="s">
        <v>504</v>
      </c>
      <c r="K462" s="18">
        <f>VLOOKUP(D462,Ingredients!C:G,5,0)</f>
        <v>550</v>
      </c>
      <c r="L462" s="52">
        <f t="shared" si="15"/>
        <v>2.2000000000000002</v>
      </c>
    </row>
    <row r="463" spans="1:12">
      <c r="A463" t="s">
        <v>153</v>
      </c>
      <c r="B463" t="s">
        <v>349</v>
      </c>
      <c r="C463" t="s">
        <v>350</v>
      </c>
      <c r="D463" s="3" t="s">
        <v>855</v>
      </c>
      <c r="E463" s="10">
        <v>8.0000000000000002E-3</v>
      </c>
      <c r="F463" s="13" t="s">
        <v>176</v>
      </c>
      <c r="G463" s="9">
        <v>2400</v>
      </c>
      <c r="H463" s="9">
        <f t="shared" si="14"/>
        <v>19.2</v>
      </c>
      <c r="I463" t="s">
        <v>179</v>
      </c>
      <c r="J463" s="33" t="s">
        <v>504</v>
      </c>
      <c r="K463" s="18">
        <f>VLOOKUP(D463,Ingredients!C:G,5,0)</f>
        <v>1600</v>
      </c>
      <c r="L463" s="52">
        <f t="shared" si="15"/>
        <v>12.8</v>
      </c>
    </row>
    <row r="464" spans="1:12">
      <c r="A464" t="s">
        <v>154</v>
      </c>
      <c r="B464" t="s">
        <v>349</v>
      </c>
      <c r="C464" t="s">
        <v>352</v>
      </c>
      <c r="D464" s="3" t="s">
        <v>837</v>
      </c>
      <c r="E464" s="10">
        <v>1</v>
      </c>
      <c r="F464" s="13" t="s">
        <v>176</v>
      </c>
      <c r="G464" s="9">
        <v>1700</v>
      </c>
      <c r="H464" s="9">
        <f t="shared" si="14"/>
        <v>1700</v>
      </c>
      <c r="I464" t="s">
        <v>179</v>
      </c>
      <c r="J464" s="33" t="s">
        <v>514</v>
      </c>
      <c r="K464" s="18">
        <f>VLOOKUP(D464,Ingredients!C:G,5,0)</f>
        <v>1800</v>
      </c>
      <c r="L464" s="52">
        <f t="shared" si="15"/>
        <v>1800</v>
      </c>
    </row>
    <row r="465" spans="1:12">
      <c r="A465" t="s">
        <v>154</v>
      </c>
      <c r="B465" t="s">
        <v>349</v>
      </c>
      <c r="C465" t="s">
        <v>352</v>
      </c>
      <c r="D465" s="3" t="s">
        <v>852</v>
      </c>
      <c r="E465" s="10">
        <v>0.25</v>
      </c>
      <c r="F465" s="13" t="s">
        <v>176</v>
      </c>
      <c r="G465" s="9">
        <v>520.63</v>
      </c>
      <c r="H465" s="9">
        <f t="shared" si="14"/>
        <v>130.1575</v>
      </c>
      <c r="I465" t="s">
        <v>179</v>
      </c>
      <c r="J465" s="33" t="s">
        <v>514</v>
      </c>
      <c r="K465" s="18">
        <v>550</v>
      </c>
      <c r="L465" s="52">
        <f t="shared" si="15"/>
        <v>137.5</v>
      </c>
    </row>
    <row r="466" spans="1:12">
      <c r="A466" t="s">
        <v>154</v>
      </c>
      <c r="B466" t="s">
        <v>349</v>
      </c>
      <c r="C466" t="s">
        <v>352</v>
      </c>
      <c r="D466" s="3" t="s">
        <v>895</v>
      </c>
      <c r="E466" s="10">
        <v>5.0000000000000001E-3</v>
      </c>
      <c r="F466" s="13" t="s">
        <v>176</v>
      </c>
      <c r="G466" s="9">
        <v>400</v>
      </c>
      <c r="H466" s="9">
        <f t="shared" si="14"/>
        <v>2</v>
      </c>
      <c r="I466" t="s">
        <v>179</v>
      </c>
      <c r="J466" s="33" t="s">
        <v>514</v>
      </c>
      <c r="K466" s="18">
        <f>VLOOKUP(D466,Ingredients!C:G,5,0)</f>
        <v>400</v>
      </c>
      <c r="L466" s="52">
        <f t="shared" si="15"/>
        <v>2</v>
      </c>
    </row>
    <row r="467" spans="1:12">
      <c r="A467" t="s">
        <v>154</v>
      </c>
      <c r="B467" t="s">
        <v>349</v>
      </c>
      <c r="C467" t="s">
        <v>352</v>
      </c>
      <c r="D467" s="3" t="s">
        <v>887</v>
      </c>
      <c r="E467" s="10">
        <v>0.01</v>
      </c>
      <c r="F467" s="13" t="s">
        <v>176</v>
      </c>
      <c r="G467" s="9">
        <v>1600</v>
      </c>
      <c r="H467" s="9">
        <f t="shared" si="14"/>
        <v>16</v>
      </c>
      <c r="I467" t="s">
        <v>179</v>
      </c>
      <c r="J467" s="33" t="s">
        <v>514</v>
      </c>
      <c r="K467" s="18">
        <f>VLOOKUP(D467,Ingredients!C:G,5,0)</f>
        <v>1830</v>
      </c>
      <c r="L467" s="52">
        <f t="shared" si="15"/>
        <v>18.3</v>
      </c>
    </row>
    <row r="468" spans="1:12">
      <c r="A468" t="s">
        <v>154</v>
      </c>
      <c r="B468" t="s">
        <v>349</v>
      </c>
      <c r="C468" t="s">
        <v>352</v>
      </c>
      <c r="D468" s="3" t="s">
        <v>853</v>
      </c>
      <c r="E468" s="10">
        <v>2.5000000000000001E-2</v>
      </c>
      <c r="F468" s="13" t="s">
        <v>176</v>
      </c>
      <c r="G468" s="9">
        <v>30</v>
      </c>
      <c r="H468" s="9">
        <f t="shared" si="14"/>
        <v>0.75</v>
      </c>
      <c r="I468" t="s">
        <v>179</v>
      </c>
      <c r="J468" s="33" t="s">
        <v>514</v>
      </c>
      <c r="K468" s="18">
        <f>VLOOKUP(D468,Ingredients!C:G,5,0)</f>
        <v>55</v>
      </c>
      <c r="L468" s="52">
        <f t="shared" si="15"/>
        <v>1.375</v>
      </c>
    </row>
    <row r="469" spans="1:12">
      <c r="A469" t="s">
        <v>154</v>
      </c>
      <c r="B469" t="s">
        <v>349</v>
      </c>
      <c r="C469" t="s">
        <v>352</v>
      </c>
      <c r="D469" s="3" t="s">
        <v>23</v>
      </c>
      <c r="E469" s="10">
        <v>2.5000000000000001E-2</v>
      </c>
      <c r="F469" s="13" t="s">
        <v>176</v>
      </c>
      <c r="G469" s="9">
        <v>740</v>
      </c>
      <c r="H469" s="9">
        <f t="shared" si="14"/>
        <v>18.5</v>
      </c>
      <c r="I469" t="s">
        <v>179</v>
      </c>
      <c r="J469" s="33" t="s">
        <v>514</v>
      </c>
      <c r="K469" s="18">
        <f>VLOOKUP(D469,Ingredients!C:G,5,0)</f>
        <v>780</v>
      </c>
      <c r="L469" s="52">
        <f t="shared" si="15"/>
        <v>19.5</v>
      </c>
    </row>
    <row r="470" spans="1:12">
      <c r="A470" t="s">
        <v>154</v>
      </c>
      <c r="B470" t="s">
        <v>349</v>
      </c>
      <c r="C470" t="s">
        <v>352</v>
      </c>
      <c r="D470" s="3" t="s">
        <v>16</v>
      </c>
      <c r="E470" s="10">
        <v>6.2500000000000003E-3</v>
      </c>
      <c r="F470" s="13" t="s">
        <v>176</v>
      </c>
      <c r="G470" s="9">
        <v>270</v>
      </c>
      <c r="H470" s="9">
        <f t="shared" si="14"/>
        <v>1.6875</v>
      </c>
      <c r="I470" t="s">
        <v>179</v>
      </c>
      <c r="J470" s="33" t="s">
        <v>514</v>
      </c>
      <c r="K470" s="18">
        <f>VLOOKUP(D470,Ingredients!C:G,5,0)</f>
        <v>310</v>
      </c>
      <c r="L470" s="52">
        <f t="shared" si="15"/>
        <v>1.9375</v>
      </c>
    </row>
    <row r="471" spans="1:12">
      <c r="A471" t="s">
        <v>154</v>
      </c>
      <c r="B471" t="s">
        <v>349</v>
      </c>
      <c r="C471" t="s">
        <v>352</v>
      </c>
      <c r="D471" s="3" t="s">
        <v>29</v>
      </c>
      <c r="E471" s="10">
        <v>2.5000000000000001E-2</v>
      </c>
      <c r="F471" s="13" t="s">
        <v>176</v>
      </c>
      <c r="G471" s="9">
        <v>60</v>
      </c>
      <c r="H471" s="9">
        <f t="shared" si="14"/>
        <v>1.5</v>
      </c>
      <c r="I471" t="s">
        <v>179</v>
      </c>
      <c r="J471" s="33" t="s">
        <v>514</v>
      </c>
      <c r="K471" s="18">
        <f>VLOOKUP(D471,Ingredients!C:G,5,0)</f>
        <v>100</v>
      </c>
      <c r="L471" s="52">
        <f t="shared" si="15"/>
        <v>2.5</v>
      </c>
    </row>
    <row r="472" spans="1:12">
      <c r="A472" t="s">
        <v>154</v>
      </c>
      <c r="B472" t="s">
        <v>349</v>
      </c>
      <c r="C472" t="s">
        <v>352</v>
      </c>
      <c r="D472" s="3" t="s">
        <v>28</v>
      </c>
      <c r="E472" s="10">
        <v>0.35</v>
      </c>
      <c r="F472" s="13" t="s">
        <v>176</v>
      </c>
      <c r="G472" s="9">
        <v>85</v>
      </c>
      <c r="H472" s="9">
        <f t="shared" si="14"/>
        <v>29.749999999999996</v>
      </c>
      <c r="I472" t="s">
        <v>179</v>
      </c>
      <c r="J472" s="33" t="s">
        <v>514</v>
      </c>
      <c r="K472" s="18">
        <f>VLOOKUP(D472,Ingredients!C:G,5,0)</f>
        <v>70</v>
      </c>
      <c r="L472" s="52">
        <f t="shared" si="15"/>
        <v>24.5</v>
      </c>
    </row>
    <row r="473" spans="1:12">
      <c r="A473" t="s">
        <v>154</v>
      </c>
      <c r="B473" t="s">
        <v>349</v>
      </c>
      <c r="C473" t="s">
        <v>352</v>
      </c>
      <c r="D473" s="3" t="s">
        <v>35</v>
      </c>
      <c r="E473" s="10">
        <v>0.1</v>
      </c>
      <c r="F473" s="13" t="s">
        <v>252</v>
      </c>
      <c r="G473" s="9">
        <v>13</v>
      </c>
      <c r="H473" s="9">
        <f t="shared" si="14"/>
        <v>1.3</v>
      </c>
      <c r="I473" t="s">
        <v>179</v>
      </c>
      <c r="J473" s="33" t="s">
        <v>514</v>
      </c>
      <c r="K473" s="18">
        <f>VLOOKUP(D473,Ingredients!C:G,5,0)</f>
        <v>15</v>
      </c>
      <c r="L473" s="52">
        <f t="shared" si="15"/>
        <v>1.5</v>
      </c>
    </row>
    <row r="474" spans="1:12">
      <c r="A474" t="s">
        <v>155</v>
      </c>
      <c r="B474" t="s">
        <v>349</v>
      </c>
      <c r="C474" t="s">
        <v>456</v>
      </c>
      <c r="D474" s="3" t="s">
        <v>853</v>
      </c>
      <c r="E474" s="10">
        <v>5.7142857142857143E-3</v>
      </c>
      <c r="F474" s="13" t="s">
        <v>176</v>
      </c>
      <c r="G474" s="9">
        <v>30</v>
      </c>
      <c r="H474" s="9">
        <f t="shared" si="14"/>
        <v>0.17142857142857143</v>
      </c>
      <c r="I474" t="s">
        <v>179</v>
      </c>
      <c r="J474" s="33" t="s">
        <v>514</v>
      </c>
      <c r="K474" s="18">
        <f>VLOOKUP(D474,Ingredients!C:G,5,0)</f>
        <v>55</v>
      </c>
      <c r="L474" s="52">
        <f t="shared" si="15"/>
        <v>0.31428571428571428</v>
      </c>
    </row>
    <row r="475" spans="1:12">
      <c r="A475" t="s">
        <v>155</v>
      </c>
      <c r="B475" t="s">
        <v>349</v>
      </c>
      <c r="C475" t="s">
        <v>456</v>
      </c>
      <c r="D475" s="3" t="s">
        <v>310</v>
      </c>
      <c r="E475" s="10">
        <v>6.4285714285714285E-3</v>
      </c>
      <c r="F475" s="13" t="s">
        <v>177</v>
      </c>
      <c r="G475" s="9">
        <v>425</v>
      </c>
      <c r="H475" s="9">
        <f t="shared" si="14"/>
        <v>2.7321428571428572</v>
      </c>
      <c r="I475" t="s">
        <v>179</v>
      </c>
      <c r="J475" s="33" t="s">
        <v>514</v>
      </c>
      <c r="K475" s="18">
        <f>VLOOKUP(D475,Ingredients!C:G,5,0)</f>
        <v>850</v>
      </c>
      <c r="L475" s="52">
        <f t="shared" si="15"/>
        <v>5.4642857142857144</v>
      </c>
    </row>
    <row r="476" spans="1:12">
      <c r="A476" t="s">
        <v>155</v>
      </c>
      <c r="B476" t="s">
        <v>349</v>
      </c>
      <c r="C476" t="s">
        <v>456</v>
      </c>
      <c r="D476" s="3" t="s">
        <v>863</v>
      </c>
      <c r="E476" s="10">
        <v>5.7142857142857143E-3</v>
      </c>
      <c r="F476" s="13" t="s">
        <v>176</v>
      </c>
      <c r="G476" s="9">
        <v>675</v>
      </c>
      <c r="H476" s="9">
        <f t="shared" si="14"/>
        <v>3.8571428571428572</v>
      </c>
      <c r="I476" t="s">
        <v>179</v>
      </c>
      <c r="J476" s="33" t="s">
        <v>514</v>
      </c>
      <c r="K476" s="18">
        <f>VLOOKUP(D476,Ingredients!C:G,5,0)</f>
        <v>675</v>
      </c>
      <c r="L476" s="52">
        <f t="shared" si="15"/>
        <v>3.8571428571428572</v>
      </c>
    </row>
    <row r="477" spans="1:12">
      <c r="A477" t="s">
        <v>155</v>
      </c>
      <c r="B477" t="s">
        <v>349</v>
      </c>
      <c r="C477" t="s">
        <v>456</v>
      </c>
      <c r="D477" s="3" t="s">
        <v>16</v>
      </c>
      <c r="E477" s="10">
        <v>7.1428571428571435E-3</v>
      </c>
      <c r="F477" s="13" t="s">
        <v>176</v>
      </c>
      <c r="G477" s="9">
        <v>270</v>
      </c>
      <c r="H477" s="9">
        <f t="shared" si="14"/>
        <v>1.9285714285714288</v>
      </c>
      <c r="I477" t="s">
        <v>179</v>
      </c>
      <c r="J477" s="33" t="s">
        <v>514</v>
      </c>
      <c r="K477" s="18">
        <f>VLOOKUP(D477,Ingredients!C:G,5,0)</f>
        <v>310</v>
      </c>
      <c r="L477" s="52">
        <f t="shared" si="15"/>
        <v>2.2142857142857144</v>
      </c>
    </row>
    <row r="478" spans="1:12">
      <c r="A478" t="s">
        <v>155</v>
      </c>
      <c r="B478" t="s">
        <v>349</v>
      </c>
      <c r="C478" t="s">
        <v>456</v>
      </c>
      <c r="D478" s="3" t="s">
        <v>23</v>
      </c>
      <c r="E478" s="10">
        <v>7.1428571428571435E-3</v>
      </c>
      <c r="F478" s="13" t="s">
        <v>176</v>
      </c>
      <c r="G478" s="9">
        <v>740</v>
      </c>
      <c r="H478" s="9">
        <f t="shared" si="14"/>
        <v>5.2857142857142865</v>
      </c>
      <c r="I478" t="s">
        <v>179</v>
      </c>
      <c r="J478" s="33" t="s">
        <v>514</v>
      </c>
      <c r="K478" s="18">
        <f>VLOOKUP(D478,Ingredients!C:G,5,0)</f>
        <v>780</v>
      </c>
      <c r="L478" s="52">
        <f t="shared" si="15"/>
        <v>5.5714285714285721</v>
      </c>
    </row>
    <row r="479" spans="1:12">
      <c r="A479" t="s">
        <v>155</v>
      </c>
      <c r="B479" t="s">
        <v>349</v>
      </c>
      <c r="C479" t="s">
        <v>456</v>
      </c>
      <c r="D479" s="3" t="s">
        <v>867</v>
      </c>
      <c r="E479" s="10">
        <v>7.1428571428571435E-3</v>
      </c>
      <c r="F479" s="13" t="s">
        <v>176</v>
      </c>
      <c r="G479" s="9">
        <v>900</v>
      </c>
      <c r="H479" s="9">
        <f t="shared" si="14"/>
        <v>6.4285714285714288</v>
      </c>
      <c r="I479" t="s">
        <v>179</v>
      </c>
      <c r="J479" s="33" t="s">
        <v>514</v>
      </c>
      <c r="K479" s="18">
        <f>VLOOKUP(D479,Ingredients!C:G,5,0)</f>
        <v>950</v>
      </c>
      <c r="L479" s="52">
        <f t="shared" si="15"/>
        <v>6.7857142857142865</v>
      </c>
    </row>
    <row r="480" spans="1:12">
      <c r="A480" t="s">
        <v>155</v>
      </c>
      <c r="B480" t="s">
        <v>349</v>
      </c>
      <c r="C480" t="s">
        <v>456</v>
      </c>
      <c r="D480" s="3" t="s">
        <v>872</v>
      </c>
      <c r="E480" s="10">
        <v>3.5714285714285718E-3</v>
      </c>
      <c r="F480" s="13" t="s">
        <v>176</v>
      </c>
      <c r="G480" s="9">
        <v>2100</v>
      </c>
      <c r="H480" s="9">
        <f t="shared" si="14"/>
        <v>7.5000000000000009</v>
      </c>
      <c r="I480" t="s">
        <v>179</v>
      </c>
      <c r="J480" s="33" t="s">
        <v>514</v>
      </c>
      <c r="K480" s="18">
        <f>VLOOKUP(D480,Ingredients!C:G,5,0)</f>
        <v>2150</v>
      </c>
      <c r="L480" s="52">
        <f t="shared" si="15"/>
        <v>7.6785714285714288</v>
      </c>
    </row>
    <row r="481" spans="1:12">
      <c r="A481" t="s">
        <v>155</v>
      </c>
      <c r="B481" t="s">
        <v>349</v>
      </c>
      <c r="C481" t="s">
        <v>456</v>
      </c>
      <c r="D481" s="3" t="s">
        <v>837</v>
      </c>
      <c r="E481" s="10">
        <v>1</v>
      </c>
      <c r="F481" s="13" t="s">
        <v>176</v>
      </c>
      <c r="G481" s="9">
        <v>1700</v>
      </c>
      <c r="H481" s="9">
        <f t="shared" si="14"/>
        <v>1700</v>
      </c>
      <c r="I481" t="s">
        <v>179</v>
      </c>
      <c r="J481" s="33" t="s">
        <v>514</v>
      </c>
      <c r="K481" s="18">
        <f>VLOOKUP(D481,Ingredients!C:G,5,0)</f>
        <v>1800</v>
      </c>
      <c r="L481" s="52">
        <f t="shared" si="15"/>
        <v>1800</v>
      </c>
    </row>
    <row r="482" spans="1:12">
      <c r="A482" t="s">
        <v>156</v>
      </c>
      <c r="B482" t="s">
        <v>349</v>
      </c>
      <c r="C482" t="s">
        <v>456</v>
      </c>
      <c r="D482" s="3" t="s">
        <v>894</v>
      </c>
      <c r="E482" s="10">
        <v>1</v>
      </c>
      <c r="F482" s="13" t="s">
        <v>176</v>
      </c>
      <c r="G482" s="9">
        <v>1620</v>
      </c>
      <c r="H482" s="9">
        <f t="shared" si="14"/>
        <v>1620</v>
      </c>
      <c r="I482" t="s">
        <v>179</v>
      </c>
      <c r="J482" s="3" t="s">
        <v>894</v>
      </c>
      <c r="K482" s="18">
        <f>VLOOKUP(D482,Ingredients!C:G,5,0)</f>
        <v>1800</v>
      </c>
      <c r="L482" s="52">
        <f t="shared" si="15"/>
        <v>1800</v>
      </c>
    </row>
    <row r="483" spans="1:12">
      <c r="A483" t="s">
        <v>156</v>
      </c>
      <c r="B483" t="s">
        <v>349</v>
      </c>
      <c r="C483" t="s">
        <v>456</v>
      </c>
      <c r="D483" s="3" t="s">
        <v>853</v>
      </c>
      <c r="E483" s="10">
        <v>5.7142857142857143E-3</v>
      </c>
      <c r="F483" s="13" t="s">
        <v>176</v>
      </c>
      <c r="G483" s="9">
        <v>30</v>
      </c>
      <c r="H483" s="9">
        <f t="shared" si="14"/>
        <v>0.17142857142857143</v>
      </c>
      <c r="I483" t="s">
        <v>179</v>
      </c>
      <c r="J483" s="3" t="s">
        <v>894</v>
      </c>
      <c r="K483" s="18">
        <f>VLOOKUP(D483,Ingredients!C:G,5,0)</f>
        <v>55</v>
      </c>
      <c r="L483" s="52">
        <f t="shared" si="15"/>
        <v>0.31428571428571428</v>
      </c>
    </row>
    <row r="484" spans="1:12">
      <c r="A484" t="s">
        <v>156</v>
      </c>
      <c r="B484" t="s">
        <v>349</v>
      </c>
      <c r="C484" t="s">
        <v>456</v>
      </c>
      <c r="D484" s="3" t="s">
        <v>16</v>
      </c>
      <c r="E484" s="10">
        <v>5.7142857142857143E-3</v>
      </c>
      <c r="F484" s="13" t="s">
        <v>176</v>
      </c>
      <c r="G484" s="9">
        <v>270</v>
      </c>
      <c r="H484" s="9">
        <f t="shared" si="14"/>
        <v>1.5428571428571429</v>
      </c>
      <c r="I484" t="s">
        <v>179</v>
      </c>
      <c r="J484" s="3" t="s">
        <v>894</v>
      </c>
      <c r="K484" s="18">
        <f>VLOOKUP(D484,Ingredients!C:G,5,0)</f>
        <v>310</v>
      </c>
      <c r="L484" s="52">
        <f t="shared" si="15"/>
        <v>1.7714285714285714</v>
      </c>
    </row>
    <row r="485" spans="1:12">
      <c r="A485" t="s">
        <v>156</v>
      </c>
      <c r="B485" t="s">
        <v>349</v>
      </c>
      <c r="C485" t="s">
        <v>456</v>
      </c>
      <c r="D485" s="3" t="s">
        <v>874</v>
      </c>
      <c r="E485" s="10">
        <v>5.7142857142857143E-3</v>
      </c>
      <c r="F485" s="13" t="s">
        <v>176</v>
      </c>
      <c r="G485" s="9">
        <v>110</v>
      </c>
      <c r="H485" s="9">
        <f t="shared" si="14"/>
        <v>0.62857142857142856</v>
      </c>
      <c r="I485" t="s">
        <v>179</v>
      </c>
      <c r="J485" s="3" t="s">
        <v>894</v>
      </c>
      <c r="K485" s="18">
        <f>VLOOKUP(D485,Ingredients!C:G,5,0)</f>
        <v>179</v>
      </c>
      <c r="L485" s="52">
        <f t="shared" si="15"/>
        <v>1.0228571428571429</v>
      </c>
    </row>
    <row r="486" spans="1:12">
      <c r="A486" t="s">
        <v>156</v>
      </c>
      <c r="B486" t="s">
        <v>349</v>
      </c>
      <c r="C486" t="s">
        <v>456</v>
      </c>
      <c r="D486" s="3" t="s">
        <v>310</v>
      </c>
      <c r="E486" s="10">
        <v>7.1428571428571435E-3</v>
      </c>
      <c r="F486" s="13" t="s">
        <v>177</v>
      </c>
      <c r="G486" s="9">
        <v>425</v>
      </c>
      <c r="H486" s="9">
        <f t="shared" si="14"/>
        <v>3.035714285714286</v>
      </c>
      <c r="I486" t="s">
        <v>179</v>
      </c>
      <c r="J486" s="3" t="s">
        <v>894</v>
      </c>
      <c r="K486" s="18">
        <f>VLOOKUP(D486,Ingredients!C:G,5,0)</f>
        <v>850</v>
      </c>
      <c r="L486" s="52">
        <f t="shared" si="15"/>
        <v>6.0714285714285721</v>
      </c>
    </row>
    <row r="487" spans="1:12">
      <c r="A487" t="s">
        <v>156</v>
      </c>
      <c r="B487" t="s">
        <v>349</v>
      </c>
      <c r="C487" t="s">
        <v>456</v>
      </c>
      <c r="D487" s="3" t="s">
        <v>863</v>
      </c>
      <c r="E487" s="10">
        <v>5.7142857142857143E-3</v>
      </c>
      <c r="F487" s="13" t="s">
        <v>176</v>
      </c>
      <c r="G487" s="9">
        <v>675</v>
      </c>
      <c r="H487" s="9">
        <f t="shared" si="14"/>
        <v>3.8571428571428572</v>
      </c>
      <c r="I487" t="s">
        <v>179</v>
      </c>
      <c r="J487" s="3" t="s">
        <v>894</v>
      </c>
      <c r="K487" s="18">
        <f>VLOOKUP(D487,Ingredients!C:G,5,0)</f>
        <v>675</v>
      </c>
      <c r="L487" s="52">
        <f t="shared" si="15"/>
        <v>3.8571428571428572</v>
      </c>
    </row>
    <row r="488" spans="1:12">
      <c r="A488" t="s">
        <v>156</v>
      </c>
      <c r="B488" t="s">
        <v>349</v>
      </c>
      <c r="C488" t="s">
        <v>456</v>
      </c>
      <c r="D488" s="3" t="s">
        <v>23</v>
      </c>
      <c r="E488" s="10">
        <v>5.7142857142857143E-3</v>
      </c>
      <c r="F488" s="13" t="s">
        <v>176</v>
      </c>
      <c r="G488" s="9">
        <v>740</v>
      </c>
      <c r="H488" s="9">
        <f t="shared" si="14"/>
        <v>4.2285714285714286</v>
      </c>
      <c r="I488" t="s">
        <v>179</v>
      </c>
      <c r="J488" s="3" t="s">
        <v>894</v>
      </c>
      <c r="K488" s="18">
        <f>VLOOKUP(D488,Ingredients!C:G,5,0)</f>
        <v>780</v>
      </c>
      <c r="L488" s="52">
        <f t="shared" si="15"/>
        <v>4.4571428571428573</v>
      </c>
    </row>
    <row r="489" spans="1:12">
      <c r="A489" t="s">
        <v>156</v>
      </c>
      <c r="B489" t="s">
        <v>349</v>
      </c>
      <c r="C489" t="s">
        <v>456</v>
      </c>
      <c r="D489" s="3" t="s">
        <v>867</v>
      </c>
      <c r="E489" s="10">
        <v>5.7142857142857143E-3</v>
      </c>
      <c r="F489" s="13" t="s">
        <v>176</v>
      </c>
      <c r="G489" s="9">
        <v>900</v>
      </c>
      <c r="H489" s="9">
        <f t="shared" si="14"/>
        <v>5.1428571428571432</v>
      </c>
      <c r="I489" t="s">
        <v>179</v>
      </c>
      <c r="J489" s="3" t="s">
        <v>894</v>
      </c>
      <c r="K489" s="18">
        <f>VLOOKUP(D489,Ingredients!C:G,5,0)</f>
        <v>950</v>
      </c>
      <c r="L489" s="52">
        <f t="shared" si="15"/>
        <v>5.4285714285714288</v>
      </c>
    </row>
    <row r="490" spans="1:12">
      <c r="A490" t="s">
        <v>156</v>
      </c>
      <c r="B490" t="s">
        <v>349</v>
      </c>
      <c r="C490" t="s">
        <v>456</v>
      </c>
      <c r="D490" s="3" t="s">
        <v>872</v>
      </c>
      <c r="E490" s="10">
        <v>3.5714285714285718E-3</v>
      </c>
      <c r="F490" s="13" t="s">
        <v>176</v>
      </c>
      <c r="G490" s="9">
        <v>2100</v>
      </c>
      <c r="H490" s="9">
        <f t="shared" si="14"/>
        <v>7.5000000000000009</v>
      </c>
      <c r="I490" t="s">
        <v>179</v>
      </c>
      <c r="J490" s="3" t="s">
        <v>894</v>
      </c>
      <c r="K490" s="18">
        <f>VLOOKUP(D490,Ingredients!C:G,5,0)</f>
        <v>2150</v>
      </c>
      <c r="L490" s="52">
        <f t="shared" si="15"/>
        <v>7.6785714285714288</v>
      </c>
    </row>
    <row r="491" spans="1:12">
      <c r="A491" t="s">
        <v>160</v>
      </c>
      <c r="B491" t="s">
        <v>349</v>
      </c>
      <c r="C491" t="s">
        <v>350</v>
      </c>
      <c r="D491" s="3" t="s">
        <v>853</v>
      </c>
      <c r="E491" s="10">
        <v>0.02</v>
      </c>
      <c r="F491" s="13" t="s">
        <v>176</v>
      </c>
      <c r="G491" s="9">
        <v>30</v>
      </c>
      <c r="H491" s="9">
        <f t="shared" si="14"/>
        <v>0.6</v>
      </c>
      <c r="I491" t="s">
        <v>179</v>
      </c>
      <c r="J491" s="33" t="s">
        <v>491</v>
      </c>
      <c r="K491" s="18">
        <f>VLOOKUP(D491,Ingredients!C:G,5,0)</f>
        <v>55</v>
      </c>
      <c r="L491" s="52">
        <f t="shared" si="15"/>
        <v>1.1000000000000001</v>
      </c>
    </row>
    <row r="492" spans="1:12">
      <c r="A492" t="s">
        <v>160</v>
      </c>
      <c r="B492" t="s">
        <v>349</v>
      </c>
      <c r="C492" t="s">
        <v>350</v>
      </c>
      <c r="D492" s="3" t="s">
        <v>867</v>
      </c>
      <c r="E492" s="10">
        <v>0.02</v>
      </c>
      <c r="F492" s="13" t="s">
        <v>176</v>
      </c>
      <c r="G492" s="9">
        <v>900</v>
      </c>
      <c r="H492" s="9">
        <f t="shared" si="14"/>
        <v>18</v>
      </c>
      <c r="I492" t="s">
        <v>179</v>
      </c>
      <c r="J492" s="33" t="s">
        <v>491</v>
      </c>
      <c r="K492" s="18">
        <f>VLOOKUP(D492,Ingredients!C:G,5,0)</f>
        <v>950</v>
      </c>
      <c r="L492" s="52">
        <f t="shared" si="15"/>
        <v>19</v>
      </c>
    </row>
    <row r="493" spans="1:12">
      <c r="A493" t="s">
        <v>160</v>
      </c>
      <c r="B493" t="s">
        <v>349</v>
      </c>
      <c r="C493" t="s">
        <v>350</v>
      </c>
      <c r="D493" s="3" t="s">
        <v>872</v>
      </c>
      <c r="E493" s="10">
        <v>1.2E-2</v>
      </c>
      <c r="F493" s="13" t="s">
        <v>176</v>
      </c>
      <c r="G493" s="9">
        <v>2100</v>
      </c>
      <c r="H493" s="9">
        <f t="shared" si="14"/>
        <v>25.2</v>
      </c>
      <c r="I493" t="s">
        <v>179</v>
      </c>
      <c r="J493" s="33" t="s">
        <v>491</v>
      </c>
      <c r="K493" s="18">
        <f>VLOOKUP(D493,Ingredients!C:G,5,0)</f>
        <v>2150</v>
      </c>
      <c r="L493" s="52">
        <f t="shared" si="15"/>
        <v>25.8</v>
      </c>
    </row>
    <row r="494" spans="1:12">
      <c r="A494" t="s">
        <v>160</v>
      </c>
      <c r="B494" t="s">
        <v>349</v>
      </c>
      <c r="C494" t="s">
        <v>350</v>
      </c>
      <c r="D494" s="3" t="s">
        <v>863</v>
      </c>
      <c r="E494" s="10">
        <v>0.02</v>
      </c>
      <c r="F494" s="13" t="s">
        <v>176</v>
      </c>
      <c r="G494" s="9">
        <v>675</v>
      </c>
      <c r="H494" s="9">
        <f t="shared" si="14"/>
        <v>13.5</v>
      </c>
      <c r="I494" t="s">
        <v>179</v>
      </c>
      <c r="J494" s="33" t="s">
        <v>491</v>
      </c>
      <c r="K494" s="18">
        <f>VLOOKUP(D494,Ingredients!C:G,5,0)</f>
        <v>675</v>
      </c>
      <c r="L494" s="52">
        <f t="shared" si="15"/>
        <v>13.5</v>
      </c>
    </row>
    <row r="495" spans="1:12">
      <c r="A495" t="s">
        <v>160</v>
      </c>
      <c r="B495" t="s">
        <v>349</v>
      </c>
      <c r="C495" t="s">
        <v>350</v>
      </c>
      <c r="D495" s="3" t="s">
        <v>874</v>
      </c>
      <c r="E495" s="10">
        <v>0.02</v>
      </c>
      <c r="F495" s="13" t="s">
        <v>177</v>
      </c>
      <c r="G495" s="9">
        <v>110</v>
      </c>
      <c r="H495" s="9">
        <f t="shared" si="14"/>
        <v>2.2000000000000002</v>
      </c>
      <c r="I495" t="s">
        <v>179</v>
      </c>
      <c r="J495" s="33" t="s">
        <v>491</v>
      </c>
      <c r="K495" s="18">
        <f>VLOOKUP(D495,Ingredients!C:G,5,0)</f>
        <v>179</v>
      </c>
      <c r="L495" s="52">
        <f t="shared" si="15"/>
        <v>3.58</v>
      </c>
    </row>
    <row r="496" spans="1:12">
      <c r="A496" t="s">
        <v>160</v>
      </c>
      <c r="B496" t="s">
        <v>349</v>
      </c>
      <c r="C496" t="s">
        <v>350</v>
      </c>
      <c r="D496" s="3" t="s">
        <v>50</v>
      </c>
      <c r="E496" s="10">
        <v>2.4E-2</v>
      </c>
      <c r="F496" s="13" t="s">
        <v>176</v>
      </c>
      <c r="G496" s="9">
        <v>120</v>
      </c>
      <c r="H496" s="9">
        <f t="shared" si="14"/>
        <v>2.88</v>
      </c>
      <c r="I496" t="s">
        <v>179</v>
      </c>
      <c r="J496" s="33" t="s">
        <v>491</v>
      </c>
      <c r="K496" s="18">
        <f>VLOOKUP(D496,Ingredients!C:G,5,0)</f>
        <v>120</v>
      </c>
      <c r="L496" s="52">
        <f t="shared" si="15"/>
        <v>2.88</v>
      </c>
    </row>
    <row r="497" spans="1:12">
      <c r="A497" t="s">
        <v>160</v>
      </c>
      <c r="B497" t="s">
        <v>349</v>
      </c>
      <c r="C497" t="s">
        <v>350</v>
      </c>
      <c r="D497" s="3" t="s">
        <v>16</v>
      </c>
      <c r="E497" s="10">
        <v>0.02</v>
      </c>
      <c r="F497" s="13" t="s">
        <v>176</v>
      </c>
      <c r="G497" s="9">
        <v>270</v>
      </c>
      <c r="H497" s="9">
        <f t="shared" si="14"/>
        <v>5.4</v>
      </c>
      <c r="I497" t="s">
        <v>179</v>
      </c>
      <c r="J497" s="33" t="s">
        <v>491</v>
      </c>
      <c r="K497" s="18">
        <f>VLOOKUP(D497,Ingredients!C:G,5,0)</f>
        <v>310</v>
      </c>
      <c r="L497" s="52">
        <f t="shared" si="15"/>
        <v>6.2</v>
      </c>
    </row>
    <row r="498" spans="1:12">
      <c r="A498" t="s">
        <v>160</v>
      </c>
      <c r="B498" t="s">
        <v>349</v>
      </c>
      <c r="C498" t="s">
        <v>350</v>
      </c>
      <c r="D498" s="3" t="s">
        <v>23</v>
      </c>
      <c r="E498" s="10">
        <v>0.02</v>
      </c>
      <c r="F498" s="13" t="s">
        <v>176</v>
      </c>
      <c r="G498" s="9">
        <v>740</v>
      </c>
      <c r="H498" s="9">
        <f t="shared" si="14"/>
        <v>14.8</v>
      </c>
      <c r="I498" t="s">
        <v>179</v>
      </c>
      <c r="J498" s="33" t="s">
        <v>491</v>
      </c>
      <c r="K498" s="18">
        <f>VLOOKUP(D498,Ingredients!C:G,5,0)</f>
        <v>780</v>
      </c>
      <c r="L498" s="52">
        <f t="shared" si="15"/>
        <v>15.6</v>
      </c>
    </row>
    <row r="499" spans="1:12">
      <c r="A499" t="s">
        <v>160</v>
      </c>
      <c r="B499" t="s">
        <v>349</v>
      </c>
      <c r="C499" t="s">
        <v>350</v>
      </c>
      <c r="D499" s="3" t="s">
        <v>896</v>
      </c>
      <c r="E499" s="10">
        <v>0.4</v>
      </c>
      <c r="F499" s="13" t="s">
        <v>176</v>
      </c>
      <c r="G499" s="9">
        <v>330</v>
      </c>
      <c r="H499" s="9">
        <f t="shared" si="14"/>
        <v>132</v>
      </c>
      <c r="I499" t="s">
        <v>179</v>
      </c>
      <c r="J499" s="33" t="s">
        <v>491</v>
      </c>
      <c r="K499" s="18">
        <f>VLOOKUP(D499,Ingredients!C:G,5,0)</f>
        <v>1650</v>
      </c>
      <c r="L499" s="52">
        <f t="shared" si="15"/>
        <v>660</v>
      </c>
    </row>
    <row r="500" spans="1:12">
      <c r="A500" t="s">
        <v>160</v>
      </c>
      <c r="B500" t="s">
        <v>349</v>
      </c>
      <c r="C500" t="s">
        <v>350</v>
      </c>
      <c r="D500" s="33" t="s">
        <v>491</v>
      </c>
      <c r="E500" s="10">
        <v>1</v>
      </c>
      <c r="F500" s="13" t="s">
        <v>176</v>
      </c>
      <c r="G500" s="9">
        <v>614</v>
      </c>
      <c r="H500" s="9">
        <f t="shared" si="14"/>
        <v>614</v>
      </c>
      <c r="I500" t="s">
        <v>179</v>
      </c>
      <c r="J500" s="33" t="s">
        <v>491</v>
      </c>
      <c r="K500" s="18">
        <f>VLOOKUP(D500,Ingredients!C:G,5,0)</f>
        <v>650</v>
      </c>
      <c r="L500" s="52">
        <f t="shared" si="15"/>
        <v>650</v>
      </c>
    </row>
    <row r="501" spans="1:12">
      <c r="A501" t="s">
        <v>161</v>
      </c>
      <c r="B501" t="s">
        <v>349</v>
      </c>
      <c r="C501" t="s">
        <v>351</v>
      </c>
      <c r="D501" s="3" t="s">
        <v>872</v>
      </c>
      <c r="E501" s="10">
        <v>0.02</v>
      </c>
      <c r="F501" s="13" t="s">
        <v>176</v>
      </c>
      <c r="G501" s="9">
        <v>2100</v>
      </c>
      <c r="H501" s="9">
        <f t="shared" si="14"/>
        <v>42</v>
      </c>
      <c r="I501" t="s">
        <v>179</v>
      </c>
      <c r="J501" s="33" t="s">
        <v>492</v>
      </c>
      <c r="K501" s="18">
        <f>VLOOKUP(D501,Ingredients!C:G,5,0)</f>
        <v>2150</v>
      </c>
      <c r="L501" s="52">
        <f t="shared" si="15"/>
        <v>43</v>
      </c>
    </row>
    <row r="502" spans="1:12">
      <c r="A502" t="s">
        <v>161</v>
      </c>
      <c r="B502" t="s">
        <v>349</v>
      </c>
      <c r="C502" t="s">
        <v>351</v>
      </c>
      <c r="D502" s="3" t="s">
        <v>867</v>
      </c>
      <c r="E502" s="10">
        <v>0.02</v>
      </c>
      <c r="F502" s="13" t="s">
        <v>176</v>
      </c>
      <c r="G502" s="9">
        <v>900</v>
      </c>
      <c r="H502" s="9">
        <f t="shared" si="14"/>
        <v>18</v>
      </c>
      <c r="I502" t="s">
        <v>179</v>
      </c>
      <c r="J502" s="33" t="s">
        <v>492</v>
      </c>
      <c r="K502" s="18">
        <f>VLOOKUP(D502,Ingredients!C:G,5,0)</f>
        <v>950</v>
      </c>
      <c r="L502" s="52">
        <f t="shared" si="15"/>
        <v>19</v>
      </c>
    </row>
    <row r="503" spans="1:12">
      <c r="A503" t="s">
        <v>161</v>
      </c>
      <c r="B503" t="s">
        <v>349</v>
      </c>
      <c r="C503" t="s">
        <v>351</v>
      </c>
      <c r="D503" s="3" t="s">
        <v>878</v>
      </c>
      <c r="E503" s="10">
        <v>3.3333333333333333E-2</v>
      </c>
      <c r="F503" s="13" t="s">
        <v>176</v>
      </c>
      <c r="G503" s="9">
        <v>270</v>
      </c>
      <c r="H503" s="9">
        <f t="shared" si="14"/>
        <v>9</v>
      </c>
      <c r="I503" t="s">
        <v>179</v>
      </c>
      <c r="J503" s="33" t="s">
        <v>492</v>
      </c>
      <c r="K503" s="18">
        <f>VLOOKUP(D503,Ingredients!C:G,5,0)</f>
        <v>1260.55</v>
      </c>
      <c r="L503" s="52">
        <f t="shared" si="15"/>
        <v>42.018333333333331</v>
      </c>
    </row>
    <row r="504" spans="1:12">
      <c r="A504" t="s">
        <v>161</v>
      </c>
      <c r="B504" t="s">
        <v>349</v>
      </c>
      <c r="C504" t="s">
        <v>351</v>
      </c>
      <c r="D504" s="3" t="s">
        <v>32</v>
      </c>
      <c r="E504" s="10">
        <v>3.3333333333333333E-2</v>
      </c>
      <c r="F504" s="13" t="s">
        <v>176</v>
      </c>
      <c r="G504" s="9">
        <v>154.99</v>
      </c>
      <c r="H504" s="9">
        <f t="shared" si="14"/>
        <v>5.1663333333333332</v>
      </c>
      <c r="I504" t="s">
        <v>179</v>
      </c>
      <c r="J504" s="33" t="s">
        <v>492</v>
      </c>
      <c r="K504" s="18">
        <f>VLOOKUP(D504,Ingredients!C:G,5,0)</f>
        <v>14870</v>
      </c>
      <c r="L504" s="52">
        <f t="shared" si="15"/>
        <v>495.66666666666669</v>
      </c>
    </row>
    <row r="505" spans="1:12">
      <c r="A505" t="s">
        <v>161</v>
      </c>
      <c r="B505" t="s">
        <v>349</v>
      </c>
      <c r="C505" t="s">
        <v>351</v>
      </c>
      <c r="D505" s="3" t="s">
        <v>870</v>
      </c>
      <c r="E505" s="10">
        <v>3.3333333333333333E-2</v>
      </c>
      <c r="F505" s="13" t="s">
        <v>176</v>
      </c>
      <c r="G505" s="9">
        <v>440</v>
      </c>
      <c r="H505" s="9">
        <f t="shared" ref="H505:H568" si="16">G505*E505</f>
        <v>14.666666666666666</v>
      </c>
      <c r="I505" t="s">
        <v>179</v>
      </c>
      <c r="J505" s="33" t="s">
        <v>492</v>
      </c>
      <c r="K505" s="18">
        <f>VLOOKUP(D505,Ingredients!C:G,5,0)</f>
        <v>450</v>
      </c>
      <c r="L505" s="52">
        <f t="shared" si="15"/>
        <v>15</v>
      </c>
    </row>
    <row r="506" spans="1:12">
      <c r="A506" t="s">
        <v>161</v>
      </c>
      <c r="B506" t="s">
        <v>349</v>
      </c>
      <c r="C506" t="s">
        <v>351</v>
      </c>
      <c r="D506" s="3" t="s">
        <v>855</v>
      </c>
      <c r="E506" s="10">
        <v>3.3333333333333333E-2</v>
      </c>
      <c r="F506" s="13" t="s">
        <v>176</v>
      </c>
      <c r="G506" s="9">
        <v>2400</v>
      </c>
      <c r="H506" s="9">
        <f t="shared" si="16"/>
        <v>80</v>
      </c>
      <c r="I506" t="s">
        <v>179</v>
      </c>
      <c r="J506" s="33" t="s">
        <v>492</v>
      </c>
      <c r="K506" s="18">
        <f>VLOOKUP(D506,Ingredients!C:G,5,0)</f>
        <v>1600</v>
      </c>
      <c r="L506" s="52">
        <f t="shared" si="15"/>
        <v>53.333333333333336</v>
      </c>
    </row>
    <row r="507" spans="1:12">
      <c r="A507" t="s">
        <v>161</v>
      </c>
      <c r="B507" t="s">
        <v>349</v>
      </c>
      <c r="C507" t="s">
        <v>351</v>
      </c>
      <c r="D507" s="3" t="s">
        <v>29</v>
      </c>
      <c r="E507" s="10">
        <v>0.5</v>
      </c>
      <c r="F507" s="13" t="s">
        <v>176</v>
      </c>
      <c r="G507" s="9">
        <v>60</v>
      </c>
      <c r="H507" s="9">
        <f t="shared" si="16"/>
        <v>30</v>
      </c>
      <c r="I507" t="s">
        <v>179</v>
      </c>
      <c r="J507" s="33" t="s">
        <v>492</v>
      </c>
      <c r="K507" s="18">
        <f>VLOOKUP(D507,Ingredients!C:G,5,0)</f>
        <v>100</v>
      </c>
      <c r="L507" s="52">
        <f t="shared" si="15"/>
        <v>50</v>
      </c>
    </row>
    <row r="508" spans="1:12">
      <c r="A508" t="s">
        <v>161</v>
      </c>
      <c r="B508" t="s">
        <v>349</v>
      </c>
      <c r="C508" t="s">
        <v>351</v>
      </c>
      <c r="D508" s="3" t="s">
        <v>24</v>
      </c>
      <c r="E508" s="10">
        <v>0.2</v>
      </c>
      <c r="F508" s="13" t="s">
        <v>176</v>
      </c>
      <c r="G508" s="9">
        <v>55</v>
      </c>
      <c r="H508" s="9">
        <f t="shared" si="16"/>
        <v>11</v>
      </c>
      <c r="I508" t="s">
        <v>179</v>
      </c>
      <c r="J508" s="33" t="s">
        <v>492</v>
      </c>
      <c r="K508" s="18">
        <f>VLOOKUP(D508,Ingredients!C:G,5,0)</f>
        <v>80</v>
      </c>
      <c r="L508" s="52">
        <f t="shared" si="15"/>
        <v>16</v>
      </c>
    </row>
    <row r="509" spans="1:12">
      <c r="A509" t="s">
        <v>161</v>
      </c>
      <c r="B509" t="s">
        <v>349</v>
      </c>
      <c r="C509" t="s">
        <v>351</v>
      </c>
      <c r="D509" s="3" t="s">
        <v>861</v>
      </c>
      <c r="E509" s="10">
        <v>0.13333333333333333</v>
      </c>
      <c r="F509" s="13" t="s">
        <v>176</v>
      </c>
      <c r="G509" s="9">
        <v>500</v>
      </c>
      <c r="H509" s="9">
        <f t="shared" si="16"/>
        <v>66.666666666666671</v>
      </c>
      <c r="I509" t="s">
        <v>179</v>
      </c>
      <c r="J509" s="33" t="s">
        <v>492</v>
      </c>
      <c r="K509" s="18">
        <f>VLOOKUP(D509,Ingredients!C:G,5,0)</f>
        <v>500</v>
      </c>
      <c r="L509" s="52">
        <f t="shared" si="15"/>
        <v>66.666666666666671</v>
      </c>
    </row>
    <row r="510" spans="1:12">
      <c r="A510" t="s">
        <v>161</v>
      </c>
      <c r="B510" t="s">
        <v>349</v>
      </c>
      <c r="C510" t="s">
        <v>351</v>
      </c>
      <c r="D510" s="3" t="s">
        <v>831</v>
      </c>
      <c r="E510" s="10">
        <v>1</v>
      </c>
      <c r="F510" s="13" t="s">
        <v>176</v>
      </c>
      <c r="G510" s="9">
        <v>908</v>
      </c>
      <c r="H510" s="9">
        <f t="shared" si="16"/>
        <v>908</v>
      </c>
      <c r="I510" t="s">
        <v>179</v>
      </c>
      <c r="J510" s="33" t="s">
        <v>492</v>
      </c>
      <c r="K510" s="18">
        <f>VLOOKUP(D510,Ingredients!C:G,5,0)</f>
        <v>908</v>
      </c>
      <c r="L510" s="52">
        <f t="shared" si="15"/>
        <v>908</v>
      </c>
    </row>
    <row r="511" spans="1:12">
      <c r="A511" t="s">
        <v>161</v>
      </c>
      <c r="B511" t="s">
        <v>349</v>
      </c>
      <c r="C511" t="s">
        <v>351</v>
      </c>
      <c r="D511" s="3" t="s">
        <v>897</v>
      </c>
      <c r="E511" s="10">
        <v>1</v>
      </c>
      <c r="F511" s="13" t="s">
        <v>176</v>
      </c>
      <c r="G511" s="9">
        <v>1890.54</v>
      </c>
      <c r="H511" s="9">
        <f t="shared" si="16"/>
        <v>1890.54</v>
      </c>
      <c r="I511" t="s">
        <v>179</v>
      </c>
      <c r="J511" s="33" t="s">
        <v>492</v>
      </c>
      <c r="K511" s="18">
        <f>VLOOKUP(D511,Ingredients!C:G,5,0)</f>
        <v>1462.18</v>
      </c>
      <c r="L511" s="52">
        <f t="shared" si="15"/>
        <v>1462.18</v>
      </c>
    </row>
    <row r="512" spans="1:12">
      <c r="A512" t="s">
        <v>162</v>
      </c>
      <c r="B512" t="s">
        <v>349</v>
      </c>
      <c r="C512" t="s">
        <v>352</v>
      </c>
      <c r="D512" s="3" t="s">
        <v>29</v>
      </c>
      <c r="E512" s="10">
        <v>1.4285714285714287E-2</v>
      </c>
      <c r="F512" s="13" t="s">
        <v>176</v>
      </c>
      <c r="G512" s="9">
        <v>60</v>
      </c>
      <c r="H512" s="9">
        <f t="shared" si="16"/>
        <v>0.85714285714285721</v>
      </c>
      <c r="I512" t="s">
        <v>179</v>
      </c>
      <c r="J512" s="33" t="s">
        <v>492</v>
      </c>
      <c r="K512" s="18">
        <f>VLOOKUP(D512,Ingredients!C:G,5,0)</f>
        <v>100</v>
      </c>
      <c r="L512" s="52">
        <f t="shared" si="15"/>
        <v>1.4285714285714286</v>
      </c>
    </row>
    <row r="513" spans="1:12">
      <c r="A513" t="s">
        <v>162</v>
      </c>
      <c r="B513" t="s">
        <v>349</v>
      </c>
      <c r="C513" t="s">
        <v>352</v>
      </c>
      <c r="D513" s="3" t="s">
        <v>148</v>
      </c>
      <c r="E513" s="10">
        <v>8.5714285714285712</v>
      </c>
      <c r="F513" s="13" t="s">
        <v>173</v>
      </c>
      <c r="G513" s="9">
        <v>5</v>
      </c>
      <c r="H513" s="9">
        <f t="shared" si="16"/>
        <v>42.857142857142854</v>
      </c>
      <c r="I513" t="s">
        <v>179</v>
      </c>
      <c r="J513" s="33" t="s">
        <v>492</v>
      </c>
      <c r="K513" s="18">
        <f>VLOOKUP(D513,Ingredients!C:G,5,0)</f>
        <v>5</v>
      </c>
      <c r="L513" s="52">
        <f t="shared" si="15"/>
        <v>42.857142857142854</v>
      </c>
    </row>
    <row r="514" spans="1:12">
      <c r="A514" t="s">
        <v>162</v>
      </c>
      <c r="B514" t="s">
        <v>349</v>
      </c>
      <c r="C514" t="s">
        <v>352</v>
      </c>
      <c r="D514" s="3" t="s">
        <v>849</v>
      </c>
      <c r="E514" s="10">
        <v>1.4285714285714287E-2</v>
      </c>
      <c r="F514" s="13" t="s">
        <v>176</v>
      </c>
      <c r="G514" s="9">
        <v>1000</v>
      </c>
      <c r="H514" s="9">
        <f t="shared" si="16"/>
        <v>14.285714285714286</v>
      </c>
      <c r="I514" t="s">
        <v>179</v>
      </c>
      <c r="J514" s="33" t="s">
        <v>492</v>
      </c>
      <c r="K514" s="18">
        <f>VLOOKUP(D514,Ingredients!C:G,5,0)</f>
        <v>950</v>
      </c>
      <c r="L514" s="52">
        <f t="shared" si="15"/>
        <v>13.571428571428573</v>
      </c>
    </row>
    <row r="515" spans="1:12">
      <c r="A515" t="s">
        <v>162</v>
      </c>
      <c r="B515" t="s">
        <v>349</v>
      </c>
      <c r="C515" t="s">
        <v>352</v>
      </c>
      <c r="D515" s="3" t="s">
        <v>856</v>
      </c>
      <c r="E515" s="10">
        <v>1.4285714285714287E-2</v>
      </c>
      <c r="F515" s="13" t="s">
        <v>176</v>
      </c>
      <c r="G515" s="9">
        <v>850</v>
      </c>
      <c r="H515" s="9">
        <f t="shared" si="16"/>
        <v>12.142857142857144</v>
      </c>
      <c r="I515" t="s">
        <v>179</v>
      </c>
      <c r="J515" s="33" t="s">
        <v>492</v>
      </c>
      <c r="K515" s="18">
        <f>VLOOKUP(D515,Ingredients!C:G,5,0)</f>
        <v>980</v>
      </c>
      <c r="L515" s="52">
        <f t="shared" si="15"/>
        <v>14.000000000000002</v>
      </c>
    </row>
    <row r="516" spans="1:12">
      <c r="A516" t="s">
        <v>162</v>
      </c>
      <c r="B516" t="s">
        <v>349</v>
      </c>
      <c r="C516" t="s">
        <v>352</v>
      </c>
      <c r="D516" s="3" t="s">
        <v>880</v>
      </c>
      <c r="E516" s="10">
        <v>1.4285714285714287E-2</v>
      </c>
      <c r="F516" s="13" t="s">
        <v>176</v>
      </c>
      <c r="G516" s="9">
        <v>650</v>
      </c>
      <c r="H516" s="9">
        <f t="shared" si="16"/>
        <v>9.2857142857142865</v>
      </c>
      <c r="I516" t="s">
        <v>179</v>
      </c>
      <c r="J516" s="33" t="s">
        <v>492</v>
      </c>
      <c r="K516" s="18">
        <f>VLOOKUP(D516,Ingredients!C:G,5,0)</f>
        <v>520</v>
      </c>
      <c r="L516" s="52">
        <f t="shared" ref="L516:L579" si="17">K516*E516</f>
        <v>7.4285714285714288</v>
      </c>
    </row>
    <row r="517" spans="1:12">
      <c r="A517" t="s">
        <v>162</v>
      </c>
      <c r="B517" t="s">
        <v>349</v>
      </c>
      <c r="C517" t="s">
        <v>352</v>
      </c>
      <c r="D517" s="3" t="s">
        <v>853</v>
      </c>
      <c r="E517" s="10">
        <v>1.4285714285714287E-2</v>
      </c>
      <c r="F517" s="13" t="s">
        <v>176</v>
      </c>
      <c r="G517" s="9">
        <v>30</v>
      </c>
      <c r="H517" s="9">
        <f t="shared" si="16"/>
        <v>0.4285714285714286</v>
      </c>
      <c r="I517" t="s">
        <v>179</v>
      </c>
      <c r="J517" s="33" t="s">
        <v>492</v>
      </c>
      <c r="K517" s="18">
        <f>VLOOKUP(D517,Ingredients!C:G,5,0)</f>
        <v>55</v>
      </c>
      <c r="L517" s="52">
        <f t="shared" si="17"/>
        <v>0.78571428571428581</v>
      </c>
    </row>
    <row r="518" spans="1:12">
      <c r="A518" t="s">
        <v>162</v>
      </c>
      <c r="B518" t="s">
        <v>349</v>
      </c>
      <c r="C518" t="s">
        <v>352</v>
      </c>
      <c r="D518" s="3" t="s">
        <v>28</v>
      </c>
      <c r="E518" s="10">
        <v>0.22857142857142859</v>
      </c>
      <c r="F518" s="13" t="s">
        <v>176</v>
      </c>
      <c r="G518" s="9">
        <v>85</v>
      </c>
      <c r="H518" s="9">
        <f t="shared" si="16"/>
        <v>19.428571428571431</v>
      </c>
      <c r="I518" t="s">
        <v>179</v>
      </c>
      <c r="J518" s="33" t="s">
        <v>492</v>
      </c>
      <c r="K518" s="18">
        <f>VLOOKUP(D518,Ingredients!C:G,5,0)</f>
        <v>70</v>
      </c>
      <c r="L518" s="52">
        <f t="shared" si="17"/>
        <v>16</v>
      </c>
    </row>
    <row r="519" spans="1:12">
      <c r="A519" t="s">
        <v>162</v>
      </c>
      <c r="B519" t="s">
        <v>349</v>
      </c>
      <c r="C519" t="s">
        <v>352</v>
      </c>
      <c r="D519" s="3" t="s">
        <v>24</v>
      </c>
      <c r="E519" s="10">
        <v>0.14285714285714288</v>
      </c>
      <c r="F519" s="13" t="s">
        <v>176</v>
      </c>
      <c r="G519" s="9">
        <v>55</v>
      </c>
      <c r="H519" s="9">
        <f t="shared" si="16"/>
        <v>7.8571428571428585</v>
      </c>
      <c r="I519" t="s">
        <v>179</v>
      </c>
      <c r="J519" s="33" t="s">
        <v>492</v>
      </c>
      <c r="K519" s="18">
        <f>VLOOKUP(D519,Ingredients!C:G,5,0)</f>
        <v>80</v>
      </c>
      <c r="L519" s="52">
        <f t="shared" si="17"/>
        <v>11.428571428571431</v>
      </c>
    </row>
    <row r="520" spans="1:12">
      <c r="A520" t="s">
        <v>162</v>
      </c>
      <c r="B520" t="s">
        <v>349</v>
      </c>
      <c r="C520" t="s">
        <v>352</v>
      </c>
      <c r="D520" s="3" t="s">
        <v>852</v>
      </c>
      <c r="E520" s="10">
        <v>0.14285714285714288</v>
      </c>
      <c r="F520" s="13" t="s">
        <v>177</v>
      </c>
      <c r="G520" s="9">
        <v>520.63</v>
      </c>
      <c r="H520" s="9">
        <f t="shared" si="16"/>
        <v>74.375714285714295</v>
      </c>
      <c r="I520" t="s">
        <v>179</v>
      </c>
      <c r="J520" s="33" t="s">
        <v>492</v>
      </c>
      <c r="K520" s="18">
        <v>550</v>
      </c>
      <c r="L520" s="52">
        <f t="shared" si="17"/>
        <v>78.571428571428584</v>
      </c>
    </row>
    <row r="521" spans="1:12">
      <c r="A521" t="s">
        <v>162</v>
      </c>
      <c r="B521" t="s">
        <v>349</v>
      </c>
      <c r="C521" t="s">
        <v>352</v>
      </c>
      <c r="D521" s="3" t="s">
        <v>897</v>
      </c>
      <c r="E521" s="10">
        <v>1</v>
      </c>
      <c r="F521" s="13" t="s">
        <v>176</v>
      </c>
      <c r="G521" s="9">
        <v>1890.54</v>
      </c>
      <c r="H521" s="9">
        <f t="shared" si="16"/>
        <v>1890.54</v>
      </c>
      <c r="I521" t="s">
        <v>179</v>
      </c>
      <c r="J521" s="33" t="s">
        <v>492</v>
      </c>
      <c r="K521" s="18">
        <f>VLOOKUP(D521,Ingredients!C:G,5,0)</f>
        <v>1462.18</v>
      </c>
      <c r="L521" s="52">
        <f t="shared" si="17"/>
        <v>1462.18</v>
      </c>
    </row>
    <row r="522" spans="1:12">
      <c r="A522" t="s">
        <v>163</v>
      </c>
      <c r="B522" t="s">
        <v>349</v>
      </c>
      <c r="C522" t="s">
        <v>351</v>
      </c>
      <c r="D522" s="3" t="s">
        <v>874</v>
      </c>
      <c r="E522" s="10">
        <v>8.8888888888888892E-2</v>
      </c>
      <c r="F522" s="13" t="s">
        <v>177</v>
      </c>
      <c r="G522" s="9">
        <v>110</v>
      </c>
      <c r="H522" s="9">
        <f t="shared" si="16"/>
        <v>9.7777777777777786</v>
      </c>
      <c r="I522" t="s">
        <v>179</v>
      </c>
      <c r="J522" s="33" t="s">
        <v>428</v>
      </c>
      <c r="K522" s="18">
        <f>VLOOKUP(D522,Ingredients!C:G,5,0)</f>
        <v>179</v>
      </c>
      <c r="L522" s="52">
        <f t="shared" si="17"/>
        <v>15.911111111111111</v>
      </c>
    </row>
    <row r="523" spans="1:12">
      <c r="A523" t="s">
        <v>163</v>
      </c>
      <c r="B523" t="s">
        <v>349</v>
      </c>
      <c r="C523" t="s">
        <v>351</v>
      </c>
      <c r="D523" s="3" t="s">
        <v>310</v>
      </c>
      <c r="E523" s="10">
        <v>8.8888888888888889E-3</v>
      </c>
      <c r="F523" s="13" t="s">
        <v>177</v>
      </c>
      <c r="G523" s="9">
        <v>425</v>
      </c>
      <c r="H523" s="9">
        <f t="shared" si="16"/>
        <v>3.7777777777777777</v>
      </c>
      <c r="I523" t="s">
        <v>179</v>
      </c>
      <c r="J523" s="33" t="s">
        <v>428</v>
      </c>
      <c r="K523" s="18">
        <f>VLOOKUP(D523,Ingredients!C:G,5,0)</f>
        <v>850</v>
      </c>
      <c r="L523" s="52">
        <f t="shared" si="17"/>
        <v>7.5555555555555554</v>
      </c>
    </row>
    <row r="524" spans="1:12">
      <c r="A524" t="s">
        <v>163</v>
      </c>
      <c r="B524" t="s">
        <v>349</v>
      </c>
      <c r="C524" t="s">
        <v>351</v>
      </c>
      <c r="D524" s="3" t="s">
        <v>898</v>
      </c>
      <c r="E524" s="10">
        <v>8.8888888888888882E-4</v>
      </c>
      <c r="F524" s="13" t="s">
        <v>176</v>
      </c>
      <c r="G524" s="9">
        <v>290</v>
      </c>
      <c r="H524" s="9">
        <f t="shared" si="16"/>
        <v>0.25777777777777777</v>
      </c>
      <c r="I524" t="s">
        <v>179</v>
      </c>
      <c r="J524" s="33" t="s">
        <v>428</v>
      </c>
      <c r="K524" s="18">
        <f>VLOOKUP(D524,Ingredients!C:G,5,0)</f>
        <v>290</v>
      </c>
      <c r="L524" s="52">
        <f t="shared" si="17"/>
        <v>0.25777777777777777</v>
      </c>
    </row>
    <row r="525" spans="1:12">
      <c r="A525" t="s">
        <v>163</v>
      </c>
      <c r="B525" t="s">
        <v>349</v>
      </c>
      <c r="C525" t="s">
        <v>351</v>
      </c>
      <c r="D525" s="3" t="s">
        <v>890</v>
      </c>
      <c r="E525" s="10">
        <v>4.4444444444444444E-3</v>
      </c>
      <c r="F525" s="13" t="s">
        <v>176</v>
      </c>
      <c r="G525" s="9">
        <v>92</v>
      </c>
      <c r="H525" s="9">
        <f t="shared" si="16"/>
        <v>0.40888888888888891</v>
      </c>
      <c r="I525" t="s">
        <v>179</v>
      </c>
      <c r="J525" s="33" t="s">
        <v>428</v>
      </c>
      <c r="K525" s="18">
        <f>VLOOKUP(D525,Ingredients!C:G,5,0)</f>
        <v>150</v>
      </c>
      <c r="L525" s="52">
        <f t="shared" si="17"/>
        <v>0.66666666666666663</v>
      </c>
    </row>
    <row r="526" spans="1:12">
      <c r="A526" t="s">
        <v>163</v>
      </c>
      <c r="B526" t="s">
        <v>349</v>
      </c>
      <c r="C526" t="s">
        <v>351</v>
      </c>
      <c r="D526" s="3" t="s">
        <v>853</v>
      </c>
      <c r="E526" s="10">
        <v>6.2222222222222219E-3</v>
      </c>
      <c r="F526" s="13" t="s">
        <v>176</v>
      </c>
      <c r="G526" s="9">
        <v>30</v>
      </c>
      <c r="H526" s="9">
        <f t="shared" si="16"/>
        <v>0.18666666666666665</v>
      </c>
      <c r="I526" t="s">
        <v>179</v>
      </c>
      <c r="J526" s="33" t="s">
        <v>428</v>
      </c>
      <c r="K526" s="18">
        <f>VLOOKUP(D526,Ingredients!C:G,5,0)</f>
        <v>55</v>
      </c>
      <c r="L526" s="52">
        <f t="shared" si="17"/>
        <v>0.34222222222222221</v>
      </c>
    </row>
    <row r="527" spans="1:12">
      <c r="A527" t="s">
        <v>163</v>
      </c>
      <c r="B527" t="s">
        <v>349</v>
      </c>
      <c r="C527" t="s">
        <v>351</v>
      </c>
      <c r="D527" s="3" t="s">
        <v>32</v>
      </c>
      <c r="E527" s="10">
        <v>3.5555555555555553E-3</v>
      </c>
      <c r="F527" s="13" t="s">
        <v>176</v>
      </c>
      <c r="G527" s="9">
        <v>154.99</v>
      </c>
      <c r="H527" s="9">
        <f t="shared" si="16"/>
        <v>0.55107555555555554</v>
      </c>
      <c r="I527" t="s">
        <v>179</v>
      </c>
      <c r="J527" s="33" t="s">
        <v>428</v>
      </c>
      <c r="K527" s="18">
        <f>VLOOKUP(D527,Ingredients!C:G,5,0)</f>
        <v>14870</v>
      </c>
      <c r="L527" s="52">
        <f t="shared" si="17"/>
        <v>52.871111111111105</v>
      </c>
    </row>
    <row r="528" spans="1:12">
      <c r="A528" t="s">
        <v>163</v>
      </c>
      <c r="B528" t="s">
        <v>349</v>
      </c>
      <c r="C528" t="s">
        <v>351</v>
      </c>
      <c r="D528" s="3" t="s">
        <v>855</v>
      </c>
      <c r="E528" s="10">
        <v>5.3333333333333332E-3</v>
      </c>
      <c r="F528" s="13" t="s">
        <v>176</v>
      </c>
      <c r="G528" s="9">
        <v>2400</v>
      </c>
      <c r="H528" s="9">
        <f t="shared" si="16"/>
        <v>12.799999999999999</v>
      </c>
      <c r="I528" t="s">
        <v>179</v>
      </c>
      <c r="J528" s="33" t="s">
        <v>428</v>
      </c>
      <c r="K528" s="18">
        <f>VLOOKUP(D528,Ingredients!C:G,5,0)</f>
        <v>1600</v>
      </c>
      <c r="L528" s="52">
        <f t="shared" si="17"/>
        <v>8.5333333333333332</v>
      </c>
    </row>
    <row r="529" spans="1:12">
      <c r="A529" t="s">
        <v>163</v>
      </c>
      <c r="B529" t="s">
        <v>349</v>
      </c>
      <c r="C529" t="s">
        <v>351</v>
      </c>
      <c r="D529" s="3" t="s">
        <v>55</v>
      </c>
      <c r="E529" s="10">
        <v>5.3333333333333332E-3</v>
      </c>
      <c r="F529" s="13" t="s">
        <v>176</v>
      </c>
      <c r="G529" s="9">
        <v>350</v>
      </c>
      <c r="H529" s="9">
        <f t="shared" si="16"/>
        <v>1.8666666666666667</v>
      </c>
      <c r="I529" t="s">
        <v>179</v>
      </c>
      <c r="J529" s="33" t="s">
        <v>428</v>
      </c>
      <c r="K529" s="18">
        <f>VLOOKUP(D529,Ingredients!C:G,5,0)</f>
        <v>457.875</v>
      </c>
      <c r="L529" s="52">
        <f t="shared" si="17"/>
        <v>2.4419999999999997</v>
      </c>
    </row>
    <row r="530" spans="1:12">
      <c r="A530" t="s">
        <v>163</v>
      </c>
      <c r="B530" t="s">
        <v>349</v>
      </c>
      <c r="C530" t="s">
        <v>351</v>
      </c>
      <c r="D530" s="3" t="s">
        <v>16</v>
      </c>
      <c r="E530" s="10">
        <v>6.6666666666666662E-3</v>
      </c>
      <c r="F530" s="13" t="s">
        <v>176</v>
      </c>
      <c r="G530" s="9">
        <v>270</v>
      </c>
      <c r="H530" s="9">
        <f t="shared" si="16"/>
        <v>1.7999999999999998</v>
      </c>
      <c r="I530" t="s">
        <v>179</v>
      </c>
      <c r="J530" s="33" t="s">
        <v>428</v>
      </c>
      <c r="K530" s="18">
        <f>VLOOKUP(D530,Ingredients!C:G,5,0)</f>
        <v>310</v>
      </c>
      <c r="L530" s="52">
        <f t="shared" si="17"/>
        <v>2.0666666666666664</v>
      </c>
    </row>
    <row r="531" spans="1:12">
      <c r="A531" t="s">
        <v>163</v>
      </c>
      <c r="B531" t="s">
        <v>349</v>
      </c>
      <c r="C531" t="s">
        <v>351</v>
      </c>
      <c r="D531" s="3" t="s">
        <v>23</v>
      </c>
      <c r="E531" s="10">
        <v>8.8888888888888889E-3</v>
      </c>
      <c r="F531" s="13" t="s">
        <v>176</v>
      </c>
      <c r="G531" s="9">
        <v>740</v>
      </c>
      <c r="H531" s="9">
        <f t="shared" si="16"/>
        <v>6.5777777777777775</v>
      </c>
      <c r="I531" t="s">
        <v>179</v>
      </c>
      <c r="J531" s="33" t="s">
        <v>428</v>
      </c>
      <c r="K531" s="18">
        <f>VLOOKUP(D531,Ingredients!C:G,5,0)</f>
        <v>780</v>
      </c>
      <c r="L531" s="52">
        <f t="shared" si="17"/>
        <v>6.9333333333333336</v>
      </c>
    </row>
    <row r="532" spans="1:12">
      <c r="A532" t="s">
        <v>163</v>
      </c>
      <c r="B532" t="s">
        <v>349</v>
      </c>
      <c r="C532" t="s">
        <v>351</v>
      </c>
      <c r="D532" s="3" t="s">
        <v>852</v>
      </c>
      <c r="E532" s="10">
        <v>0.22222222222222221</v>
      </c>
      <c r="F532" s="13" t="s">
        <v>176</v>
      </c>
      <c r="G532" s="9">
        <v>520.63</v>
      </c>
      <c r="H532" s="9">
        <f t="shared" si="16"/>
        <v>115.69555555555554</v>
      </c>
      <c r="I532" t="s">
        <v>179</v>
      </c>
      <c r="J532" s="33" t="s">
        <v>428</v>
      </c>
      <c r="K532" s="18">
        <v>550</v>
      </c>
      <c r="L532" s="52">
        <f t="shared" si="17"/>
        <v>122.22222222222221</v>
      </c>
    </row>
    <row r="533" spans="1:12">
      <c r="A533" t="s">
        <v>163</v>
      </c>
      <c r="B533" t="s">
        <v>349</v>
      </c>
      <c r="C533" t="s">
        <v>351</v>
      </c>
      <c r="D533" s="3" t="s">
        <v>29</v>
      </c>
      <c r="E533" s="10">
        <v>8.8888888888888892E-2</v>
      </c>
      <c r="F533" s="13" t="s">
        <v>176</v>
      </c>
      <c r="G533" s="9">
        <v>60</v>
      </c>
      <c r="H533" s="9">
        <f t="shared" si="16"/>
        <v>5.3333333333333339</v>
      </c>
      <c r="I533" t="s">
        <v>179</v>
      </c>
      <c r="J533" s="33" t="s">
        <v>428</v>
      </c>
      <c r="K533" s="18">
        <f>VLOOKUP(D533,Ingredients!C:G,5,0)</f>
        <v>100</v>
      </c>
      <c r="L533" s="52">
        <f t="shared" si="17"/>
        <v>8.8888888888888893</v>
      </c>
    </row>
    <row r="534" spans="1:12">
      <c r="A534" t="s">
        <v>163</v>
      </c>
      <c r="B534" t="s">
        <v>349</v>
      </c>
      <c r="C534" t="s">
        <v>351</v>
      </c>
      <c r="D534" s="3" t="s">
        <v>165</v>
      </c>
      <c r="E534" s="10">
        <v>1</v>
      </c>
      <c r="F534" s="13" t="s">
        <v>174</v>
      </c>
      <c r="G534" s="9">
        <v>1074.9100000000001</v>
      </c>
      <c r="H534" s="9">
        <f t="shared" si="16"/>
        <v>1074.9100000000001</v>
      </c>
      <c r="I534" t="s">
        <v>179</v>
      </c>
      <c r="J534" s="33" t="s">
        <v>428</v>
      </c>
      <c r="K534" s="18">
        <f>VLOOKUP(D534,Ingredients!C:G,5,0)</f>
        <v>1191.74</v>
      </c>
      <c r="L534" s="52">
        <f t="shared" si="17"/>
        <v>1191.74</v>
      </c>
    </row>
    <row r="535" spans="1:12">
      <c r="A535" t="s">
        <v>167</v>
      </c>
      <c r="B535" t="s">
        <v>349</v>
      </c>
      <c r="C535" t="s">
        <v>456</v>
      </c>
      <c r="D535" s="3" t="s">
        <v>883</v>
      </c>
      <c r="E535" s="10">
        <v>0.05</v>
      </c>
      <c r="F535" s="13" t="s">
        <v>177</v>
      </c>
      <c r="G535" s="9">
        <v>950</v>
      </c>
      <c r="H535" s="9">
        <f t="shared" si="16"/>
        <v>47.5</v>
      </c>
      <c r="I535" t="s">
        <v>179</v>
      </c>
      <c r="J535" s="33" t="s">
        <v>490</v>
      </c>
      <c r="K535" s="18">
        <f>VLOOKUP(D535,Ingredients!C:G,5,0)</f>
        <v>313</v>
      </c>
      <c r="L535" s="52">
        <f t="shared" si="17"/>
        <v>15.65</v>
      </c>
    </row>
    <row r="536" spans="1:12">
      <c r="A536" t="s">
        <v>167</v>
      </c>
      <c r="B536" t="s">
        <v>349</v>
      </c>
      <c r="C536" t="s">
        <v>456</v>
      </c>
      <c r="D536" s="3" t="s">
        <v>869</v>
      </c>
      <c r="E536" s="10">
        <v>9.2307692307692299E-2</v>
      </c>
      <c r="F536" s="13" t="s">
        <v>177</v>
      </c>
      <c r="G536" s="9">
        <v>160</v>
      </c>
      <c r="H536" s="9">
        <f t="shared" si="16"/>
        <v>14.769230769230768</v>
      </c>
      <c r="I536" t="s">
        <v>179</v>
      </c>
      <c r="J536" s="33" t="s">
        <v>490</v>
      </c>
      <c r="K536" s="18">
        <f>VLOOKUP(D536,Ingredients!C:G,5,0)</f>
        <v>527</v>
      </c>
      <c r="L536" s="52">
        <f t="shared" si="17"/>
        <v>48.646153846153844</v>
      </c>
    </row>
    <row r="537" spans="1:12">
      <c r="A537" t="s">
        <v>167</v>
      </c>
      <c r="B537" t="s">
        <v>349</v>
      </c>
      <c r="C537" t="s">
        <v>456</v>
      </c>
      <c r="D537" s="3" t="s">
        <v>868</v>
      </c>
      <c r="E537" s="10">
        <v>0.05</v>
      </c>
      <c r="F537" s="13" t="s">
        <v>177</v>
      </c>
      <c r="G537" s="9">
        <v>5432.77</v>
      </c>
      <c r="H537" s="9">
        <f t="shared" si="16"/>
        <v>271.63850000000002</v>
      </c>
      <c r="I537" t="s">
        <v>179</v>
      </c>
      <c r="J537" s="33" t="s">
        <v>490</v>
      </c>
      <c r="K537" s="18">
        <f>VLOOKUP(D537,Ingredients!C:G,5,0)</f>
        <v>3200</v>
      </c>
      <c r="L537" s="52">
        <f t="shared" si="17"/>
        <v>160</v>
      </c>
    </row>
    <row r="538" spans="1:12">
      <c r="A538" t="s">
        <v>167</v>
      </c>
      <c r="B538" t="s">
        <v>349</v>
      </c>
      <c r="C538" t="s">
        <v>456</v>
      </c>
      <c r="D538" s="3" t="s">
        <v>872</v>
      </c>
      <c r="E538" s="10">
        <v>6.1538461538461538E-3</v>
      </c>
      <c r="F538" s="13" t="s">
        <v>176</v>
      </c>
      <c r="G538" s="9">
        <v>2100</v>
      </c>
      <c r="H538" s="9">
        <f t="shared" si="16"/>
        <v>12.923076923076923</v>
      </c>
      <c r="I538" t="s">
        <v>179</v>
      </c>
      <c r="J538" s="33" t="s">
        <v>490</v>
      </c>
      <c r="K538" s="18">
        <f>VLOOKUP(D538,Ingredients!C:G,5,0)</f>
        <v>2150</v>
      </c>
      <c r="L538" s="52">
        <f t="shared" si="17"/>
        <v>13.23076923076923</v>
      </c>
    </row>
    <row r="539" spans="1:12">
      <c r="A539" t="s">
        <v>167</v>
      </c>
      <c r="B539" t="s">
        <v>349</v>
      </c>
      <c r="C539" t="s">
        <v>456</v>
      </c>
      <c r="D539" s="3" t="s">
        <v>851</v>
      </c>
      <c r="E539" s="10">
        <v>6.1538461538461538E-3</v>
      </c>
      <c r="F539" s="13" t="s">
        <v>176</v>
      </c>
      <c r="G539" s="9">
        <v>177</v>
      </c>
      <c r="H539" s="9">
        <f t="shared" si="16"/>
        <v>1.0892307692307692</v>
      </c>
      <c r="I539" t="s">
        <v>179</v>
      </c>
      <c r="J539" s="33" t="s">
        <v>490</v>
      </c>
      <c r="K539" s="18">
        <f>VLOOKUP(D539,Ingredients!C:G,5,0)</f>
        <v>920</v>
      </c>
      <c r="L539" s="52">
        <f t="shared" si="17"/>
        <v>5.6615384615384619</v>
      </c>
    </row>
    <row r="540" spans="1:12">
      <c r="A540" t="s">
        <v>167</v>
      </c>
      <c r="B540" t="s">
        <v>349</v>
      </c>
      <c r="C540" t="s">
        <v>456</v>
      </c>
      <c r="D540" s="3" t="s">
        <v>16</v>
      </c>
      <c r="E540" s="10">
        <v>1.2307692307692308E-2</v>
      </c>
      <c r="F540" s="13" t="s">
        <v>176</v>
      </c>
      <c r="G540" s="9">
        <v>270</v>
      </c>
      <c r="H540" s="9">
        <f t="shared" si="16"/>
        <v>3.3230769230769233</v>
      </c>
      <c r="I540" t="s">
        <v>179</v>
      </c>
      <c r="J540" s="33" t="s">
        <v>490</v>
      </c>
      <c r="K540" s="18">
        <f>VLOOKUP(D540,Ingredients!C:G,5,0)</f>
        <v>310</v>
      </c>
      <c r="L540" s="52">
        <f t="shared" si="17"/>
        <v>3.8153846153846156</v>
      </c>
    </row>
    <row r="541" spans="1:12">
      <c r="A541" t="s">
        <v>167</v>
      </c>
      <c r="B541" t="s">
        <v>349</v>
      </c>
      <c r="C541" t="s">
        <v>456</v>
      </c>
      <c r="D541" s="3" t="s">
        <v>23</v>
      </c>
      <c r="E541" s="10">
        <v>1.2307692307692308E-2</v>
      </c>
      <c r="F541" s="13" t="s">
        <v>176</v>
      </c>
      <c r="G541" s="9">
        <v>740</v>
      </c>
      <c r="H541" s="9">
        <f t="shared" si="16"/>
        <v>9.1076923076923073</v>
      </c>
      <c r="I541" t="s">
        <v>179</v>
      </c>
      <c r="J541" s="33" t="s">
        <v>490</v>
      </c>
      <c r="K541" s="18">
        <f>VLOOKUP(D541,Ingredients!C:G,5,0)</f>
        <v>780</v>
      </c>
      <c r="L541" s="52">
        <f t="shared" si="17"/>
        <v>9.6</v>
      </c>
    </row>
    <row r="542" spans="1:12">
      <c r="A542" t="s">
        <v>167</v>
      </c>
      <c r="B542" t="s">
        <v>349</v>
      </c>
      <c r="C542" t="s">
        <v>456</v>
      </c>
      <c r="D542" s="3" t="s">
        <v>833</v>
      </c>
      <c r="E542" s="10">
        <v>1</v>
      </c>
      <c r="F542" s="13" t="s">
        <v>176</v>
      </c>
      <c r="G542" s="9">
        <v>1020</v>
      </c>
      <c r="H542" s="9">
        <f t="shared" si="16"/>
        <v>1020</v>
      </c>
      <c r="I542" t="s">
        <v>179</v>
      </c>
      <c r="J542" s="33" t="s">
        <v>490</v>
      </c>
      <c r="K542" s="18">
        <f>VLOOKUP(D542,Ingredients!C:G,5,0)</f>
        <v>1000</v>
      </c>
      <c r="L542" s="52">
        <f t="shared" si="17"/>
        <v>1000</v>
      </c>
    </row>
    <row r="543" spans="1:12">
      <c r="A543" t="s">
        <v>168</v>
      </c>
      <c r="B543" t="s">
        <v>347</v>
      </c>
      <c r="C543" t="s">
        <v>365</v>
      </c>
      <c r="D543" s="3" t="s">
        <v>863</v>
      </c>
      <c r="E543" s="10">
        <v>0.05</v>
      </c>
      <c r="F543" s="13" t="s">
        <v>176</v>
      </c>
      <c r="G543" s="9">
        <v>675</v>
      </c>
      <c r="H543" s="9">
        <f t="shared" si="16"/>
        <v>33.75</v>
      </c>
      <c r="I543" t="s">
        <v>486</v>
      </c>
      <c r="J543" s="33">
        <v>0</v>
      </c>
      <c r="K543" s="18">
        <f>VLOOKUP(D543,Ingredients!C:G,5,0)</f>
        <v>675</v>
      </c>
      <c r="L543" s="52">
        <f t="shared" si="17"/>
        <v>33.75</v>
      </c>
    </row>
    <row r="544" spans="1:12">
      <c r="A544" t="s">
        <v>168</v>
      </c>
      <c r="B544" t="s">
        <v>347</v>
      </c>
      <c r="C544" t="s">
        <v>365</v>
      </c>
      <c r="D544" s="3" t="s">
        <v>41</v>
      </c>
      <c r="E544" s="10">
        <v>3.0000000000000001E-3</v>
      </c>
      <c r="F544" s="13" t="s">
        <v>176</v>
      </c>
      <c r="G544" s="9">
        <v>550</v>
      </c>
      <c r="H544" s="9">
        <f t="shared" si="16"/>
        <v>1.6500000000000001</v>
      </c>
      <c r="I544" t="s">
        <v>486</v>
      </c>
      <c r="J544" s="33">
        <v>0</v>
      </c>
      <c r="K544" s="18">
        <f>VLOOKUP(D544,Ingredients!C:G,5,0)</f>
        <v>550</v>
      </c>
      <c r="L544" s="52">
        <f t="shared" si="17"/>
        <v>1.6500000000000001</v>
      </c>
    </row>
    <row r="545" spans="1:12">
      <c r="A545" t="s">
        <v>168</v>
      </c>
      <c r="B545" t="s">
        <v>347</v>
      </c>
      <c r="C545" t="s">
        <v>365</v>
      </c>
      <c r="D545" s="3" t="s">
        <v>310</v>
      </c>
      <c r="E545" s="10">
        <v>0.02</v>
      </c>
      <c r="F545" s="13" t="s">
        <v>177</v>
      </c>
      <c r="G545" s="9">
        <v>425</v>
      </c>
      <c r="H545" s="9">
        <f t="shared" si="16"/>
        <v>8.5</v>
      </c>
      <c r="I545" t="s">
        <v>486</v>
      </c>
      <c r="J545" s="33">
        <v>0</v>
      </c>
      <c r="K545" s="18">
        <f>VLOOKUP(D545,Ingredients!C:G,5,0)</f>
        <v>850</v>
      </c>
      <c r="L545" s="52">
        <f t="shared" si="17"/>
        <v>17</v>
      </c>
    </row>
    <row r="546" spans="1:12">
      <c r="A546" t="s">
        <v>168</v>
      </c>
      <c r="B546" t="s">
        <v>347</v>
      </c>
      <c r="C546" t="s">
        <v>365</v>
      </c>
      <c r="D546" s="3" t="s">
        <v>853</v>
      </c>
      <c r="E546" s="10">
        <v>5.0000000000000001E-3</v>
      </c>
      <c r="F546" s="13" t="s">
        <v>176</v>
      </c>
      <c r="G546" s="9">
        <v>30</v>
      </c>
      <c r="H546" s="9">
        <f t="shared" si="16"/>
        <v>0.15</v>
      </c>
      <c r="I546" t="s">
        <v>486</v>
      </c>
      <c r="J546" s="33">
        <v>0</v>
      </c>
      <c r="K546" s="18">
        <f>VLOOKUP(D546,Ingredients!C:G,5,0)</f>
        <v>55</v>
      </c>
      <c r="L546" s="52">
        <f t="shared" si="17"/>
        <v>0.27500000000000002</v>
      </c>
    </row>
    <row r="547" spans="1:12">
      <c r="A547" t="s">
        <v>168</v>
      </c>
      <c r="B547" t="s">
        <v>347</v>
      </c>
      <c r="C547" t="s">
        <v>365</v>
      </c>
      <c r="D547" s="3" t="s">
        <v>28</v>
      </c>
      <c r="E547" s="10">
        <v>0.1</v>
      </c>
      <c r="F547" s="13" t="s">
        <v>176</v>
      </c>
      <c r="G547" s="9">
        <v>85</v>
      </c>
      <c r="H547" s="9">
        <f t="shared" si="16"/>
        <v>8.5</v>
      </c>
      <c r="I547" t="s">
        <v>486</v>
      </c>
      <c r="J547" s="33">
        <v>0</v>
      </c>
      <c r="K547" s="18">
        <f>VLOOKUP(D547,Ingredients!C:G,5,0)</f>
        <v>70</v>
      </c>
      <c r="L547" s="52">
        <f t="shared" si="17"/>
        <v>7</v>
      </c>
    </row>
    <row r="548" spans="1:12">
      <c r="A548" t="s">
        <v>168</v>
      </c>
      <c r="B548" t="s">
        <v>347</v>
      </c>
      <c r="C548" t="s">
        <v>365</v>
      </c>
      <c r="D548" s="3" t="s">
        <v>866</v>
      </c>
      <c r="E548" s="10">
        <v>0.03</v>
      </c>
      <c r="F548" s="13" t="s">
        <v>176</v>
      </c>
      <c r="G548" s="9">
        <v>153.97999999999999</v>
      </c>
      <c r="H548" s="9">
        <f t="shared" si="16"/>
        <v>4.6193999999999997</v>
      </c>
      <c r="I548" t="s">
        <v>486</v>
      </c>
      <c r="J548" s="33">
        <v>0</v>
      </c>
      <c r="K548" s="18">
        <f>VLOOKUP(D548,Ingredients!C:G,5,0)</f>
        <v>142.13999999999999</v>
      </c>
      <c r="L548" s="52">
        <f t="shared" si="17"/>
        <v>4.2641999999999998</v>
      </c>
    </row>
    <row r="549" spans="1:12">
      <c r="A549" t="s">
        <v>168</v>
      </c>
      <c r="B549" t="s">
        <v>347</v>
      </c>
      <c r="C549" t="s">
        <v>365</v>
      </c>
      <c r="D549" s="3" t="s">
        <v>831</v>
      </c>
      <c r="E549" s="10">
        <v>0.04</v>
      </c>
      <c r="F549" s="13" t="s">
        <v>176</v>
      </c>
      <c r="G549" s="9">
        <v>908</v>
      </c>
      <c r="H549" s="9">
        <f t="shared" si="16"/>
        <v>36.32</v>
      </c>
      <c r="I549" t="s">
        <v>486</v>
      </c>
      <c r="J549" s="33">
        <v>0</v>
      </c>
      <c r="K549" s="18">
        <f>VLOOKUP(D549,Ingredients!C:G,5,0)</f>
        <v>908</v>
      </c>
      <c r="L549" s="52">
        <f t="shared" si="17"/>
        <v>36.32</v>
      </c>
    </row>
    <row r="550" spans="1:12">
      <c r="A550" t="s">
        <v>178</v>
      </c>
      <c r="B550" t="s">
        <v>349</v>
      </c>
      <c r="C550" t="s">
        <v>353</v>
      </c>
      <c r="D550" s="3" t="s">
        <v>838</v>
      </c>
      <c r="E550" s="11">
        <v>1</v>
      </c>
      <c r="F550" s="7" t="s">
        <v>179</v>
      </c>
      <c r="G550" s="9">
        <v>800</v>
      </c>
      <c r="H550" s="9">
        <f t="shared" si="16"/>
        <v>800</v>
      </c>
      <c r="I550" t="s">
        <v>179</v>
      </c>
      <c r="J550" s="33" t="s">
        <v>516</v>
      </c>
      <c r="K550" s="18">
        <f>VLOOKUP(D550,Ingredients!C:G,5,0)</f>
        <v>950</v>
      </c>
      <c r="L550" s="52">
        <f t="shared" si="17"/>
        <v>950</v>
      </c>
    </row>
    <row r="551" spans="1:12">
      <c r="A551" t="s">
        <v>178</v>
      </c>
      <c r="B551" t="s">
        <v>349</v>
      </c>
      <c r="C551" t="s">
        <v>353</v>
      </c>
      <c r="D551" s="3" t="s">
        <v>24</v>
      </c>
      <c r="E551" s="11">
        <v>0.5</v>
      </c>
      <c r="F551" s="7" t="s">
        <v>179</v>
      </c>
      <c r="G551" s="9">
        <v>55</v>
      </c>
      <c r="H551" s="9">
        <f t="shared" si="16"/>
        <v>27.5</v>
      </c>
      <c r="I551" t="s">
        <v>179</v>
      </c>
      <c r="J551" s="33" t="s">
        <v>516</v>
      </c>
      <c r="K551" s="18">
        <f>VLOOKUP(D551,Ingredients!C:G,5,0)</f>
        <v>80</v>
      </c>
      <c r="L551" s="52">
        <f t="shared" si="17"/>
        <v>40</v>
      </c>
    </row>
    <row r="552" spans="1:12">
      <c r="A552" t="s">
        <v>178</v>
      </c>
      <c r="B552" t="s">
        <v>349</v>
      </c>
      <c r="C552" t="s">
        <v>353</v>
      </c>
      <c r="D552" s="3" t="s">
        <v>852</v>
      </c>
      <c r="E552" s="11">
        <v>0.25</v>
      </c>
      <c r="F552" s="7" t="s">
        <v>179</v>
      </c>
      <c r="G552" s="9">
        <v>520.63</v>
      </c>
      <c r="H552" s="9">
        <f t="shared" si="16"/>
        <v>130.1575</v>
      </c>
      <c r="I552" t="s">
        <v>179</v>
      </c>
      <c r="J552" s="33" t="s">
        <v>516</v>
      </c>
      <c r="K552" s="18">
        <v>550</v>
      </c>
      <c r="L552" s="52">
        <f t="shared" si="17"/>
        <v>137.5</v>
      </c>
    </row>
    <row r="553" spans="1:12">
      <c r="A553" t="s">
        <v>178</v>
      </c>
      <c r="B553" t="s">
        <v>349</v>
      </c>
      <c r="C553" t="s">
        <v>353</v>
      </c>
      <c r="D553" s="3" t="s">
        <v>884</v>
      </c>
      <c r="E553" s="11">
        <v>0.875</v>
      </c>
      <c r="F553" s="7" t="s">
        <v>179</v>
      </c>
      <c r="G553" s="9">
        <v>344</v>
      </c>
      <c r="H553" s="9">
        <f t="shared" si="16"/>
        <v>301</v>
      </c>
      <c r="I553" t="s">
        <v>179</v>
      </c>
      <c r="J553" s="33" t="s">
        <v>516</v>
      </c>
      <c r="K553" s="18">
        <f>VLOOKUP(D553,Ingredients!C:G,5,0)</f>
        <v>344</v>
      </c>
      <c r="L553" s="52">
        <f t="shared" si="17"/>
        <v>301</v>
      </c>
    </row>
    <row r="554" spans="1:12">
      <c r="A554" t="s">
        <v>178</v>
      </c>
      <c r="B554" t="s">
        <v>349</v>
      </c>
      <c r="C554" t="s">
        <v>353</v>
      </c>
      <c r="D554" s="3" t="s">
        <v>867</v>
      </c>
      <c r="E554" s="11">
        <v>1.2500000000000001E-2</v>
      </c>
      <c r="F554" s="7" t="s">
        <v>179</v>
      </c>
      <c r="G554" s="9">
        <v>900</v>
      </c>
      <c r="H554" s="9">
        <f t="shared" si="16"/>
        <v>11.25</v>
      </c>
      <c r="I554" t="s">
        <v>179</v>
      </c>
      <c r="J554" s="33" t="s">
        <v>516</v>
      </c>
      <c r="K554" s="18">
        <f>VLOOKUP(D554,Ingredients!C:G,5,0)</f>
        <v>950</v>
      </c>
      <c r="L554" s="52">
        <f t="shared" si="17"/>
        <v>11.875</v>
      </c>
    </row>
    <row r="555" spans="1:12">
      <c r="A555" t="s">
        <v>178</v>
      </c>
      <c r="B555" t="s">
        <v>349</v>
      </c>
      <c r="C555" t="s">
        <v>353</v>
      </c>
      <c r="D555" s="3" t="s">
        <v>853</v>
      </c>
      <c r="E555" s="11">
        <v>1.2500000000000001E-2</v>
      </c>
      <c r="F555" s="7" t="s">
        <v>179</v>
      </c>
      <c r="G555" s="9">
        <v>30</v>
      </c>
      <c r="H555" s="9">
        <f t="shared" si="16"/>
        <v>0.375</v>
      </c>
      <c r="I555" t="s">
        <v>179</v>
      </c>
      <c r="J555" s="33" t="s">
        <v>516</v>
      </c>
      <c r="K555" s="18">
        <f>VLOOKUP(D555,Ingredients!C:G,5,0)</f>
        <v>55</v>
      </c>
      <c r="L555" s="52">
        <f t="shared" si="17"/>
        <v>0.6875</v>
      </c>
    </row>
    <row r="556" spans="1:12">
      <c r="A556" t="s">
        <v>178</v>
      </c>
      <c r="B556" t="s">
        <v>349</v>
      </c>
      <c r="C556" t="s">
        <v>353</v>
      </c>
      <c r="D556" s="3" t="s">
        <v>830</v>
      </c>
      <c r="E556" s="11">
        <v>1.2500000000000001E-2</v>
      </c>
      <c r="F556" s="7" t="s">
        <v>179</v>
      </c>
      <c r="G556" s="9">
        <v>149</v>
      </c>
      <c r="H556" s="9">
        <f t="shared" si="16"/>
        <v>1.8625</v>
      </c>
      <c r="I556" t="s">
        <v>179</v>
      </c>
      <c r="J556" s="33" t="s">
        <v>516</v>
      </c>
      <c r="K556" s="18">
        <f>VLOOKUP(D556,Ingredients!C:G,5,0)</f>
        <v>123</v>
      </c>
      <c r="L556" s="52">
        <f t="shared" si="17"/>
        <v>1.5375000000000001</v>
      </c>
    </row>
    <row r="557" spans="1:12">
      <c r="A557" t="s">
        <v>178</v>
      </c>
      <c r="B557" t="s">
        <v>349</v>
      </c>
      <c r="C557" t="s">
        <v>353</v>
      </c>
      <c r="D557" s="3" t="s">
        <v>879</v>
      </c>
      <c r="E557" s="11">
        <v>1.2500000000000001E-2</v>
      </c>
      <c r="F557" s="7" t="s">
        <v>179</v>
      </c>
      <c r="G557" s="9">
        <v>1113.51</v>
      </c>
      <c r="H557" s="9">
        <f t="shared" si="16"/>
        <v>13.918875</v>
      </c>
      <c r="I557" t="s">
        <v>179</v>
      </c>
      <c r="J557" s="33" t="s">
        <v>516</v>
      </c>
      <c r="K557" s="18">
        <f>VLOOKUP(D557,Ingredients!C:G,5,0)</f>
        <v>1066.33</v>
      </c>
      <c r="L557" s="52">
        <f t="shared" si="17"/>
        <v>13.329124999999999</v>
      </c>
    </row>
    <row r="558" spans="1:12">
      <c r="A558" t="s">
        <v>180</v>
      </c>
      <c r="B558" t="s">
        <v>348</v>
      </c>
      <c r="C558" t="s">
        <v>365</v>
      </c>
      <c r="D558" s="3" t="s">
        <v>831</v>
      </c>
      <c r="E558" s="11">
        <v>1.4999999999999999E-2</v>
      </c>
      <c r="F558" s="7" t="s">
        <v>181</v>
      </c>
      <c r="G558" s="9">
        <v>908</v>
      </c>
      <c r="H558" s="9">
        <f t="shared" si="16"/>
        <v>13.62</v>
      </c>
      <c r="I558" t="s">
        <v>253</v>
      </c>
      <c r="J558" s="33">
        <v>0</v>
      </c>
      <c r="K558" s="18">
        <f>VLOOKUP(D558,Ingredients!C:G,5,0)</f>
        <v>908</v>
      </c>
      <c r="L558" s="52">
        <f t="shared" si="17"/>
        <v>13.62</v>
      </c>
    </row>
    <row r="559" spans="1:12">
      <c r="A559" t="s">
        <v>180</v>
      </c>
      <c r="B559" t="s">
        <v>348</v>
      </c>
      <c r="C559" t="s">
        <v>365</v>
      </c>
      <c r="D559" s="3" t="s">
        <v>899</v>
      </c>
      <c r="E559" s="11">
        <v>2.8124999999999999E-3</v>
      </c>
      <c r="F559" s="7" t="s">
        <v>181</v>
      </c>
      <c r="G559" s="9">
        <v>1511.98</v>
      </c>
      <c r="H559" s="9">
        <f t="shared" si="16"/>
        <v>4.2524437500000003</v>
      </c>
      <c r="I559" t="s">
        <v>253</v>
      </c>
      <c r="J559" s="33">
        <v>0</v>
      </c>
      <c r="K559" s="18">
        <f>VLOOKUP(D559,Ingredients!C:G,5,0)</f>
        <v>1511.98</v>
      </c>
      <c r="L559" s="52">
        <f t="shared" si="17"/>
        <v>4.2524437500000003</v>
      </c>
    </row>
    <row r="560" spans="1:12">
      <c r="A560" t="s">
        <v>180</v>
      </c>
      <c r="B560" t="s">
        <v>348</v>
      </c>
      <c r="C560" t="s">
        <v>365</v>
      </c>
      <c r="D560" s="3" t="s">
        <v>888</v>
      </c>
      <c r="E560" s="11">
        <v>2.8124999999999999E-3</v>
      </c>
      <c r="F560" s="7" t="s">
        <v>181</v>
      </c>
      <c r="G560" s="9">
        <v>580</v>
      </c>
      <c r="H560" s="9">
        <f t="shared" si="16"/>
        <v>1.6312499999999999</v>
      </c>
      <c r="I560" t="s">
        <v>253</v>
      </c>
      <c r="J560" s="33">
        <v>0</v>
      </c>
      <c r="K560" s="18">
        <f>VLOOKUP(D560,Ingredients!C:G,5,0)</f>
        <v>580</v>
      </c>
      <c r="L560" s="52">
        <f t="shared" si="17"/>
        <v>1.6312499999999999</v>
      </c>
    </row>
    <row r="561" spans="1:12">
      <c r="A561" t="s">
        <v>180</v>
      </c>
      <c r="B561" t="s">
        <v>348</v>
      </c>
      <c r="C561" t="s">
        <v>365</v>
      </c>
      <c r="D561" s="3" t="s">
        <v>882</v>
      </c>
      <c r="E561" s="11">
        <v>9.3750000000000002E-5</v>
      </c>
      <c r="F561" s="7" t="s">
        <v>179</v>
      </c>
      <c r="G561" s="9">
        <v>1500</v>
      </c>
      <c r="H561" s="9">
        <f t="shared" si="16"/>
        <v>0.140625</v>
      </c>
      <c r="I561" t="s">
        <v>253</v>
      </c>
      <c r="J561" s="33">
        <v>0</v>
      </c>
      <c r="K561" s="18">
        <f>VLOOKUP(D561,Ingredients!C:G,5,0)</f>
        <v>1450</v>
      </c>
      <c r="L561" s="52">
        <f t="shared" si="17"/>
        <v>0.13593750000000002</v>
      </c>
    </row>
    <row r="562" spans="1:12">
      <c r="A562" t="s">
        <v>180</v>
      </c>
      <c r="B562" t="s">
        <v>348</v>
      </c>
      <c r="C562" t="s">
        <v>365</v>
      </c>
      <c r="D562" s="3" t="s">
        <v>853</v>
      </c>
      <c r="E562" s="11">
        <v>1.875E-4</v>
      </c>
      <c r="F562" s="7" t="s">
        <v>181</v>
      </c>
      <c r="G562" s="9">
        <v>30</v>
      </c>
      <c r="H562" s="9">
        <f t="shared" si="16"/>
        <v>5.6249999999999998E-3</v>
      </c>
      <c r="I562" t="s">
        <v>253</v>
      </c>
      <c r="J562" s="33">
        <v>0</v>
      </c>
      <c r="K562" s="18">
        <f>VLOOKUP(D562,Ingredients!C:G,5,0)</f>
        <v>55</v>
      </c>
      <c r="L562" s="52">
        <f t="shared" si="17"/>
        <v>1.03125E-2</v>
      </c>
    </row>
    <row r="563" spans="1:12">
      <c r="A563" t="s">
        <v>180</v>
      </c>
      <c r="B563" t="s">
        <v>348</v>
      </c>
      <c r="C563" t="s">
        <v>365</v>
      </c>
      <c r="D563" s="3" t="s">
        <v>852</v>
      </c>
      <c r="E563" s="11">
        <v>3.7499999999999999E-3</v>
      </c>
      <c r="F563" s="7" t="s">
        <v>179</v>
      </c>
      <c r="G563" s="9">
        <v>520.63</v>
      </c>
      <c r="H563" s="9">
        <f t="shared" si="16"/>
        <v>1.9523625</v>
      </c>
      <c r="I563" t="s">
        <v>253</v>
      </c>
      <c r="J563" s="33">
        <v>0</v>
      </c>
      <c r="K563" s="18">
        <v>550</v>
      </c>
      <c r="L563" s="52">
        <f t="shared" si="17"/>
        <v>2.0625</v>
      </c>
    </row>
    <row r="564" spans="1:12">
      <c r="A564" t="s">
        <v>184</v>
      </c>
      <c r="B564" t="s">
        <v>349</v>
      </c>
      <c r="C564" t="s">
        <v>351</v>
      </c>
      <c r="D564" s="3" t="s">
        <v>428</v>
      </c>
      <c r="E564" s="11">
        <v>1</v>
      </c>
      <c r="F564" s="7" t="s">
        <v>181</v>
      </c>
      <c r="G564" s="9">
        <v>1600</v>
      </c>
      <c r="H564" s="9">
        <f t="shared" si="16"/>
        <v>1600</v>
      </c>
      <c r="I564" t="s">
        <v>179</v>
      </c>
      <c r="J564" s="33" t="s">
        <v>428</v>
      </c>
      <c r="K564" s="18">
        <f>VLOOKUP(D564,Ingredients!C:G,5,0)</f>
        <v>1514.78</v>
      </c>
      <c r="L564" s="52">
        <f t="shared" si="17"/>
        <v>1514.78</v>
      </c>
    </row>
    <row r="565" spans="1:12">
      <c r="A565" t="s">
        <v>184</v>
      </c>
      <c r="B565" t="s">
        <v>349</v>
      </c>
      <c r="C565" t="s">
        <v>351</v>
      </c>
      <c r="D565" s="3" t="s">
        <v>835</v>
      </c>
      <c r="E565" s="11">
        <v>0.05</v>
      </c>
      <c r="F565" s="7" t="s">
        <v>179</v>
      </c>
      <c r="G565" s="9">
        <v>389.34</v>
      </c>
      <c r="H565" s="9">
        <f t="shared" si="16"/>
        <v>19.466999999999999</v>
      </c>
      <c r="I565" t="s">
        <v>179</v>
      </c>
      <c r="J565" s="33" t="s">
        <v>428</v>
      </c>
      <c r="K565" s="18">
        <f>VLOOKUP(D565,Ingredients!C:G,5,0)</f>
        <v>394.63</v>
      </c>
      <c r="L565" s="52">
        <f t="shared" si="17"/>
        <v>19.7315</v>
      </c>
    </row>
    <row r="566" spans="1:12">
      <c r="A566" t="s">
        <v>184</v>
      </c>
      <c r="B566" t="s">
        <v>349</v>
      </c>
      <c r="C566" t="s">
        <v>351</v>
      </c>
      <c r="D566" s="3" t="s">
        <v>866</v>
      </c>
      <c r="E566" s="11">
        <v>0.05</v>
      </c>
      <c r="F566" s="7" t="s">
        <v>179</v>
      </c>
      <c r="G566" s="9">
        <v>153.97999999999999</v>
      </c>
      <c r="H566" s="9">
        <f t="shared" si="16"/>
        <v>7.6989999999999998</v>
      </c>
      <c r="I566" t="s">
        <v>179</v>
      </c>
      <c r="J566" s="33" t="s">
        <v>428</v>
      </c>
      <c r="K566" s="18">
        <f>VLOOKUP(D566,Ingredients!C:G,5,0)</f>
        <v>142.13999999999999</v>
      </c>
      <c r="L566" s="52">
        <f t="shared" si="17"/>
        <v>7.1069999999999993</v>
      </c>
    </row>
    <row r="567" spans="1:12">
      <c r="A567" t="s">
        <v>184</v>
      </c>
      <c r="B567" t="s">
        <v>349</v>
      </c>
      <c r="C567" t="s">
        <v>351</v>
      </c>
      <c r="D567" s="3" t="s">
        <v>854</v>
      </c>
      <c r="E567" s="11">
        <v>0.5</v>
      </c>
      <c r="F567" s="13" t="s">
        <v>173</v>
      </c>
      <c r="G567" s="9">
        <v>24.64</v>
      </c>
      <c r="H567" s="9">
        <f t="shared" si="16"/>
        <v>12.32</v>
      </c>
      <c r="I567" t="s">
        <v>179</v>
      </c>
      <c r="J567" s="33" t="s">
        <v>428</v>
      </c>
      <c r="K567" s="18">
        <f>VLOOKUP(D567,Ingredients!C:G,5,0)</f>
        <v>20.059999999999999</v>
      </c>
      <c r="L567" s="52">
        <f t="shared" si="17"/>
        <v>10.029999999999999</v>
      </c>
    </row>
    <row r="568" spans="1:12">
      <c r="A568" t="s">
        <v>184</v>
      </c>
      <c r="B568" t="s">
        <v>349</v>
      </c>
      <c r="C568" t="s">
        <v>351</v>
      </c>
      <c r="D568" s="3" t="s">
        <v>849</v>
      </c>
      <c r="E568" s="11">
        <v>5.0000000000000001E-3</v>
      </c>
      <c r="F568" s="7" t="s">
        <v>179</v>
      </c>
      <c r="G568" s="9">
        <v>1000</v>
      </c>
      <c r="H568" s="9">
        <f t="shared" si="16"/>
        <v>5</v>
      </c>
      <c r="I568" t="s">
        <v>179</v>
      </c>
      <c r="J568" s="33" t="s">
        <v>428</v>
      </c>
      <c r="K568" s="18">
        <f>VLOOKUP(D568,Ingredients!C:G,5,0)</f>
        <v>950</v>
      </c>
      <c r="L568" s="52">
        <f t="shared" si="17"/>
        <v>4.75</v>
      </c>
    </row>
    <row r="569" spans="1:12">
      <c r="A569" t="s">
        <v>184</v>
      </c>
      <c r="B569" t="s">
        <v>349</v>
      </c>
      <c r="C569" t="s">
        <v>351</v>
      </c>
      <c r="D569" s="3" t="s">
        <v>855</v>
      </c>
      <c r="E569" s="11">
        <v>2.5000000000000001E-3</v>
      </c>
      <c r="F569" s="7" t="s">
        <v>181</v>
      </c>
      <c r="G569" s="9">
        <v>2400</v>
      </c>
      <c r="H569" s="9">
        <f t="shared" ref="H569:H632" si="18">G569*E569</f>
        <v>6</v>
      </c>
      <c r="I569" t="s">
        <v>179</v>
      </c>
      <c r="J569" s="33" t="s">
        <v>428</v>
      </c>
      <c r="K569" s="18">
        <f>VLOOKUP(D569,Ingredients!C:G,5,0)</f>
        <v>1600</v>
      </c>
      <c r="L569" s="52">
        <f t="shared" si="17"/>
        <v>4</v>
      </c>
    </row>
    <row r="570" spans="1:12">
      <c r="A570" t="s">
        <v>184</v>
      </c>
      <c r="B570" t="s">
        <v>349</v>
      </c>
      <c r="C570" t="s">
        <v>351</v>
      </c>
      <c r="D570" s="3" t="s">
        <v>895</v>
      </c>
      <c r="E570" s="11">
        <v>5.0000000000000001E-3</v>
      </c>
      <c r="F570" s="7" t="s">
        <v>181</v>
      </c>
      <c r="G570" s="9">
        <v>400</v>
      </c>
      <c r="H570" s="9">
        <f t="shared" si="18"/>
        <v>2</v>
      </c>
      <c r="I570" t="s">
        <v>179</v>
      </c>
      <c r="J570" s="33" t="s">
        <v>428</v>
      </c>
      <c r="K570" s="18">
        <f>VLOOKUP(D570,Ingredients!C:G,5,0)</f>
        <v>400</v>
      </c>
      <c r="L570" s="52">
        <f t="shared" si="17"/>
        <v>2</v>
      </c>
    </row>
    <row r="571" spans="1:12">
      <c r="A571" t="s">
        <v>184</v>
      </c>
      <c r="B571" t="s">
        <v>349</v>
      </c>
      <c r="C571" t="s">
        <v>351</v>
      </c>
      <c r="D571" s="3" t="s">
        <v>879</v>
      </c>
      <c r="E571" s="11">
        <v>2.5000000000000001E-3</v>
      </c>
      <c r="F571" s="7" t="s">
        <v>181</v>
      </c>
      <c r="G571" s="9">
        <v>1113.51</v>
      </c>
      <c r="H571" s="9">
        <f t="shared" si="18"/>
        <v>2.7837749999999999</v>
      </c>
      <c r="I571" t="s">
        <v>179</v>
      </c>
      <c r="J571" s="33" t="s">
        <v>428</v>
      </c>
      <c r="K571" s="18">
        <f>VLOOKUP(D571,Ingredients!C:G,5,0)</f>
        <v>1066.33</v>
      </c>
      <c r="L571" s="52">
        <f t="shared" si="17"/>
        <v>2.6658249999999999</v>
      </c>
    </row>
    <row r="572" spans="1:12">
      <c r="A572" t="s">
        <v>184</v>
      </c>
      <c r="B572" t="s">
        <v>349</v>
      </c>
      <c r="C572" t="s">
        <v>351</v>
      </c>
      <c r="D572" s="3" t="s">
        <v>23</v>
      </c>
      <c r="E572" s="11">
        <v>2.5000000000000001E-3</v>
      </c>
      <c r="F572" s="7" t="s">
        <v>181</v>
      </c>
      <c r="G572" s="9">
        <v>740</v>
      </c>
      <c r="H572" s="9">
        <f t="shared" si="18"/>
        <v>1.85</v>
      </c>
      <c r="I572" t="s">
        <v>179</v>
      </c>
      <c r="J572" s="33" t="s">
        <v>428</v>
      </c>
      <c r="K572" s="18">
        <f>VLOOKUP(D572,Ingredients!C:G,5,0)</f>
        <v>780</v>
      </c>
      <c r="L572" s="52">
        <f t="shared" si="17"/>
        <v>1.95</v>
      </c>
    </row>
    <row r="573" spans="1:12">
      <c r="A573" t="s">
        <v>184</v>
      </c>
      <c r="B573" t="s">
        <v>349</v>
      </c>
      <c r="C573" t="s">
        <v>351</v>
      </c>
      <c r="D573" s="3" t="s">
        <v>16</v>
      </c>
      <c r="E573" s="11">
        <v>2.5000000000000001E-3</v>
      </c>
      <c r="F573" s="7" t="s">
        <v>181</v>
      </c>
      <c r="G573" s="9">
        <v>270</v>
      </c>
      <c r="H573" s="9">
        <f t="shared" si="18"/>
        <v>0.67500000000000004</v>
      </c>
      <c r="I573" t="s">
        <v>179</v>
      </c>
      <c r="J573" s="33" t="s">
        <v>428</v>
      </c>
      <c r="K573" s="18">
        <f>VLOOKUP(D573,Ingredients!C:G,5,0)</f>
        <v>310</v>
      </c>
      <c r="L573" s="52">
        <f t="shared" si="17"/>
        <v>0.77500000000000002</v>
      </c>
    </row>
    <row r="574" spans="1:12">
      <c r="A574" t="s">
        <v>184</v>
      </c>
      <c r="B574" t="s">
        <v>349</v>
      </c>
      <c r="C574" t="s">
        <v>351</v>
      </c>
      <c r="D574" s="3" t="s">
        <v>186</v>
      </c>
      <c r="E574" s="11">
        <v>2.5000000000000001E-3</v>
      </c>
      <c r="F574" s="7" t="s">
        <v>181</v>
      </c>
      <c r="G574" s="9">
        <v>1500</v>
      </c>
      <c r="H574" s="9">
        <f t="shared" si="18"/>
        <v>3.75</v>
      </c>
      <c r="I574" t="s">
        <v>179</v>
      </c>
      <c r="J574" s="33" t="s">
        <v>428</v>
      </c>
      <c r="K574" s="18">
        <f>VLOOKUP(D574,Ingredients!C:G,5,0)</f>
        <v>1400</v>
      </c>
      <c r="L574" s="52">
        <f t="shared" si="17"/>
        <v>3.5</v>
      </c>
    </row>
    <row r="575" spans="1:12">
      <c r="A575" t="s">
        <v>184</v>
      </c>
      <c r="B575" t="s">
        <v>349</v>
      </c>
      <c r="C575" t="s">
        <v>351</v>
      </c>
      <c r="D575" s="3" t="s">
        <v>900</v>
      </c>
      <c r="E575" s="11">
        <v>0.1</v>
      </c>
      <c r="F575" s="7" t="s">
        <v>181</v>
      </c>
      <c r="G575" s="9">
        <v>440</v>
      </c>
      <c r="H575" s="9">
        <f t="shared" si="18"/>
        <v>44</v>
      </c>
      <c r="I575" t="s">
        <v>179</v>
      </c>
      <c r="J575" s="33" t="s">
        <v>428</v>
      </c>
      <c r="K575" s="18">
        <f>VLOOKUP(D575,Ingredients!C:G,5,0)</f>
        <v>440</v>
      </c>
      <c r="L575" s="52">
        <f t="shared" si="17"/>
        <v>44</v>
      </c>
    </row>
    <row r="576" spans="1:12">
      <c r="A576" t="s">
        <v>184</v>
      </c>
      <c r="B576" t="s">
        <v>349</v>
      </c>
      <c r="C576" t="s">
        <v>351</v>
      </c>
      <c r="D576" s="3" t="s">
        <v>852</v>
      </c>
      <c r="E576" s="11">
        <v>0.1</v>
      </c>
      <c r="F576" s="7" t="s">
        <v>179</v>
      </c>
      <c r="G576" s="9">
        <v>520.63</v>
      </c>
      <c r="H576" s="9">
        <f t="shared" si="18"/>
        <v>52.063000000000002</v>
      </c>
      <c r="I576" t="s">
        <v>179</v>
      </c>
      <c r="J576" s="33" t="s">
        <v>428</v>
      </c>
      <c r="K576" s="18">
        <v>550</v>
      </c>
      <c r="L576" s="52">
        <f t="shared" si="17"/>
        <v>55</v>
      </c>
    </row>
    <row r="577" spans="1:12">
      <c r="A577" t="s">
        <v>188</v>
      </c>
      <c r="B577" t="s">
        <v>349</v>
      </c>
      <c r="C577" t="s">
        <v>352</v>
      </c>
      <c r="D577" s="3" t="s">
        <v>831</v>
      </c>
      <c r="E577" s="11">
        <v>1</v>
      </c>
      <c r="F577" s="7" t="s">
        <v>181</v>
      </c>
      <c r="G577" s="9">
        <v>908</v>
      </c>
      <c r="H577" s="9">
        <f t="shared" si="18"/>
        <v>908</v>
      </c>
      <c r="I577" t="s">
        <v>179</v>
      </c>
      <c r="J577" s="33" t="s">
        <v>489</v>
      </c>
      <c r="K577" s="18">
        <f>VLOOKUP(D577,Ingredients!C:G,5,0)</f>
        <v>908</v>
      </c>
      <c r="L577" s="52">
        <f t="shared" si="17"/>
        <v>908</v>
      </c>
    </row>
    <row r="578" spans="1:12">
      <c r="A578" t="s">
        <v>188</v>
      </c>
      <c r="B578" t="s">
        <v>349</v>
      </c>
      <c r="C578" t="s">
        <v>352</v>
      </c>
      <c r="D578" s="3" t="s">
        <v>835</v>
      </c>
      <c r="E578" s="11">
        <v>0.05</v>
      </c>
      <c r="F578" s="7" t="s">
        <v>181</v>
      </c>
      <c r="G578" s="9">
        <v>389.34</v>
      </c>
      <c r="H578" s="9">
        <f t="shared" si="18"/>
        <v>19.466999999999999</v>
      </c>
      <c r="I578" t="s">
        <v>179</v>
      </c>
      <c r="J578" s="33" t="s">
        <v>489</v>
      </c>
      <c r="K578" s="18">
        <f>VLOOKUP(D578,Ingredients!C:G,5,0)</f>
        <v>394.63</v>
      </c>
      <c r="L578" s="52">
        <f t="shared" si="17"/>
        <v>19.7315</v>
      </c>
    </row>
    <row r="579" spans="1:12">
      <c r="A579" t="s">
        <v>188</v>
      </c>
      <c r="B579" t="s">
        <v>349</v>
      </c>
      <c r="C579" t="s">
        <v>352</v>
      </c>
      <c r="D579" s="3" t="s">
        <v>854</v>
      </c>
      <c r="E579" s="11">
        <v>1</v>
      </c>
      <c r="F579" s="13" t="s">
        <v>173</v>
      </c>
      <c r="G579" s="9">
        <v>24.64</v>
      </c>
      <c r="H579" s="9">
        <f t="shared" si="18"/>
        <v>24.64</v>
      </c>
      <c r="I579" t="s">
        <v>179</v>
      </c>
      <c r="J579" s="33" t="s">
        <v>489</v>
      </c>
      <c r="K579" s="18">
        <f>VLOOKUP(D579,Ingredients!C:G,5,0)</f>
        <v>20.059999999999999</v>
      </c>
      <c r="L579" s="52">
        <f t="shared" si="17"/>
        <v>20.059999999999999</v>
      </c>
    </row>
    <row r="580" spans="1:12">
      <c r="A580" t="s">
        <v>188</v>
      </c>
      <c r="B580" t="s">
        <v>349</v>
      </c>
      <c r="C580" t="s">
        <v>352</v>
      </c>
      <c r="D580" s="3" t="s">
        <v>879</v>
      </c>
      <c r="E580" s="11">
        <v>1.2500000000000001E-2</v>
      </c>
      <c r="F580" s="7" t="s">
        <v>181</v>
      </c>
      <c r="G580" s="9">
        <v>1113.51</v>
      </c>
      <c r="H580" s="9">
        <f t="shared" si="18"/>
        <v>13.918875</v>
      </c>
      <c r="I580" t="s">
        <v>179</v>
      </c>
      <c r="J580" s="33" t="s">
        <v>489</v>
      </c>
      <c r="K580" s="18">
        <f>VLOOKUP(D580,Ingredients!C:G,5,0)</f>
        <v>1066.33</v>
      </c>
      <c r="L580" s="52">
        <f t="shared" ref="L580:L643" si="19">K580*E580</f>
        <v>13.329124999999999</v>
      </c>
    </row>
    <row r="581" spans="1:12">
      <c r="A581" t="s">
        <v>188</v>
      </c>
      <c r="B581" t="s">
        <v>349</v>
      </c>
      <c r="C581" t="s">
        <v>352</v>
      </c>
      <c r="D581" s="3" t="s">
        <v>872</v>
      </c>
      <c r="E581" s="11">
        <v>1.2500000000000001E-2</v>
      </c>
      <c r="F581" s="7" t="s">
        <v>181</v>
      </c>
      <c r="G581" s="9">
        <v>2100</v>
      </c>
      <c r="H581" s="9">
        <f t="shared" si="18"/>
        <v>26.25</v>
      </c>
      <c r="I581" t="s">
        <v>179</v>
      </c>
      <c r="J581" s="33" t="s">
        <v>489</v>
      </c>
      <c r="K581" s="18">
        <f>VLOOKUP(D581,Ingredients!C:G,5,0)</f>
        <v>2150</v>
      </c>
      <c r="L581" s="52">
        <f t="shared" si="19"/>
        <v>26.875</v>
      </c>
    </row>
    <row r="582" spans="1:12">
      <c r="A582" t="s">
        <v>188</v>
      </c>
      <c r="B582" t="s">
        <v>349</v>
      </c>
      <c r="C582" t="s">
        <v>352</v>
      </c>
      <c r="D582" s="3" t="s">
        <v>853</v>
      </c>
      <c r="E582" s="11">
        <v>7.4999999999999997E-3</v>
      </c>
      <c r="F582" s="7" t="s">
        <v>181</v>
      </c>
      <c r="G582" s="9">
        <v>30</v>
      </c>
      <c r="H582" s="9">
        <f t="shared" si="18"/>
        <v>0.22499999999999998</v>
      </c>
      <c r="I582" t="s">
        <v>179</v>
      </c>
      <c r="J582" s="33" t="s">
        <v>489</v>
      </c>
      <c r="K582" s="18">
        <f>VLOOKUP(D582,Ingredients!C:G,5,0)</f>
        <v>55</v>
      </c>
      <c r="L582" s="52">
        <f t="shared" si="19"/>
        <v>0.41249999999999998</v>
      </c>
    </row>
    <row r="583" spans="1:12">
      <c r="A583" t="s">
        <v>188</v>
      </c>
      <c r="B583" t="s">
        <v>349</v>
      </c>
      <c r="C583" t="s">
        <v>352</v>
      </c>
      <c r="D583" s="3" t="s">
        <v>856</v>
      </c>
      <c r="E583" s="11">
        <v>1.2500000000000001E-2</v>
      </c>
      <c r="F583" s="7" t="s">
        <v>181</v>
      </c>
      <c r="G583" s="9">
        <v>850</v>
      </c>
      <c r="H583" s="9">
        <f t="shared" si="18"/>
        <v>10.625</v>
      </c>
      <c r="I583" t="s">
        <v>179</v>
      </c>
      <c r="J583" s="33" t="s">
        <v>489</v>
      </c>
      <c r="K583" s="18">
        <f>VLOOKUP(D583,Ingredients!C:G,5,0)</f>
        <v>980</v>
      </c>
      <c r="L583" s="52">
        <f t="shared" si="19"/>
        <v>12.25</v>
      </c>
    </row>
    <row r="584" spans="1:12">
      <c r="A584" t="s">
        <v>188</v>
      </c>
      <c r="B584" t="s">
        <v>349</v>
      </c>
      <c r="C584" t="s">
        <v>352</v>
      </c>
      <c r="D584" s="3" t="s">
        <v>852</v>
      </c>
      <c r="E584" s="11">
        <v>6.25E-2</v>
      </c>
      <c r="F584" s="7" t="s">
        <v>181</v>
      </c>
      <c r="G584" s="9">
        <v>520.63</v>
      </c>
      <c r="H584" s="9">
        <f t="shared" si="18"/>
        <v>32.539375</v>
      </c>
      <c r="I584" t="s">
        <v>179</v>
      </c>
      <c r="J584" s="33" t="s">
        <v>489</v>
      </c>
      <c r="K584" s="18">
        <v>550</v>
      </c>
      <c r="L584" s="52">
        <f t="shared" si="19"/>
        <v>34.375</v>
      </c>
    </row>
    <row r="585" spans="1:12">
      <c r="A585" t="s">
        <v>188</v>
      </c>
      <c r="B585" t="s">
        <v>349</v>
      </c>
      <c r="C585" t="s">
        <v>352</v>
      </c>
      <c r="D585" s="3" t="s">
        <v>23</v>
      </c>
      <c r="E585" s="11">
        <v>5.0000000000000001E-3</v>
      </c>
      <c r="F585" s="7" t="s">
        <v>181</v>
      </c>
      <c r="G585" s="9">
        <v>740</v>
      </c>
      <c r="H585" s="9">
        <f t="shared" si="18"/>
        <v>3.7</v>
      </c>
      <c r="I585" t="s">
        <v>179</v>
      </c>
      <c r="J585" s="33" t="s">
        <v>489</v>
      </c>
      <c r="K585" s="18">
        <f>VLOOKUP(D585,Ingredients!C:G,5,0)</f>
        <v>780</v>
      </c>
      <c r="L585" s="52">
        <f t="shared" si="19"/>
        <v>3.9</v>
      </c>
    </row>
    <row r="586" spans="1:12">
      <c r="A586" t="s">
        <v>188</v>
      </c>
      <c r="B586" t="s">
        <v>349</v>
      </c>
      <c r="C586" t="s">
        <v>352</v>
      </c>
      <c r="D586" s="3" t="s">
        <v>16</v>
      </c>
      <c r="E586" s="11">
        <v>5.0000000000000001E-3</v>
      </c>
      <c r="F586" s="7" t="s">
        <v>181</v>
      </c>
      <c r="G586" s="9">
        <v>270</v>
      </c>
      <c r="H586" s="9">
        <f t="shared" si="18"/>
        <v>1.35</v>
      </c>
      <c r="I586" t="s">
        <v>179</v>
      </c>
      <c r="J586" s="33" t="s">
        <v>489</v>
      </c>
      <c r="K586" s="18">
        <f>VLOOKUP(D586,Ingredients!C:G,5,0)</f>
        <v>310</v>
      </c>
      <c r="L586" s="52">
        <f t="shared" si="19"/>
        <v>1.55</v>
      </c>
    </row>
    <row r="587" spans="1:12">
      <c r="A587" t="s">
        <v>188</v>
      </c>
      <c r="B587" t="s">
        <v>349</v>
      </c>
      <c r="C587" t="s">
        <v>352</v>
      </c>
      <c r="D587" s="3" t="s">
        <v>835</v>
      </c>
      <c r="E587" s="11">
        <v>1.2500000000000001E-2</v>
      </c>
      <c r="F587" s="7" t="s">
        <v>181</v>
      </c>
      <c r="G587" s="9">
        <v>389.34</v>
      </c>
      <c r="H587" s="9">
        <f t="shared" si="18"/>
        <v>4.8667499999999997</v>
      </c>
      <c r="I587" t="s">
        <v>179</v>
      </c>
      <c r="J587" s="33" t="s">
        <v>489</v>
      </c>
      <c r="K587" s="18">
        <f>VLOOKUP(D587,Ingredients!C:G,5,0)</f>
        <v>394.63</v>
      </c>
      <c r="L587" s="52">
        <f t="shared" si="19"/>
        <v>4.9328750000000001</v>
      </c>
    </row>
    <row r="588" spans="1:12">
      <c r="A588" t="s">
        <v>188</v>
      </c>
      <c r="B588" t="s">
        <v>349</v>
      </c>
      <c r="C588" t="s">
        <v>352</v>
      </c>
      <c r="D588" s="3" t="s">
        <v>189</v>
      </c>
      <c r="E588" s="11">
        <v>0.5</v>
      </c>
      <c r="F588" s="7" t="s">
        <v>190</v>
      </c>
      <c r="G588" s="9">
        <v>0</v>
      </c>
      <c r="H588" s="9">
        <f t="shared" si="18"/>
        <v>0</v>
      </c>
      <c r="I588" t="s">
        <v>179</v>
      </c>
      <c r="J588" s="33" t="s">
        <v>489</v>
      </c>
      <c r="K588" s="18">
        <v>550</v>
      </c>
      <c r="L588" s="52">
        <f t="shared" si="19"/>
        <v>275</v>
      </c>
    </row>
    <row r="589" spans="1:12">
      <c r="A589" t="s">
        <v>188</v>
      </c>
      <c r="B589" t="s">
        <v>349</v>
      </c>
      <c r="C589" t="s">
        <v>352</v>
      </c>
      <c r="D589" s="3" t="s">
        <v>872</v>
      </c>
      <c r="E589" s="11">
        <v>1.2500000000000001E-2</v>
      </c>
      <c r="F589" s="7" t="s">
        <v>179</v>
      </c>
      <c r="G589" s="9">
        <v>2100</v>
      </c>
      <c r="H589" s="9">
        <f t="shared" si="18"/>
        <v>26.25</v>
      </c>
      <c r="I589" t="s">
        <v>179</v>
      </c>
      <c r="J589" s="33" t="s">
        <v>489</v>
      </c>
      <c r="K589" s="18">
        <f>VLOOKUP(D589,Ingredients!C:G,5,0)</f>
        <v>2150</v>
      </c>
      <c r="L589" s="52">
        <f t="shared" si="19"/>
        <v>26.875</v>
      </c>
    </row>
    <row r="590" spans="1:12">
      <c r="A590" t="s">
        <v>188</v>
      </c>
      <c r="B590" t="s">
        <v>349</v>
      </c>
      <c r="C590" t="s">
        <v>352</v>
      </c>
      <c r="D590" s="3" t="s">
        <v>856</v>
      </c>
      <c r="E590" s="11">
        <v>1.2500000000000001E-2</v>
      </c>
      <c r="F590" s="7" t="s">
        <v>179</v>
      </c>
      <c r="G590" s="9">
        <v>850</v>
      </c>
      <c r="H590" s="9">
        <f t="shared" si="18"/>
        <v>10.625</v>
      </c>
      <c r="I590" t="s">
        <v>179</v>
      </c>
      <c r="J590" s="33" t="s">
        <v>489</v>
      </c>
      <c r="K590" s="18">
        <f>VLOOKUP(D590,Ingredients!C:G,5,0)</f>
        <v>980</v>
      </c>
      <c r="L590" s="52">
        <f t="shared" si="19"/>
        <v>12.25</v>
      </c>
    </row>
    <row r="591" spans="1:12">
      <c r="A591" t="s">
        <v>188</v>
      </c>
      <c r="B591" t="s">
        <v>349</v>
      </c>
      <c r="C591" t="s">
        <v>352</v>
      </c>
      <c r="D591" s="3" t="s">
        <v>853</v>
      </c>
      <c r="E591" s="11">
        <v>7.4999999999999997E-3</v>
      </c>
      <c r="F591" s="7" t="s">
        <v>179</v>
      </c>
      <c r="G591" s="9">
        <v>30</v>
      </c>
      <c r="H591" s="9">
        <f t="shared" si="18"/>
        <v>0.22499999999999998</v>
      </c>
      <c r="I591" t="s">
        <v>179</v>
      </c>
      <c r="J591" s="33" t="s">
        <v>489</v>
      </c>
      <c r="K591" s="18">
        <f>VLOOKUP(D591,Ingredients!C:G,5,0)</f>
        <v>55</v>
      </c>
      <c r="L591" s="52">
        <f t="shared" si="19"/>
        <v>0.41249999999999998</v>
      </c>
    </row>
    <row r="592" spans="1:12">
      <c r="A592" t="s">
        <v>188</v>
      </c>
      <c r="B592" t="s">
        <v>349</v>
      </c>
      <c r="C592" t="s">
        <v>352</v>
      </c>
      <c r="D592" s="3" t="s">
        <v>879</v>
      </c>
      <c r="E592" s="11">
        <v>1.2500000000000001E-2</v>
      </c>
      <c r="F592" s="7" t="s">
        <v>181</v>
      </c>
      <c r="G592" s="9">
        <v>1113.51</v>
      </c>
      <c r="H592" s="9">
        <f t="shared" si="18"/>
        <v>13.918875</v>
      </c>
      <c r="I592" t="s">
        <v>179</v>
      </c>
      <c r="J592" s="33" t="s">
        <v>489</v>
      </c>
      <c r="K592" s="18">
        <f>VLOOKUP(D592,Ingredients!C:G,5,0)</f>
        <v>1066.33</v>
      </c>
      <c r="L592" s="52">
        <f t="shared" si="19"/>
        <v>13.329124999999999</v>
      </c>
    </row>
    <row r="593" spans="1:12">
      <c r="A593" t="s">
        <v>188</v>
      </c>
      <c r="B593" t="s">
        <v>349</v>
      </c>
      <c r="C593" t="s">
        <v>352</v>
      </c>
      <c r="D593" s="3" t="s">
        <v>24</v>
      </c>
      <c r="E593" s="11">
        <v>2.5000000000000001E-2</v>
      </c>
      <c r="F593" s="7" t="s">
        <v>181</v>
      </c>
      <c r="G593" s="9">
        <v>55</v>
      </c>
      <c r="H593" s="9">
        <f t="shared" si="18"/>
        <v>1.375</v>
      </c>
      <c r="I593" t="s">
        <v>179</v>
      </c>
      <c r="J593" s="33" t="s">
        <v>489</v>
      </c>
      <c r="K593" s="18">
        <f>VLOOKUP(D593,Ingredients!C:G,5,0)</f>
        <v>80</v>
      </c>
      <c r="L593" s="52">
        <f t="shared" si="19"/>
        <v>2</v>
      </c>
    </row>
    <row r="594" spans="1:12">
      <c r="A594" t="s">
        <v>188</v>
      </c>
      <c r="B594" t="s">
        <v>349</v>
      </c>
      <c r="C594" t="s">
        <v>352</v>
      </c>
      <c r="D594" s="3" t="s">
        <v>95</v>
      </c>
      <c r="E594" s="11">
        <v>2.5000000000000001E-2</v>
      </c>
      <c r="F594" s="7" t="s">
        <v>181</v>
      </c>
      <c r="G594" s="9">
        <v>140</v>
      </c>
      <c r="H594" s="9">
        <f t="shared" si="18"/>
        <v>3.5</v>
      </c>
      <c r="I594" t="s">
        <v>179</v>
      </c>
      <c r="J594" s="33" t="s">
        <v>489</v>
      </c>
      <c r="K594" s="18">
        <f>VLOOKUP(D594,Ingredients!C:G,5,0)</f>
        <v>90</v>
      </c>
      <c r="L594" s="52">
        <f t="shared" si="19"/>
        <v>2.25</v>
      </c>
    </row>
    <row r="595" spans="1:12">
      <c r="A595" t="s">
        <v>197</v>
      </c>
      <c r="B595" t="s">
        <v>349</v>
      </c>
      <c r="C595" t="s">
        <v>352</v>
      </c>
      <c r="D595" s="3" t="s">
        <v>831</v>
      </c>
      <c r="E595" s="11">
        <v>1</v>
      </c>
      <c r="F595" s="7" t="s">
        <v>179</v>
      </c>
      <c r="G595" s="9">
        <v>908</v>
      </c>
      <c r="H595" s="9">
        <f t="shared" si="18"/>
        <v>908</v>
      </c>
      <c r="I595" t="s">
        <v>179</v>
      </c>
      <c r="J595" s="33" t="s">
        <v>489</v>
      </c>
      <c r="K595" s="18">
        <f>VLOOKUP(D595,Ingredients!C:G,5,0)</f>
        <v>908</v>
      </c>
      <c r="L595" s="52">
        <f t="shared" si="19"/>
        <v>908</v>
      </c>
    </row>
    <row r="596" spans="1:12">
      <c r="A596" t="s">
        <v>197</v>
      </c>
      <c r="B596" t="s">
        <v>349</v>
      </c>
      <c r="C596" t="s">
        <v>352</v>
      </c>
      <c r="D596" s="3" t="s">
        <v>853</v>
      </c>
      <c r="E596" s="11">
        <v>0.03</v>
      </c>
      <c r="F596" s="7" t="s">
        <v>179</v>
      </c>
      <c r="G596" s="9">
        <v>30</v>
      </c>
      <c r="H596" s="9">
        <f t="shared" si="18"/>
        <v>0.89999999999999991</v>
      </c>
      <c r="I596" t="s">
        <v>179</v>
      </c>
      <c r="J596" s="33" t="s">
        <v>489</v>
      </c>
      <c r="K596" s="18">
        <f>VLOOKUP(D596,Ingredients!C:G,5,0)</f>
        <v>55</v>
      </c>
      <c r="L596" s="52">
        <f t="shared" si="19"/>
        <v>1.65</v>
      </c>
    </row>
    <row r="597" spans="1:12">
      <c r="A597" t="s">
        <v>197</v>
      </c>
      <c r="B597" t="s">
        <v>349</v>
      </c>
      <c r="C597" t="s">
        <v>352</v>
      </c>
      <c r="D597" s="3" t="s">
        <v>879</v>
      </c>
      <c r="E597" s="11">
        <v>2.5000000000000001E-2</v>
      </c>
      <c r="F597" s="7" t="s">
        <v>179</v>
      </c>
      <c r="G597" s="9">
        <v>1113.51</v>
      </c>
      <c r="H597" s="9">
        <f t="shared" si="18"/>
        <v>27.83775</v>
      </c>
      <c r="I597" t="s">
        <v>179</v>
      </c>
      <c r="J597" s="33" t="s">
        <v>489</v>
      </c>
      <c r="K597" s="18">
        <f>VLOOKUP(D597,Ingredients!C:G,5,0)</f>
        <v>1066.33</v>
      </c>
      <c r="L597" s="52">
        <f t="shared" si="19"/>
        <v>26.658249999999999</v>
      </c>
    </row>
    <row r="598" spans="1:12">
      <c r="A598" t="s">
        <v>197</v>
      </c>
      <c r="B598" t="s">
        <v>349</v>
      </c>
      <c r="C598" t="s">
        <v>352</v>
      </c>
      <c r="D598" s="3" t="s">
        <v>835</v>
      </c>
      <c r="E598" s="11">
        <v>0.05</v>
      </c>
      <c r="F598" s="7" t="s">
        <v>179</v>
      </c>
      <c r="G598" s="9">
        <v>389.34</v>
      </c>
      <c r="H598" s="9">
        <f t="shared" si="18"/>
        <v>19.466999999999999</v>
      </c>
      <c r="I598" t="s">
        <v>179</v>
      </c>
      <c r="J598" s="33" t="s">
        <v>489</v>
      </c>
      <c r="K598" s="18">
        <f>VLOOKUP(D598,Ingredients!C:G,5,0)</f>
        <v>394.63</v>
      </c>
      <c r="L598" s="52">
        <f t="shared" si="19"/>
        <v>19.7315</v>
      </c>
    </row>
    <row r="599" spans="1:12">
      <c r="A599" t="s">
        <v>197</v>
      </c>
      <c r="B599" t="s">
        <v>349</v>
      </c>
      <c r="C599" t="s">
        <v>352</v>
      </c>
      <c r="D599" s="3" t="s">
        <v>872</v>
      </c>
      <c r="E599" s="11">
        <v>2.5000000000000001E-2</v>
      </c>
      <c r="F599" s="7" t="s">
        <v>179</v>
      </c>
      <c r="G599" s="9">
        <v>2100</v>
      </c>
      <c r="H599" s="9">
        <f t="shared" si="18"/>
        <v>52.5</v>
      </c>
      <c r="I599" t="s">
        <v>179</v>
      </c>
      <c r="J599" s="33" t="s">
        <v>489</v>
      </c>
      <c r="K599" s="18">
        <f>VLOOKUP(D599,Ingredients!C:G,5,0)</f>
        <v>2150</v>
      </c>
      <c r="L599" s="52">
        <f t="shared" si="19"/>
        <v>53.75</v>
      </c>
    </row>
    <row r="600" spans="1:12">
      <c r="A600" t="s">
        <v>197</v>
      </c>
      <c r="B600" t="s">
        <v>349</v>
      </c>
      <c r="C600" t="s">
        <v>352</v>
      </c>
      <c r="D600" s="3" t="s">
        <v>852</v>
      </c>
      <c r="E600" s="11">
        <v>0.15</v>
      </c>
      <c r="F600" s="7" t="s">
        <v>179</v>
      </c>
      <c r="G600" s="9">
        <v>520.63</v>
      </c>
      <c r="H600" s="9">
        <f t="shared" si="18"/>
        <v>78.094499999999996</v>
      </c>
      <c r="I600" t="s">
        <v>179</v>
      </c>
      <c r="J600" s="33" t="s">
        <v>489</v>
      </c>
      <c r="K600" s="18">
        <v>550</v>
      </c>
      <c r="L600" s="52">
        <f t="shared" si="19"/>
        <v>82.5</v>
      </c>
    </row>
    <row r="601" spans="1:12">
      <c r="A601" t="s">
        <v>197</v>
      </c>
      <c r="B601" t="s">
        <v>349</v>
      </c>
      <c r="C601" t="s">
        <v>352</v>
      </c>
      <c r="D601" s="3" t="s">
        <v>23</v>
      </c>
      <c r="E601" s="11">
        <v>2.5000000000000001E-2</v>
      </c>
      <c r="F601" s="7" t="s">
        <v>179</v>
      </c>
      <c r="G601" s="9">
        <v>740</v>
      </c>
      <c r="H601" s="9">
        <f t="shared" si="18"/>
        <v>18.5</v>
      </c>
      <c r="I601" t="s">
        <v>179</v>
      </c>
      <c r="J601" s="33" t="s">
        <v>489</v>
      </c>
      <c r="K601" s="18">
        <f>VLOOKUP(D601,Ingredients!C:G,5,0)</f>
        <v>780</v>
      </c>
      <c r="L601" s="52">
        <f t="shared" si="19"/>
        <v>19.5</v>
      </c>
    </row>
    <row r="602" spans="1:12">
      <c r="A602" t="s">
        <v>197</v>
      </c>
      <c r="B602" t="s">
        <v>349</v>
      </c>
      <c r="C602" t="s">
        <v>352</v>
      </c>
      <c r="D602" s="3" t="s">
        <v>16</v>
      </c>
      <c r="E602" s="11">
        <v>2.5000000000000001E-2</v>
      </c>
      <c r="F602" s="7" t="s">
        <v>179</v>
      </c>
      <c r="G602" s="9">
        <v>270</v>
      </c>
      <c r="H602" s="9">
        <f t="shared" si="18"/>
        <v>6.75</v>
      </c>
      <c r="I602" t="s">
        <v>179</v>
      </c>
      <c r="J602" s="33" t="s">
        <v>489</v>
      </c>
      <c r="K602" s="18">
        <f>VLOOKUP(D602,Ingredients!C:G,5,0)</f>
        <v>310</v>
      </c>
      <c r="L602" s="52">
        <f t="shared" si="19"/>
        <v>7.75</v>
      </c>
    </row>
    <row r="603" spans="1:12">
      <c r="A603" t="s">
        <v>197</v>
      </c>
      <c r="B603" t="s">
        <v>349</v>
      </c>
      <c r="C603" t="s">
        <v>352</v>
      </c>
      <c r="D603" s="3" t="s">
        <v>189</v>
      </c>
      <c r="E603" s="11">
        <v>1</v>
      </c>
      <c r="F603" s="7" t="s">
        <v>179</v>
      </c>
      <c r="G603" s="9">
        <v>0</v>
      </c>
      <c r="H603" s="9">
        <f t="shared" si="18"/>
        <v>0</v>
      </c>
      <c r="I603" t="s">
        <v>179</v>
      </c>
      <c r="J603" s="33" t="s">
        <v>489</v>
      </c>
      <c r="K603" s="18">
        <v>550</v>
      </c>
      <c r="L603" s="52">
        <f t="shared" si="19"/>
        <v>550</v>
      </c>
    </row>
    <row r="604" spans="1:12">
      <c r="A604" t="s">
        <v>197</v>
      </c>
      <c r="B604" t="s">
        <v>349</v>
      </c>
      <c r="C604" t="s">
        <v>352</v>
      </c>
      <c r="D604" s="3" t="s">
        <v>835</v>
      </c>
      <c r="E604" s="11">
        <v>0.05</v>
      </c>
      <c r="F604" s="7" t="s">
        <v>179</v>
      </c>
      <c r="G604" s="9">
        <v>389.34</v>
      </c>
      <c r="H604" s="9">
        <f t="shared" si="18"/>
        <v>19.466999999999999</v>
      </c>
      <c r="I604" t="s">
        <v>179</v>
      </c>
      <c r="J604" s="33" t="s">
        <v>489</v>
      </c>
      <c r="K604" s="18">
        <f>VLOOKUP(D604,Ingredients!C:G,5,0)</f>
        <v>394.63</v>
      </c>
      <c r="L604" s="52">
        <f t="shared" si="19"/>
        <v>19.7315</v>
      </c>
    </row>
    <row r="605" spans="1:12">
      <c r="A605" t="s">
        <v>197</v>
      </c>
      <c r="B605" t="s">
        <v>349</v>
      </c>
      <c r="C605" t="s">
        <v>352</v>
      </c>
      <c r="D605" s="3" t="s">
        <v>830</v>
      </c>
      <c r="E605" s="11">
        <v>4.4999999999999998E-2</v>
      </c>
      <c r="F605" s="7" t="s">
        <v>179</v>
      </c>
      <c r="G605" s="9">
        <v>149</v>
      </c>
      <c r="H605" s="9">
        <f t="shared" si="18"/>
        <v>6.7050000000000001</v>
      </c>
      <c r="I605" t="s">
        <v>179</v>
      </c>
      <c r="J605" s="33" t="s">
        <v>489</v>
      </c>
      <c r="K605" s="18">
        <f>VLOOKUP(D605,Ingredients!C:G,5,0)</f>
        <v>123</v>
      </c>
      <c r="L605" s="52">
        <f t="shared" si="19"/>
        <v>5.5350000000000001</v>
      </c>
    </row>
    <row r="606" spans="1:12">
      <c r="A606" t="s">
        <v>197</v>
      </c>
      <c r="B606" t="s">
        <v>349</v>
      </c>
      <c r="C606" t="s">
        <v>352</v>
      </c>
      <c r="D606" s="3" t="s">
        <v>863</v>
      </c>
      <c r="E606" s="11">
        <v>0.2</v>
      </c>
      <c r="F606" s="7" t="s">
        <v>179</v>
      </c>
      <c r="G606" s="9">
        <v>675</v>
      </c>
      <c r="H606" s="9">
        <f t="shared" si="18"/>
        <v>135</v>
      </c>
      <c r="I606" t="s">
        <v>179</v>
      </c>
      <c r="J606" s="33" t="s">
        <v>489</v>
      </c>
      <c r="K606" s="18">
        <f>VLOOKUP(D606,Ingredients!C:G,5,0)</f>
        <v>675</v>
      </c>
      <c r="L606" s="52">
        <f t="shared" si="19"/>
        <v>135</v>
      </c>
    </row>
    <row r="607" spans="1:12">
      <c r="A607" t="s">
        <v>197</v>
      </c>
      <c r="B607" t="s">
        <v>349</v>
      </c>
      <c r="C607" t="s">
        <v>352</v>
      </c>
      <c r="D607" s="3" t="s">
        <v>839</v>
      </c>
      <c r="E607" s="11">
        <v>1.2500000000000001E-2</v>
      </c>
      <c r="F607" s="7" t="s">
        <v>179</v>
      </c>
      <c r="G607" s="9">
        <v>1100</v>
      </c>
      <c r="H607" s="9">
        <f t="shared" si="18"/>
        <v>13.75</v>
      </c>
      <c r="I607" t="s">
        <v>179</v>
      </c>
      <c r="J607" s="33" t="s">
        <v>489</v>
      </c>
      <c r="K607" s="18">
        <f>VLOOKUP(D607,Ingredients!C:G,5,0)</f>
        <v>1100</v>
      </c>
      <c r="L607" s="52">
        <f t="shared" si="19"/>
        <v>13.75</v>
      </c>
    </row>
    <row r="608" spans="1:12">
      <c r="A608" t="s">
        <v>197</v>
      </c>
      <c r="B608" t="s">
        <v>349</v>
      </c>
      <c r="C608" t="s">
        <v>352</v>
      </c>
      <c r="D608" s="3" t="s">
        <v>867</v>
      </c>
      <c r="E608" s="11">
        <v>0.03</v>
      </c>
      <c r="F608" s="7" t="s">
        <v>179</v>
      </c>
      <c r="G608" s="9">
        <v>900</v>
      </c>
      <c r="H608" s="9">
        <f t="shared" si="18"/>
        <v>27</v>
      </c>
      <c r="I608" t="s">
        <v>179</v>
      </c>
      <c r="J608" s="33" t="s">
        <v>489</v>
      </c>
      <c r="K608" s="18">
        <f>VLOOKUP(D608,Ingredients!C:G,5,0)</f>
        <v>950</v>
      </c>
      <c r="L608" s="52">
        <f t="shared" si="19"/>
        <v>28.5</v>
      </c>
    </row>
    <row r="609" spans="1:12">
      <c r="A609" t="s">
        <v>197</v>
      </c>
      <c r="B609" t="s">
        <v>349</v>
      </c>
      <c r="C609" t="s">
        <v>352</v>
      </c>
      <c r="D609" s="3" t="s">
        <v>881</v>
      </c>
      <c r="E609" s="11">
        <v>0.05</v>
      </c>
      <c r="F609" s="7" t="s">
        <v>179</v>
      </c>
      <c r="G609" s="9">
        <v>871</v>
      </c>
      <c r="H609" s="9">
        <f t="shared" si="18"/>
        <v>43.550000000000004</v>
      </c>
      <c r="I609" t="s">
        <v>179</v>
      </c>
      <c r="J609" s="33" t="s">
        <v>489</v>
      </c>
      <c r="K609" s="18">
        <f>VLOOKUP(D609,Ingredients!C:G,5,0)</f>
        <v>885.41</v>
      </c>
      <c r="L609" s="52">
        <f t="shared" si="19"/>
        <v>44.270499999999998</v>
      </c>
    </row>
    <row r="610" spans="1:12">
      <c r="A610" t="s">
        <v>200</v>
      </c>
      <c r="B610" t="s">
        <v>349</v>
      </c>
      <c r="C610" t="s">
        <v>352</v>
      </c>
      <c r="D610" s="3" t="s">
        <v>833</v>
      </c>
      <c r="E610" s="11">
        <v>1</v>
      </c>
      <c r="F610" s="7" t="s">
        <v>179</v>
      </c>
      <c r="G610" s="9">
        <v>1020</v>
      </c>
      <c r="H610" s="9">
        <f t="shared" si="18"/>
        <v>1020</v>
      </c>
      <c r="I610" t="s">
        <v>179</v>
      </c>
      <c r="J610" s="33" t="s">
        <v>490</v>
      </c>
      <c r="K610" s="18">
        <f>VLOOKUP(D610,Ingredients!C:G,5,0)</f>
        <v>1000</v>
      </c>
      <c r="L610" s="52">
        <f t="shared" si="19"/>
        <v>1000</v>
      </c>
    </row>
    <row r="611" spans="1:12">
      <c r="A611" t="s">
        <v>200</v>
      </c>
      <c r="B611" t="s">
        <v>349</v>
      </c>
      <c r="C611" t="s">
        <v>352</v>
      </c>
      <c r="D611" s="3" t="s">
        <v>852</v>
      </c>
      <c r="E611" s="11">
        <v>0.15</v>
      </c>
      <c r="F611" s="7" t="s">
        <v>179</v>
      </c>
      <c r="G611" s="9">
        <v>520.63</v>
      </c>
      <c r="H611" s="9">
        <f t="shared" si="18"/>
        <v>78.094499999999996</v>
      </c>
      <c r="I611" t="s">
        <v>179</v>
      </c>
      <c r="J611" s="33" t="s">
        <v>490</v>
      </c>
      <c r="K611" s="18">
        <v>550</v>
      </c>
      <c r="L611" s="52">
        <f t="shared" si="19"/>
        <v>82.5</v>
      </c>
    </row>
    <row r="612" spans="1:12">
      <c r="A612" t="s">
        <v>200</v>
      </c>
      <c r="B612" t="s">
        <v>349</v>
      </c>
      <c r="C612" t="s">
        <v>352</v>
      </c>
      <c r="D612" s="3" t="s">
        <v>24</v>
      </c>
      <c r="E612" s="11">
        <v>0.2</v>
      </c>
      <c r="F612" s="7" t="s">
        <v>179</v>
      </c>
      <c r="G612" s="9">
        <v>55</v>
      </c>
      <c r="H612" s="9">
        <f t="shared" si="18"/>
        <v>11</v>
      </c>
      <c r="I612" t="s">
        <v>179</v>
      </c>
      <c r="J612" s="33" t="s">
        <v>490</v>
      </c>
      <c r="K612" s="18">
        <f>VLOOKUP(D612,Ingredients!C:G,5,0)</f>
        <v>80</v>
      </c>
      <c r="L612" s="52">
        <f t="shared" si="19"/>
        <v>16</v>
      </c>
    </row>
    <row r="613" spans="1:12">
      <c r="A613" t="s">
        <v>200</v>
      </c>
      <c r="B613" t="s">
        <v>349</v>
      </c>
      <c r="C613" t="s">
        <v>352</v>
      </c>
      <c r="D613" s="3" t="s">
        <v>23</v>
      </c>
      <c r="E613" s="11">
        <v>0.03</v>
      </c>
      <c r="F613" s="7" t="s">
        <v>179</v>
      </c>
      <c r="G613" s="9">
        <v>740</v>
      </c>
      <c r="H613" s="9">
        <f t="shared" si="18"/>
        <v>22.2</v>
      </c>
      <c r="I613" t="s">
        <v>179</v>
      </c>
      <c r="J613" s="33" t="s">
        <v>490</v>
      </c>
      <c r="K613" s="18">
        <f>VLOOKUP(D613,Ingredients!C:G,5,0)</f>
        <v>780</v>
      </c>
      <c r="L613" s="52">
        <f t="shared" si="19"/>
        <v>23.4</v>
      </c>
    </row>
    <row r="614" spans="1:12">
      <c r="A614" t="s">
        <v>200</v>
      </c>
      <c r="B614" t="s">
        <v>349</v>
      </c>
      <c r="C614" t="s">
        <v>352</v>
      </c>
      <c r="D614" s="3" t="s">
        <v>16</v>
      </c>
      <c r="E614" s="11">
        <v>0.03</v>
      </c>
      <c r="F614" s="7" t="s">
        <v>179</v>
      </c>
      <c r="G614" s="9">
        <v>270</v>
      </c>
      <c r="H614" s="9">
        <f t="shared" si="18"/>
        <v>8.1</v>
      </c>
      <c r="I614" t="s">
        <v>179</v>
      </c>
      <c r="J614" s="33" t="s">
        <v>490</v>
      </c>
      <c r="K614" s="18">
        <f>VLOOKUP(D614,Ingredients!C:G,5,0)</f>
        <v>310</v>
      </c>
      <c r="L614" s="52">
        <f t="shared" si="19"/>
        <v>9.2999999999999989</v>
      </c>
    </row>
    <row r="615" spans="1:12">
      <c r="A615" t="s">
        <v>200</v>
      </c>
      <c r="B615" t="s">
        <v>349</v>
      </c>
      <c r="C615" t="s">
        <v>352</v>
      </c>
      <c r="D615" s="3" t="s">
        <v>853</v>
      </c>
      <c r="E615" s="11">
        <v>0.05</v>
      </c>
      <c r="F615" s="7" t="s">
        <v>179</v>
      </c>
      <c r="G615" s="9">
        <v>30</v>
      </c>
      <c r="H615" s="9">
        <f t="shared" si="18"/>
        <v>1.5</v>
      </c>
      <c r="I615" t="s">
        <v>179</v>
      </c>
      <c r="J615" s="33" t="s">
        <v>490</v>
      </c>
      <c r="K615" s="18">
        <f>VLOOKUP(D615,Ingredients!C:G,5,0)</f>
        <v>55</v>
      </c>
      <c r="L615" s="52">
        <f t="shared" si="19"/>
        <v>2.75</v>
      </c>
    </row>
    <row r="616" spans="1:12">
      <c r="A616" t="s">
        <v>200</v>
      </c>
      <c r="B616" t="s">
        <v>349</v>
      </c>
      <c r="C616" t="s">
        <v>352</v>
      </c>
      <c r="D616" s="3" t="s">
        <v>856</v>
      </c>
      <c r="E616" s="11">
        <v>0.05</v>
      </c>
      <c r="F616" s="7" t="s">
        <v>179</v>
      </c>
      <c r="G616" s="9">
        <v>850</v>
      </c>
      <c r="H616" s="9">
        <f t="shared" si="18"/>
        <v>42.5</v>
      </c>
      <c r="I616" t="s">
        <v>179</v>
      </c>
      <c r="J616" s="33" t="s">
        <v>490</v>
      </c>
      <c r="K616" s="18">
        <f>VLOOKUP(D616,Ingredients!C:G,5,0)</f>
        <v>980</v>
      </c>
      <c r="L616" s="52">
        <f t="shared" si="19"/>
        <v>49</v>
      </c>
    </row>
    <row r="617" spans="1:12">
      <c r="A617" t="s">
        <v>200</v>
      </c>
      <c r="B617" t="s">
        <v>349</v>
      </c>
      <c r="C617" t="s">
        <v>352</v>
      </c>
      <c r="D617" s="3" t="s">
        <v>880</v>
      </c>
      <c r="E617" s="11">
        <v>0.03</v>
      </c>
      <c r="F617" s="7" t="s">
        <v>179</v>
      </c>
      <c r="G617" s="9">
        <v>650</v>
      </c>
      <c r="H617" s="9">
        <f t="shared" si="18"/>
        <v>19.5</v>
      </c>
      <c r="I617" t="s">
        <v>179</v>
      </c>
      <c r="J617" s="33" t="s">
        <v>490</v>
      </c>
      <c r="K617" s="18">
        <f>VLOOKUP(D617,Ingredients!C:G,5,0)</f>
        <v>520</v>
      </c>
      <c r="L617" s="52">
        <f t="shared" si="19"/>
        <v>15.6</v>
      </c>
    </row>
    <row r="618" spans="1:12">
      <c r="A618" t="s">
        <v>200</v>
      </c>
      <c r="B618" t="s">
        <v>349</v>
      </c>
      <c r="C618" t="s">
        <v>352</v>
      </c>
      <c r="D618" s="3" t="s">
        <v>855</v>
      </c>
      <c r="E618" s="11">
        <v>0.03</v>
      </c>
      <c r="F618" s="7" t="s">
        <v>179</v>
      </c>
      <c r="G618" s="9">
        <v>2400</v>
      </c>
      <c r="H618" s="9">
        <f t="shared" si="18"/>
        <v>72</v>
      </c>
      <c r="I618" t="s">
        <v>179</v>
      </c>
      <c r="J618" s="33" t="s">
        <v>490</v>
      </c>
      <c r="K618" s="18">
        <f>VLOOKUP(D618,Ingredients!C:G,5,0)</f>
        <v>1600</v>
      </c>
      <c r="L618" s="52">
        <f t="shared" si="19"/>
        <v>48</v>
      </c>
    </row>
    <row r="619" spans="1:12">
      <c r="A619" t="s">
        <v>200</v>
      </c>
      <c r="B619" t="s">
        <v>349</v>
      </c>
      <c r="C619" t="s">
        <v>352</v>
      </c>
      <c r="D619" s="3" t="s">
        <v>895</v>
      </c>
      <c r="E619" s="11">
        <v>1.2E-2</v>
      </c>
      <c r="F619" s="7" t="s">
        <v>179</v>
      </c>
      <c r="G619" s="9">
        <v>400</v>
      </c>
      <c r="H619" s="9">
        <f t="shared" si="18"/>
        <v>4.8</v>
      </c>
      <c r="I619" t="s">
        <v>179</v>
      </c>
      <c r="J619" s="33" t="s">
        <v>490</v>
      </c>
      <c r="K619" s="18">
        <f>VLOOKUP(D619,Ingredients!C:G,5,0)</f>
        <v>400</v>
      </c>
      <c r="L619" s="52">
        <f t="shared" si="19"/>
        <v>4.8</v>
      </c>
    </row>
    <row r="620" spans="1:12">
      <c r="A620" t="s">
        <v>200</v>
      </c>
      <c r="B620" t="s">
        <v>349</v>
      </c>
      <c r="C620" t="s">
        <v>352</v>
      </c>
      <c r="D620" s="3" t="s">
        <v>28</v>
      </c>
      <c r="E620" s="11">
        <v>0.3</v>
      </c>
      <c r="F620" s="7" t="s">
        <v>179</v>
      </c>
      <c r="G620" s="9">
        <v>85</v>
      </c>
      <c r="H620" s="9">
        <f t="shared" si="18"/>
        <v>25.5</v>
      </c>
      <c r="I620" t="s">
        <v>179</v>
      </c>
      <c r="J620" s="33" t="s">
        <v>490</v>
      </c>
      <c r="K620" s="18">
        <f>VLOOKUP(D620,Ingredients!C:G,5,0)</f>
        <v>70</v>
      </c>
      <c r="L620" s="52">
        <f t="shared" si="19"/>
        <v>21</v>
      </c>
    </row>
    <row r="621" spans="1:12">
      <c r="A621" t="s">
        <v>201</v>
      </c>
      <c r="B621" t="s">
        <v>349</v>
      </c>
      <c r="C621" t="s">
        <v>352</v>
      </c>
      <c r="D621" s="3" t="s">
        <v>831</v>
      </c>
      <c r="E621" s="11">
        <v>1</v>
      </c>
      <c r="F621" s="7" t="s">
        <v>179</v>
      </c>
      <c r="G621" s="9">
        <v>908</v>
      </c>
      <c r="H621" s="9">
        <f t="shared" si="18"/>
        <v>908</v>
      </c>
      <c r="I621" t="s">
        <v>179</v>
      </c>
      <c r="J621" s="33" t="s">
        <v>491</v>
      </c>
      <c r="K621" s="18">
        <f>VLOOKUP(D621,Ingredients!C:G,5,0)</f>
        <v>908</v>
      </c>
      <c r="L621" s="52">
        <f t="shared" si="19"/>
        <v>908</v>
      </c>
    </row>
    <row r="622" spans="1:12">
      <c r="A622" t="s">
        <v>201</v>
      </c>
      <c r="B622" t="s">
        <v>349</v>
      </c>
      <c r="C622" t="s">
        <v>352</v>
      </c>
      <c r="D622" s="3" t="s">
        <v>866</v>
      </c>
      <c r="E622" s="11">
        <v>0.25</v>
      </c>
      <c r="F622" s="7" t="s">
        <v>179</v>
      </c>
      <c r="G622" s="9">
        <v>153.97999999999999</v>
      </c>
      <c r="H622" s="9">
        <f t="shared" si="18"/>
        <v>38.494999999999997</v>
      </c>
      <c r="I622" t="s">
        <v>179</v>
      </c>
      <c r="J622" s="33" t="s">
        <v>491</v>
      </c>
      <c r="K622" s="18">
        <f>VLOOKUP(D622,Ingredients!C:G,5,0)</f>
        <v>142.13999999999999</v>
      </c>
      <c r="L622" s="52">
        <f t="shared" si="19"/>
        <v>35.534999999999997</v>
      </c>
    </row>
    <row r="623" spans="1:12">
      <c r="A623" t="s">
        <v>201</v>
      </c>
      <c r="B623" t="s">
        <v>349</v>
      </c>
      <c r="C623" t="s">
        <v>352</v>
      </c>
      <c r="D623" s="3" t="s">
        <v>835</v>
      </c>
      <c r="E623" s="11">
        <v>0.25</v>
      </c>
      <c r="F623" s="7" t="s">
        <v>179</v>
      </c>
      <c r="G623" s="9">
        <v>389.34</v>
      </c>
      <c r="H623" s="9">
        <f t="shared" si="18"/>
        <v>97.334999999999994</v>
      </c>
      <c r="I623" t="s">
        <v>179</v>
      </c>
      <c r="J623" s="33" t="s">
        <v>491</v>
      </c>
      <c r="K623" s="18">
        <f>VLOOKUP(D623,Ingredients!C:G,5,0)</f>
        <v>394.63</v>
      </c>
      <c r="L623" s="52">
        <f t="shared" si="19"/>
        <v>98.657499999999999</v>
      </c>
    </row>
    <row r="624" spans="1:12">
      <c r="A624" t="s">
        <v>201</v>
      </c>
      <c r="B624" t="s">
        <v>349</v>
      </c>
      <c r="C624" t="s">
        <v>352</v>
      </c>
      <c r="D624" s="3" t="s">
        <v>854</v>
      </c>
      <c r="E624" s="11">
        <v>1</v>
      </c>
      <c r="F624" s="13" t="s">
        <v>173</v>
      </c>
      <c r="G624" s="9">
        <v>24.64</v>
      </c>
      <c r="H624" s="9">
        <f t="shared" si="18"/>
        <v>24.64</v>
      </c>
      <c r="I624" t="s">
        <v>179</v>
      </c>
      <c r="J624" s="33" t="s">
        <v>491</v>
      </c>
      <c r="K624" s="18">
        <f>VLOOKUP(D624,Ingredients!C:G,5,0)</f>
        <v>20.059999999999999</v>
      </c>
      <c r="L624" s="52">
        <f t="shared" si="19"/>
        <v>20.059999999999999</v>
      </c>
    </row>
    <row r="625" spans="1:12">
      <c r="A625" t="s">
        <v>201</v>
      </c>
      <c r="B625" t="s">
        <v>349</v>
      </c>
      <c r="C625" t="s">
        <v>352</v>
      </c>
      <c r="D625" s="3" t="s">
        <v>23</v>
      </c>
      <c r="E625" s="11">
        <v>1.4999999999999999E-2</v>
      </c>
      <c r="F625" s="7" t="s">
        <v>179</v>
      </c>
      <c r="G625" s="9">
        <v>740</v>
      </c>
      <c r="H625" s="9">
        <f t="shared" si="18"/>
        <v>11.1</v>
      </c>
      <c r="I625" t="s">
        <v>179</v>
      </c>
      <c r="J625" s="33" t="s">
        <v>491</v>
      </c>
      <c r="K625" s="18">
        <f>VLOOKUP(D625,Ingredients!C:G,5,0)</f>
        <v>780</v>
      </c>
      <c r="L625" s="52">
        <f t="shared" si="19"/>
        <v>11.7</v>
      </c>
    </row>
    <row r="626" spans="1:12">
      <c r="A626" t="s">
        <v>201</v>
      </c>
      <c r="B626" t="s">
        <v>349</v>
      </c>
      <c r="C626" t="s">
        <v>352</v>
      </c>
      <c r="D626" s="3" t="s">
        <v>16</v>
      </c>
      <c r="E626" s="11">
        <v>1.4999999999999999E-2</v>
      </c>
      <c r="F626" s="7" t="s">
        <v>179</v>
      </c>
      <c r="G626" s="9">
        <v>270</v>
      </c>
      <c r="H626" s="9">
        <f t="shared" si="18"/>
        <v>4.05</v>
      </c>
      <c r="I626" t="s">
        <v>179</v>
      </c>
      <c r="J626" s="33" t="s">
        <v>491</v>
      </c>
      <c r="K626" s="18">
        <f>VLOOKUP(D626,Ingredients!C:G,5,0)</f>
        <v>310</v>
      </c>
      <c r="L626" s="52">
        <f t="shared" si="19"/>
        <v>4.6499999999999995</v>
      </c>
    </row>
    <row r="627" spans="1:12">
      <c r="A627" t="s">
        <v>201</v>
      </c>
      <c r="B627" t="s">
        <v>349</v>
      </c>
      <c r="C627" t="s">
        <v>352</v>
      </c>
      <c r="D627" s="3" t="s">
        <v>869</v>
      </c>
      <c r="E627" s="11">
        <v>1.4999999999999999E-2</v>
      </c>
      <c r="F627" s="7" t="s">
        <v>179</v>
      </c>
      <c r="G627" s="9">
        <v>160</v>
      </c>
      <c r="H627" s="9">
        <f t="shared" si="18"/>
        <v>2.4</v>
      </c>
      <c r="I627" t="s">
        <v>179</v>
      </c>
      <c r="J627" s="33" t="s">
        <v>491</v>
      </c>
      <c r="K627" s="18">
        <f>VLOOKUP(D627,Ingredients!C:G,5,0)</f>
        <v>527</v>
      </c>
      <c r="L627" s="52">
        <f t="shared" si="19"/>
        <v>7.9049999999999994</v>
      </c>
    </row>
    <row r="628" spans="1:12">
      <c r="A628" t="s">
        <v>201</v>
      </c>
      <c r="B628" t="s">
        <v>349</v>
      </c>
      <c r="C628" t="s">
        <v>352</v>
      </c>
      <c r="D628" s="3" t="s">
        <v>52</v>
      </c>
      <c r="E628" s="11">
        <v>1.4999999999999999E-2</v>
      </c>
      <c r="F628" s="7" t="s">
        <v>179</v>
      </c>
      <c r="G628" s="9">
        <v>175</v>
      </c>
      <c r="H628" s="9">
        <f t="shared" si="18"/>
        <v>2.625</v>
      </c>
      <c r="I628" t="s">
        <v>179</v>
      </c>
      <c r="J628" s="33" t="s">
        <v>491</v>
      </c>
      <c r="K628" s="18">
        <f>VLOOKUP(D628,Ingredients!C:G,5,0)</f>
        <v>175</v>
      </c>
      <c r="L628" s="52">
        <f t="shared" si="19"/>
        <v>2.625</v>
      </c>
    </row>
    <row r="629" spans="1:12">
      <c r="A629" t="s">
        <v>201</v>
      </c>
      <c r="B629" t="s">
        <v>349</v>
      </c>
      <c r="C629" t="s">
        <v>352</v>
      </c>
      <c r="D629" s="3" t="s">
        <v>834</v>
      </c>
      <c r="E629" s="11">
        <v>7.4999999999999997E-3</v>
      </c>
      <c r="F629" s="7" t="s">
        <v>179</v>
      </c>
      <c r="G629" s="9">
        <v>515</v>
      </c>
      <c r="H629" s="9">
        <f t="shared" si="18"/>
        <v>3.8624999999999998</v>
      </c>
      <c r="I629" t="s">
        <v>179</v>
      </c>
      <c r="J629" s="33" t="s">
        <v>491</v>
      </c>
      <c r="K629" s="18">
        <f>VLOOKUP(D629,Ingredients!C:G,5,0)</f>
        <v>540</v>
      </c>
      <c r="L629" s="52">
        <f t="shared" si="19"/>
        <v>4.05</v>
      </c>
    </row>
    <row r="630" spans="1:12">
      <c r="A630" t="s">
        <v>201</v>
      </c>
      <c r="B630" t="s">
        <v>349</v>
      </c>
      <c r="C630" t="s">
        <v>352</v>
      </c>
      <c r="D630" s="3" t="s">
        <v>186</v>
      </c>
      <c r="E630" s="11">
        <v>1.2500000000000001E-2</v>
      </c>
      <c r="F630" s="7" t="s">
        <v>179</v>
      </c>
      <c r="G630" s="9">
        <v>1500</v>
      </c>
      <c r="H630" s="9">
        <f t="shared" si="18"/>
        <v>18.75</v>
      </c>
      <c r="I630" t="s">
        <v>179</v>
      </c>
      <c r="J630" s="33" t="s">
        <v>491</v>
      </c>
      <c r="K630" s="18">
        <f>VLOOKUP(D630,Ingredients!C:G,5,0)</f>
        <v>1400</v>
      </c>
      <c r="L630" s="52">
        <f t="shared" si="19"/>
        <v>17.5</v>
      </c>
    </row>
    <row r="631" spans="1:12">
      <c r="A631" t="s">
        <v>201</v>
      </c>
      <c r="B631" t="s">
        <v>349</v>
      </c>
      <c r="C631" t="s">
        <v>352</v>
      </c>
      <c r="D631" s="3" t="s">
        <v>901</v>
      </c>
      <c r="E631" s="11">
        <v>0.25</v>
      </c>
      <c r="F631" s="7" t="s">
        <v>190</v>
      </c>
      <c r="G631" s="9">
        <v>73</v>
      </c>
      <c r="H631" s="9">
        <f t="shared" si="18"/>
        <v>18.25</v>
      </c>
      <c r="I631" t="s">
        <v>179</v>
      </c>
      <c r="J631" s="33" t="s">
        <v>491</v>
      </c>
      <c r="K631" s="18">
        <f>VLOOKUP(D631,Ingredients!C:G,5,0)</f>
        <v>73</v>
      </c>
      <c r="L631" s="52">
        <f t="shared" si="19"/>
        <v>18.25</v>
      </c>
    </row>
    <row r="632" spans="1:12">
      <c r="A632" t="s">
        <v>201</v>
      </c>
      <c r="B632" t="s">
        <v>349</v>
      </c>
      <c r="C632" t="s">
        <v>352</v>
      </c>
      <c r="D632" s="3" t="s">
        <v>902</v>
      </c>
      <c r="E632" s="11">
        <v>7.4999999999999997E-3</v>
      </c>
      <c r="F632" s="7" t="s">
        <v>179</v>
      </c>
      <c r="G632" s="9">
        <v>662.5</v>
      </c>
      <c r="H632" s="9">
        <f t="shared" si="18"/>
        <v>4.96875</v>
      </c>
      <c r="I632" t="s">
        <v>179</v>
      </c>
      <c r="J632" s="33" t="s">
        <v>491</v>
      </c>
      <c r="K632" s="18">
        <f>VLOOKUP(D632,Ingredients!C:G,5,0)</f>
        <v>700</v>
      </c>
      <c r="L632" s="52">
        <f t="shared" si="19"/>
        <v>5.25</v>
      </c>
    </row>
    <row r="633" spans="1:12">
      <c r="A633" t="s">
        <v>201</v>
      </c>
      <c r="B633" t="s">
        <v>349</v>
      </c>
      <c r="C633" t="s">
        <v>352</v>
      </c>
      <c r="D633" s="3" t="s">
        <v>852</v>
      </c>
      <c r="E633" s="11">
        <v>0.5</v>
      </c>
      <c r="F633" s="7" t="s">
        <v>179</v>
      </c>
      <c r="G633" s="9">
        <v>520.63</v>
      </c>
      <c r="H633" s="9">
        <f t="shared" ref="H633:H696" si="20">G633*E633</f>
        <v>260.315</v>
      </c>
      <c r="I633" t="s">
        <v>179</v>
      </c>
      <c r="J633" s="33" t="s">
        <v>491</v>
      </c>
      <c r="K633" s="18">
        <v>550</v>
      </c>
      <c r="L633" s="52">
        <f t="shared" si="19"/>
        <v>275</v>
      </c>
    </row>
    <row r="634" spans="1:12">
      <c r="A634" t="s">
        <v>204</v>
      </c>
      <c r="B634" t="s">
        <v>349</v>
      </c>
      <c r="C634" t="s">
        <v>352</v>
      </c>
      <c r="D634" s="3" t="s">
        <v>428</v>
      </c>
      <c r="E634" s="11">
        <v>1</v>
      </c>
      <c r="F634" s="7" t="s">
        <v>179</v>
      </c>
      <c r="G634" s="9">
        <v>1600</v>
      </c>
      <c r="H634" s="9">
        <f t="shared" si="20"/>
        <v>1600</v>
      </c>
      <c r="I634" t="s">
        <v>179</v>
      </c>
      <c r="J634" s="33" t="s">
        <v>428</v>
      </c>
      <c r="K634" s="18">
        <f>VLOOKUP(D634,Ingredients!C:G,5,0)</f>
        <v>1514.78</v>
      </c>
      <c r="L634" s="52">
        <f t="shared" si="19"/>
        <v>1514.78</v>
      </c>
    </row>
    <row r="635" spans="1:12">
      <c r="A635" t="s">
        <v>204</v>
      </c>
      <c r="B635" t="s">
        <v>349</v>
      </c>
      <c r="C635" t="s">
        <v>352</v>
      </c>
      <c r="D635" s="3" t="s">
        <v>852</v>
      </c>
      <c r="E635" s="11">
        <v>2.4999999999999998E-2</v>
      </c>
      <c r="F635" s="7" t="s">
        <v>181</v>
      </c>
      <c r="G635" s="9">
        <v>520.63</v>
      </c>
      <c r="H635" s="9">
        <f t="shared" si="20"/>
        <v>13.015749999999999</v>
      </c>
      <c r="I635" t="s">
        <v>179</v>
      </c>
      <c r="J635" s="33" t="s">
        <v>428</v>
      </c>
      <c r="K635" s="18">
        <v>550</v>
      </c>
      <c r="L635" s="52">
        <f t="shared" si="19"/>
        <v>13.749999999999998</v>
      </c>
    </row>
    <row r="636" spans="1:12">
      <c r="A636" t="s">
        <v>204</v>
      </c>
      <c r="B636" t="s">
        <v>349</v>
      </c>
      <c r="C636" t="s">
        <v>352</v>
      </c>
      <c r="D636" s="3" t="s">
        <v>24</v>
      </c>
      <c r="E636" s="11">
        <v>0.16666666666666666</v>
      </c>
      <c r="F636" s="7" t="s">
        <v>181</v>
      </c>
      <c r="G636" s="9">
        <v>55</v>
      </c>
      <c r="H636" s="9">
        <f t="shared" si="20"/>
        <v>9.1666666666666661</v>
      </c>
      <c r="I636" t="s">
        <v>179</v>
      </c>
      <c r="J636" s="33" t="s">
        <v>428</v>
      </c>
      <c r="K636" s="18">
        <f>VLOOKUP(D636,Ingredients!C:G,5,0)</f>
        <v>80</v>
      </c>
      <c r="L636" s="52">
        <f t="shared" si="19"/>
        <v>13.333333333333332</v>
      </c>
    </row>
    <row r="637" spans="1:12">
      <c r="A637" t="s">
        <v>204</v>
      </c>
      <c r="B637" t="s">
        <v>349</v>
      </c>
      <c r="C637" t="s">
        <v>352</v>
      </c>
      <c r="D637" s="3" t="s">
        <v>28</v>
      </c>
      <c r="E637" s="11">
        <v>0.25</v>
      </c>
      <c r="F637" s="7" t="s">
        <v>181</v>
      </c>
      <c r="G637" s="9">
        <v>85</v>
      </c>
      <c r="H637" s="9">
        <f t="shared" si="20"/>
        <v>21.25</v>
      </c>
      <c r="I637" t="s">
        <v>179</v>
      </c>
      <c r="J637" s="33" t="s">
        <v>428</v>
      </c>
      <c r="K637" s="18">
        <f>VLOOKUP(D637,Ingredients!C:G,5,0)</f>
        <v>70</v>
      </c>
      <c r="L637" s="52">
        <f t="shared" si="19"/>
        <v>17.5</v>
      </c>
    </row>
    <row r="638" spans="1:12">
      <c r="A638" t="s">
        <v>204</v>
      </c>
      <c r="B638" t="s">
        <v>349</v>
      </c>
      <c r="C638" t="s">
        <v>352</v>
      </c>
      <c r="D638" s="3" t="s">
        <v>853</v>
      </c>
      <c r="E638" s="11">
        <v>8.3333333333333332E-3</v>
      </c>
      <c r="F638" s="7" t="s">
        <v>181</v>
      </c>
      <c r="G638" s="9">
        <v>30</v>
      </c>
      <c r="H638" s="9">
        <f t="shared" si="20"/>
        <v>0.25</v>
      </c>
      <c r="I638" t="s">
        <v>179</v>
      </c>
      <c r="J638" s="33" t="s">
        <v>428</v>
      </c>
      <c r="K638" s="18">
        <f>VLOOKUP(D638,Ingredients!C:G,5,0)</f>
        <v>55</v>
      </c>
      <c r="L638" s="52">
        <f t="shared" si="19"/>
        <v>0.45833333333333331</v>
      </c>
    </row>
    <row r="639" spans="1:12">
      <c r="A639" t="s">
        <v>204</v>
      </c>
      <c r="B639" t="s">
        <v>349</v>
      </c>
      <c r="C639" t="s">
        <v>352</v>
      </c>
      <c r="D639" s="3" t="s">
        <v>867</v>
      </c>
      <c r="E639" s="11">
        <v>4.1666666666666666E-3</v>
      </c>
      <c r="F639" s="7" t="s">
        <v>181</v>
      </c>
      <c r="G639" s="9">
        <v>900</v>
      </c>
      <c r="H639" s="9">
        <f t="shared" si="20"/>
        <v>3.75</v>
      </c>
      <c r="I639" t="s">
        <v>179</v>
      </c>
      <c r="J639" s="33" t="s">
        <v>428</v>
      </c>
      <c r="K639" s="18">
        <f>VLOOKUP(D639,Ingredients!C:G,5,0)</f>
        <v>950</v>
      </c>
      <c r="L639" s="52">
        <f t="shared" si="19"/>
        <v>3.9583333333333335</v>
      </c>
    </row>
    <row r="640" spans="1:12">
      <c r="A640" t="s">
        <v>204</v>
      </c>
      <c r="B640" t="s">
        <v>349</v>
      </c>
      <c r="C640" t="s">
        <v>352</v>
      </c>
      <c r="D640" s="3" t="s">
        <v>880</v>
      </c>
      <c r="E640" s="11">
        <v>4.1666666666666666E-3</v>
      </c>
      <c r="F640" s="7" t="s">
        <v>181</v>
      </c>
      <c r="G640" s="9">
        <v>650</v>
      </c>
      <c r="H640" s="9">
        <f t="shared" si="20"/>
        <v>2.7083333333333335</v>
      </c>
      <c r="I640" t="s">
        <v>179</v>
      </c>
      <c r="J640" s="33" t="s">
        <v>428</v>
      </c>
      <c r="K640" s="18">
        <f>VLOOKUP(D640,Ingredients!C:G,5,0)</f>
        <v>520</v>
      </c>
      <c r="L640" s="52">
        <f t="shared" si="19"/>
        <v>2.1666666666666665</v>
      </c>
    </row>
    <row r="641" spans="1:12">
      <c r="A641" t="s">
        <v>204</v>
      </c>
      <c r="B641" t="s">
        <v>349</v>
      </c>
      <c r="C641" t="s">
        <v>352</v>
      </c>
      <c r="D641" s="3" t="s">
        <v>849</v>
      </c>
      <c r="E641" s="11">
        <v>5.0000000000000001E-3</v>
      </c>
      <c r="F641" s="7" t="s">
        <v>179</v>
      </c>
      <c r="G641" s="9">
        <v>1000</v>
      </c>
      <c r="H641" s="9">
        <f t="shared" si="20"/>
        <v>5</v>
      </c>
      <c r="I641" t="s">
        <v>179</v>
      </c>
      <c r="J641" s="33" t="s">
        <v>428</v>
      </c>
      <c r="K641" s="18">
        <f>VLOOKUP(D641,Ingredients!C:G,5,0)</f>
        <v>950</v>
      </c>
      <c r="L641" s="52">
        <f t="shared" si="19"/>
        <v>4.75</v>
      </c>
    </row>
    <row r="642" spans="1:12">
      <c r="A642" t="s">
        <v>204</v>
      </c>
      <c r="B642" t="s">
        <v>349</v>
      </c>
      <c r="C642" t="s">
        <v>352</v>
      </c>
      <c r="D642" s="3" t="s">
        <v>855</v>
      </c>
      <c r="E642" s="11">
        <v>8.3333333333333332E-3</v>
      </c>
      <c r="F642" s="7" t="s">
        <v>179</v>
      </c>
      <c r="G642" s="9">
        <v>2400</v>
      </c>
      <c r="H642" s="9">
        <f t="shared" si="20"/>
        <v>20</v>
      </c>
      <c r="I642" t="s">
        <v>179</v>
      </c>
      <c r="J642" s="33" t="s">
        <v>428</v>
      </c>
      <c r="K642" s="18">
        <f>VLOOKUP(D642,Ingredients!C:G,5,0)</f>
        <v>1600</v>
      </c>
      <c r="L642" s="52">
        <f t="shared" si="19"/>
        <v>13.333333333333334</v>
      </c>
    </row>
    <row r="643" spans="1:12">
      <c r="A643" t="s">
        <v>204</v>
      </c>
      <c r="B643" t="s">
        <v>349</v>
      </c>
      <c r="C643" t="s">
        <v>352</v>
      </c>
      <c r="D643" s="3" t="s">
        <v>895</v>
      </c>
      <c r="E643" s="11">
        <v>8.3333333333333332E-3</v>
      </c>
      <c r="F643" s="7" t="s">
        <v>179</v>
      </c>
      <c r="G643" s="9">
        <v>400</v>
      </c>
      <c r="H643" s="9">
        <f t="shared" si="20"/>
        <v>3.3333333333333335</v>
      </c>
      <c r="I643" t="s">
        <v>179</v>
      </c>
      <c r="J643" s="33" t="s">
        <v>428</v>
      </c>
      <c r="K643" s="18">
        <f>VLOOKUP(D643,Ingredients!C:G,5,0)</f>
        <v>400</v>
      </c>
      <c r="L643" s="52">
        <f t="shared" si="19"/>
        <v>3.3333333333333335</v>
      </c>
    </row>
    <row r="644" spans="1:12">
      <c r="A644" t="s">
        <v>204</v>
      </c>
      <c r="B644" t="s">
        <v>349</v>
      </c>
      <c r="C644" t="s">
        <v>352</v>
      </c>
      <c r="D644" s="3" t="s">
        <v>876</v>
      </c>
      <c r="E644" s="11">
        <v>8.3333333333333329E-2</v>
      </c>
      <c r="F644" s="7" t="s">
        <v>179</v>
      </c>
      <c r="G644" s="9">
        <v>270</v>
      </c>
      <c r="H644" s="9">
        <f t="shared" si="20"/>
        <v>22.5</v>
      </c>
      <c r="I644" t="s">
        <v>179</v>
      </c>
      <c r="J644" s="33" t="s">
        <v>428</v>
      </c>
      <c r="K644" s="18">
        <f>VLOOKUP(D644,Ingredients!C:G,5,0)</f>
        <v>290</v>
      </c>
      <c r="L644" s="52">
        <f t="shared" ref="L644:L707" si="21">K644*E644</f>
        <v>24.166666666666664</v>
      </c>
    </row>
    <row r="645" spans="1:12">
      <c r="A645" t="s">
        <v>204</v>
      </c>
      <c r="B645" t="s">
        <v>349</v>
      </c>
      <c r="C645" t="s">
        <v>352</v>
      </c>
      <c r="D645" s="3" t="s">
        <v>865</v>
      </c>
      <c r="E645" s="11">
        <v>8.3333333333333332E-3</v>
      </c>
      <c r="F645" s="7" t="s">
        <v>179</v>
      </c>
      <c r="G645" s="9">
        <v>1400</v>
      </c>
      <c r="H645" s="9">
        <f t="shared" si="20"/>
        <v>11.666666666666666</v>
      </c>
      <c r="I645" t="s">
        <v>179</v>
      </c>
      <c r="J645" s="33" t="s">
        <v>428</v>
      </c>
      <c r="K645" s="18">
        <f>VLOOKUP(D645,Ingredients!C:G,5,0)</f>
        <v>1400</v>
      </c>
      <c r="L645" s="52">
        <f t="shared" si="21"/>
        <v>11.666666666666666</v>
      </c>
    </row>
    <row r="646" spans="1:12">
      <c r="A646" t="s">
        <v>204</v>
      </c>
      <c r="B646" t="s">
        <v>349</v>
      </c>
      <c r="C646" t="s">
        <v>352</v>
      </c>
      <c r="D646" s="3" t="s">
        <v>205</v>
      </c>
      <c r="E646" s="11">
        <v>8.3333333333333332E-3</v>
      </c>
      <c r="F646" s="7" t="s">
        <v>179</v>
      </c>
      <c r="G646" s="9">
        <v>280</v>
      </c>
      <c r="H646" s="9">
        <f t="shared" si="20"/>
        <v>2.3333333333333335</v>
      </c>
      <c r="I646" t="s">
        <v>179</v>
      </c>
      <c r="J646" s="33" t="s">
        <v>428</v>
      </c>
      <c r="K646" s="18">
        <f>VLOOKUP(D646,Ingredients!C:G,5,0)</f>
        <v>280</v>
      </c>
      <c r="L646" s="52">
        <f t="shared" si="21"/>
        <v>2.3333333333333335</v>
      </c>
    </row>
    <row r="647" spans="1:12">
      <c r="A647" t="s">
        <v>204</v>
      </c>
      <c r="B647" t="s">
        <v>349</v>
      </c>
      <c r="C647" t="s">
        <v>352</v>
      </c>
      <c r="D647" s="3" t="s">
        <v>148</v>
      </c>
      <c r="E647" s="11">
        <v>8.3333333333333332E-3</v>
      </c>
      <c r="F647" s="7" t="s">
        <v>179</v>
      </c>
      <c r="G647" s="9">
        <v>5</v>
      </c>
      <c r="H647" s="9">
        <f t="shared" si="20"/>
        <v>4.1666666666666664E-2</v>
      </c>
      <c r="I647" t="s">
        <v>179</v>
      </c>
      <c r="J647" s="33" t="s">
        <v>428</v>
      </c>
      <c r="K647" s="18">
        <f>VLOOKUP(D647,Ingredients!C:G,5,0)</f>
        <v>5</v>
      </c>
      <c r="L647" s="52">
        <f t="shared" si="21"/>
        <v>4.1666666666666664E-2</v>
      </c>
    </row>
    <row r="648" spans="1:12">
      <c r="A648" t="s">
        <v>206</v>
      </c>
      <c r="B648" t="s">
        <v>355</v>
      </c>
      <c r="C648" t="s">
        <v>523</v>
      </c>
      <c r="D648" s="3" t="s">
        <v>903</v>
      </c>
      <c r="E648" s="11">
        <v>0.2</v>
      </c>
      <c r="F648" s="7" t="s">
        <v>179</v>
      </c>
      <c r="G648" s="9">
        <v>153.97999999999999</v>
      </c>
      <c r="H648" s="9">
        <f t="shared" si="20"/>
        <v>30.795999999999999</v>
      </c>
      <c r="I648" t="s">
        <v>253</v>
      </c>
      <c r="J648" s="33">
        <v>0</v>
      </c>
      <c r="K648" s="18">
        <f>VLOOKUP(D648,Ingredients!C:G,5,0)</f>
        <v>152</v>
      </c>
      <c r="L648" s="52">
        <f t="shared" si="21"/>
        <v>30.400000000000002</v>
      </c>
    </row>
    <row r="649" spans="1:12">
      <c r="A649" t="s">
        <v>206</v>
      </c>
      <c r="B649" t="s">
        <v>355</v>
      </c>
      <c r="C649" t="s">
        <v>523</v>
      </c>
      <c r="D649" s="3" t="s">
        <v>904</v>
      </c>
      <c r="E649" s="11">
        <v>6.0000000000000001E-3</v>
      </c>
      <c r="F649" s="7" t="s">
        <v>179</v>
      </c>
      <c r="G649" s="9">
        <v>1260</v>
      </c>
      <c r="H649" s="9">
        <f t="shared" si="20"/>
        <v>7.5600000000000005</v>
      </c>
      <c r="I649" t="s">
        <v>253</v>
      </c>
      <c r="J649" s="33">
        <v>0</v>
      </c>
      <c r="K649" s="18">
        <f>VLOOKUP(D649,Ingredients!C:G,5,0)</f>
        <v>1280</v>
      </c>
      <c r="L649" s="52">
        <f t="shared" si="21"/>
        <v>7.68</v>
      </c>
    </row>
    <row r="650" spans="1:12">
      <c r="A650" t="s">
        <v>206</v>
      </c>
      <c r="B650" t="s">
        <v>355</v>
      </c>
      <c r="C650" t="s">
        <v>523</v>
      </c>
      <c r="D650" s="3" t="s">
        <v>853</v>
      </c>
      <c r="E650" s="11">
        <v>4.7999999999999996E-3</v>
      </c>
      <c r="F650" s="7" t="s">
        <v>179</v>
      </c>
      <c r="G650" s="9">
        <v>30</v>
      </c>
      <c r="H650" s="9">
        <f t="shared" si="20"/>
        <v>0.14399999999999999</v>
      </c>
      <c r="I650" t="s">
        <v>253</v>
      </c>
      <c r="J650" s="33">
        <v>0</v>
      </c>
      <c r="K650" s="18">
        <f>VLOOKUP(D650,Ingredients!C:G,5,0)</f>
        <v>55</v>
      </c>
      <c r="L650" s="52">
        <f t="shared" si="21"/>
        <v>0.26399999999999996</v>
      </c>
    </row>
    <row r="651" spans="1:12">
      <c r="A651" t="s">
        <v>206</v>
      </c>
      <c r="B651" t="s">
        <v>355</v>
      </c>
      <c r="C651" t="s">
        <v>523</v>
      </c>
      <c r="D651" s="3" t="s">
        <v>832</v>
      </c>
      <c r="E651" s="11">
        <v>1.4399999999999999E-3</v>
      </c>
      <c r="F651" s="7" t="s">
        <v>179</v>
      </c>
      <c r="G651" s="9">
        <v>128</v>
      </c>
      <c r="H651" s="9">
        <f t="shared" si="20"/>
        <v>0.18431999999999998</v>
      </c>
      <c r="I651" t="s">
        <v>253</v>
      </c>
      <c r="J651" s="33">
        <v>0</v>
      </c>
      <c r="K651" s="18">
        <f>VLOOKUP(D651,Ingredients!C:G,5,0)</f>
        <v>131.19999999999999</v>
      </c>
      <c r="L651" s="52">
        <f t="shared" si="21"/>
        <v>0.18892799999999996</v>
      </c>
    </row>
    <row r="652" spans="1:12">
      <c r="A652" t="s">
        <v>206</v>
      </c>
      <c r="B652" t="s">
        <v>355</v>
      </c>
      <c r="C652" t="s">
        <v>523</v>
      </c>
      <c r="D652" s="3" t="s">
        <v>905</v>
      </c>
      <c r="E652" s="11">
        <v>2.3999999999999998E-4</v>
      </c>
      <c r="F652" s="7" t="s">
        <v>179</v>
      </c>
      <c r="G652" s="9">
        <v>912.5</v>
      </c>
      <c r="H652" s="9">
        <f t="shared" si="20"/>
        <v>0.21899999999999997</v>
      </c>
      <c r="I652" t="s">
        <v>253</v>
      </c>
      <c r="J652" s="33">
        <v>0</v>
      </c>
      <c r="K652" s="18">
        <f>VLOOKUP(D652,Ingredients!C:G,5,0)</f>
        <v>1600</v>
      </c>
      <c r="L652" s="52">
        <f t="shared" si="21"/>
        <v>0.38399999999999995</v>
      </c>
    </row>
    <row r="653" spans="1:12">
      <c r="A653" t="s">
        <v>206</v>
      </c>
      <c r="B653" t="s">
        <v>355</v>
      </c>
      <c r="C653" t="s">
        <v>523</v>
      </c>
      <c r="D653" s="3" t="s">
        <v>852</v>
      </c>
      <c r="E653" s="11">
        <v>8.0000000000000002E-3</v>
      </c>
      <c r="F653" s="7" t="s">
        <v>181</v>
      </c>
      <c r="G653" s="9">
        <v>520.63</v>
      </c>
      <c r="H653" s="9">
        <f t="shared" si="20"/>
        <v>4.1650400000000003</v>
      </c>
      <c r="I653" t="s">
        <v>253</v>
      </c>
      <c r="J653" s="33">
        <v>0</v>
      </c>
      <c r="K653" s="18">
        <v>550</v>
      </c>
      <c r="L653" s="52">
        <f t="shared" si="21"/>
        <v>4.4000000000000004</v>
      </c>
    </row>
    <row r="654" spans="1:12">
      <c r="A654" t="s">
        <v>206</v>
      </c>
      <c r="B654" t="s">
        <v>355</v>
      </c>
      <c r="C654" t="s">
        <v>523</v>
      </c>
      <c r="D654" s="3" t="s">
        <v>73</v>
      </c>
      <c r="E654" s="11">
        <v>4.8000000000000001E-2</v>
      </c>
      <c r="F654" s="7" t="s">
        <v>179</v>
      </c>
      <c r="G654" s="9">
        <v>305</v>
      </c>
      <c r="H654" s="9">
        <f t="shared" si="20"/>
        <v>14.64</v>
      </c>
      <c r="I654" t="s">
        <v>253</v>
      </c>
      <c r="J654" s="33">
        <v>0</v>
      </c>
      <c r="K654" s="18">
        <f>VLOOKUP(D654,Ingredients!C:G,5,0)</f>
        <v>300</v>
      </c>
      <c r="L654" s="52">
        <f t="shared" si="21"/>
        <v>14.4</v>
      </c>
    </row>
    <row r="655" spans="1:12">
      <c r="A655" t="s">
        <v>209</v>
      </c>
      <c r="B655" t="s">
        <v>355</v>
      </c>
      <c r="C655" t="s">
        <v>523</v>
      </c>
      <c r="D655" s="3" t="s">
        <v>903</v>
      </c>
      <c r="E655" s="11">
        <v>0.14285714285714285</v>
      </c>
      <c r="F655" s="7" t="s">
        <v>179</v>
      </c>
      <c r="G655" s="9">
        <v>153.97999999999999</v>
      </c>
      <c r="H655" s="9">
        <f t="shared" si="20"/>
        <v>21.997142857142855</v>
      </c>
      <c r="I655" t="s">
        <v>253</v>
      </c>
      <c r="J655" s="33">
        <v>0</v>
      </c>
      <c r="K655" s="18">
        <f>VLOOKUP(D655,Ingredients!C:G,5,0)</f>
        <v>152</v>
      </c>
      <c r="L655" s="52">
        <f t="shared" si="21"/>
        <v>21.714285714285712</v>
      </c>
    </row>
    <row r="656" spans="1:12">
      <c r="A656" t="s">
        <v>209</v>
      </c>
      <c r="B656" t="s">
        <v>355</v>
      </c>
      <c r="C656" t="s">
        <v>523</v>
      </c>
      <c r="D656" s="3" t="s">
        <v>904</v>
      </c>
      <c r="E656" s="11">
        <v>4.2857142857142859E-3</v>
      </c>
      <c r="F656" s="7" t="s">
        <v>179</v>
      </c>
      <c r="G656" s="9">
        <v>1260</v>
      </c>
      <c r="H656" s="9">
        <f t="shared" si="20"/>
        <v>5.4</v>
      </c>
      <c r="I656" t="s">
        <v>253</v>
      </c>
      <c r="J656" s="33">
        <v>0</v>
      </c>
      <c r="K656" s="18">
        <f>VLOOKUP(D656,Ingredients!C:G,5,0)</f>
        <v>1280</v>
      </c>
      <c r="L656" s="52">
        <f t="shared" si="21"/>
        <v>5.4857142857142858</v>
      </c>
    </row>
    <row r="657" spans="1:12">
      <c r="A657" t="s">
        <v>209</v>
      </c>
      <c r="B657" t="s">
        <v>355</v>
      </c>
      <c r="C657" t="s">
        <v>523</v>
      </c>
      <c r="D657" s="3" t="s">
        <v>853</v>
      </c>
      <c r="E657" s="11">
        <v>3.4285714285714284E-3</v>
      </c>
      <c r="F657" s="7" t="s">
        <v>179</v>
      </c>
      <c r="G657" s="9">
        <v>30</v>
      </c>
      <c r="H657" s="9">
        <f t="shared" si="20"/>
        <v>0.10285714285714286</v>
      </c>
      <c r="I657" t="s">
        <v>253</v>
      </c>
      <c r="J657" s="33">
        <v>0</v>
      </c>
      <c r="K657" s="18">
        <f>VLOOKUP(D657,Ingredients!C:G,5,0)</f>
        <v>55</v>
      </c>
      <c r="L657" s="52">
        <f t="shared" si="21"/>
        <v>0.18857142857142856</v>
      </c>
    </row>
    <row r="658" spans="1:12">
      <c r="A658" t="s">
        <v>209</v>
      </c>
      <c r="B658" t="s">
        <v>355</v>
      </c>
      <c r="C658" t="s">
        <v>523</v>
      </c>
      <c r="D658" s="3" t="s">
        <v>832</v>
      </c>
      <c r="E658" s="11">
        <v>1.0285714285714286E-3</v>
      </c>
      <c r="F658" s="7" t="s">
        <v>179</v>
      </c>
      <c r="G658" s="9">
        <v>128</v>
      </c>
      <c r="H658" s="9">
        <f t="shared" si="20"/>
        <v>0.13165714285714286</v>
      </c>
      <c r="I658" t="s">
        <v>253</v>
      </c>
      <c r="J658" s="33">
        <v>0</v>
      </c>
      <c r="K658" s="18">
        <f>VLOOKUP(D658,Ingredients!C:G,5,0)</f>
        <v>131.19999999999999</v>
      </c>
      <c r="L658" s="52">
        <f t="shared" si="21"/>
        <v>0.13494857142857142</v>
      </c>
    </row>
    <row r="659" spans="1:12">
      <c r="A659" t="s">
        <v>209</v>
      </c>
      <c r="B659" t="s">
        <v>355</v>
      </c>
      <c r="C659" t="s">
        <v>523</v>
      </c>
      <c r="D659" s="3" t="s">
        <v>905</v>
      </c>
      <c r="E659" s="11">
        <v>1.7142857142857143E-4</v>
      </c>
      <c r="F659" s="7" t="s">
        <v>179</v>
      </c>
      <c r="G659" s="9">
        <v>912.5</v>
      </c>
      <c r="H659" s="9">
        <f t="shared" si="20"/>
        <v>0.15642857142857142</v>
      </c>
      <c r="I659" t="s">
        <v>253</v>
      </c>
      <c r="J659" s="33">
        <v>0</v>
      </c>
      <c r="K659" s="18">
        <f>VLOOKUP(D659,Ingredients!C:G,5,0)</f>
        <v>1600</v>
      </c>
      <c r="L659" s="52">
        <f t="shared" si="21"/>
        <v>0.2742857142857143</v>
      </c>
    </row>
    <row r="660" spans="1:12">
      <c r="A660" t="s">
        <v>209</v>
      </c>
      <c r="B660" t="s">
        <v>355</v>
      </c>
      <c r="C660" t="s">
        <v>523</v>
      </c>
      <c r="D660" s="3" t="s">
        <v>852</v>
      </c>
      <c r="E660" s="11">
        <v>5.7142857142857143E-3</v>
      </c>
      <c r="F660" s="7" t="s">
        <v>181</v>
      </c>
      <c r="G660" s="9">
        <v>520.63</v>
      </c>
      <c r="H660" s="9">
        <f t="shared" si="20"/>
        <v>2.9750285714285716</v>
      </c>
      <c r="I660" t="s">
        <v>253</v>
      </c>
      <c r="J660" s="33">
        <v>0</v>
      </c>
      <c r="K660" s="18">
        <v>550</v>
      </c>
      <c r="L660" s="52">
        <f t="shared" si="21"/>
        <v>3.1428571428571428</v>
      </c>
    </row>
    <row r="661" spans="1:12">
      <c r="A661" t="s">
        <v>209</v>
      </c>
      <c r="B661" t="s">
        <v>355</v>
      </c>
      <c r="C661" t="s">
        <v>523</v>
      </c>
      <c r="D661" s="3" t="s">
        <v>73</v>
      </c>
      <c r="E661" s="11">
        <v>3.4285714285714287E-2</v>
      </c>
      <c r="F661" s="7" t="s">
        <v>179</v>
      </c>
      <c r="G661" s="9">
        <v>305</v>
      </c>
      <c r="H661" s="9">
        <f t="shared" si="20"/>
        <v>10.457142857142857</v>
      </c>
      <c r="I661" t="s">
        <v>253</v>
      </c>
      <c r="J661" s="33">
        <v>0</v>
      </c>
      <c r="K661" s="18">
        <f>VLOOKUP(D661,Ingredients!C:G,5,0)</f>
        <v>300</v>
      </c>
      <c r="L661" s="52">
        <f t="shared" si="21"/>
        <v>10.285714285714286</v>
      </c>
    </row>
    <row r="662" spans="1:12">
      <c r="A662" t="s">
        <v>209</v>
      </c>
      <c r="B662" t="s">
        <v>355</v>
      </c>
      <c r="C662" t="s">
        <v>523</v>
      </c>
      <c r="D662" s="3" t="s">
        <v>854</v>
      </c>
      <c r="E662" s="11">
        <v>3.9085714285714288E-3</v>
      </c>
      <c r="F662" s="7" t="s">
        <v>179</v>
      </c>
      <c r="G662" s="9">
        <v>24.64</v>
      </c>
      <c r="H662" s="9">
        <f t="shared" si="20"/>
        <v>9.6307200000000009E-2</v>
      </c>
      <c r="I662" t="s">
        <v>253</v>
      </c>
      <c r="J662" s="33">
        <v>0</v>
      </c>
      <c r="K662" s="18">
        <f>VLOOKUP(D662,Ingredients!C:G,5,0)</f>
        <v>20.059999999999999</v>
      </c>
      <c r="L662" s="52">
        <f t="shared" si="21"/>
        <v>7.8405942857142863E-2</v>
      </c>
    </row>
    <row r="663" spans="1:12">
      <c r="A663" t="s">
        <v>210</v>
      </c>
      <c r="B663" t="s">
        <v>355</v>
      </c>
      <c r="C663" t="s">
        <v>281</v>
      </c>
      <c r="D663" s="3" t="s">
        <v>974</v>
      </c>
      <c r="E663" s="11">
        <v>5.6000000000000001E-2</v>
      </c>
      <c r="F663" s="7" t="s">
        <v>179</v>
      </c>
      <c r="G663" s="9">
        <v>152</v>
      </c>
      <c r="H663" s="9">
        <f t="shared" si="20"/>
        <v>8.5120000000000005</v>
      </c>
      <c r="I663" t="s">
        <v>253</v>
      </c>
      <c r="J663" s="33">
        <v>0</v>
      </c>
      <c r="K663" s="18">
        <f>VLOOKUP(D663,Ingredients!C:G,5,0)</f>
        <v>152</v>
      </c>
      <c r="L663" s="52">
        <f t="shared" si="21"/>
        <v>8.5120000000000005</v>
      </c>
    </row>
    <row r="664" spans="1:12">
      <c r="A664" t="s">
        <v>210</v>
      </c>
      <c r="B664" t="s">
        <v>355</v>
      </c>
      <c r="C664" t="s">
        <v>281</v>
      </c>
      <c r="D664" s="3" t="s">
        <v>853</v>
      </c>
      <c r="E664" s="11">
        <v>2.1052631578947368E-3</v>
      </c>
      <c r="F664" s="7" t="s">
        <v>179</v>
      </c>
      <c r="G664" s="9">
        <v>30</v>
      </c>
      <c r="H664" s="9">
        <f t="shared" si="20"/>
        <v>6.3157894736842107E-2</v>
      </c>
      <c r="I664" t="s">
        <v>253</v>
      </c>
      <c r="J664" s="33">
        <v>0</v>
      </c>
      <c r="K664" s="18">
        <f>VLOOKUP(D664,Ingredients!C:G,5,0)</f>
        <v>55</v>
      </c>
      <c r="L664" s="52">
        <f t="shared" si="21"/>
        <v>0.11578947368421053</v>
      </c>
    </row>
    <row r="665" spans="1:12">
      <c r="A665" t="s">
        <v>211</v>
      </c>
      <c r="B665" t="s">
        <v>356</v>
      </c>
      <c r="C665" t="s">
        <v>357</v>
      </c>
      <c r="D665" s="3" t="s">
        <v>866</v>
      </c>
      <c r="E665" s="11">
        <v>9.1666666666666667E-3</v>
      </c>
      <c r="F665" s="7" t="s">
        <v>181</v>
      </c>
      <c r="G665" s="9">
        <v>153.97999999999999</v>
      </c>
      <c r="H665" s="9">
        <f t="shared" si="20"/>
        <v>1.4114833333333332</v>
      </c>
      <c r="I665" t="s">
        <v>253</v>
      </c>
      <c r="J665" s="33">
        <v>0</v>
      </c>
      <c r="K665" s="18">
        <f>VLOOKUP(D665,Ingredients!C:G,5,0)</f>
        <v>142.13999999999999</v>
      </c>
      <c r="L665" s="52">
        <f t="shared" si="21"/>
        <v>1.3029499999999998</v>
      </c>
    </row>
    <row r="666" spans="1:12">
      <c r="A666" t="s">
        <v>211</v>
      </c>
      <c r="B666" t="s">
        <v>356</v>
      </c>
      <c r="C666" t="s">
        <v>357</v>
      </c>
      <c r="D666" s="3" t="s">
        <v>854</v>
      </c>
      <c r="E666" s="11">
        <v>1.9E-2</v>
      </c>
      <c r="F666" s="7" t="s">
        <v>179</v>
      </c>
      <c r="G666" s="9">
        <v>24.64</v>
      </c>
      <c r="H666" s="9">
        <f t="shared" si="20"/>
        <v>0.46816000000000002</v>
      </c>
      <c r="I666" t="s">
        <v>253</v>
      </c>
      <c r="J666" s="33">
        <v>0</v>
      </c>
      <c r="K666" s="18">
        <f>VLOOKUP(D666,Ingredients!C:G,5,0)</f>
        <v>20.059999999999999</v>
      </c>
      <c r="L666" s="52">
        <f t="shared" si="21"/>
        <v>0.38113999999999998</v>
      </c>
    </row>
    <row r="667" spans="1:12">
      <c r="A667" t="s">
        <v>211</v>
      </c>
      <c r="B667" t="s">
        <v>356</v>
      </c>
      <c r="C667" t="s">
        <v>357</v>
      </c>
      <c r="D667" s="3" t="s">
        <v>851</v>
      </c>
      <c r="E667" s="11">
        <v>8.3333333333333332E-3</v>
      </c>
      <c r="F667" s="13" t="s">
        <v>176</v>
      </c>
      <c r="G667" s="9">
        <v>177</v>
      </c>
      <c r="H667" s="9">
        <f t="shared" si="20"/>
        <v>1.4750000000000001</v>
      </c>
      <c r="I667" t="s">
        <v>253</v>
      </c>
      <c r="J667" s="33">
        <v>0</v>
      </c>
      <c r="K667" s="18">
        <f>VLOOKUP(D667,Ingredients!C:G,5,0)</f>
        <v>920</v>
      </c>
      <c r="L667" s="52">
        <f t="shared" si="21"/>
        <v>7.666666666666667</v>
      </c>
    </row>
    <row r="668" spans="1:12">
      <c r="A668" t="s">
        <v>211</v>
      </c>
      <c r="B668" t="s">
        <v>356</v>
      </c>
      <c r="C668" t="s">
        <v>357</v>
      </c>
      <c r="D668" s="3" t="s">
        <v>906</v>
      </c>
      <c r="E668" s="11">
        <v>3.3333333333333335E-3</v>
      </c>
      <c r="F668" s="7" t="s">
        <v>179</v>
      </c>
      <c r="G668" s="9">
        <v>700</v>
      </c>
      <c r="H668" s="9">
        <f t="shared" si="20"/>
        <v>2.3333333333333335</v>
      </c>
      <c r="I668" t="s">
        <v>253</v>
      </c>
      <c r="J668" s="33">
        <v>0</v>
      </c>
      <c r="K668" s="18">
        <f>VLOOKUP(D668,Ingredients!C:G,5,0)</f>
        <v>750</v>
      </c>
      <c r="L668" s="52">
        <f t="shared" si="21"/>
        <v>2.5</v>
      </c>
    </row>
    <row r="669" spans="1:12">
      <c r="A669" t="s">
        <v>211</v>
      </c>
      <c r="B669" t="s">
        <v>356</v>
      </c>
      <c r="C669" t="s">
        <v>357</v>
      </c>
      <c r="D669" s="3" t="s">
        <v>830</v>
      </c>
      <c r="E669" s="11">
        <v>8.3333333333333332E-3</v>
      </c>
      <c r="F669" s="7" t="s">
        <v>179</v>
      </c>
      <c r="G669" s="9">
        <v>149</v>
      </c>
      <c r="H669" s="9">
        <f t="shared" si="20"/>
        <v>1.2416666666666667</v>
      </c>
      <c r="I669" t="s">
        <v>253</v>
      </c>
      <c r="J669" s="33">
        <v>0</v>
      </c>
      <c r="K669" s="18">
        <f>VLOOKUP(D669,Ingredients!C:G,5,0)</f>
        <v>123</v>
      </c>
      <c r="L669" s="52">
        <f t="shared" si="21"/>
        <v>1.0249999999999999</v>
      </c>
    </row>
    <row r="670" spans="1:12">
      <c r="A670" t="s">
        <v>211</v>
      </c>
      <c r="B670" t="s">
        <v>356</v>
      </c>
      <c r="C670" t="s">
        <v>357</v>
      </c>
      <c r="D670" s="3" t="s">
        <v>907</v>
      </c>
      <c r="E670" s="11">
        <v>3.3333333333333335E-3</v>
      </c>
      <c r="F670" s="7" t="s">
        <v>179</v>
      </c>
      <c r="G670" s="9">
        <v>485</v>
      </c>
      <c r="H670" s="9">
        <f t="shared" si="20"/>
        <v>1.6166666666666667</v>
      </c>
      <c r="I670" t="s">
        <v>253</v>
      </c>
      <c r="J670" s="33">
        <v>0</v>
      </c>
      <c r="K670" s="18">
        <f>VLOOKUP(D670,Ingredients!C:G,5,0)</f>
        <v>550</v>
      </c>
      <c r="L670" s="52">
        <f t="shared" si="21"/>
        <v>1.8333333333333335</v>
      </c>
    </row>
    <row r="671" spans="1:12">
      <c r="A671" t="s">
        <v>214</v>
      </c>
      <c r="B671" t="s">
        <v>348</v>
      </c>
      <c r="C671" t="s">
        <v>354</v>
      </c>
      <c r="D671" s="3" t="s">
        <v>866</v>
      </c>
      <c r="E671" s="11">
        <v>6.6666666666666671E-3</v>
      </c>
      <c r="F671" s="7" t="s">
        <v>179</v>
      </c>
      <c r="G671" s="9">
        <v>153.97999999999999</v>
      </c>
      <c r="H671" s="9">
        <f t="shared" si="20"/>
        <v>1.0265333333333333</v>
      </c>
      <c r="I671" t="s">
        <v>253</v>
      </c>
      <c r="J671" s="33">
        <v>0</v>
      </c>
      <c r="K671" s="18">
        <f>VLOOKUP(D671,Ingredients!C:G,5,0)</f>
        <v>142.13999999999999</v>
      </c>
      <c r="L671" s="52">
        <f t="shared" si="21"/>
        <v>0.9476</v>
      </c>
    </row>
    <row r="672" spans="1:12">
      <c r="A672" t="s">
        <v>214</v>
      </c>
      <c r="B672" t="s">
        <v>348</v>
      </c>
      <c r="C672" t="s">
        <v>354</v>
      </c>
      <c r="D672" s="3" t="s">
        <v>865</v>
      </c>
      <c r="E672" s="11">
        <v>2E-3</v>
      </c>
      <c r="F672" s="7" t="s">
        <v>179</v>
      </c>
      <c r="G672" s="9">
        <v>1400</v>
      </c>
      <c r="H672" s="9">
        <f t="shared" si="20"/>
        <v>2.8000000000000003</v>
      </c>
      <c r="I672" t="s">
        <v>253</v>
      </c>
      <c r="J672" s="33">
        <v>0</v>
      </c>
      <c r="K672" s="18">
        <f>VLOOKUP(D672,Ingredients!C:G,5,0)</f>
        <v>1400</v>
      </c>
      <c r="L672" s="52">
        <f t="shared" si="21"/>
        <v>2.8000000000000003</v>
      </c>
    </row>
    <row r="673" spans="1:12">
      <c r="A673" t="s">
        <v>214</v>
      </c>
      <c r="B673" t="s">
        <v>348</v>
      </c>
      <c r="C673" t="s">
        <v>354</v>
      </c>
      <c r="D673" s="3" t="s">
        <v>905</v>
      </c>
      <c r="E673" s="11">
        <v>3.3333333333333335E-5</v>
      </c>
      <c r="F673" s="7" t="s">
        <v>179</v>
      </c>
      <c r="G673" s="9">
        <v>912.5</v>
      </c>
      <c r="H673" s="9">
        <f t="shared" si="20"/>
        <v>3.0416666666666668E-2</v>
      </c>
      <c r="I673" t="s">
        <v>253</v>
      </c>
      <c r="J673" s="33">
        <v>0</v>
      </c>
      <c r="K673" s="18">
        <f>VLOOKUP(D673,Ingredients!C:G,5,0)</f>
        <v>1600</v>
      </c>
      <c r="L673" s="52">
        <f t="shared" si="21"/>
        <v>5.3333333333333337E-2</v>
      </c>
    </row>
    <row r="674" spans="1:12">
      <c r="A674" t="s">
        <v>214</v>
      </c>
      <c r="B674" t="s">
        <v>348</v>
      </c>
      <c r="C674" t="s">
        <v>354</v>
      </c>
      <c r="D674" s="3" t="s">
        <v>902</v>
      </c>
      <c r="E674" s="11">
        <v>6.6666666666666675E-4</v>
      </c>
      <c r="F674" s="7" t="s">
        <v>179</v>
      </c>
      <c r="G674" s="9">
        <v>662.5</v>
      </c>
      <c r="H674" s="9">
        <f t="shared" si="20"/>
        <v>0.44166666666666671</v>
      </c>
      <c r="I674" t="s">
        <v>253</v>
      </c>
      <c r="J674" s="33">
        <v>0</v>
      </c>
      <c r="K674" s="18">
        <f>VLOOKUP(D674,Ingredients!C:G,5,0)</f>
        <v>700</v>
      </c>
      <c r="L674" s="52">
        <f t="shared" si="21"/>
        <v>0.46666666666666673</v>
      </c>
    </row>
    <row r="675" spans="1:12">
      <c r="A675" t="s">
        <v>215</v>
      </c>
      <c r="B675" t="s">
        <v>356</v>
      </c>
      <c r="C675" t="s">
        <v>357</v>
      </c>
      <c r="D675" s="3" t="s">
        <v>865</v>
      </c>
      <c r="E675" s="11">
        <v>0.33333333333333331</v>
      </c>
      <c r="F675" s="7" t="s">
        <v>179</v>
      </c>
      <c r="G675" s="9">
        <v>1400</v>
      </c>
      <c r="H675" s="9">
        <f t="shared" si="20"/>
        <v>466.66666666666663</v>
      </c>
      <c r="I675" t="s">
        <v>253</v>
      </c>
      <c r="J675" s="33">
        <v>0</v>
      </c>
      <c r="K675" s="18">
        <f>VLOOKUP(D675,Ingredients!C:G,5,0)</f>
        <v>1400</v>
      </c>
      <c r="L675" s="52">
        <f t="shared" si="21"/>
        <v>466.66666666666663</v>
      </c>
    </row>
    <row r="676" spans="1:12">
      <c r="A676" t="s">
        <v>215</v>
      </c>
      <c r="B676" t="s">
        <v>356</v>
      </c>
      <c r="C676" t="s">
        <v>357</v>
      </c>
      <c r="D676" s="3" t="s">
        <v>866</v>
      </c>
      <c r="E676" s="11">
        <v>0.33333333333333331</v>
      </c>
      <c r="F676" s="7" t="s">
        <v>179</v>
      </c>
      <c r="G676" s="9">
        <v>153.97999999999999</v>
      </c>
      <c r="H676" s="9">
        <f t="shared" si="20"/>
        <v>51.326666666666661</v>
      </c>
      <c r="I676" t="s">
        <v>253</v>
      </c>
      <c r="J676" s="33">
        <v>0</v>
      </c>
      <c r="K676" s="18">
        <f>VLOOKUP(D676,Ingredients!C:G,5,0)</f>
        <v>142.13999999999999</v>
      </c>
      <c r="L676" s="52">
        <f t="shared" si="21"/>
        <v>47.379999999999995</v>
      </c>
    </row>
    <row r="677" spans="1:12">
      <c r="A677" t="s">
        <v>215</v>
      </c>
      <c r="B677" t="s">
        <v>356</v>
      </c>
      <c r="C677" t="s">
        <v>357</v>
      </c>
      <c r="D677" s="3" t="s">
        <v>854</v>
      </c>
      <c r="E677" s="11">
        <v>0.45600000000000002</v>
      </c>
      <c r="F677" s="7" t="s">
        <v>179</v>
      </c>
      <c r="G677" s="9">
        <v>24.64</v>
      </c>
      <c r="H677" s="9">
        <f t="shared" si="20"/>
        <v>11.235840000000001</v>
      </c>
      <c r="I677" t="s">
        <v>253</v>
      </c>
      <c r="J677" s="33">
        <v>0</v>
      </c>
      <c r="K677" s="18">
        <f>VLOOKUP(D677,Ingredients!C:G,5,0)</f>
        <v>20.059999999999999</v>
      </c>
      <c r="L677" s="52">
        <f t="shared" si="21"/>
        <v>9.147359999999999</v>
      </c>
    </row>
    <row r="678" spans="1:12">
      <c r="A678" t="s">
        <v>215</v>
      </c>
      <c r="B678" t="s">
        <v>356</v>
      </c>
      <c r="C678" t="s">
        <v>357</v>
      </c>
      <c r="D678" s="3" t="s">
        <v>908</v>
      </c>
      <c r="E678" s="11">
        <v>6.6666666666666666E-2</v>
      </c>
      <c r="F678" s="7" t="s">
        <v>179</v>
      </c>
      <c r="G678" s="9">
        <v>200</v>
      </c>
      <c r="H678" s="9">
        <f t="shared" si="20"/>
        <v>13.333333333333334</v>
      </c>
      <c r="I678" t="s">
        <v>253</v>
      </c>
      <c r="J678" s="33">
        <v>0</v>
      </c>
      <c r="K678" s="18">
        <f>VLOOKUP(D678,Ingredients!C:G,5,0)</f>
        <v>180</v>
      </c>
      <c r="L678" s="52">
        <f t="shared" si="21"/>
        <v>12</v>
      </c>
    </row>
    <row r="679" spans="1:12">
      <c r="A679" s="37" t="s">
        <v>217</v>
      </c>
      <c r="B679" s="37" t="s">
        <v>356</v>
      </c>
      <c r="C679" s="37" t="s">
        <v>357</v>
      </c>
      <c r="D679" s="38" t="s">
        <v>851</v>
      </c>
      <c r="E679" s="39">
        <v>0.4</v>
      </c>
      <c r="F679" s="40" t="s">
        <v>176</v>
      </c>
      <c r="G679" s="9">
        <v>177</v>
      </c>
      <c r="H679" s="41">
        <f t="shared" si="20"/>
        <v>70.8</v>
      </c>
      <c r="I679" s="37" t="s">
        <v>463</v>
      </c>
      <c r="J679" s="33">
        <v>0</v>
      </c>
      <c r="K679" s="18">
        <f>VLOOKUP(D679,Ingredients!C:G,5,0)</f>
        <v>920</v>
      </c>
      <c r="L679" s="52">
        <f t="shared" si="21"/>
        <v>368</v>
      </c>
    </row>
    <row r="680" spans="1:12">
      <c r="A680" s="37" t="s">
        <v>217</v>
      </c>
      <c r="B680" s="37" t="s">
        <v>356</v>
      </c>
      <c r="C680" s="37" t="s">
        <v>357</v>
      </c>
      <c r="D680" s="38" t="s">
        <v>909</v>
      </c>
      <c r="E680" s="39">
        <v>0.1</v>
      </c>
      <c r="F680" s="42" t="s">
        <v>179</v>
      </c>
      <c r="G680" s="9">
        <v>550</v>
      </c>
      <c r="H680" s="41">
        <f t="shared" si="20"/>
        <v>55</v>
      </c>
      <c r="I680" s="37" t="s">
        <v>463</v>
      </c>
      <c r="J680" s="33">
        <v>0</v>
      </c>
      <c r="K680" s="18">
        <f>VLOOKUP(D680,Ingredients!C:G,5,0)</f>
        <v>648.15</v>
      </c>
      <c r="L680" s="52">
        <f t="shared" si="21"/>
        <v>64.814999999999998</v>
      </c>
    </row>
    <row r="681" spans="1:12">
      <c r="A681" s="37" t="s">
        <v>217</v>
      </c>
      <c r="B681" s="37" t="s">
        <v>356</v>
      </c>
      <c r="C681" s="37" t="s">
        <v>357</v>
      </c>
      <c r="D681" s="38" t="s">
        <v>219</v>
      </c>
      <c r="E681" s="39">
        <v>0.2</v>
      </c>
      <c r="F681" s="40" t="s">
        <v>176</v>
      </c>
      <c r="G681" s="9">
        <v>2100</v>
      </c>
      <c r="H681" s="41">
        <f t="shared" si="20"/>
        <v>420</v>
      </c>
      <c r="I681" s="37" t="s">
        <v>463</v>
      </c>
      <c r="J681" s="33">
        <v>0</v>
      </c>
      <c r="K681" s="18">
        <f>VLOOKUP(D681,Ingredients!C:G,5,0)</f>
        <v>2100</v>
      </c>
      <c r="L681" s="52">
        <f t="shared" si="21"/>
        <v>420</v>
      </c>
    </row>
    <row r="682" spans="1:12">
      <c r="A682" s="37" t="s">
        <v>217</v>
      </c>
      <c r="B682" s="37" t="s">
        <v>356</v>
      </c>
      <c r="C682" s="37" t="s">
        <v>357</v>
      </c>
      <c r="D682" s="38" t="s">
        <v>910</v>
      </c>
      <c r="E682" s="39">
        <v>0.01</v>
      </c>
      <c r="F682" s="42" t="s">
        <v>179</v>
      </c>
      <c r="G682" s="9">
        <v>205</v>
      </c>
      <c r="H682" s="41">
        <f t="shared" si="20"/>
        <v>2.0499999999999998</v>
      </c>
      <c r="I682" s="37" t="s">
        <v>463</v>
      </c>
      <c r="J682" s="33">
        <v>0</v>
      </c>
      <c r="K682" s="18">
        <f>VLOOKUP(D682,Ingredients!C:G,5,0)</f>
        <v>1900</v>
      </c>
      <c r="L682" s="52">
        <f t="shared" si="21"/>
        <v>19</v>
      </c>
    </row>
    <row r="683" spans="1:12">
      <c r="A683" s="37" t="s">
        <v>217</v>
      </c>
      <c r="B683" s="37" t="s">
        <v>356</v>
      </c>
      <c r="C683" s="37" t="s">
        <v>357</v>
      </c>
      <c r="D683" s="38" t="s">
        <v>73</v>
      </c>
      <c r="E683" s="39">
        <v>0.02</v>
      </c>
      <c r="F683" s="42" t="s">
        <v>179</v>
      </c>
      <c r="G683" s="9">
        <v>305</v>
      </c>
      <c r="H683" s="41">
        <f t="shared" si="20"/>
        <v>6.1000000000000005</v>
      </c>
      <c r="I683" s="37" t="s">
        <v>463</v>
      </c>
      <c r="J683" s="33">
        <v>0</v>
      </c>
      <c r="K683" s="18">
        <f>VLOOKUP(D683,Ingredients!C:G,5,0)</f>
        <v>300</v>
      </c>
      <c r="L683" s="52">
        <f t="shared" si="21"/>
        <v>6</v>
      </c>
    </row>
    <row r="684" spans="1:12">
      <c r="A684" t="s">
        <v>221</v>
      </c>
      <c r="B684" t="s">
        <v>355</v>
      </c>
      <c r="C684" t="s">
        <v>221</v>
      </c>
      <c r="D684" s="3" t="s">
        <v>866</v>
      </c>
      <c r="E684" s="11">
        <v>4.1666666666666664E-2</v>
      </c>
      <c r="F684" s="7" t="s">
        <v>179</v>
      </c>
      <c r="G684" s="9">
        <v>153.97999999999999</v>
      </c>
      <c r="H684" s="9">
        <f t="shared" si="20"/>
        <v>6.4158333333333326</v>
      </c>
      <c r="I684" t="s">
        <v>557</v>
      </c>
      <c r="J684" s="33">
        <v>0</v>
      </c>
      <c r="K684" s="18">
        <f>VLOOKUP(D684,Ingredients!C:G,5,0)</f>
        <v>142.13999999999999</v>
      </c>
      <c r="L684" s="52">
        <f t="shared" si="21"/>
        <v>5.9224999999999994</v>
      </c>
    </row>
    <row r="685" spans="1:12">
      <c r="A685" t="s">
        <v>221</v>
      </c>
      <c r="B685" t="s">
        <v>355</v>
      </c>
      <c r="C685" t="s">
        <v>221</v>
      </c>
      <c r="D685" s="3" t="s">
        <v>830</v>
      </c>
      <c r="E685" s="11">
        <v>2.0833333333333333E-3</v>
      </c>
      <c r="F685" s="7" t="s">
        <v>179</v>
      </c>
      <c r="G685" s="9">
        <v>149</v>
      </c>
      <c r="H685" s="9">
        <f t="shared" si="20"/>
        <v>0.31041666666666667</v>
      </c>
      <c r="I685" t="s">
        <v>557</v>
      </c>
      <c r="J685" s="33">
        <v>0</v>
      </c>
      <c r="K685" s="18">
        <f>VLOOKUP(D685,Ingredients!C:G,5,0)</f>
        <v>123</v>
      </c>
      <c r="L685" s="52">
        <f t="shared" si="21"/>
        <v>0.25624999999999998</v>
      </c>
    </row>
    <row r="686" spans="1:12">
      <c r="A686" t="s">
        <v>221</v>
      </c>
      <c r="B686" t="s">
        <v>355</v>
      </c>
      <c r="C686" t="s">
        <v>221</v>
      </c>
      <c r="D686" s="3" t="s">
        <v>865</v>
      </c>
      <c r="E686" s="11">
        <v>2.0833333333333333E-3</v>
      </c>
      <c r="F686" s="7" t="s">
        <v>179</v>
      </c>
      <c r="G686" s="9">
        <v>1400</v>
      </c>
      <c r="H686" s="9">
        <f t="shared" si="20"/>
        <v>2.9166666666666665</v>
      </c>
      <c r="I686" t="s">
        <v>557</v>
      </c>
      <c r="J686" s="33">
        <v>0</v>
      </c>
      <c r="K686" s="18">
        <f>VLOOKUP(D686,Ingredients!C:G,5,0)</f>
        <v>1400</v>
      </c>
      <c r="L686" s="52">
        <f t="shared" si="21"/>
        <v>2.9166666666666665</v>
      </c>
    </row>
    <row r="687" spans="1:12">
      <c r="A687" t="s">
        <v>221</v>
      </c>
      <c r="B687" t="s">
        <v>355</v>
      </c>
      <c r="C687" t="s">
        <v>221</v>
      </c>
      <c r="D687" s="3" t="s">
        <v>905</v>
      </c>
      <c r="E687" s="11">
        <v>4.1666666666666669E-4</v>
      </c>
      <c r="F687" s="7" t="s">
        <v>179</v>
      </c>
      <c r="G687" s="9">
        <v>912.5</v>
      </c>
      <c r="H687" s="9">
        <f t="shared" si="20"/>
        <v>0.38020833333333337</v>
      </c>
      <c r="I687" t="s">
        <v>557</v>
      </c>
      <c r="J687" s="33">
        <v>0</v>
      </c>
      <c r="K687" s="18">
        <f>VLOOKUP(D687,Ingredients!C:G,5,0)</f>
        <v>1600</v>
      </c>
      <c r="L687" s="52">
        <f t="shared" si="21"/>
        <v>0.66666666666666674</v>
      </c>
    </row>
    <row r="688" spans="1:12">
      <c r="A688" t="s">
        <v>221</v>
      </c>
      <c r="B688" t="s">
        <v>355</v>
      </c>
      <c r="C688" t="s">
        <v>221</v>
      </c>
      <c r="D688" s="3" t="s">
        <v>222</v>
      </c>
      <c r="E688" s="11">
        <v>2.0833333333333335E-4</v>
      </c>
      <c r="F688" s="7" t="s">
        <v>179</v>
      </c>
      <c r="G688" s="9">
        <v>420</v>
      </c>
      <c r="H688" s="9">
        <f t="shared" si="20"/>
        <v>8.7500000000000008E-2</v>
      </c>
      <c r="I688" t="s">
        <v>557</v>
      </c>
      <c r="J688" s="33">
        <v>0</v>
      </c>
      <c r="K688" s="18">
        <f>VLOOKUP(D688,Ingredients!C:G,5,0)</f>
        <v>410</v>
      </c>
      <c r="L688" s="52">
        <f t="shared" si="21"/>
        <v>8.5416666666666669E-2</v>
      </c>
    </row>
    <row r="689" spans="1:12">
      <c r="A689" t="s">
        <v>221</v>
      </c>
      <c r="B689" t="s">
        <v>355</v>
      </c>
      <c r="C689" t="s">
        <v>221</v>
      </c>
      <c r="D689" s="3" t="s">
        <v>853</v>
      </c>
      <c r="E689" s="11">
        <v>8.3333333333333339E-4</v>
      </c>
      <c r="F689" s="7" t="s">
        <v>179</v>
      </c>
      <c r="G689" s="9">
        <v>30</v>
      </c>
      <c r="H689" s="9">
        <f t="shared" si="20"/>
        <v>2.5000000000000001E-2</v>
      </c>
      <c r="I689" t="s">
        <v>557</v>
      </c>
      <c r="J689" s="33">
        <v>0</v>
      </c>
      <c r="K689" s="18">
        <f>VLOOKUP(D689,Ingredients!C:G,5,0)</f>
        <v>55</v>
      </c>
      <c r="L689" s="52">
        <f t="shared" si="21"/>
        <v>4.5833333333333337E-2</v>
      </c>
    </row>
    <row r="690" spans="1:12">
      <c r="A690" s="37" t="s">
        <v>223</v>
      </c>
      <c r="B690" s="37" t="s">
        <v>356</v>
      </c>
      <c r="C690" s="37" t="s">
        <v>357</v>
      </c>
      <c r="D690" s="38" t="s">
        <v>865</v>
      </c>
      <c r="E690" s="39">
        <v>1</v>
      </c>
      <c r="F690" s="42" t="s">
        <v>179</v>
      </c>
      <c r="G690" s="9">
        <v>1400</v>
      </c>
      <c r="H690" s="41">
        <f t="shared" si="20"/>
        <v>1400</v>
      </c>
      <c r="I690" s="37" t="s">
        <v>517</v>
      </c>
      <c r="J690" s="33">
        <v>0</v>
      </c>
      <c r="K690" s="18">
        <f>VLOOKUP(D690,Ingredients!C:G,5,0)</f>
        <v>1400</v>
      </c>
      <c r="L690" s="52">
        <f t="shared" si="21"/>
        <v>1400</v>
      </c>
    </row>
    <row r="691" spans="1:12">
      <c r="A691" s="37" t="s">
        <v>223</v>
      </c>
      <c r="B691" s="37" t="s">
        <v>356</v>
      </c>
      <c r="C691" s="37" t="s">
        <v>357</v>
      </c>
      <c r="D691" s="38" t="s">
        <v>854</v>
      </c>
      <c r="E691" s="39">
        <v>0.68400000000000005</v>
      </c>
      <c r="F691" s="42" t="s">
        <v>179</v>
      </c>
      <c r="G691" s="9">
        <v>24.64</v>
      </c>
      <c r="H691" s="41">
        <f t="shared" si="20"/>
        <v>16.853760000000001</v>
      </c>
      <c r="I691" s="37" t="s">
        <v>517</v>
      </c>
      <c r="J691" s="33">
        <v>0</v>
      </c>
      <c r="K691" s="18">
        <f>VLOOKUP(D691,Ingredients!C:G,5,0)</f>
        <v>20.059999999999999</v>
      </c>
      <c r="L691" s="52">
        <f t="shared" si="21"/>
        <v>13.72104</v>
      </c>
    </row>
    <row r="692" spans="1:12">
      <c r="A692" s="37" t="s">
        <v>223</v>
      </c>
      <c r="B692" s="37" t="s">
        <v>356</v>
      </c>
      <c r="C692" s="37" t="s">
        <v>357</v>
      </c>
      <c r="D692" s="38" t="s">
        <v>866</v>
      </c>
      <c r="E692" s="39">
        <v>1</v>
      </c>
      <c r="F692" s="42" t="s">
        <v>179</v>
      </c>
      <c r="G692" s="9">
        <v>153.97999999999999</v>
      </c>
      <c r="H692" s="41">
        <f t="shared" si="20"/>
        <v>153.97999999999999</v>
      </c>
      <c r="I692" s="37" t="s">
        <v>517</v>
      </c>
      <c r="J692" s="33">
        <v>0</v>
      </c>
      <c r="K692" s="18">
        <f>VLOOKUP(D692,Ingredients!C:G,5,0)</f>
        <v>142.13999999999999</v>
      </c>
      <c r="L692" s="52">
        <f t="shared" si="21"/>
        <v>142.13999999999999</v>
      </c>
    </row>
    <row r="693" spans="1:12">
      <c r="A693" s="37" t="s">
        <v>223</v>
      </c>
      <c r="B693" s="37" t="s">
        <v>356</v>
      </c>
      <c r="C693" s="37" t="s">
        <v>357</v>
      </c>
      <c r="D693" s="38" t="s">
        <v>857</v>
      </c>
      <c r="E693" s="39">
        <v>1</v>
      </c>
      <c r="F693" s="42" t="s">
        <v>179</v>
      </c>
      <c r="G693" s="9">
        <v>520</v>
      </c>
      <c r="H693" s="41">
        <f t="shared" si="20"/>
        <v>520</v>
      </c>
      <c r="I693" s="37" t="s">
        <v>517</v>
      </c>
      <c r="J693" s="33">
        <v>0</v>
      </c>
      <c r="K693" s="18">
        <f>VLOOKUP(D693,Ingredients!C:G,5,0)</f>
        <v>880</v>
      </c>
      <c r="L693" s="52">
        <f t="shared" si="21"/>
        <v>880</v>
      </c>
    </row>
    <row r="694" spans="1:12">
      <c r="A694" s="37" t="s">
        <v>223</v>
      </c>
      <c r="B694" s="37" t="s">
        <v>356</v>
      </c>
      <c r="C694" s="37" t="s">
        <v>357</v>
      </c>
      <c r="D694" s="38" t="s">
        <v>911</v>
      </c>
      <c r="E694" s="39">
        <v>0.3</v>
      </c>
      <c r="F694" s="42" t="s">
        <v>179</v>
      </c>
      <c r="G694" s="9">
        <v>154</v>
      </c>
      <c r="H694" s="41">
        <f t="shared" si="20"/>
        <v>46.199999999999996</v>
      </c>
      <c r="I694" s="37" t="s">
        <v>517</v>
      </c>
      <c r="J694" s="33">
        <v>0</v>
      </c>
      <c r="K694" s="18">
        <f>VLOOKUP(D694,Ingredients!C:G,5,0)</f>
        <v>144.19999999999999</v>
      </c>
      <c r="L694" s="52">
        <f t="shared" si="21"/>
        <v>43.26</v>
      </c>
    </row>
    <row r="695" spans="1:12">
      <c r="A695" s="37" t="s">
        <v>223</v>
      </c>
      <c r="B695" s="37" t="s">
        <v>356</v>
      </c>
      <c r="C695" s="37" t="s">
        <v>357</v>
      </c>
      <c r="D695" s="38" t="s">
        <v>830</v>
      </c>
      <c r="E695" s="39">
        <v>0.5</v>
      </c>
      <c r="F695" s="42" t="s">
        <v>179</v>
      </c>
      <c r="G695" s="9">
        <v>149</v>
      </c>
      <c r="H695" s="41">
        <f t="shared" si="20"/>
        <v>74.5</v>
      </c>
      <c r="I695" s="37" t="s">
        <v>517</v>
      </c>
      <c r="J695" s="33">
        <v>0</v>
      </c>
      <c r="K695" s="18">
        <f>VLOOKUP(D695,Ingredients!C:G,5,0)</f>
        <v>123</v>
      </c>
      <c r="L695" s="52">
        <f t="shared" si="21"/>
        <v>61.5</v>
      </c>
    </row>
    <row r="696" spans="1:12">
      <c r="A696" t="s">
        <v>225</v>
      </c>
      <c r="B696" t="s">
        <v>356</v>
      </c>
      <c r="C696" t="s">
        <v>357</v>
      </c>
      <c r="D696" s="3" t="s">
        <v>866</v>
      </c>
      <c r="E696" s="11">
        <v>1.4999999999999999E-2</v>
      </c>
      <c r="F696" s="7" t="s">
        <v>179</v>
      </c>
      <c r="G696" s="9">
        <v>153.97999999999999</v>
      </c>
      <c r="H696" s="9">
        <f t="shared" si="20"/>
        <v>2.3096999999999999</v>
      </c>
      <c r="I696" t="s">
        <v>253</v>
      </c>
      <c r="J696" s="33">
        <v>0</v>
      </c>
      <c r="K696" s="18">
        <f>VLOOKUP(D696,Ingredients!C:G,5,0)</f>
        <v>142.13999999999999</v>
      </c>
      <c r="L696" s="52">
        <f t="shared" si="21"/>
        <v>2.1320999999999999</v>
      </c>
    </row>
    <row r="697" spans="1:12">
      <c r="A697" t="s">
        <v>225</v>
      </c>
      <c r="B697" t="s">
        <v>356</v>
      </c>
      <c r="C697" t="s">
        <v>357</v>
      </c>
      <c r="D697" s="3" t="s">
        <v>830</v>
      </c>
      <c r="E697" s="11">
        <v>0.02</v>
      </c>
      <c r="F697" s="7" t="s">
        <v>179</v>
      </c>
      <c r="G697" s="9">
        <v>149</v>
      </c>
      <c r="H697" s="9">
        <f t="shared" ref="H697:H760" si="22">G697*E697</f>
        <v>2.98</v>
      </c>
      <c r="I697" t="s">
        <v>253</v>
      </c>
      <c r="J697" s="33">
        <v>0</v>
      </c>
      <c r="K697" s="18">
        <f>VLOOKUP(D697,Ingredients!C:G,5,0)</f>
        <v>123</v>
      </c>
      <c r="L697" s="52">
        <f t="shared" si="21"/>
        <v>2.46</v>
      </c>
    </row>
    <row r="698" spans="1:12">
      <c r="A698" t="s">
        <v>225</v>
      </c>
      <c r="B698" t="s">
        <v>356</v>
      </c>
      <c r="C698" t="s">
        <v>357</v>
      </c>
      <c r="D698" s="3" t="s">
        <v>73</v>
      </c>
      <c r="E698" s="11">
        <v>5.7499999999999999E-3</v>
      </c>
      <c r="F698" s="7" t="s">
        <v>179</v>
      </c>
      <c r="G698" s="9">
        <v>305</v>
      </c>
      <c r="H698" s="9">
        <f t="shared" si="22"/>
        <v>1.7537499999999999</v>
      </c>
      <c r="I698" t="s">
        <v>253</v>
      </c>
      <c r="J698" s="33">
        <v>0</v>
      </c>
      <c r="K698" s="18">
        <f>VLOOKUP(D698,Ingredients!C:G,5,0)</f>
        <v>300</v>
      </c>
      <c r="L698" s="52">
        <f t="shared" si="21"/>
        <v>1.7249999999999999</v>
      </c>
    </row>
    <row r="699" spans="1:12">
      <c r="A699" t="s">
        <v>225</v>
      </c>
      <c r="B699" t="s">
        <v>356</v>
      </c>
      <c r="C699" t="s">
        <v>357</v>
      </c>
      <c r="D699" s="3" t="s">
        <v>852</v>
      </c>
      <c r="E699" s="11">
        <v>1.0749999999999999E-2</v>
      </c>
      <c r="F699" s="7" t="s">
        <v>179</v>
      </c>
      <c r="G699" s="9">
        <v>520.63</v>
      </c>
      <c r="H699" s="9">
        <f t="shared" si="22"/>
        <v>5.5967724999999993</v>
      </c>
      <c r="I699" t="s">
        <v>253</v>
      </c>
      <c r="J699" s="33">
        <v>0</v>
      </c>
      <c r="K699" s="18">
        <v>550</v>
      </c>
      <c r="L699" s="52">
        <f t="shared" si="21"/>
        <v>5.9124999999999996</v>
      </c>
    </row>
    <row r="700" spans="1:12">
      <c r="A700" t="s">
        <v>225</v>
      </c>
      <c r="B700" t="s">
        <v>356</v>
      </c>
      <c r="C700" t="s">
        <v>357</v>
      </c>
      <c r="D700" s="3" t="s">
        <v>832</v>
      </c>
      <c r="E700" s="11">
        <v>8.7500000000000013E-4</v>
      </c>
      <c r="F700" s="7" t="s">
        <v>179</v>
      </c>
      <c r="G700" s="9">
        <v>128</v>
      </c>
      <c r="H700" s="9">
        <f t="shared" si="22"/>
        <v>0.11200000000000002</v>
      </c>
      <c r="I700" t="s">
        <v>253</v>
      </c>
      <c r="J700" s="33">
        <v>0</v>
      </c>
      <c r="K700" s="18">
        <f>VLOOKUP(D700,Ingredients!C:G,5,0)</f>
        <v>131.19999999999999</v>
      </c>
      <c r="L700" s="52">
        <f t="shared" si="21"/>
        <v>0.11480000000000001</v>
      </c>
    </row>
    <row r="701" spans="1:12">
      <c r="A701" t="s">
        <v>225</v>
      </c>
      <c r="B701" t="s">
        <v>356</v>
      </c>
      <c r="C701" t="s">
        <v>357</v>
      </c>
      <c r="D701" s="3" t="s">
        <v>854</v>
      </c>
      <c r="E701" s="11">
        <v>2.5000000000000001E-3</v>
      </c>
      <c r="F701" s="7" t="s">
        <v>179</v>
      </c>
      <c r="G701" s="9">
        <v>24.64</v>
      </c>
      <c r="H701" s="9">
        <f t="shared" si="22"/>
        <v>6.1600000000000002E-2</v>
      </c>
      <c r="I701" t="s">
        <v>253</v>
      </c>
      <c r="J701" s="33">
        <v>0</v>
      </c>
      <c r="K701" s="18">
        <f>VLOOKUP(D701,Ingredients!C:G,5,0)</f>
        <v>20.059999999999999</v>
      </c>
      <c r="L701" s="52">
        <f t="shared" si="21"/>
        <v>5.015E-2</v>
      </c>
    </row>
    <row r="702" spans="1:12">
      <c r="A702" t="s">
        <v>225</v>
      </c>
      <c r="B702" t="s">
        <v>356</v>
      </c>
      <c r="C702" t="s">
        <v>357</v>
      </c>
      <c r="D702" s="3" t="s">
        <v>912</v>
      </c>
      <c r="E702" s="11">
        <v>2.5000000000000001E-3</v>
      </c>
      <c r="F702" s="7" t="s">
        <v>179</v>
      </c>
      <c r="G702" s="9">
        <v>210</v>
      </c>
      <c r="H702" s="9">
        <f t="shared" si="22"/>
        <v>0.52500000000000002</v>
      </c>
      <c r="I702" t="s">
        <v>253</v>
      </c>
      <c r="J702" s="33">
        <v>0</v>
      </c>
      <c r="K702" s="18">
        <f>VLOOKUP(D702,Ingredients!C:G,5,0)</f>
        <v>1950</v>
      </c>
      <c r="L702" s="52">
        <f t="shared" si="21"/>
        <v>4.875</v>
      </c>
    </row>
    <row r="703" spans="1:12">
      <c r="A703" t="s">
        <v>225</v>
      </c>
      <c r="B703" t="s">
        <v>356</v>
      </c>
      <c r="C703" t="s">
        <v>357</v>
      </c>
      <c r="D703" s="3" t="s">
        <v>913</v>
      </c>
      <c r="E703" s="11">
        <v>5.7499999999999999E-3</v>
      </c>
      <c r="F703" s="7" t="s">
        <v>179</v>
      </c>
      <c r="G703" s="9">
        <v>229.16666666666666</v>
      </c>
      <c r="H703" s="9">
        <f t="shared" si="22"/>
        <v>1.3177083333333333</v>
      </c>
      <c r="I703" t="s">
        <v>253</v>
      </c>
      <c r="J703" s="33">
        <v>0</v>
      </c>
      <c r="K703" s="18">
        <f>VLOOKUP(D703,Ingredients!C:F,3,0)</f>
        <v>343.75</v>
      </c>
      <c r="L703" s="52">
        <f t="shared" si="21"/>
        <v>1.9765625</v>
      </c>
    </row>
    <row r="704" spans="1:12">
      <c r="A704" t="s">
        <v>227</v>
      </c>
      <c r="B704" t="s">
        <v>356</v>
      </c>
      <c r="C704" t="s">
        <v>356</v>
      </c>
      <c r="D704" s="3" t="s">
        <v>913</v>
      </c>
      <c r="E704" s="11">
        <v>1</v>
      </c>
      <c r="F704" s="7" t="s">
        <v>179</v>
      </c>
      <c r="G704" s="9">
        <v>229.16666666666666</v>
      </c>
      <c r="H704" s="9">
        <f t="shared" si="22"/>
        <v>229.16666666666666</v>
      </c>
      <c r="I704" t="s">
        <v>179</v>
      </c>
      <c r="J704" s="33">
        <v>0</v>
      </c>
      <c r="K704" s="18">
        <f>VLOOKUP(D704,Ingredients!C:F,3,0)</f>
        <v>343.75</v>
      </c>
      <c r="L704" s="52">
        <f t="shared" si="21"/>
        <v>343.75</v>
      </c>
    </row>
    <row r="705" spans="1:12">
      <c r="A705" t="s">
        <v>227</v>
      </c>
      <c r="B705" t="s">
        <v>356</v>
      </c>
      <c r="C705" t="s">
        <v>356</v>
      </c>
      <c r="D705" s="3" t="s">
        <v>854</v>
      </c>
      <c r="E705" s="11">
        <f>0.456/0.05</f>
        <v>9.1199999999999992</v>
      </c>
      <c r="F705" s="7" t="s">
        <v>179</v>
      </c>
      <c r="G705" s="9">
        <v>24.64</v>
      </c>
      <c r="H705" s="9">
        <f t="shared" si="22"/>
        <v>224.71679999999998</v>
      </c>
      <c r="I705" t="s">
        <v>179</v>
      </c>
      <c r="J705" s="33">
        <v>0</v>
      </c>
      <c r="K705" s="18">
        <f>VLOOKUP(D705,Ingredients!C:G,5,0)</f>
        <v>20.059999999999999</v>
      </c>
      <c r="L705" s="52">
        <f t="shared" si="21"/>
        <v>182.94719999999998</v>
      </c>
    </row>
    <row r="706" spans="1:12">
      <c r="A706" t="s">
        <v>227</v>
      </c>
      <c r="B706" t="s">
        <v>356</v>
      </c>
      <c r="C706" t="s">
        <v>356</v>
      </c>
      <c r="D706" s="3" t="s">
        <v>830</v>
      </c>
      <c r="E706" s="11">
        <v>0.3</v>
      </c>
      <c r="F706" s="7" t="s">
        <v>179</v>
      </c>
      <c r="G706" s="9">
        <v>149</v>
      </c>
      <c r="H706" s="9">
        <f t="shared" si="22"/>
        <v>44.699999999999996</v>
      </c>
      <c r="I706" t="s">
        <v>179</v>
      </c>
      <c r="J706" s="33">
        <v>0</v>
      </c>
      <c r="K706" s="18">
        <f>VLOOKUP(D706,Ingredients!C:G,5,0)</f>
        <v>123</v>
      </c>
      <c r="L706" s="52">
        <f t="shared" si="21"/>
        <v>36.9</v>
      </c>
    </row>
    <row r="707" spans="1:12">
      <c r="A707" t="s">
        <v>228</v>
      </c>
      <c r="B707" t="s">
        <v>356</v>
      </c>
      <c r="C707" t="s">
        <v>356</v>
      </c>
      <c r="D707" s="3" t="s">
        <v>913</v>
      </c>
      <c r="E707" s="11">
        <v>1</v>
      </c>
      <c r="F707" s="7" t="s">
        <v>179</v>
      </c>
      <c r="G707" s="9">
        <v>229.16666666666666</v>
      </c>
      <c r="H707" s="9">
        <f t="shared" si="22"/>
        <v>229.16666666666666</v>
      </c>
      <c r="I707" t="s">
        <v>179</v>
      </c>
      <c r="J707" s="33">
        <v>0</v>
      </c>
      <c r="K707" s="18">
        <f>VLOOKUP(D707,Ingredients!C:F,3,0)</f>
        <v>343.75</v>
      </c>
      <c r="L707" s="52">
        <f t="shared" si="21"/>
        <v>343.75</v>
      </c>
    </row>
    <row r="708" spans="1:12">
      <c r="A708" t="s">
        <v>228</v>
      </c>
      <c r="B708" t="s">
        <v>356</v>
      </c>
      <c r="C708" t="s">
        <v>356</v>
      </c>
      <c r="D708" s="3" t="s">
        <v>854</v>
      </c>
      <c r="E708" s="11">
        <f>0.456/0.05</f>
        <v>9.1199999999999992</v>
      </c>
      <c r="F708" s="7" t="s">
        <v>179</v>
      </c>
      <c r="G708" s="9">
        <v>24.64</v>
      </c>
      <c r="H708" s="9">
        <f t="shared" si="22"/>
        <v>224.71679999999998</v>
      </c>
      <c r="I708" t="s">
        <v>179</v>
      </c>
      <c r="J708" s="33">
        <v>0</v>
      </c>
      <c r="K708" s="18">
        <f>VLOOKUP(D708,Ingredients!C:G,5,0)</f>
        <v>20.059999999999999</v>
      </c>
      <c r="L708" s="52">
        <f t="shared" ref="L708:L771" si="23">K708*E708</f>
        <v>182.94719999999998</v>
      </c>
    </row>
    <row r="709" spans="1:12">
      <c r="A709" t="s">
        <v>228</v>
      </c>
      <c r="B709" t="s">
        <v>356</v>
      </c>
      <c r="C709" t="s">
        <v>356</v>
      </c>
      <c r="D709" s="3" t="s">
        <v>229</v>
      </c>
      <c r="E709" s="11">
        <v>0.2</v>
      </c>
      <c r="F709" s="7" t="s">
        <v>179</v>
      </c>
      <c r="G709" s="9">
        <v>470</v>
      </c>
      <c r="H709" s="9">
        <f t="shared" si="22"/>
        <v>94</v>
      </c>
      <c r="I709" t="s">
        <v>179</v>
      </c>
      <c r="J709" s="33">
        <v>0</v>
      </c>
      <c r="K709" s="18">
        <f>VLOOKUP(D709,Ingredients!C:G,5,0)</f>
        <v>357.42</v>
      </c>
      <c r="L709" s="52">
        <f t="shared" si="23"/>
        <v>71.484000000000009</v>
      </c>
    </row>
    <row r="710" spans="1:12">
      <c r="A710" t="s">
        <v>230</v>
      </c>
      <c r="B710" t="s">
        <v>356</v>
      </c>
      <c r="C710" t="s">
        <v>356</v>
      </c>
      <c r="D710" s="3" t="s">
        <v>851</v>
      </c>
      <c r="E710" s="11">
        <v>0.5</v>
      </c>
      <c r="F710" s="13" t="s">
        <v>176</v>
      </c>
      <c r="G710" s="9">
        <v>177</v>
      </c>
      <c r="H710" s="9">
        <f t="shared" si="22"/>
        <v>88.5</v>
      </c>
      <c r="I710" t="s">
        <v>190</v>
      </c>
      <c r="J710" s="33">
        <v>0</v>
      </c>
      <c r="K710" s="18">
        <f>VLOOKUP(D710,Ingredients!C:G,5,0)</f>
        <v>920</v>
      </c>
      <c r="L710" s="52">
        <f t="shared" si="23"/>
        <v>460</v>
      </c>
    </row>
    <row r="711" spans="1:12">
      <c r="A711" t="s">
        <v>230</v>
      </c>
      <c r="B711" t="s">
        <v>356</v>
      </c>
      <c r="C711" t="s">
        <v>356</v>
      </c>
      <c r="D711" s="3" t="s">
        <v>231</v>
      </c>
      <c r="E711" s="11">
        <v>0.25</v>
      </c>
      <c r="F711" s="7" t="s">
        <v>179</v>
      </c>
      <c r="G711" s="9">
        <v>700</v>
      </c>
      <c r="H711" s="9">
        <f t="shared" si="22"/>
        <v>175</v>
      </c>
      <c r="I711" t="s">
        <v>190</v>
      </c>
      <c r="J711" s="33">
        <v>0</v>
      </c>
      <c r="K711" s="18">
        <f>VLOOKUP(D711,Ingredients!C:G,5,0)</f>
        <v>715</v>
      </c>
      <c r="L711" s="52">
        <f t="shared" si="23"/>
        <v>178.75</v>
      </c>
    </row>
    <row r="712" spans="1:12">
      <c r="A712" t="s">
        <v>230</v>
      </c>
      <c r="B712" t="s">
        <v>356</v>
      </c>
      <c r="C712" t="s">
        <v>356</v>
      </c>
      <c r="D712" s="3" t="s">
        <v>910</v>
      </c>
      <c r="E712" s="11">
        <v>2.5000000000000001E-2</v>
      </c>
      <c r="F712" s="7" t="s">
        <v>179</v>
      </c>
      <c r="G712" s="9">
        <v>205</v>
      </c>
      <c r="H712" s="9">
        <f t="shared" si="22"/>
        <v>5.125</v>
      </c>
      <c r="I712" t="s">
        <v>190</v>
      </c>
      <c r="J712" s="33">
        <v>0</v>
      </c>
      <c r="K712" s="18">
        <f>VLOOKUP(D712,Ingredients!C:G,5,0)</f>
        <v>1900</v>
      </c>
      <c r="L712" s="52">
        <f t="shared" si="23"/>
        <v>47.5</v>
      </c>
    </row>
    <row r="713" spans="1:12">
      <c r="A713" t="s">
        <v>230</v>
      </c>
      <c r="B713" t="s">
        <v>356</v>
      </c>
      <c r="C713" t="s">
        <v>356</v>
      </c>
      <c r="D713" s="3" t="s">
        <v>912</v>
      </c>
      <c r="E713" s="11">
        <v>2.5000000000000001E-2</v>
      </c>
      <c r="F713" s="7" t="s">
        <v>179</v>
      </c>
      <c r="G713" s="9">
        <v>210</v>
      </c>
      <c r="H713" s="9">
        <f t="shared" si="22"/>
        <v>5.25</v>
      </c>
      <c r="I713" t="s">
        <v>190</v>
      </c>
      <c r="J713" s="33">
        <v>0</v>
      </c>
      <c r="K713" s="18">
        <f>VLOOKUP(D713,Ingredients!C:G,5,0)</f>
        <v>1950</v>
      </c>
      <c r="L713" s="52">
        <f t="shared" si="23"/>
        <v>48.75</v>
      </c>
    </row>
    <row r="714" spans="1:12">
      <c r="A714" t="s">
        <v>230</v>
      </c>
      <c r="B714" t="s">
        <v>356</v>
      </c>
      <c r="C714" t="s">
        <v>356</v>
      </c>
      <c r="D714" s="3" t="s">
        <v>913</v>
      </c>
      <c r="E714" s="11">
        <v>0.5</v>
      </c>
      <c r="F714" s="7" t="s">
        <v>181</v>
      </c>
      <c r="G714" s="9">
        <v>229.16666666666666</v>
      </c>
      <c r="H714" s="9">
        <f t="shared" si="22"/>
        <v>114.58333333333333</v>
      </c>
      <c r="I714" t="s">
        <v>190</v>
      </c>
      <c r="J714" s="33">
        <v>0</v>
      </c>
      <c r="K714" s="18">
        <f>VLOOKUP(D714,Ingredients!C:F,3,0)</f>
        <v>343.75</v>
      </c>
      <c r="L714" s="52">
        <f t="shared" si="23"/>
        <v>171.875</v>
      </c>
    </row>
    <row r="715" spans="1:12">
      <c r="A715" t="s">
        <v>230</v>
      </c>
      <c r="B715" t="s">
        <v>356</v>
      </c>
      <c r="C715" t="s">
        <v>356</v>
      </c>
      <c r="D715" s="3" t="s">
        <v>232</v>
      </c>
      <c r="E715" s="11">
        <v>2.5000000000000001E-3</v>
      </c>
      <c r="F715" s="7" t="s">
        <v>179</v>
      </c>
      <c r="G715" s="9">
        <v>3690</v>
      </c>
      <c r="H715" s="9">
        <f t="shared" si="22"/>
        <v>9.2249999999999996</v>
      </c>
      <c r="I715" t="s">
        <v>190</v>
      </c>
      <c r="J715" s="33">
        <v>0</v>
      </c>
      <c r="K715" s="18">
        <f>VLOOKUP(D715,Ingredients!C:G,5,0)</f>
        <v>4000</v>
      </c>
      <c r="L715" s="52">
        <f t="shared" si="23"/>
        <v>10</v>
      </c>
    </row>
    <row r="716" spans="1:12">
      <c r="A716" t="s">
        <v>230</v>
      </c>
      <c r="B716" t="s">
        <v>356</v>
      </c>
      <c r="C716" t="s">
        <v>356</v>
      </c>
      <c r="D716" s="3" t="s">
        <v>830</v>
      </c>
      <c r="E716" s="11">
        <v>2.5000000000000001E-2</v>
      </c>
      <c r="F716" s="7" t="s">
        <v>179</v>
      </c>
      <c r="G716" s="9">
        <v>149</v>
      </c>
      <c r="H716" s="9">
        <f t="shared" si="22"/>
        <v>3.7250000000000001</v>
      </c>
      <c r="I716" t="s">
        <v>190</v>
      </c>
      <c r="J716" s="33">
        <v>0</v>
      </c>
      <c r="K716" s="18">
        <f>VLOOKUP(D716,Ingredients!C:G,5,0)</f>
        <v>123</v>
      </c>
      <c r="L716" s="52">
        <f t="shared" si="23"/>
        <v>3.0750000000000002</v>
      </c>
    </row>
    <row r="717" spans="1:12">
      <c r="A717" t="s">
        <v>518</v>
      </c>
      <c r="B717" t="s">
        <v>356</v>
      </c>
      <c r="C717" t="s">
        <v>356</v>
      </c>
      <c r="D717" s="3" t="s">
        <v>913</v>
      </c>
      <c r="E717" s="11">
        <v>1</v>
      </c>
      <c r="F717" s="7" t="s">
        <v>179</v>
      </c>
      <c r="G717" s="9">
        <v>229.16666666666666</v>
      </c>
      <c r="H717" s="9">
        <f t="shared" si="22"/>
        <v>229.16666666666666</v>
      </c>
      <c r="I717" t="s">
        <v>190</v>
      </c>
      <c r="J717" s="33">
        <v>0</v>
      </c>
      <c r="K717" s="18">
        <f>VLOOKUP(D717,Ingredients!C:F,3,0)</f>
        <v>343.75</v>
      </c>
      <c r="L717" s="52">
        <f t="shared" si="23"/>
        <v>343.75</v>
      </c>
    </row>
    <row r="718" spans="1:12">
      <c r="A718" t="s">
        <v>518</v>
      </c>
      <c r="B718" t="s">
        <v>356</v>
      </c>
      <c r="C718" t="s">
        <v>356</v>
      </c>
      <c r="D718" s="3" t="s">
        <v>830</v>
      </c>
      <c r="E718" s="11">
        <v>0.1</v>
      </c>
      <c r="F718" s="7" t="s">
        <v>179</v>
      </c>
      <c r="G718" s="9">
        <v>149</v>
      </c>
      <c r="H718" s="9">
        <f t="shared" si="22"/>
        <v>14.9</v>
      </c>
      <c r="I718" t="s">
        <v>190</v>
      </c>
      <c r="J718" s="33">
        <v>0</v>
      </c>
      <c r="K718" s="18">
        <f>VLOOKUP(D718,Ingredients!C:G,5,0)</f>
        <v>123</v>
      </c>
      <c r="L718" s="52">
        <f t="shared" si="23"/>
        <v>12.3</v>
      </c>
    </row>
    <row r="719" spans="1:12">
      <c r="A719" t="s">
        <v>518</v>
      </c>
      <c r="B719" t="s">
        <v>356</v>
      </c>
      <c r="C719" t="s">
        <v>356</v>
      </c>
      <c r="D719" s="3" t="s">
        <v>914</v>
      </c>
      <c r="E719" s="11">
        <v>0.05</v>
      </c>
      <c r="F719" s="7" t="s">
        <v>179</v>
      </c>
      <c r="G719" s="9">
        <v>140</v>
      </c>
      <c r="H719" s="9">
        <f t="shared" si="22"/>
        <v>7</v>
      </c>
      <c r="I719" t="s">
        <v>190</v>
      </c>
      <c r="J719" s="33">
        <v>0</v>
      </c>
      <c r="K719" s="18">
        <f>VLOOKUP(D719,Ingredients!C:G,5,0)</f>
        <v>492</v>
      </c>
      <c r="L719" s="52">
        <f t="shared" si="23"/>
        <v>24.6</v>
      </c>
    </row>
    <row r="720" spans="1:12">
      <c r="A720" t="s">
        <v>518</v>
      </c>
      <c r="B720" t="s">
        <v>356</v>
      </c>
      <c r="C720" t="s">
        <v>356</v>
      </c>
      <c r="D720" s="3" t="s">
        <v>906</v>
      </c>
      <c r="E720" s="11">
        <v>0.3</v>
      </c>
      <c r="F720" s="7" t="s">
        <v>179</v>
      </c>
      <c r="G720" s="9">
        <v>700</v>
      </c>
      <c r="H720" s="9">
        <f t="shared" si="22"/>
        <v>210</v>
      </c>
      <c r="I720" t="s">
        <v>190</v>
      </c>
      <c r="J720" s="33">
        <v>0</v>
      </c>
      <c r="K720" s="18">
        <f>VLOOKUP(D720,Ingredients!C:G,5,0)</f>
        <v>750</v>
      </c>
      <c r="L720" s="52">
        <f t="shared" si="23"/>
        <v>225</v>
      </c>
    </row>
    <row r="721" spans="1:12">
      <c r="A721" t="s">
        <v>518</v>
      </c>
      <c r="B721" t="s">
        <v>356</v>
      </c>
      <c r="C721" t="s">
        <v>356</v>
      </c>
      <c r="D721" s="3" t="s">
        <v>146</v>
      </c>
      <c r="E721" s="11">
        <v>3</v>
      </c>
      <c r="F721" s="7" t="s">
        <v>253</v>
      </c>
      <c r="G721" s="9">
        <v>130</v>
      </c>
      <c r="H721" s="9">
        <f t="shared" si="22"/>
        <v>390</v>
      </c>
      <c r="I721" t="s">
        <v>190</v>
      </c>
      <c r="J721" s="33">
        <v>0</v>
      </c>
      <c r="K721" s="18">
        <f>VLOOKUP(D721,Ingredients!C:G,5,0)</f>
        <v>20</v>
      </c>
      <c r="L721" s="52">
        <f t="shared" si="23"/>
        <v>60</v>
      </c>
    </row>
    <row r="722" spans="1:12">
      <c r="A722" t="s">
        <v>234</v>
      </c>
      <c r="B722" t="s">
        <v>356</v>
      </c>
      <c r="C722" t="s">
        <v>356</v>
      </c>
      <c r="D722" s="3" t="s">
        <v>913</v>
      </c>
      <c r="E722" s="11">
        <v>1</v>
      </c>
      <c r="F722" s="7" t="s">
        <v>179</v>
      </c>
      <c r="G722" s="9">
        <v>229.16666666666666</v>
      </c>
      <c r="H722" s="9">
        <f t="shared" si="22"/>
        <v>229.16666666666666</v>
      </c>
      <c r="I722" t="s">
        <v>179</v>
      </c>
      <c r="J722" s="33">
        <v>0</v>
      </c>
      <c r="K722" s="18">
        <f>VLOOKUP(D722,Ingredients!C:F,3,0)</f>
        <v>343.75</v>
      </c>
      <c r="L722" s="52">
        <f t="shared" si="23"/>
        <v>343.75</v>
      </c>
    </row>
    <row r="723" spans="1:12">
      <c r="A723" t="s">
        <v>234</v>
      </c>
      <c r="B723" t="s">
        <v>356</v>
      </c>
      <c r="C723" t="s">
        <v>356</v>
      </c>
      <c r="D723" s="3" t="s">
        <v>884</v>
      </c>
      <c r="E723" s="11">
        <v>0.1</v>
      </c>
      <c r="F723" s="7" t="s">
        <v>179</v>
      </c>
      <c r="G723" s="9">
        <v>344</v>
      </c>
      <c r="H723" s="9">
        <f t="shared" si="22"/>
        <v>34.4</v>
      </c>
      <c r="I723" t="s">
        <v>179</v>
      </c>
      <c r="J723" s="33">
        <v>0</v>
      </c>
      <c r="K723" s="18">
        <f>VLOOKUP(D723,Ingredients!C:G,5,0)</f>
        <v>344</v>
      </c>
      <c r="L723" s="52">
        <f t="shared" si="23"/>
        <v>34.4</v>
      </c>
    </row>
    <row r="724" spans="1:12">
      <c r="A724" t="s">
        <v>234</v>
      </c>
      <c r="B724" t="s">
        <v>356</v>
      </c>
      <c r="C724" t="s">
        <v>356</v>
      </c>
      <c r="D724" s="3" t="s">
        <v>830</v>
      </c>
      <c r="E724" s="11">
        <v>0.1</v>
      </c>
      <c r="F724" s="7" t="s">
        <v>179</v>
      </c>
      <c r="G724" s="9">
        <v>149</v>
      </c>
      <c r="H724" s="9">
        <f t="shared" si="22"/>
        <v>14.9</v>
      </c>
      <c r="I724" t="s">
        <v>179</v>
      </c>
      <c r="J724" s="33">
        <v>0</v>
      </c>
      <c r="K724" s="18">
        <f>VLOOKUP(D724,Ingredients!C:G,5,0)</f>
        <v>123</v>
      </c>
      <c r="L724" s="52">
        <f t="shared" si="23"/>
        <v>12.3</v>
      </c>
    </row>
    <row r="725" spans="1:12">
      <c r="A725" t="s">
        <v>234</v>
      </c>
      <c r="B725" t="s">
        <v>356</v>
      </c>
      <c r="C725" t="s">
        <v>356</v>
      </c>
      <c r="D725" s="3" t="s">
        <v>851</v>
      </c>
      <c r="E725" s="11">
        <v>0.2</v>
      </c>
      <c r="F725" s="13" t="s">
        <v>176</v>
      </c>
      <c r="G725" s="9">
        <v>177</v>
      </c>
      <c r="H725" s="9">
        <f t="shared" si="22"/>
        <v>35.4</v>
      </c>
      <c r="I725" t="s">
        <v>179</v>
      </c>
      <c r="J725" s="33">
        <v>0</v>
      </c>
      <c r="K725" s="18">
        <f>VLOOKUP(D725,Ingredients!C:G,5,0)</f>
        <v>920</v>
      </c>
      <c r="L725" s="52">
        <f t="shared" si="23"/>
        <v>184</v>
      </c>
    </row>
    <row r="726" spans="1:12">
      <c r="A726" t="s">
        <v>234</v>
      </c>
      <c r="B726" t="s">
        <v>356</v>
      </c>
      <c r="C726" t="s">
        <v>356</v>
      </c>
      <c r="D726" s="3" t="s">
        <v>915</v>
      </c>
      <c r="E726" s="11">
        <v>0.01</v>
      </c>
      <c r="F726" s="7" t="s">
        <v>179</v>
      </c>
      <c r="G726" s="9">
        <v>5000</v>
      </c>
      <c r="H726" s="9">
        <f t="shared" si="22"/>
        <v>50</v>
      </c>
      <c r="I726" t="s">
        <v>179</v>
      </c>
      <c r="J726" s="33">
        <v>0</v>
      </c>
      <c r="K726" s="18">
        <f>VLOOKUP(D726,Ingredients!C:G,5,0)</f>
        <v>3200</v>
      </c>
      <c r="L726" s="52">
        <f t="shared" si="23"/>
        <v>32</v>
      </c>
    </row>
    <row r="727" spans="1:12">
      <c r="A727" t="s">
        <v>234</v>
      </c>
      <c r="B727" t="s">
        <v>356</v>
      </c>
      <c r="C727" t="s">
        <v>356</v>
      </c>
      <c r="D727" s="3" t="s">
        <v>916</v>
      </c>
      <c r="E727" s="11">
        <v>0.01</v>
      </c>
      <c r="F727" s="7" t="s">
        <v>179</v>
      </c>
      <c r="G727" s="9">
        <v>6500</v>
      </c>
      <c r="H727" s="9">
        <f t="shared" si="22"/>
        <v>65</v>
      </c>
      <c r="I727" t="s">
        <v>179</v>
      </c>
      <c r="J727" s="33">
        <v>0</v>
      </c>
      <c r="K727" s="18">
        <f>VLOOKUP(D727,Ingredients!C:G,5,0)</f>
        <v>6200</v>
      </c>
      <c r="L727" s="52">
        <f t="shared" si="23"/>
        <v>62</v>
      </c>
    </row>
    <row r="728" spans="1:12">
      <c r="A728" t="s">
        <v>234</v>
      </c>
      <c r="B728" t="s">
        <v>356</v>
      </c>
      <c r="C728" t="s">
        <v>356</v>
      </c>
      <c r="D728" s="3" t="s">
        <v>892</v>
      </c>
      <c r="E728" s="11">
        <v>0.01</v>
      </c>
      <c r="F728" s="7" t="s">
        <v>179</v>
      </c>
      <c r="G728" s="9">
        <v>2000</v>
      </c>
      <c r="H728" s="9">
        <f t="shared" si="22"/>
        <v>20</v>
      </c>
      <c r="I728" t="s">
        <v>179</v>
      </c>
      <c r="J728" s="33">
        <v>0</v>
      </c>
      <c r="K728" s="18">
        <f>VLOOKUP(D728,Ingredients!C:G,5,0)</f>
        <v>2080</v>
      </c>
      <c r="L728" s="52">
        <f t="shared" si="23"/>
        <v>20.8</v>
      </c>
    </row>
    <row r="729" spans="1:12">
      <c r="A729" t="s">
        <v>237</v>
      </c>
      <c r="B729" t="s">
        <v>356</v>
      </c>
      <c r="C729" t="s">
        <v>356</v>
      </c>
      <c r="D729" s="3" t="s">
        <v>913</v>
      </c>
      <c r="E729" s="11">
        <v>1</v>
      </c>
      <c r="F729" s="7" t="s">
        <v>179</v>
      </c>
      <c r="G729" s="9">
        <v>229.16666666666666</v>
      </c>
      <c r="H729" s="9">
        <f t="shared" si="22"/>
        <v>229.16666666666666</v>
      </c>
      <c r="I729" t="s">
        <v>179</v>
      </c>
      <c r="J729" s="33">
        <v>0</v>
      </c>
      <c r="K729" s="18">
        <f>VLOOKUP(D729,Ingredients!C:F,3,0)</f>
        <v>343.75</v>
      </c>
      <c r="L729" s="52">
        <f t="shared" si="23"/>
        <v>343.75</v>
      </c>
    </row>
    <row r="730" spans="1:12">
      <c r="A730" t="s">
        <v>237</v>
      </c>
      <c r="B730" t="s">
        <v>356</v>
      </c>
      <c r="C730" t="s">
        <v>356</v>
      </c>
      <c r="D730" s="3" t="s">
        <v>884</v>
      </c>
      <c r="E730" s="11">
        <v>0.1</v>
      </c>
      <c r="F730" s="7" t="s">
        <v>179</v>
      </c>
      <c r="G730" s="9">
        <v>344</v>
      </c>
      <c r="H730" s="9">
        <f t="shared" si="22"/>
        <v>34.4</v>
      </c>
      <c r="I730" t="s">
        <v>179</v>
      </c>
      <c r="J730" s="33">
        <v>0</v>
      </c>
      <c r="K730" s="18">
        <f>VLOOKUP(D730,Ingredients!C:G,5,0)</f>
        <v>344</v>
      </c>
      <c r="L730" s="52">
        <f t="shared" si="23"/>
        <v>34.4</v>
      </c>
    </row>
    <row r="731" spans="1:12">
      <c r="A731" t="s">
        <v>237</v>
      </c>
      <c r="B731" t="s">
        <v>356</v>
      </c>
      <c r="C731" t="s">
        <v>356</v>
      </c>
      <c r="D731" s="3" t="s">
        <v>830</v>
      </c>
      <c r="E731" s="11">
        <v>0.1</v>
      </c>
      <c r="F731" s="7" t="s">
        <v>179</v>
      </c>
      <c r="G731" s="9">
        <v>149</v>
      </c>
      <c r="H731" s="9">
        <f t="shared" si="22"/>
        <v>14.9</v>
      </c>
      <c r="I731" t="s">
        <v>179</v>
      </c>
      <c r="J731" s="33">
        <v>0</v>
      </c>
      <c r="K731" s="18">
        <f>VLOOKUP(D731,Ingredients!C:G,5,0)</f>
        <v>123</v>
      </c>
      <c r="L731" s="52">
        <f t="shared" si="23"/>
        <v>12.3</v>
      </c>
    </row>
    <row r="732" spans="1:12">
      <c r="A732" t="s">
        <v>237</v>
      </c>
      <c r="B732" t="s">
        <v>356</v>
      </c>
      <c r="C732" t="s">
        <v>356</v>
      </c>
      <c r="D732" s="3" t="s">
        <v>851</v>
      </c>
      <c r="E732" s="11">
        <v>0.2</v>
      </c>
      <c r="F732" s="13" t="s">
        <v>176</v>
      </c>
      <c r="G732" s="9">
        <v>177</v>
      </c>
      <c r="H732" s="9">
        <f t="shared" si="22"/>
        <v>35.4</v>
      </c>
      <c r="I732" t="s">
        <v>179</v>
      </c>
      <c r="J732" s="33">
        <v>0</v>
      </c>
      <c r="K732" s="18">
        <f>VLOOKUP(D732,Ingredients!C:G,5,0)</f>
        <v>920</v>
      </c>
      <c r="L732" s="52">
        <f t="shared" si="23"/>
        <v>184</v>
      </c>
    </row>
    <row r="733" spans="1:12">
      <c r="A733" t="s">
        <v>237</v>
      </c>
      <c r="B733" t="s">
        <v>356</v>
      </c>
      <c r="C733" t="s">
        <v>356</v>
      </c>
      <c r="D733" s="3" t="s">
        <v>915</v>
      </c>
      <c r="E733" s="11">
        <v>0.01</v>
      </c>
      <c r="F733" s="7" t="s">
        <v>179</v>
      </c>
      <c r="G733" s="9">
        <v>5000</v>
      </c>
      <c r="H733" s="9">
        <f t="shared" si="22"/>
        <v>50</v>
      </c>
      <c r="I733" t="s">
        <v>179</v>
      </c>
      <c r="J733" s="33">
        <v>0</v>
      </c>
      <c r="K733" s="18">
        <f>VLOOKUP(D733,Ingredients!C:G,5,0)</f>
        <v>3200</v>
      </c>
      <c r="L733" s="52">
        <f t="shared" si="23"/>
        <v>32</v>
      </c>
    </row>
    <row r="734" spans="1:12">
      <c r="A734" t="s">
        <v>237</v>
      </c>
      <c r="B734" t="s">
        <v>356</v>
      </c>
      <c r="C734" t="s">
        <v>356</v>
      </c>
      <c r="D734" s="3" t="s">
        <v>916</v>
      </c>
      <c r="E734" s="11">
        <v>0.01</v>
      </c>
      <c r="F734" s="7" t="s">
        <v>179</v>
      </c>
      <c r="G734" s="9">
        <v>6500</v>
      </c>
      <c r="H734" s="9">
        <f t="shared" si="22"/>
        <v>65</v>
      </c>
      <c r="I734" t="s">
        <v>179</v>
      </c>
      <c r="J734" s="33">
        <v>0</v>
      </c>
      <c r="K734" s="18">
        <f>VLOOKUP(D734,Ingredients!C:G,5,0)</f>
        <v>6200</v>
      </c>
      <c r="L734" s="52">
        <f t="shared" si="23"/>
        <v>62</v>
      </c>
    </row>
    <row r="735" spans="1:12">
      <c r="A735" t="s">
        <v>237</v>
      </c>
      <c r="B735" t="s">
        <v>356</v>
      </c>
      <c r="C735" t="s">
        <v>356</v>
      </c>
      <c r="D735" s="3" t="s">
        <v>892</v>
      </c>
      <c r="E735" s="11">
        <v>0.01</v>
      </c>
      <c r="F735" s="7" t="s">
        <v>179</v>
      </c>
      <c r="G735" s="9">
        <v>2000</v>
      </c>
      <c r="H735" s="9">
        <f t="shared" si="22"/>
        <v>20</v>
      </c>
      <c r="I735" t="s">
        <v>179</v>
      </c>
      <c r="J735" s="33">
        <v>0</v>
      </c>
      <c r="K735" s="18">
        <f>VLOOKUP(D735,Ingredients!C:G,5,0)</f>
        <v>2080</v>
      </c>
      <c r="L735" s="52">
        <f t="shared" si="23"/>
        <v>20.8</v>
      </c>
    </row>
    <row r="736" spans="1:12">
      <c r="A736" t="s">
        <v>237</v>
      </c>
      <c r="B736" t="s">
        <v>356</v>
      </c>
      <c r="C736" t="s">
        <v>356</v>
      </c>
      <c r="D736" s="3" t="s">
        <v>917</v>
      </c>
      <c r="E736" s="11">
        <v>0.2</v>
      </c>
      <c r="F736" s="7" t="s">
        <v>179</v>
      </c>
      <c r="G736" s="9">
        <v>800</v>
      </c>
      <c r="H736" s="9">
        <f t="shared" si="22"/>
        <v>160</v>
      </c>
      <c r="I736" t="s">
        <v>179</v>
      </c>
      <c r="J736" s="33">
        <v>0</v>
      </c>
      <c r="K736" s="18">
        <f>VLOOKUP(D736,Ingredients!C:G,5,0)</f>
        <v>550</v>
      </c>
      <c r="L736" s="52">
        <f t="shared" si="23"/>
        <v>110</v>
      </c>
    </row>
    <row r="737" spans="1:12">
      <c r="A737" t="s">
        <v>239</v>
      </c>
      <c r="B737" t="s">
        <v>356</v>
      </c>
      <c r="C737" t="s">
        <v>356</v>
      </c>
      <c r="D737" s="3" t="s">
        <v>913</v>
      </c>
      <c r="E737" s="11">
        <v>1</v>
      </c>
      <c r="F737" s="7" t="s">
        <v>179</v>
      </c>
      <c r="G737" s="9">
        <v>229.16666666666666</v>
      </c>
      <c r="H737" s="9">
        <f t="shared" si="22"/>
        <v>229.16666666666666</v>
      </c>
      <c r="I737" t="s">
        <v>179</v>
      </c>
      <c r="J737" s="33">
        <v>0</v>
      </c>
      <c r="K737" s="18">
        <f>VLOOKUP(D737,Ingredients!C:F,3,0)</f>
        <v>343.75</v>
      </c>
      <c r="L737" s="52">
        <f t="shared" si="23"/>
        <v>343.75</v>
      </c>
    </row>
    <row r="738" spans="1:12">
      <c r="A738" t="s">
        <v>239</v>
      </c>
      <c r="B738" t="s">
        <v>356</v>
      </c>
      <c r="C738" t="s">
        <v>356</v>
      </c>
      <c r="D738" s="3" t="s">
        <v>830</v>
      </c>
      <c r="E738" s="11">
        <v>0.1</v>
      </c>
      <c r="F738" s="7" t="s">
        <v>179</v>
      </c>
      <c r="G738" s="9">
        <v>149</v>
      </c>
      <c r="H738" s="9">
        <f t="shared" si="22"/>
        <v>14.9</v>
      </c>
      <c r="I738" t="s">
        <v>179</v>
      </c>
      <c r="J738" s="33">
        <v>0</v>
      </c>
      <c r="K738" s="18">
        <f>VLOOKUP(D738,Ingredients!C:G,5,0)</f>
        <v>123</v>
      </c>
      <c r="L738" s="52">
        <f t="shared" si="23"/>
        <v>12.3</v>
      </c>
    </row>
    <row r="739" spans="1:12">
      <c r="A739" t="s">
        <v>239</v>
      </c>
      <c r="B739" t="s">
        <v>356</v>
      </c>
      <c r="C739" t="s">
        <v>356</v>
      </c>
      <c r="D739" s="3" t="s">
        <v>918</v>
      </c>
      <c r="E739" s="11">
        <v>0.05</v>
      </c>
      <c r="F739" s="7" t="s">
        <v>179</v>
      </c>
      <c r="G739" s="9">
        <v>54</v>
      </c>
      <c r="H739" s="9">
        <f t="shared" si="22"/>
        <v>2.7</v>
      </c>
      <c r="I739" t="s">
        <v>179</v>
      </c>
      <c r="J739" s="33">
        <v>0</v>
      </c>
      <c r="K739" s="18">
        <f>VLOOKUP(D739,Ingredients!C:G,5,0)</f>
        <v>308.57142857142861</v>
      </c>
      <c r="L739" s="52">
        <f t="shared" si="23"/>
        <v>15.428571428571431</v>
      </c>
    </row>
    <row r="740" spans="1:12">
      <c r="A740" t="s">
        <v>239</v>
      </c>
      <c r="B740" t="s">
        <v>356</v>
      </c>
      <c r="C740" t="s">
        <v>356</v>
      </c>
      <c r="D740" s="3" t="s">
        <v>916</v>
      </c>
      <c r="E740" s="11">
        <v>1.4999999999999999E-2</v>
      </c>
      <c r="F740" s="7" t="s">
        <v>179</v>
      </c>
      <c r="G740" s="9">
        <v>6500</v>
      </c>
      <c r="H740" s="9">
        <f t="shared" si="22"/>
        <v>97.5</v>
      </c>
      <c r="I740" t="s">
        <v>179</v>
      </c>
      <c r="J740" s="33">
        <v>0</v>
      </c>
      <c r="K740" s="18">
        <f>VLOOKUP(D740,Ingredients!C:G,5,0)</f>
        <v>6200</v>
      </c>
      <c r="L740" s="52">
        <f t="shared" si="23"/>
        <v>93</v>
      </c>
    </row>
    <row r="741" spans="1:12">
      <c r="A741" t="s">
        <v>239</v>
      </c>
      <c r="B741" t="s">
        <v>356</v>
      </c>
      <c r="C741" t="s">
        <v>356</v>
      </c>
      <c r="D741" s="3" t="s">
        <v>892</v>
      </c>
      <c r="E741" s="11">
        <v>1.4999999999999999E-2</v>
      </c>
      <c r="F741" s="7" t="s">
        <v>179</v>
      </c>
      <c r="G741" s="9">
        <v>2000</v>
      </c>
      <c r="H741" s="9">
        <f t="shared" si="22"/>
        <v>30</v>
      </c>
      <c r="I741" t="s">
        <v>179</v>
      </c>
      <c r="J741" s="33">
        <v>0</v>
      </c>
      <c r="K741" s="18">
        <f>VLOOKUP(D741,Ingredients!C:G,5,0)</f>
        <v>2080</v>
      </c>
      <c r="L741" s="52">
        <f t="shared" si="23"/>
        <v>31.2</v>
      </c>
    </row>
    <row r="742" spans="1:12">
      <c r="A742" t="s">
        <v>241</v>
      </c>
      <c r="B742" t="s">
        <v>356</v>
      </c>
      <c r="C742" t="s">
        <v>356</v>
      </c>
      <c r="D742" s="3" t="s">
        <v>913</v>
      </c>
      <c r="E742" s="11">
        <v>1</v>
      </c>
      <c r="F742" s="7" t="s">
        <v>179</v>
      </c>
      <c r="G742" s="9">
        <v>229.16666666666666</v>
      </c>
      <c r="H742" s="9">
        <f t="shared" si="22"/>
        <v>229.16666666666666</v>
      </c>
      <c r="I742" t="s">
        <v>179</v>
      </c>
      <c r="J742" s="33">
        <v>0</v>
      </c>
      <c r="K742" s="18">
        <f>VLOOKUP(D742,Ingredients!C:F,3,0)</f>
        <v>343.75</v>
      </c>
      <c r="L742" s="52">
        <f t="shared" si="23"/>
        <v>343.75</v>
      </c>
    </row>
    <row r="743" spans="1:12">
      <c r="A743" t="s">
        <v>241</v>
      </c>
      <c r="B743" t="s">
        <v>356</v>
      </c>
      <c r="C743" t="s">
        <v>356</v>
      </c>
      <c r="D743" s="3" t="s">
        <v>830</v>
      </c>
      <c r="E743" s="11">
        <v>0.2</v>
      </c>
      <c r="F743" s="7" t="s">
        <v>179</v>
      </c>
      <c r="G743" s="9">
        <v>149</v>
      </c>
      <c r="H743" s="9">
        <f t="shared" si="22"/>
        <v>29.8</v>
      </c>
      <c r="I743" t="s">
        <v>179</v>
      </c>
      <c r="J743" s="33">
        <v>0</v>
      </c>
      <c r="K743" s="18">
        <f>VLOOKUP(D743,Ingredients!C:G,5,0)</f>
        <v>123</v>
      </c>
      <c r="L743" s="52">
        <f t="shared" si="23"/>
        <v>24.6</v>
      </c>
    </row>
    <row r="744" spans="1:12">
      <c r="A744" t="s">
        <v>241</v>
      </c>
      <c r="B744" t="s">
        <v>356</v>
      </c>
      <c r="C744" t="s">
        <v>356</v>
      </c>
      <c r="D744" s="3" t="s">
        <v>914</v>
      </c>
      <c r="E744" s="11">
        <v>0.1</v>
      </c>
      <c r="F744" s="7" t="s">
        <v>179</v>
      </c>
      <c r="G744" s="9">
        <v>140</v>
      </c>
      <c r="H744" s="9">
        <f t="shared" si="22"/>
        <v>14</v>
      </c>
      <c r="I744" t="s">
        <v>179</v>
      </c>
      <c r="J744" s="33">
        <v>0</v>
      </c>
      <c r="K744" s="18">
        <f>VLOOKUP(D744,Ingredients!C:G,5,0)</f>
        <v>492</v>
      </c>
      <c r="L744" s="52">
        <f t="shared" si="23"/>
        <v>49.2</v>
      </c>
    </row>
    <row r="745" spans="1:12">
      <c r="A745" t="s">
        <v>241</v>
      </c>
      <c r="B745" t="s">
        <v>356</v>
      </c>
      <c r="C745" t="s">
        <v>356</v>
      </c>
      <c r="D745" s="3" t="s">
        <v>851</v>
      </c>
      <c r="E745" s="11">
        <v>0.2</v>
      </c>
      <c r="F745" s="13" t="s">
        <v>176</v>
      </c>
      <c r="G745" s="9">
        <v>177</v>
      </c>
      <c r="H745" s="9">
        <f t="shared" si="22"/>
        <v>35.4</v>
      </c>
      <c r="I745" t="s">
        <v>179</v>
      </c>
      <c r="J745" s="33">
        <v>0</v>
      </c>
      <c r="K745" s="18">
        <f>VLOOKUP(D745,Ingredients!C:G,5,0)</f>
        <v>920</v>
      </c>
      <c r="L745" s="52">
        <f t="shared" si="23"/>
        <v>184</v>
      </c>
    </row>
    <row r="746" spans="1:12">
      <c r="A746" t="s">
        <v>241</v>
      </c>
      <c r="B746" t="s">
        <v>356</v>
      </c>
      <c r="C746" t="s">
        <v>356</v>
      </c>
      <c r="D746" s="3" t="s">
        <v>906</v>
      </c>
      <c r="E746" s="11">
        <v>0.3</v>
      </c>
      <c r="F746" s="7" t="s">
        <v>179</v>
      </c>
      <c r="G746" s="9">
        <v>700</v>
      </c>
      <c r="H746" s="9">
        <f t="shared" si="22"/>
        <v>210</v>
      </c>
      <c r="I746" t="s">
        <v>179</v>
      </c>
      <c r="J746" s="33">
        <v>0</v>
      </c>
      <c r="K746" s="18">
        <f>VLOOKUP(D746,Ingredients!C:G,5,0)</f>
        <v>750</v>
      </c>
      <c r="L746" s="52">
        <f t="shared" si="23"/>
        <v>225</v>
      </c>
    </row>
    <row r="747" spans="1:12">
      <c r="A747" t="s">
        <v>241</v>
      </c>
      <c r="B747" t="s">
        <v>356</v>
      </c>
      <c r="C747" t="s">
        <v>356</v>
      </c>
      <c r="D747" s="3" t="s">
        <v>242</v>
      </c>
      <c r="E747" s="11">
        <v>0.05</v>
      </c>
      <c r="F747" s="7" t="s">
        <v>179</v>
      </c>
      <c r="G747" s="9">
        <v>140</v>
      </c>
      <c r="H747" s="9">
        <f t="shared" si="22"/>
        <v>7</v>
      </c>
      <c r="I747" t="s">
        <v>179</v>
      </c>
      <c r="J747" s="33">
        <v>0</v>
      </c>
      <c r="K747" s="18">
        <f>VLOOKUP(D747,Ingredients!C:G,5,0)</f>
        <v>1400</v>
      </c>
      <c r="L747" s="52">
        <f t="shared" si="23"/>
        <v>70</v>
      </c>
    </row>
    <row r="748" spans="1:12">
      <c r="A748" t="s">
        <v>241</v>
      </c>
      <c r="B748" t="s">
        <v>356</v>
      </c>
      <c r="C748" t="s">
        <v>356</v>
      </c>
      <c r="D748" s="3" t="s">
        <v>146</v>
      </c>
      <c r="E748" s="11">
        <v>4</v>
      </c>
      <c r="F748" s="7" t="s">
        <v>253</v>
      </c>
      <c r="G748" s="9">
        <v>130</v>
      </c>
      <c r="H748" s="9">
        <f t="shared" si="22"/>
        <v>520</v>
      </c>
      <c r="I748" t="s">
        <v>179</v>
      </c>
      <c r="J748" s="33">
        <v>0</v>
      </c>
      <c r="K748" s="18">
        <f>VLOOKUP(D748,Ingredients!C:G,5,0)</f>
        <v>20</v>
      </c>
      <c r="L748" s="52">
        <f t="shared" si="23"/>
        <v>80</v>
      </c>
    </row>
    <row r="749" spans="1:12">
      <c r="A749" t="s">
        <v>241</v>
      </c>
      <c r="B749" t="s">
        <v>356</v>
      </c>
      <c r="C749" t="s">
        <v>356</v>
      </c>
      <c r="D749" s="3" t="s">
        <v>919</v>
      </c>
      <c r="E749" s="11">
        <v>0.1</v>
      </c>
      <c r="F749" s="7" t="s">
        <v>179</v>
      </c>
      <c r="G749" s="9">
        <v>91.67</v>
      </c>
      <c r="H749" s="9">
        <f t="shared" si="22"/>
        <v>9.1669999999999998</v>
      </c>
      <c r="I749" t="s">
        <v>179</v>
      </c>
      <c r="J749" s="33">
        <v>0</v>
      </c>
      <c r="K749" s="18">
        <f>VLOOKUP(D749,Ingredients!C:G,5,0)</f>
        <v>617.14285714285722</v>
      </c>
      <c r="L749" s="52">
        <f t="shared" si="23"/>
        <v>61.714285714285722</v>
      </c>
    </row>
    <row r="750" spans="1:12">
      <c r="A750" t="s">
        <v>241</v>
      </c>
      <c r="B750" t="s">
        <v>356</v>
      </c>
      <c r="C750" t="s">
        <v>356</v>
      </c>
      <c r="D750" s="3" t="s">
        <v>840</v>
      </c>
      <c r="E750" s="11">
        <v>0.05</v>
      </c>
      <c r="F750" s="7" t="s">
        <v>179</v>
      </c>
      <c r="G750" s="9">
        <v>291.66000000000003</v>
      </c>
      <c r="H750" s="9">
        <f t="shared" si="22"/>
        <v>14.583000000000002</v>
      </c>
      <c r="I750" t="s">
        <v>179</v>
      </c>
      <c r="J750" s="33">
        <v>0</v>
      </c>
      <c r="K750" s="18">
        <f>VLOOKUP(D750,Ingredients!C:G,5,0)</f>
        <v>291.66000000000003</v>
      </c>
      <c r="L750" s="52">
        <f t="shared" si="23"/>
        <v>14.583000000000002</v>
      </c>
    </row>
    <row r="751" spans="1:12">
      <c r="A751" t="s">
        <v>245</v>
      </c>
      <c r="B751" t="s">
        <v>356</v>
      </c>
      <c r="C751" t="s">
        <v>357</v>
      </c>
      <c r="D751" s="3" t="s">
        <v>866</v>
      </c>
      <c r="E751" s="11">
        <v>9.1666666666666667E-3</v>
      </c>
      <c r="F751" s="7" t="s">
        <v>181</v>
      </c>
      <c r="G751" s="9">
        <v>153.97999999999999</v>
      </c>
      <c r="H751" s="9">
        <f t="shared" si="22"/>
        <v>1.4114833333333332</v>
      </c>
      <c r="I751" t="s">
        <v>253</v>
      </c>
      <c r="J751" s="33">
        <v>0</v>
      </c>
      <c r="K751" s="18">
        <f>VLOOKUP(D751,Ingredients!C:G,5,0)</f>
        <v>142.13999999999999</v>
      </c>
      <c r="L751" s="52">
        <f t="shared" si="23"/>
        <v>1.3029499999999998</v>
      </c>
    </row>
    <row r="752" spans="1:12">
      <c r="A752" t="s">
        <v>245</v>
      </c>
      <c r="B752" t="s">
        <v>356</v>
      </c>
      <c r="C752" t="s">
        <v>357</v>
      </c>
      <c r="D752" s="3" t="s">
        <v>854</v>
      </c>
      <c r="E752" s="11">
        <v>1.9E-2</v>
      </c>
      <c r="F752" s="7" t="s">
        <v>179</v>
      </c>
      <c r="G752" s="9">
        <v>24.64</v>
      </c>
      <c r="H752" s="9">
        <f t="shared" si="22"/>
        <v>0.46816000000000002</v>
      </c>
      <c r="I752" t="s">
        <v>253</v>
      </c>
      <c r="J752" s="33">
        <v>0</v>
      </c>
      <c r="K752" s="18">
        <f>VLOOKUP(D752,Ingredients!C:G,5,0)</f>
        <v>20.059999999999999</v>
      </c>
      <c r="L752" s="52">
        <f t="shared" si="23"/>
        <v>0.38113999999999998</v>
      </c>
    </row>
    <row r="753" spans="1:12">
      <c r="A753" t="s">
        <v>245</v>
      </c>
      <c r="B753" t="s">
        <v>356</v>
      </c>
      <c r="C753" t="s">
        <v>357</v>
      </c>
      <c r="D753" s="3" t="s">
        <v>851</v>
      </c>
      <c r="E753" s="11">
        <v>8.3333333333333332E-3</v>
      </c>
      <c r="F753" s="13" t="s">
        <v>176</v>
      </c>
      <c r="G753" s="9">
        <v>177</v>
      </c>
      <c r="H753" s="9">
        <f t="shared" si="22"/>
        <v>1.4750000000000001</v>
      </c>
      <c r="I753" t="s">
        <v>253</v>
      </c>
      <c r="J753" s="33">
        <v>0</v>
      </c>
      <c r="K753" s="18">
        <f>VLOOKUP(D753,Ingredients!C:G,5,0)</f>
        <v>920</v>
      </c>
      <c r="L753" s="52">
        <f t="shared" si="23"/>
        <v>7.666666666666667</v>
      </c>
    </row>
    <row r="754" spans="1:12">
      <c r="A754" t="s">
        <v>245</v>
      </c>
      <c r="B754" t="s">
        <v>356</v>
      </c>
      <c r="C754" t="s">
        <v>357</v>
      </c>
      <c r="D754" s="3" t="s">
        <v>246</v>
      </c>
      <c r="E754" s="11">
        <v>1.6666666666666666E-2</v>
      </c>
      <c r="F754" s="7" t="s">
        <v>179</v>
      </c>
      <c r="G754" s="9">
        <v>170</v>
      </c>
      <c r="H754" s="9">
        <f t="shared" si="22"/>
        <v>2.8333333333333335</v>
      </c>
      <c r="I754" t="s">
        <v>253</v>
      </c>
      <c r="J754" s="33">
        <v>0</v>
      </c>
      <c r="K754" s="18">
        <f>VLOOKUP(D754,Ingredients!C:G,5,0)</f>
        <v>150</v>
      </c>
      <c r="L754" s="52">
        <f t="shared" si="23"/>
        <v>2.5</v>
      </c>
    </row>
    <row r="755" spans="1:12">
      <c r="A755" t="s">
        <v>245</v>
      </c>
      <c r="B755" t="s">
        <v>356</v>
      </c>
      <c r="C755" t="s">
        <v>357</v>
      </c>
      <c r="D755" s="3" t="s">
        <v>830</v>
      </c>
      <c r="E755" s="11">
        <v>8.3333333333333332E-3</v>
      </c>
      <c r="F755" s="7" t="s">
        <v>179</v>
      </c>
      <c r="G755" s="9">
        <v>149</v>
      </c>
      <c r="H755" s="9">
        <f t="shared" si="22"/>
        <v>1.2416666666666667</v>
      </c>
      <c r="I755" t="s">
        <v>253</v>
      </c>
      <c r="J755" s="33">
        <v>0</v>
      </c>
      <c r="K755" s="18">
        <f>VLOOKUP(D755,Ingredients!C:G,5,0)</f>
        <v>123</v>
      </c>
      <c r="L755" s="52">
        <f t="shared" si="23"/>
        <v>1.0249999999999999</v>
      </c>
    </row>
    <row r="756" spans="1:12">
      <c r="A756" t="s">
        <v>245</v>
      </c>
      <c r="B756" t="s">
        <v>356</v>
      </c>
      <c r="C756" t="s">
        <v>357</v>
      </c>
      <c r="D756" s="3" t="s">
        <v>907</v>
      </c>
      <c r="E756" s="11">
        <v>3.3333333333333335E-3</v>
      </c>
      <c r="F756" s="7" t="s">
        <v>179</v>
      </c>
      <c r="G756" s="9">
        <v>485</v>
      </c>
      <c r="H756" s="9">
        <f t="shared" si="22"/>
        <v>1.6166666666666667</v>
      </c>
      <c r="I756" t="s">
        <v>253</v>
      </c>
      <c r="J756" s="33">
        <v>0</v>
      </c>
      <c r="K756" s="18">
        <f>VLOOKUP(D756,Ingredients!C:G,5,0)</f>
        <v>550</v>
      </c>
      <c r="L756" s="52">
        <f t="shared" si="23"/>
        <v>1.8333333333333335</v>
      </c>
    </row>
    <row r="757" spans="1:12">
      <c r="A757" t="s">
        <v>247</v>
      </c>
      <c r="B757" t="s">
        <v>356</v>
      </c>
      <c r="C757" t="s">
        <v>357</v>
      </c>
      <c r="D757" s="3" t="s">
        <v>913</v>
      </c>
      <c r="E757" s="11">
        <v>3.3333333333333333E-2</v>
      </c>
      <c r="F757" s="7" t="s">
        <v>179</v>
      </c>
      <c r="G757" s="9">
        <v>229.16666666666666</v>
      </c>
      <c r="H757" s="9">
        <f t="shared" si="22"/>
        <v>7.6388888888888884</v>
      </c>
      <c r="I757" t="s">
        <v>253</v>
      </c>
      <c r="J757" s="33">
        <v>0</v>
      </c>
      <c r="K757" s="18">
        <f>VLOOKUP(D757,Ingredients!C:F,3,0)</f>
        <v>343.75</v>
      </c>
      <c r="L757" s="52">
        <f t="shared" si="23"/>
        <v>11.458333333333334</v>
      </c>
    </row>
    <row r="758" spans="1:12">
      <c r="A758" t="s">
        <v>247</v>
      </c>
      <c r="B758" t="s">
        <v>356</v>
      </c>
      <c r="C758" t="s">
        <v>357</v>
      </c>
      <c r="D758" s="3" t="s">
        <v>854</v>
      </c>
      <c r="E758" s="11">
        <v>1.52E-2</v>
      </c>
      <c r="F758" s="7" t="s">
        <v>179</v>
      </c>
      <c r="G758" s="9">
        <v>24.64</v>
      </c>
      <c r="H758" s="9">
        <f t="shared" si="22"/>
        <v>0.37452800000000003</v>
      </c>
      <c r="I758" t="s">
        <v>253</v>
      </c>
      <c r="J758" s="33">
        <v>0</v>
      </c>
      <c r="K758" s="18">
        <f>VLOOKUP(D758,Ingredients!C:G,5,0)</f>
        <v>20.059999999999999</v>
      </c>
      <c r="L758" s="52">
        <f t="shared" si="23"/>
        <v>0.30491199999999996</v>
      </c>
    </row>
    <row r="759" spans="1:12">
      <c r="A759" t="s">
        <v>247</v>
      </c>
      <c r="B759" t="s">
        <v>356</v>
      </c>
      <c r="C759" t="s">
        <v>357</v>
      </c>
      <c r="D759" s="3" t="s">
        <v>906</v>
      </c>
      <c r="E759" s="11">
        <v>0.01</v>
      </c>
      <c r="F759" s="7" t="s">
        <v>179</v>
      </c>
      <c r="G759" s="9">
        <v>700</v>
      </c>
      <c r="H759" s="9">
        <f t="shared" si="22"/>
        <v>7</v>
      </c>
      <c r="I759" t="s">
        <v>253</v>
      </c>
      <c r="J759" s="33">
        <v>0</v>
      </c>
      <c r="K759" s="18">
        <f>VLOOKUP(D759,Ingredients!C:G,5,0)</f>
        <v>750</v>
      </c>
      <c r="L759" s="52">
        <f t="shared" si="23"/>
        <v>7.5</v>
      </c>
    </row>
    <row r="760" spans="1:12">
      <c r="A760" t="s">
        <v>247</v>
      </c>
      <c r="B760" t="s">
        <v>356</v>
      </c>
      <c r="C760" t="s">
        <v>357</v>
      </c>
      <c r="D760" s="3" t="s">
        <v>865</v>
      </c>
      <c r="E760" s="11">
        <v>1.4999999999999999E-2</v>
      </c>
      <c r="F760" s="7" t="s">
        <v>179</v>
      </c>
      <c r="G760" s="9">
        <v>1400</v>
      </c>
      <c r="H760" s="9">
        <f t="shared" si="22"/>
        <v>21</v>
      </c>
      <c r="I760" t="s">
        <v>253</v>
      </c>
      <c r="J760" s="33">
        <v>0</v>
      </c>
      <c r="K760" s="18">
        <f>VLOOKUP(D760,Ingredients!C:G,5,0)</f>
        <v>1400</v>
      </c>
      <c r="L760" s="52">
        <f t="shared" si="23"/>
        <v>21</v>
      </c>
    </row>
    <row r="761" spans="1:12">
      <c r="A761" t="s">
        <v>247</v>
      </c>
      <c r="B761" t="s">
        <v>356</v>
      </c>
      <c r="C761" t="s">
        <v>357</v>
      </c>
      <c r="D761" s="3" t="s">
        <v>920</v>
      </c>
      <c r="E761" s="11">
        <v>1.6666666666666666E-2</v>
      </c>
      <c r="F761" s="7" t="s">
        <v>179</v>
      </c>
      <c r="G761" s="9">
        <v>310</v>
      </c>
      <c r="H761" s="9">
        <f t="shared" ref="H761:H824" si="24">G761*E761</f>
        <v>5.166666666666667</v>
      </c>
      <c r="I761" t="s">
        <v>253</v>
      </c>
      <c r="J761" s="33">
        <v>0</v>
      </c>
      <c r="K761" s="18">
        <f>VLOOKUP(D761,Ingredients!C:G,5,0)</f>
        <v>310</v>
      </c>
      <c r="L761" s="52">
        <f t="shared" si="23"/>
        <v>5.166666666666667</v>
      </c>
    </row>
    <row r="762" spans="1:12">
      <c r="A762" t="s">
        <v>247</v>
      </c>
      <c r="B762" t="s">
        <v>356</v>
      </c>
      <c r="C762" t="s">
        <v>357</v>
      </c>
      <c r="D762" s="3" t="s">
        <v>866</v>
      </c>
      <c r="E762" s="11">
        <v>3.3333333333333333E-2</v>
      </c>
      <c r="F762" s="7" t="s">
        <v>179</v>
      </c>
      <c r="G762" s="9">
        <v>153.97999999999999</v>
      </c>
      <c r="H762" s="9">
        <f t="shared" si="24"/>
        <v>5.1326666666666663</v>
      </c>
      <c r="I762" t="s">
        <v>253</v>
      </c>
      <c r="J762" s="33">
        <v>0</v>
      </c>
      <c r="K762" s="18">
        <f>VLOOKUP(D762,Ingredients!C:G,5,0)</f>
        <v>142.13999999999999</v>
      </c>
      <c r="L762" s="52">
        <f t="shared" si="23"/>
        <v>4.7379999999999995</v>
      </c>
    </row>
    <row r="763" spans="1:12">
      <c r="A763" t="s">
        <v>519</v>
      </c>
      <c r="B763" t="s">
        <v>358</v>
      </c>
      <c r="C763" t="s">
        <v>519</v>
      </c>
      <c r="D763" s="3" t="s">
        <v>913</v>
      </c>
      <c r="E763" s="11">
        <v>0.15</v>
      </c>
      <c r="F763" s="7" t="s">
        <v>179</v>
      </c>
      <c r="G763" s="9">
        <v>229.16666666666666</v>
      </c>
      <c r="H763" s="9">
        <f t="shared" si="24"/>
        <v>34.375</v>
      </c>
      <c r="I763" t="s">
        <v>484</v>
      </c>
      <c r="J763" s="33">
        <v>0</v>
      </c>
      <c r="K763" s="18">
        <f>VLOOKUP(D763,Ingredients!C:F,3,0)</f>
        <v>343.75</v>
      </c>
      <c r="L763" s="52">
        <f t="shared" si="23"/>
        <v>51.5625</v>
      </c>
    </row>
    <row r="764" spans="1:12">
      <c r="A764" t="s">
        <v>519</v>
      </c>
      <c r="B764" t="s">
        <v>358</v>
      </c>
      <c r="C764" t="s">
        <v>519</v>
      </c>
      <c r="D764" s="3" t="s">
        <v>921</v>
      </c>
      <c r="E764" s="11">
        <v>3.3333333333333335E-3</v>
      </c>
      <c r="F764" s="7" t="s">
        <v>179</v>
      </c>
      <c r="G764" s="9">
        <v>1607</v>
      </c>
      <c r="H764" s="9">
        <f t="shared" si="24"/>
        <v>5.3566666666666674</v>
      </c>
      <c r="I764" t="s">
        <v>484</v>
      </c>
      <c r="J764" s="33">
        <v>0</v>
      </c>
      <c r="K764" s="18">
        <f>VLOOKUP(D764,Ingredients!C:G,5,0)</f>
        <v>1512</v>
      </c>
      <c r="L764" s="52">
        <f t="shared" si="23"/>
        <v>5.04</v>
      </c>
    </row>
    <row r="765" spans="1:12">
      <c r="A765" t="s">
        <v>519</v>
      </c>
      <c r="B765" t="s">
        <v>358</v>
      </c>
      <c r="C765" t="s">
        <v>519</v>
      </c>
      <c r="D765" s="3" t="s">
        <v>830</v>
      </c>
      <c r="E765" s="11">
        <v>0.03</v>
      </c>
      <c r="F765" s="7" t="s">
        <v>250</v>
      </c>
      <c r="G765" s="9">
        <v>149</v>
      </c>
      <c r="H765" s="9">
        <f t="shared" si="24"/>
        <v>4.47</v>
      </c>
      <c r="I765" t="s">
        <v>484</v>
      </c>
      <c r="J765" s="33">
        <v>0</v>
      </c>
      <c r="K765" s="18">
        <f>VLOOKUP(D765,Ingredients!C:G,5,0)</f>
        <v>123</v>
      </c>
      <c r="L765" s="52">
        <f t="shared" si="23"/>
        <v>3.69</v>
      </c>
    </row>
    <row r="766" spans="1:12">
      <c r="A766" t="s">
        <v>251</v>
      </c>
      <c r="B766" t="s">
        <v>358</v>
      </c>
      <c r="C766" t="s">
        <v>361</v>
      </c>
      <c r="D766" s="3" t="s">
        <v>7</v>
      </c>
      <c r="E766" s="11">
        <v>2</v>
      </c>
      <c r="F766" s="7" t="s">
        <v>252</v>
      </c>
      <c r="G766" s="9">
        <v>8</v>
      </c>
      <c r="H766" s="9">
        <f t="shared" si="24"/>
        <v>16</v>
      </c>
      <c r="I766" t="s">
        <v>485</v>
      </c>
      <c r="J766" s="33">
        <v>0</v>
      </c>
      <c r="K766" s="18">
        <f>VLOOKUP(D766,Ingredients!C:G,5,0)</f>
        <v>6</v>
      </c>
      <c r="L766" s="52">
        <f t="shared" si="23"/>
        <v>12</v>
      </c>
    </row>
    <row r="767" spans="1:12">
      <c r="A767" t="s">
        <v>251</v>
      </c>
      <c r="B767" t="s">
        <v>358</v>
      </c>
      <c r="C767" t="s">
        <v>361</v>
      </c>
      <c r="D767" s="3" t="s">
        <v>50</v>
      </c>
      <c r="E767" s="11">
        <v>7.0000000000000007E-2</v>
      </c>
      <c r="F767" s="7" t="s">
        <v>179</v>
      </c>
      <c r="G767" s="9">
        <v>120</v>
      </c>
      <c r="H767" s="9">
        <f t="shared" si="24"/>
        <v>8.4</v>
      </c>
      <c r="I767" t="s">
        <v>485</v>
      </c>
      <c r="J767" s="33">
        <v>0</v>
      </c>
      <c r="K767" s="18">
        <f>VLOOKUP(D767,Ingredients!C:G,5,0)</f>
        <v>120</v>
      </c>
      <c r="L767" s="52">
        <f t="shared" si="23"/>
        <v>8.4</v>
      </c>
    </row>
    <row r="768" spans="1:12">
      <c r="A768" t="s">
        <v>251</v>
      </c>
      <c r="B768" t="s">
        <v>358</v>
      </c>
      <c r="C768" t="s">
        <v>361</v>
      </c>
      <c r="D768" s="3" t="s">
        <v>830</v>
      </c>
      <c r="E768" s="11">
        <v>7.0000000000000007E-2</v>
      </c>
      <c r="F768" s="7" t="s">
        <v>179</v>
      </c>
      <c r="G768" s="9">
        <v>149</v>
      </c>
      <c r="H768" s="9">
        <f t="shared" si="24"/>
        <v>10.430000000000001</v>
      </c>
      <c r="I768" t="s">
        <v>485</v>
      </c>
      <c r="J768" s="33">
        <v>0</v>
      </c>
      <c r="K768" s="18">
        <f>VLOOKUP(D768,Ingredients!C:G,5,0)</f>
        <v>123</v>
      </c>
      <c r="L768" s="52">
        <f t="shared" si="23"/>
        <v>8.6100000000000012</v>
      </c>
    </row>
    <row r="769" spans="1:12">
      <c r="A769" t="s">
        <v>251</v>
      </c>
      <c r="B769" t="s">
        <v>358</v>
      </c>
      <c r="C769" t="s">
        <v>361</v>
      </c>
      <c r="D769" s="3" t="s">
        <v>254</v>
      </c>
      <c r="E769" s="11">
        <v>0.1</v>
      </c>
      <c r="F769" s="7" t="s">
        <v>253</v>
      </c>
      <c r="G769" s="9">
        <v>30</v>
      </c>
      <c r="H769" s="9">
        <f t="shared" si="24"/>
        <v>3</v>
      </c>
      <c r="I769" t="s">
        <v>485</v>
      </c>
      <c r="J769" s="33">
        <v>0</v>
      </c>
      <c r="K769" s="18">
        <f>VLOOKUP(D769,Ingredients!C:G,5,0)</f>
        <v>30</v>
      </c>
      <c r="L769" s="52">
        <f t="shared" si="23"/>
        <v>3</v>
      </c>
    </row>
    <row r="770" spans="1:12">
      <c r="A770" t="s">
        <v>255</v>
      </c>
      <c r="B770" t="s">
        <v>358</v>
      </c>
      <c r="C770" t="s">
        <v>359</v>
      </c>
      <c r="D770" s="3" t="s">
        <v>73</v>
      </c>
      <c r="E770" s="11">
        <v>1</v>
      </c>
      <c r="F770" s="7" t="s">
        <v>179</v>
      </c>
      <c r="G770" s="9">
        <v>305</v>
      </c>
      <c r="H770" s="9">
        <f t="shared" si="24"/>
        <v>305</v>
      </c>
      <c r="I770" t="s">
        <v>179</v>
      </c>
      <c r="J770" s="33">
        <v>0</v>
      </c>
      <c r="K770" s="18">
        <f>VLOOKUP(D770,Ingredients!C:G,5,0)</f>
        <v>300</v>
      </c>
      <c r="L770" s="52">
        <f t="shared" si="23"/>
        <v>300</v>
      </c>
    </row>
    <row r="771" spans="1:12">
      <c r="A771" t="s">
        <v>255</v>
      </c>
      <c r="B771" t="s">
        <v>358</v>
      </c>
      <c r="C771" t="s">
        <v>359</v>
      </c>
      <c r="D771" s="3" t="s">
        <v>913</v>
      </c>
      <c r="E771" s="11">
        <v>1</v>
      </c>
      <c r="F771" s="7" t="s">
        <v>179</v>
      </c>
      <c r="G771" s="9">
        <v>229.16666666666666</v>
      </c>
      <c r="H771" s="9">
        <f t="shared" si="24"/>
        <v>229.16666666666666</v>
      </c>
      <c r="I771" t="s">
        <v>179</v>
      </c>
      <c r="J771" s="33">
        <v>0</v>
      </c>
      <c r="K771" s="18">
        <f>VLOOKUP(D771,Ingredients!C:F,3,0)</f>
        <v>343.75</v>
      </c>
      <c r="L771" s="52">
        <f t="shared" si="23"/>
        <v>343.75</v>
      </c>
    </row>
    <row r="772" spans="1:12">
      <c r="A772" t="s">
        <v>255</v>
      </c>
      <c r="B772" t="s">
        <v>358</v>
      </c>
      <c r="C772" t="s">
        <v>359</v>
      </c>
      <c r="D772" s="3" t="s">
        <v>830</v>
      </c>
      <c r="E772" s="11">
        <v>8.3333333333333343E-2</v>
      </c>
      <c r="F772" s="7" t="s">
        <v>179</v>
      </c>
      <c r="G772" s="9">
        <v>149</v>
      </c>
      <c r="H772" s="9">
        <f t="shared" si="24"/>
        <v>12.416666666666668</v>
      </c>
      <c r="I772" t="s">
        <v>179</v>
      </c>
      <c r="J772" s="33">
        <v>0</v>
      </c>
      <c r="K772" s="18">
        <f>VLOOKUP(D772,Ingredients!C:G,5,0)</f>
        <v>123</v>
      </c>
      <c r="L772" s="52">
        <f t="shared" ref="L772:L835" si="25">K772*E772</f>
        <v>10.250000000000002</v>
      </c>
    </row>
    <row r="773" spans="1:12">
      <c r="A773" t="s">
        <v>360</v>
      </c>
      <c r="B773" t="s">
        <v>358</v>
      </c>
      <c r="C773" t="s">
        <v>359</v>
      </c>
      <c r="D773" s="3" t="s">
        <v>73</v>
      </c>
      <c r="E773" s="11">
        <v>1</v>
      </c>
      <c r="F773" s="7" t="s">
        <v>179</v>
      </c>
      <c r="G773" s="9">
        <v>305</v>
      </c>
      <c r="H773" s="9">
        <f t="shared" si="24"/>
        <v>305</v>
      </c>
      <c r="I773" t="s">
        <v>179</v>
      </c>
      <c r="J773" s="33">
        <v>0</v>
      </c>
      <c r="K773" s="18">
        <f>VLOOKUP(D773,Ingredients!C:G,5,0)</f>
        <v>300</v>
      </c>
      <c r="L773" s="52">
        <f t="shared" si="25"/>
        <v>300</v>
      </c>
    </row>
    <row r="774" spans="1:12">
      <c r="A774" t="s">
        <v>360</v>
      </c>
      <c r="B774" t="s">
        <v>358</v>
      </c>
      <c r="C774" t="s">
        <v>359</v>
      </c>
      <c r="D774" s="3" t="s">
        <v>913</v>
      </c>
      <c r="E774" s="11">
        <v>1</v>
      </c>
      <c r="F774" s="7" t="s">
        <v>179</v>
      </c>
      <c r="G774" s="9">
        <v>229.16666666666666</v>
      </c>
      <c r="H774" s="9">
        <f t="shared" si="24"/>
        <v>229.16666666666666</v>
      </c>
      <c r="I774" t="s">
        <v>179</v>
      </c>
      <c r="J774" s="33">
        <v>0</v>
      </c>
      <c r="K774" s="18">
        <f>VLOOKUP(D774,Ingredients!C:F,3,0)</f>
        <v>343.75</v>
      </c>
      <c r="L774" s="52">
        <f t="shared" si="25"/>
        <v>343.75</v>
      </c>
    </row>
    <row r="775" spans="1:12">
      <c r="A775" t="s">
        <v>360</v>
      </c>
      <c r="B775" t="s">
        <v>358</v>
      </c>
      <c r="C775" t="s">
        <v>359</v>
      </c>
      <c r="D775" s="3" t="s">
        <v>853</v>
      </c>
      <c r="E775" s="11">
        <v>0.01</v>
      </c>
      <c r="F775" s="7" t="s">
        <v>179</v>
      </c>
      <c r="G775" s="9">
        <v>30</v>
      </c>
      <c r="H775" s="9">
        <f t="shared" si="24"/>
        <v>0.3</v>
      </c>
      <c r="I775" t="s">
        <v>179</v>
      </c>
      <c r="J775" s="33">
        <v>0</v>
      </c>
      <c r="K775" s="18">
        <f>VLOOKUP(D775,Ingredients!C:G,5,0)</f>
        <v>55</v>
      </c>
      <c r="L775" s="52">
        <f t="shared" si="25"/>
        <v>0.55000000000000004</v>
      </c>
    </row>
    <row r="776" spans="1:12">
      <c r="A776" t="s">
        <v>256</v>
      </c>
      <c r="B776" t="s">
        <v>358</v>
      </c>
      <c r="C776" t="s">
        <v>361</v>
      </c>
      <c r="D776" s="3" t="s">
        <v>257</v>
      </c>
      <c r="E776" s="11">
        <v>0.14285714285714285</v>
      </c>
      <c r="F776" s="7" t="s">
        <v>179</v>
      </c>
      <c r="G776" s="9">
        <v>270</v>
      </c>
      <c r="H776" s="9">
        <f t="shared" si="24"/>
        <v>38.571428571428569</v>
      </c>
      <c r="I776" t="s">
        <v>485</v>
      </c>
      <c r="J776" s="33">
        <v>0</v>
      </c>
      <c r="K776" s="18">
        <f>VLOOKUP(D776,Ingredients!C:G,5,0)</f>
        <v>230</v>
      </c>
      <c r="L776" s="52">
        <f t="shared" si="25"/>
        <v>32.857142857142854</v>
      </c>
    </row>
    <row r="777" spans="1:12">
      <c r="A777" t="s">
        <v>256</v>
      </c>
      <c r="B777" t="s">
        <v>358</v>
      </c>
      <c r="C777" t="s">
        <v>361</v>
      </c>
      <c r="D777" s="3" t="s">
        <v>830</v>
      </c>
      <c r="E777" s="11">
        <v>3.5714285714285712E-2</v>
      </c>
      <c r="F777" s="7" t="s">
        <v>179</v>
      </c>
      <c r="G777" s="9">
        <v>149</v>
      </c>
      <c r="H777" s="9">
        <f t="shared" si="24"/>
        <v>5.3214285714285712</v>
      </c>
      <c r="I777" t="s">
        <v>485</v>
      </c>
      <c r="J777" s="33">
        <v>0</v>
      </c>
      <c r="K777" s="18">
        <f>VLOOKUP(D777,Ingredients!C:G,5,0)</f>
        <v>123</v>
      </c>
      <c r="L777" s="52">
        <f t="shared" si="25"/>
        <v>4.3928571428571423</v>
      </c>
    </row>
    <row r="778" spans="1:12">
      <c r="A778" t="s">
        <v>256</v>
      </c>
      <c r="B778" t="s">
        <v>358</v>
      </c>
      <c r="C778" t="s">
        <v>361</v>
      </c>
      <c r="D778" s="3" t="s">
        <v>872</v>
      </c>
      <c r="E778" s="11">
        <v>2.8571428571428574E-4</v>
      </c>
      <c r="F778" s="7" t="s">
        <v>179</v>
      </c>
      <c r="G778" s="9">
        <v>2100</v>
      </c>
      <c r="H778" s="9">
        <f t="shared" si="24"/>
        <v>0.60000000000000009</v>
      </c>
      <c r="I778" t="s">
        <v>485</v>
      </c>
      <c r="J778" s="33">
        <v>0</v>
      </c>
      <c r="K778" s="18">
        <f>VLOOKUP(D778,Ingredients!C:G,5,0)</f>
        <v>2150</v>
      </c>
      <c r="L778" s="52">
        <f t="shared" si="25"/>
        <v>0.61428571428571432</v>
      </c>
    </row>
    <row r="779" spans="1:12">
      <c r="A779" t="s">
        <v>256</v>
      </c>
      <c r="B779" t="s">
        <v>358</v>
      </c>
      <c r="C779" t="s">
        <v>361</v>
      </c>
      <c r="D779" s="3" t="s">
        <v>882</v>
      </c>
      <c r="E779" s="11">
        <v>2.8571428571428574E-4</v>
      </c>
      <c r="F779" s="7" t="s">
        <v>179</v>
      </c>
      <c r="G779" s="9">
        <v>1500</v>
      </c>
      <c r="H779" s="9">
        <f t="shared" si="24"/>
        <v>0.4285714285714286</v>
      </c>
      <c r="I779" t="s">
        <v>485</v>
      </c>
      <c r="J779" s="33">
        <v>0</v>
      </c>
      <c r="K779" s="18">
        <f>VLOOKUP(D779,Ingredients!C:G,5,0)</f>
        <v>1450</v>
      </c>
      <c r="L779" s="52">
        <f t="shared" si="25"/>
        <v>0.41428571428571431</v>
      </c>
    </row>
    <row r="780" spans="1:12">
      <c r="A780" t="s">
        <v>256</v>
      </c>
      <c r="B780" t="s">
        <v>358</v>
      </c>
      <c r="C780" t="s">
        <v>361</v>
      </c>
      <c r="D780" s="3" t="s">
        <v>31</v>
      </c>
      <c r="E780" s="11">
        <v>2.8571428571428574E-4</v>
      </c>
      <c r="F780" s="7" t="s">
        <v>179</v>
      </c>
      <c r="G780" s="9">
        <v>200</v>
      </c>
      <c r="H780" s="9">
        <f t="shared" si="24"/>
        <v>5.7142857142857148E-2</v>
      </c>
      <c r="I780" t="s">
        <v>485</v>
      </c>
      <c r="J780" s="33">
        <v>0</v>
      </c>
      <c r="K780" s="18">
        <f>VLOOKUP(D780,Ingredients!C:G,5,0)</f>
        <v>350</v>
      </c>
      <c r="L780" s="52">
        <f t="shared" si="25"/>
        <v>0.1</v>
      </c>
    </row>
    <row r="781" spans="1:12">
      <c r="A781" t="s">
        <v>256</v>
      </c>
      <c r="B781" t="s">
        <v>358</v>
      </c>
      <c r="C781" t="s">
        <v>361</v>
      </c>
      <c r="D781" s="3" t="s">
        <v>841</v>
      </c>
      <c r="E781" s="11">
        <v>2.0000000000000001E-4</v>
      </c>
      <c r="F781" s="7" t="s">
        <v>179</v>
      </c>
      <c r="G781" s="9">
        <v>50</v>
      </c>
      <c r="H781" s="9">
        <f t="shared" si="24"/>
        <v>0.01</v>
      </c>
      <c r="I781" t="s">
        <v>485</v>
      </c>
      <c r="J781" s="33">
        <v>0</v>
      </c>
      <c r="K781" s="18">
        <f>VLOOKUP(D781,Ingredients!C:G,5,0)</f>
        <v>50</v>
      </c>
      <c r="L781" s="52">
        <f t="shared" si="25"/>
        <v>0.01</v>
      </c>
    </row>
    <row r="782" spans="1:12">
      <c r="A782" t="s">
        <v>256</v>
      </c>
      <c r="B782" t="s">
        <v>358</v>
      </c>
      <c r="C782" t="s">
        <v>361</v>
      </c>
      <c r="D782" s="3" t="s">
        <v>853</v>
      </c>
      <c r="E782" s="11">
        <v>1.7142857142857143E-4</v>
      </c>
      <c r="F782" s="7" t="s">
        <v>179</v>
      </c>
      <c r="G782" s="9">
        <v>30</v>
      </c>
      <c r="H782" s="9">
        <f t="shared" si="24"/>
        <v>5.1428571428571426E-3</v>
      </c>
      <c r="I782" t="s">
        <v>485</v>
      </c>
      <c r="J782" s="33">
        <v>0</v>
      </c>
      <c r="K782" s="18">
        <f>VLOOKUP(D782,Ingredients!C:G,5,0)</f>
        <v>55</v>
      </c>
      <c r="L782" s="52">
        <f t="shared" si="25"/>
        <v>9.4285714285714285E-3</v>
      </c>
    </row>
    <row r="783" spans="1:12">
      <c r="A783" t="s">
        <v>256</v>
      </c>
      <c r="B783" t="s">
        <v>358</v>
      </c>
      <c r="C783" t="s">
        <v>361</v>
      </c>
      <c r="D783" s="3" t="s">
        <v>901</v>
      </c>
      <c r="E783" s="11">
        <v>0.2</v>
      </c>
      <c r="F783" s="7" t="s">
        <v>190</v>
      </c>
      <c r="G783" s="9">
        <v>73</v>
      </c>
      <c r="H783" s="9">
        <f t="shared" si="24"/>
        <v>14.600000000000001</v>
      </c>
      <c r="I783" t="s">
        <v>485</v>
      </c>
      <c r="J783" s="33">
        <v>0</v>
      </c>
      <c r="K783" s="18">
        <f>VLOOKUP(D783,Ingredients!C:G,5,0)</f>
        <v>73</v>
      </c>
      <c r="L783" s="52">
        <f t="shared" si="25"/>
        <v>14.600000000000001</v>
      </c>
    </row>
    <row r="784" spans="1:12">
      <c r="A784" t="s">
        <v>259</v>
      </c>
      <c r="B784" t="s">
        <v>362</v>
      </c>
      <c r="C784" t="s">
        <v>354</v>
      </c>
      <c r="D784" s="3" t="s">
        <v>14</v>
      </c>
      <c r="E784" s="11">
        <v>2</v>
      </c>
      <c r="F784" s="7" t="s">
        <v>179</v>
      </c>
      <c r="G784" s="9">
        <v>120</v>
      </c>
      <c r="H784" s="9">
        <f t="shared" si="24"/>
        <v>240</v>
      </c>
      <c r="I784" t="s">
        <v>487</v>
      </c>
      <c r="J784" s="33">
        <v>0</v>
      </c>
      <c r="K784" s="18">
        <f>VLOOKUP(D784,Ingredients!C:G,5,0)</f>
        <v>60</v>
      </c>
      <c r="L784" s="52">
        <f t="shared" si="25"/>
        <v>120</v>
      </c>
    </row>
    <row r="785" spans="1:12">
      <c r="A785" t="s">
        <v>259</v>
      </c>
      <c r="B785" t="s">
        <v>362</v>
      </c>
      <c r="C785" t="s">
        <v>354</v>
      </c>
      <c r="D785" s="3" t="s">
        <v>28</v>
      </c>
      <c r="E785" s="11">
        <v>1</v>
      </c>
      <c r="F785" s="7" t="s">
        <v>179</v>
      </c>
      <c r="G785" s="9">
        <v>85</v>
      </c>
      <c r="H785" s="9">
        <f t="shared" si="24"/>
        <v>85</v>
      </c>
      <c r="I785" t="s">
        <v>487</v>
      </c>
      <c r="J785" s="33">
        <v>0</v>
      </c>
      <c r="K785" s="18">
        <f>VLOOKUP(D785,Ingredients!C:G,5,0)</f>
        <v>70</v>
      </c>
      <c r="L785" s="52">
        <f t="shared" si="25"/>
        <v>70</v>
      </c>
    </row>
    <row r="786" spans="1:12">
      <c r="A786" t="s">
        <v>259</v>
      </c>
      <c r="B786" t="s">
        <v>362</v>
      </c>
      <c r="C786" t="s">
        <v>354</v>
      </c>
      <c r="D786" s="3" t="s">
        <v>260</v>
      </c>
      <c r="E786" s="11">
        <v>1</v>
      </c>
      <c r="F786" s="7" t="s">
        <v>179</v>
      </c>
      <c r="G786" s="9">
        <v>400</v>
      </c>
      <c r="H786" s="9">
        <f t="shared" si="24"/>
        <v>400</v>
      </c>
      <c r="I786" t="s">
        <v>487</v>
      </c>
      <c r="J786" s="33">
        <v>0</v>
      </c>
      <c r="K786" s="18">
        <f>VLOOKUP(D786,Ingredients!C:G,5,0)</f>
        <v>370</v>
      </c>
      <c r="L786" s="52">
        <f t="shared" si="25"/>
        <v>370</v>
      </c>
    </row>
    <row r="787" spans="1:12">
      <c r="A787" t="s">
        <v>259</v>
      </c>
      <c r="B787" t="s">
        <v>362</v>
      </c>
      <c r="C787" t="s">
        <v>354</v>
      </c>
      <c r="D787" s="3" t="s">
        <v>95</v>
      </c>
      <c r="E787" s="11">
        <v>0.5</v>
      </c>
      <c r="F787" s="7" t="s">
        <v>179</v>
      </c>
      <c r="G787" s="9">
        <v>140</v>
      </c>
      <c r="H787" s="9">
        <f t="shared" si="24"/>
        <v>70</v>
      </c>
      <c r="I787" t="s">
        <v>487</v>
      </c>
      <c r="J787" s="33">
        <v>0</v>
      </c>
      <c r="K787" s="18">
        <f>VLOOKUP(D787,Ingredients!C:G,5,0)</f>
        <v>90</v>
      </c>
      <c r="L787" s="52">
        <f t="shared" si="25"/>
        <v>45</v>
      </c>
    </row>
    <row r="788" spans="1:12">
      <c r="A788" t="s">
        <v>259</v>
      </c>
      <c r="B788" t="s">
        <v>362</v>
      </c>
      <c r="C788" t="s">
        <v>354</v>
      </c>
      <c r="D788" s="3" t="s">
        <v>889</v>
      </c>
      <c r="E788" s="11">
        <v>0.125</v>
      </c>
      <c r="F788" s="7" t="s">
        <v>179</v>
      </c>
      <c r="G788" s="9">
        <v>1648.3235294117644</v>
      </c>
      <c r="H788" s="9">
        <f t="shared" si="24"/>
        <v>206.04044117647055</v>
      </c>
      <c r="I788" t="s">
        <v>487</v>
      </c>
      <c r="J788" s="33">
        <v>0</v>
      </c>
      <c r="K788" s="18">
        <f>VLOOKUP(D788,Ingredients!C:F,3,0)</f>
        <v>560.42999999999995</v>
      </c>
      <c r="L788" s="52">
        <f t="shared" si="25"/>
        <v>70.053749999999994</v>
      </c>
    </row>
    <row r="789" spans="1:12">
      <c r="A789" t="s">
        <v>259</v>
      </c>
      <c r="B789" t="s">
        <v>362</v>
      </c>
      <c r="C789" t="s">
        <v>354</v>
      </c>
      <c r="D789" s="3" t="s">
        <v>17</v>
      </c>
      <c r="E789" s="11">
        <v>0.125</v>
      </c>
      <c r="F789" s="7" t="s">
        <v>179</v>
      </c>
      <c r="G789" s="9">
        <v>80</v>
      </c>
      <c r="H789" s="9">
        <f t="shared" si="24"/>
        <v>10</v>
      </c>
      <c r="I789" t="s">
        <v>487</v>
      </c>
      <c r="J789" s="33">
        <v>0</v>
      </c>
      <c r="K789" s="18">
        <f>VLOOKUP(D789,Ingredients!C:G,5,0)</f>
        <v>5</v>
      </c>
      <c r="L789" s="52">
        <f t="shared" si="25"/>
        <v>0.625</v>
      </c>
    </row>
    <row r="790" spans="1:12">
      <c r="A790" t="s">
        <v>259</v>
      </c>
      <c r="B790" t="s">
        <v>362</v>
      </c>
      <c r="C790" t="s">
        <v>354</v>
      </c>
      <c r="D790" s="3" t="s">
        <v>7</v>
      </c>
      <c r="E790" s="11">
        <v>1</v>
      </c>
      <c r="F790" s="7" t="s">
        <v>252</v>
      </c>
      <c r="G790" s="9">
        <v>8</v>
      </c>
      <c r="H790" s="9">
        <f t="shared" si="24"/>
        <v>8</v>
      </c>
      <c r="I790" t="s">
        <v>487</v>
      </c>
      <c r="J790" s="33">
        <v>0</v>
      </c>
      <c r="K790" s="18">
        <f>VLOOKUP(D790,Ingredients!C:G,5,0)</f>
        <v>6</v>
      </c>
      <c r="L790" s="52">
        <f t="shared" si="25"/>
        <v>6</v>
      </c>
    </row>
    <row r="791" spans="1:12">
      <c r="A791" t="s">
        <v>264</v>
      </c>
      <c r="B791" t="s">
        <v>362</v>
      </c>
      <c r="C791" t="s">
        <v>354</v>
      </c>
      <c r="D791" s="3" t="s">
        <v>15</v>
      </c>
      <c r="E791" s="11">
        <v>2</v>
      </c>
      <c r="F791" s="7" t="s">
        <v>179</v>
      </c>
      <c r="G791" s="9">
        <v>130</v>
      </c>
      <c r="H791" s="9">
        <f t="shared" si="24"/>
        <v>260</v>
      </c>
      <c r="I791" t="s">
        <v>487</v>
      </c>
      <c r="J791" s="33">
        <v>0</v>
      </c>
      <c r="K791" s="18">
        <f>VLOOKUP(D791,Ingredients!C:G,5,0)</f>
        <v>90</v>
      </c>
      <c r="L791" s="52">
        <f t="shared" si="25"/>
        <v>180</v>
      </c>
    </row>
    <row r="792" spans="1:12">
      <c r="A792" t="s">
        <v>264</v>
      </c>
      <c r="B792" t="s">
        <v>362</v>
      </c>
      <c r="C792" t="s">
        <v>354</v>
      </c>
      <c r="D792" s="3" t="s">
        <v>975</v>
      </c>
      <c r="E792" s="11">
        <v>2</v>
      </c>
      <c r="F792" s="7" t="s">
        <v>179</v>
      </c>
      <c r="G792" s="9">
        <v>142.85</v>
      </c>
      <c r="H792" s="9">
        <f t="shared" si="24"/>
        <v>285.7</v>
      </c>
      <c r="I792" t="s">
        <v>487</v>
      </c>
      <c r="J792" s="33">
        <v>0</v>
      </c>
      <c r="K792" s="18">
        <f>VLOOKUP(D792,Ingredients!C:G,5,0)</f>
        <v>142.85</v>
      </c>
      <c r="L792" s="52">
        <f t="shared" si="25"/>
        <v>285.7</v>
      </c>
    </row>
    <row r="793" spans="1:12">
      <c r="A793" t="s">
        <v>264</v>
      </c>
      <c r="B793" t="s">
        <v>362</v>
      </c>
      <c r="C793" t="s">
        <v>354</v>
      </c>
      <c r="D793" s="3" t="s">
        <v>881</v>
      </c>
      <c r="E793" s="11">
        <v>0.5</v>
      </c>
      <c r="F793" s="7" t="s">
        <v>179</v>
      </c>
      <c r="G793" s="9">
        <v>871</v>
      </c>
      <c r="H793" s="9">
        <f t="shared" si="24"/>
        <v>435.5</v>
      </c>
      <c r="I793" t="s">
        <v>487</v>
      </c>
      <c r="J793" s="33">
        <v>0</v>
      </c>
      <c r="K793" s="18">
        <f>VLOOKUP(D793,Ingredients!C:G,5,0)</f>
        <v>885.41</v>
      </c>
      <c r="L793" s="52">
        <f t="shared" si="25"/>
        <v>442.70499999999998</v>
      </c>
    </row>
    <row r="794" spans="1:12">
      <c r="A794" t="s">
        <v>264</v>
      </c>
      <c r="B794" t="s">
        <v>362</v>
      </c>
      <c r="C794" t="s">
        <v>354</v>
      </c>
      <c r="D794" s="3" t="s">
        <v>877</v>
      </c>
      <c r="E794" s="11">
        <v>1.2</v>
      </c>
      <c r="F794" s="7" t="s">
        <v>181</v>
      </c>
      <c r="G794" s="9">
        <v>1750</v>
      </c>
      <c r="H794" s="9">
        <f t="shared" si="24"/>
        <v>2100</v>
      </c>
      <c r="I794" t="s">
        <v>487</v>
      </c>
      <c r="J794" s="33">
        <v>0</v>
      </c>
      <c r="K794" s="18">
        <f>VLOOKUP(D794,Ingredients!C:G,5,0)</f>
        <v>776</v>
      </c>
      <c r="L794" s="52">
        <f t="shared" si="25"/>
        <v>931.19999999999993</v>
      </c>
    </row>
    <row r="795" spans="1:12">
      <c r="A795" t="s">
        <v>266</v>
      </c>
      <c r="B795" t="s">
        <v>362</v>
      </c>
      <c r="C795" t="s">
        <v>354</v>
      </c>
      <c r="D795" s="3" t="s">
        <v>94</v>
      </c>
      <c r="E795" s="11">
        <v>0.6696428571428571</v>
      </c>
      <c r="F795" s="7" t="s">
        <v>179</v>
      </c>
      <c r="G795" s="9">
        <v>90</v>
      </c>
      <c r="H795" s="9">
        <f t="shared" si="24"/>
        <v>60.267857142857139</v>
      </c>
      <c r="I795" t="s">
        <v>179</v>
      </c>
      <c r="J795" s="33">
        <v>0</v>
      </c>
      <c r="K795" s="18">
        <f>VLOOKUP(D795,Ingredients!C:G,5,0)</f>
        <v>40</v>
      </c>
      <c r="L795" s="52">
        <f t="shared" si="25"/>
        <v>26.785714285714285</v>
      </c>
    </row>
    <row r="796" spans="1:12">
      <c r="A796" t="s">
        <v>266</v>
      </c>
      <c r="B796" t="s">
        <v>362</v>
      </c>
      <c r="C796" t="s">
        <v>354</v>
      </c>
      <c r="D796" s="3" t="s">
        <v>975</v>
      </c>
      <c r="E796" s="11">
        <v>0.4017857142857143</v>
      </c>
      <c r="F796" s="7" t="s">
        <v>179</v>
      </c>
      <c r="G796" s="9">
        <v>142.85</v>
      </c>
      <c r="H796" s="9">
        <f t="shared" si="24"/>
        <v>57.395089285714285</v>
      </c>
      <c r="I796" t="s">
        <v>179</v>
      </c>
      <c r="J796" s="33">
        <v>0</v>
      </c>
      <c r="K796" s="18">
        <f>VLOOKUP(D796,Ingredients!C:G,5,0)</f>
        <v>142.85</v>
      </c>
      <c r="L796" s="52">
        <f t="shared" si="25"/>
        <v>57.395089285714285</v>
      </c>
    </row>
    <row r="797" spans="1:12">
      <c r="A797" t="s">
        <v>266</v>
      </c>
      <c r="B797" t="s">
        <v>362</v>
      </c>
      <c r="C797" t="s">
        <v>354</v>
      </c>
      <c r="D797" s="3" t="s">
        <v>906</v>
      </c>
      <c r="E797" s="11">
        <v>0.31473214285714285</v>
      </c>
      <c r="F797" s="7" t="s">
        <v>179</v>
      </c>
      <c r="G797" s="9">
        <v>700</v>
      </c>
      <c r="H797" s="9">
        <f t="shared" si="24"/>
        <v>220.3125</v>
      </c>
      <c r="I797" t="s">
        <v>179</v>
      </c>
      <c r="J797" s="33">
        <v>0</v>
      </c>
      <c r="K797" s="18">
        <f>VLOOKUP(D797,Ingredients!C:G,5,0)</f>
        <v>750</v>
      </c>
      <c r="L797" s="52">
        <f t="shared" si="25"/>
        <v>236.04910714285714</v>
      </c>
    </row>
    <row r="798" spans="1:12">
      <c r="A798" t="s">
        <v>266</v>
      </c>
      <c r="B798" t="s">
        <v>362</v>
      </c>
      <c r="C798" t="s">
        <v>354</v>
      </c>
      <c r="D798" s="3" t="s">
        <v>888</v>
      </c>
      <c r="E798" s="11">
        <v>0.10714285714285715</v>
      </c>
      <c r="F798" s="7" t="s">
        <v>179</v>
      </c>
      <c r="G798" s="9">
        <v>580</v>
      </c>
      <c r="H798" s="9">
        <f t="shared" si="24"/>
        <v>62.142857142857146</v>
      </c>
      <c r="I798" t="s">
        <v>179</v>
      </c>
      <c r="J798" s="33">
        <v>0</v>
      </c>
      <c r="K798" s="18">
        <f>VLOOKUP(D798,Ingredients!C:G,5,0)</f>
        <v>580</v>
      </c>
      <c r="L798" s="52">
        <f t="shared" si="25"/>
        <v>62.142857142857146</v>
      </c>
    </row>
    <row r="799" spans="1:12">
      <c r="A799" t="s">
        <v>266</v>
      </c>
      <c r="B799" t="s">
        <v>362</v>
      </c>
      <c r="C799" t="s">
        <v>354</v>
      </c>
      <c r="D799" s="3" t="s">
        <v>920</v>
      </c>
      <c r="E799" s="11">
        <v>2.0089285714285712E-2</v>
      </c>
      <c r="F799" s="7" t="s">
        <v>179</v>
      </c>
      <c r="G799" s="9">
        <v>310</v>
      </c>
      <c r="H799" s="9">
        <f t="shared" si="24"/>
        <v>6.2276785714285712</v>
      </c>
      <c r="I799" t="s">
        <v>179</v>
      </c>
      <c r="J799" s="33">
        <v>0</v>
      </c>
      <c r="K799" s="18">
        <f>VLOOKUP(D799,Ingredients!C:G,5,0)</f>
        <v>310</v>
      </c>
      <c r="L799" s="52">
        <f t="shared" si="25"/>
        <v>6.2276785714285712</v>
      </c>
    </row>
    <row r="800" spans="1:12">
      <c r="A800" t="s">
        <v>267</v>
      </c>
      <c r="B800" t="s">
        <v>362</v>
      </c>
      <c r="C800" t="s">
        <v>354</v>
      </c>
      <c r="D800" s="3" t="s">
        <v>922</v>
      </c>
      <c r="E800" s="11">
        <v>0.5</v>
      </c>
      <c r="F800" s="7" t="s">
        <v>179</v>
      </c>
      <c r="G800" s="9">
        <v>300</v>
      </c>
      <c r="H800" s="9">
        <f t="shared" si="24"/>
        <v>150</v>
      </c>
      <c r="I800" t="s">
        <v>179</v>
      </c>
      <c r="J800" s="33">
        <v>0</v>
      </c>
      <c r="K800" s="18">
        <f>VLOOKUP(D800,Ingredients!C:G,5,0)</f>
        <v>315</v>
      </c>
      <c r="L800" s="52">
        <f t="shared" si="25"/>
        <v>157.5</v>
      </c>
    </row>
    <row r="801" spans="1:12">
      <c r="A801" t="s">
        <v>267</v>
      </c>
      <c r="B801" t="s">
        <v>362</v>
      </c>
      <c r="C801" t="s">
        <v>354</v>
      </c>
      <c r="D801" s="3" t="s">
        <v>868</v>
      </c>
      <c r="E801" s="11">
        <v>0.06</v>
      </c>
      <c r="F801" s="7" t="s">
        <v>179</v>
      </c>
      <c r="G801" s="9">
        <v>5432.77</v>
      </c>
      <c r="H801" s="9">
        <f t="shared" si="24"/>
        <v>325.96620000000001</v>
      </c>
      <c r="I801" t="s">
        <v>179</v>
      </c>
      <c r="J801" s="33">
        <v>0</v>
      </c>
      <c r="K801" s="18">
        <f>VLOOKUP(D801,Ingredients!C:G,5,0)</f>
        <v>3200</v>
      </c>
      <c r="L801" s="52">
        <f t="shared" si="25"/>
        <v>192</v>
      </c>
    </row>
    <row r="802" spans="1:12">
      <c r="A802" t="s">
        <v>267</v>
      </c>
      <c r="B802" t="s">
        <v>362</v>
      </c>
      <c r="C802" t="s">
        <v>354</v>
      </c>
      <c r="D802" s="3" t="s">
        <v>98</v>
      </c>
      <c r="E802" s="11">
        <v>0.06</v>
      </c>
      <c r="F802" s="7" t="s">
        <v>179</v>
      </c>
      <c r="G802" s="9">
        <v>1375</v>
      </c>
      <c r="H802" s="9">
        <f t="shared" si="24"/>
        <v>82.5</v>
      </c>
      <c r="I802" t="s">
        <v>179</v>
      </c>
      <c r="J802" s="33">
        <v>0</v>
      </c>
      <c r="K802" s="18">
        <f>VLOOKUP(D802,Ingredients!C:G,5,0)</f>
        <v>1300</v>
      </c>
      <c r="L802" s="52">
        <f t="shared" si="25"/>
        <v>78</v>
      </c>
    </row>
    <row r="803" spans="1:12">
      <c r="A803" t="s">
        <v>267</v>
      </c>
      <c r="B803" t="s">
        <v>362</v>
      </c>
      <c r="C803" t="s">
        <v>354</v>
      </c>
      <c r="D803" s="3" t="s">
        <v>186</v>
      </c>
      <c r="E803" s="11">
        <v>0.06</v>
      </c>
      <c r="F803" s="7" t="s">
        <v>179</v>
      </c>
      <c r="G803" s="9">
        <v>1500</v>
      </c>
      <c r="H803" s="9">
        <f t="shared" si="24"/>
        <v>90</v>
      </c>
      <c r="I803" t="s">
        <v>179</v>
      </c>
      <c r="J803" s="33">
        <v>0</v>
      </c>
      <c r="K803" s="18">
        <f>VLOOKUP(D803,Ingredients!C:G,5,0)</f>
        <v>1400</v>
      </c>
      <c r="L803" s="52">
        <f t="shared" si="25"/>
        <v>84</v>
      </c>
    </row>
    <row r="804" spans="1:12">
      <c r="A804" t="s">
        <v>267</v>
      </c>
      <c r="B804" t="s">
        <v>362</v>
      </c>
      <c r="C804" t="s">
        <v>354</v>
      </c>
      <c r="D804" s="3" t="s">
        <v>853</v>
      </c>
      <c r="E804" s="11">
        <v>1.4999999999999999E-2</v>
      </c>
      <c r="F804" s="7" t="s">
        <v>179</v>
      </c>
      <c r="G804" s="9">
        <v>30</v>
      </c>
      <c r="H804" s="9">
        <f t="shared" si="24"/>
        <v>0.44999999999999996</v>
      </c>
      <c r="I804" t="s">
        <v>179</v>
      </c>
      <c r="J804" s="33">
        <v>0</v>
      </c>
      <c r="K804" s="18">
        <f>VLOOKUP(D804,Ingredients!C:G,5,0)</f>
        <v>55</v>
      </c>
      <c r="L804" s="52">
        <f t="shared" si="25"/>
        <v>0.82499999999999996</v>
      </c>
    </row>
    <row r="805" spans="1:12">
      <c r="A805" t="s">
        <v>269</v>
      </c>
      <c r="B805" t="s">
        <v>362</v>
      </c>
      <c r="C805" t="s">
        <v>354</v>
      </c>
      <c r="D805" s="3" t="s">
        <v>270</v>
      </c>
      <c r="E805" s="11">
        <v>1</v>
      </c>
      <c r="F805" s="7" t="s">
        <v>179</v>
      </c>
      <c r="G805" s="9">
        <v>90</v>
      </c>
      <c r="H805" s="9">
        <f t="shared" si="24"/>
        <v>90</v>
      </c>
      <c r="I805" t="s">
        <v>487</v>
      </c>
      <c r="J805" s="33">
        <v>0</v>
      </c>
      <c r="K805" s="18">
        <f>VLOOKUP(D805,Ingredients!C:G,5,0)</f>
        <v>130</v>
      </c>
      <c r="L805" s="52">
        <f t="shared" si="25"/>
        <v>130</v>
      </c>
    </row>
    <row r="806" spans="1:12">
      <c r="A806" t="s">
        <v>269</v>
      </c>
      <c r="B806" t="s">
        <v>362</v>
      </c>
      <c r="C806" t="s">
        <v>354</v>
      </c>
      <c r="D806" s="3" t="s">
        <v>271</v>
      </c>
      <c r="E806" s="11">
        <v>1</v>
      </c>
      <c r="F806" s="7" t="s">
        <v>179</v>
      </c>
      <c r="G806" s="9">
        <v>350</v>
      </c>
      <c r="H806" s="9">
        <f t="shared" si="24"/>
        <v>350</v>
      </c>
      <c r="I806" t="s">
        <v>487</v>
      </c>
      <c r="J806" s="33">
        <v>0</v>
      </c>
      <c r="K806" s="18">
        <f>VLOOKUP(D806,Ingredients!C:G,5,0)</f>
        <v>55</v>
      </c>
      <c r="L806" s="52">
        <f t="shared" si="25"/>
        <v>55</v>
      </c>
    </row>
    <row r="807" spans="1:12">
      <c r="A807" t="s">
        <v>269</v>
      </c>
      <c r="B807" t="s">
        <v>362</v>
      </c>
      <c r="C807" t="s">
        <v>354</v>
      </c>
      <c r="D807" s="3" t="s">
        <v>805</v>
      </c>
      <c r="E807" s="11">
        <v>1</v>
      </c>
      <c r="F807" s="7" t="s">
        <v>179</v>
      </c>
      <c r="G807" s="9">
        <v>200</v>
      </c>
      <c r="H807" s="9">
        <f t="shared" si="24"/>
        <v>200</v>
      </c>
      <c r="I807" t="s">
        <v>487</v>
      </c>
      <c r="J807" s="33">
        <v>0</v>
      </c>
      <c r="K807" s="18">
        <f>VLOOKUP(D807,Ingredients!C:G,5,0)</f>
        <v>50</v>
      </c>
      <c r="L807" s="52">
        <f t="shared" si="25"/>
        <v>50</v>
      </c>
    </row>
    <row r="808" spans="1:12">
      <c r="A808" t="s">
        <v>269</v>
      </c>
      <c r="B808" t="s">
        <v>362</v>
      </c>
      <c r="C808" t="s">
        <v>354</v>
      </c>
      <c r="D808" s="3" t="s">
        <v>975</v>
      </c>
      <c r="E808" s="11">
        <v>0.5</v>
      </c>
      <c r="F808" s="7" t="s">
        <v>179</v>
      </c>
      <c r="G808" s="9">
        <v>142.85</v>
      </c>
      <c r="H808" s="9">
        <f t="shared" si="24"/>
        <v>71.424999999999997</v>
      </c>
      <c r="I808" t="s">
        <v>487</v>
      </c>
      <c r="J808" s="33">
        <v>0</v>
      </c>
      <c r="K808" s="18">
        <f>VLOOKUP(D808,Ingredients!C:G,5,0)</f>
        <v>142.85</v>
      </c>
      <c r="L808" s="52">
        <f t="shared" si="25"/>
        <v>71.424999999999997</v>
      </c>
    </row>
    <row r="809" spans="1:12">
      <c r="A809" t="s">
        <v>269</v>
      </c>
      <c r="B809" t="s">
        <v>362</v>
      </c>
      <c r="C809" t="s">
        <v>354</v>
      </c>
      <c r="D809" s="3" t="s">
        <v>272</v>
      </c>
      <c r="E809" s="11">
        <v>0.5</v>
      </c>
      <c r="F809" s="7" t="s">
        <v>179</v>
      </c>
      <c r="G809" s="9">
        <v>200</v>
      </c>
      <c r="H809" s="9">
        <f t="shared" si="24"/>
        <v>100</v>
      </c>
      <c r="I809" t="s">
        <v>487</v>
      </c>
      <c r="J809" s="33">
        <v>0</v>
      </c>
      <c r="K809" s="18">
        <f>VLOOKUP(D809,Ingredients!C:G,5,0)</f>
        <v>166.66</v>
      </c>
      <c r="L809" s="52">
        <f t="shared" si="25"/>
        <v>83.33</v>
      </c>
    </row>
    <row r="810" spans="1:12">
      <c r="A810" t="s">
        <v>269</v>
      </c>
      <c r="B810" t="s">
        <v>362</v>
      </c>
      <c r="C810" t="s">
        <v>354</v>
      </c>
      <c r="D810" s="3" t="s">
        <v>273</v>
      </c>
      <c r="E810" s="11">
        <v>0.5</v>
      </c>
      <c r="F810" s="7" t="s">
        <v>179</v>
      </c>
      <c r="G810" s="9">
        <v>175</v>
      </c>
      <c r="H810" s="9">
        <f t="shared" si="24"/>
        <v>87.5</v>
      </c>
      <c r="I810" t="s">
        <v>487</v>
      </c>
      <c r="J810" s="33">
        <v>0</v>
      </c>
      <c r="K810" s="18">
        <f>VLOOKUP(D810,Ingredients!C:G,5,0)</f>
        <v>200</v>
      </c>
      <c r="L810" s="52">
        <f t="shared" si="25"/>
        <v>100</v>
      </c>
    </row>
    <row r="811" spans="1:12">
      <c r="A811" t="s">
        <v>269</v>
      </c>
      <c r="B811" t="s">
        <v>362</v>
      </c>
      <c r="C811" t="s">
        <v>354</v>
      </c>
      <c r="D811" s="3" t="s">
        <v>146</v>
      </c>
      <c r="E811" s="11">
        <v>6</v>
      </c>
      <c r="F811" s="7" t="s">
        <v>253</v>
      </c>
      <c r="G811" s="9">
        <v>130</v>
      </c>
      <c r="H811" s="9">
        <f t="shared" si="24"/>
        <v>780</v>
      </c>
      <c r="I811" t="s">
        <v>487</v>
      </c>
      <c r="J811" s="33">
        <v>0</v>
      </c>
      <c r="K811" s="18">
        <f>VLOOKUP(D811,Ingredients!C:G,5,0)</f>
        <v>20</v>
      </c>
      <c r="L811" s="52">
        <f t="shared" si="25"/>
        <v>120</v>
      </c>
    </row>
    <row r="812" spans="1:12">
      <c r="A812" t="s">
        <v>274</v>
      </c>
      <c r="B812" t="s">
        <v>345</v>
      </c>
      <c r="C812" t="s">
        <v>274</v>
      </c>
      <c r="D812" s="3" t="s">
        <v>73</v>
      </c>
      <c r="E812" s="11">
        <v>1</v>
      </c>
      <c r="F812" s="7" t="s">
        <v>179</v>
      </c>
      <c r="G812" s="9">
        <v>305</v>
      </c>
      <c r="H812" s="9">
        <f t="shared" si="24"/>
        <v>305</v>
      </c>
      <c r="I812" t="s">
        <v>179</v>
      </c>
      <c r="J812" s="33">
        <v>0</v>
      </c>
      <c r="K812" s="18">
        <f>VLOOKUP(D812,Ingredients!C:G,5,0)</f>
        <v>300</v>
      </c>
      <c r="L812" s="52">
        <f t="shared" si="25"/>
        <v>300</v>
      </c>
    </row>
    <row r="813" spans="1:12">
      <c r="A813" t="s">
        <v>274</v>
      </c>
      <c r="B813" t="s">
        <v>345</v>
      </c>
      <c r="C813" t="s">
        <v>274</v>
      </c>
      <c r="D813" s="3" t="s">
        <v>7</v>
      </c>
      <c r="E813" s="11">
        <v>6.6666666666666661</v>
      </c>
      <c r="F813" s="7" t="s">
        <v>252</v>
      </c>
      <c r="G813" s="9">
        <v>8</v>
      </c>
      <c r="H813" s="9">
        <f t="shared" si="24"/>
        <v>53.333333333333329</v>
      </c>
      <c r="I813" t="s">
        <v>179</v>
      </c>
      <c r="J813" s="33">
        <v>0</v>
      </c>
      <c r="K813" s="18">
        <f>VLOOKUP(D813,Ingredients!C:G,5,0)</f>
        <v>6</v>
      </c>
      <c r="L813" s="52">
        <f t="shared" si="25"/>
        <v>40</v>
      </c>
    </row>
    <row r="814" spans="1:12">
      <c r="A814" t="s">
        <v>274</v>
      </c>
      <c r="B814" t="s">
        <v>345</v>
      </c>
      <c r="C814" t="s">
        <v>274</v>
      </c>
      <c r="D814" s="3" t="s">
        <v>35</v>
      </c>
      <c r="E814" s="11">
        <v>1.3333333333333333</v>
      </c>
      <c r="F814" s="7" t="s">
        <v>252</v>
      </c>
      <c r="G814" s="9">
        <v>13</v>
      </c>
      <c r="H814" s="9">
        <f t="shared" si="24"/>
        <v>17.333333333333332</v>
      </c>
      <c r="I814" t="s">
        <v>179</v>
      </c>
      <c r="J814" s="33">
        <v>0</v>
      </c>
      <c r="K814" s="18">
        <f>VLOOKUP(D814,Ingredients!C:G,5,0)</f>
        <v>15</v>
      </c>
      <c r="L814" s="52">
        <f t="shared" si="25"/>
        <v>20</v>
      </c>
    </row>
    <row r="815" spans="1:12">
      <c r="A815" t="s">
        <v>274</v>
      </c>
      <c r="B815" t="s">
        <v>345</v>
      </c>
      <c r="C815" t="s">
        <v>274</v>
      </c>
      <c r="D815" s="3" t="s">
        <v>16</v>
      </c>
      <c r="E815" s="11">
        <v>1.6666666666666666E-2</v>
      </c>
      <c r="F815" s="7" t="s">
        <v>179</v>
      </c>
      <c r="G815" s="9">
        <v>270</v>
      </c>
      <c r="H815" s="9">
        <f t="shared" si="24"/>
        <v>4.5</v>
      </c>
      <c r="I815" t="s">
        <v>179</v>
      </c>
      <c r="J815" s="33">
        <v>0</v>
      </c>
      <c r="K815" s="18">
        <f>VLOOKUP(D815,Ingredients!C:G,5,0)</f>
        <v>310</v>
      </c>
      <c r="L815" s="52">
        <f t="shared" si="25"/>
        <v>5.166666666666667</v>
      </c>
    </row>
    <row r="816" spans="1:12">
      <c r="A816" t="s">
        <v>274</v>
      </c>
      <c r="B816" t="s">
        <v>345</v>
      </c>
      <c r="C816" t="s">
        <v>274</v>
      </c>
      <c r="D816" s="3" t="s">
        <v>29</v>
      </c>
      <c r="E816" s="11">
        <v>1.6666666666666666E-2</v>
      </c>
      <c r="F816" s="7" t="s">
        <v>179</v>
      </c>
      <c r="G816" s="9">
        <v>60</v>
      </c>
      <c r="H816" s="9">
        <f t="shared" si="24"/>
        <v>1</v>
      </c>
      <c r="I816" t="s">
        <v>179</v>
      </c>
      <c r="J816" s="33">
        <v>0</v>
      </c>
      <c r="K816" s="18">
        <f>VLOOKUP(D816,Ingredients!C:G,5,0)</f>
        <v>100</v>
      </c>
      <c r="L816" s="52">
        <f t="shared" si="25"/>
        <v>1.6666666666666667</v>
      </c>
    </row>
    <row r="817" spans="1:12">
      <c r="A817" t="s">
        <v>275</v>
      </c>
      <c r="B817" t="s">
        <v>345</v>
      </c>
      <c r="C817" t="s">
        <v>345</v>
      </c>
      <c r="D817" s="3" t="s">
        <v>876</v>
      </c>
      <c r="E817" s="11">
        <v>0.25</v>
      </c>
      <c r="F817" s="7" t="s">
        <v>179</v>
      </c>
      <c r="G817" s="9">
        <v>270</v>
      </c>
      <c r="H817" s="9">
        <f t="shared" si="24"/>
        <v>67.5</v>
      </c>
      <c r="I817" t="s">
        <v>486</v>
      </c>
      <c r="J817" s="33">
        <v>0</v>
      </c>
      <c r="K817" s="18">
        <f>VLOOKUP(D817,Ingredients!C:G,5,0)</f>
        <v>290</v>
      </c>
      <c r="L817" s="52">
        <f t="shared" si="25"/>
        <v>72.5</v>
      </c>
    </row>
    <row r="818" spans="1:12">
      <c r="A818" t="s">
        <v>275</v>
      </c>
      <c r="B818" t="s">
        <v>345</v>
      </c>
      <c r="C818" t="s">
        <v>345</v>
      </c>
      <c r="D818" s="3" t="s">
        <v>830</v>
      </c>
      <c r="E818" s="11">
        <v>1.2500000000000001E-2</v>
      </c>
      <c r="F818" s="7" t="s">
        <v>179</v>
      </c>
      <c r="G818" s="9">
        <v>149</v>
      </c>
      <c r="H818" s="9">
        <f t="shared" si="24"/>
        <v>1.8625</v>
      </c>
      <c r="I818" t="s">
        <v>486</v>
      </c>
      <c r="J818" s="33">
        <v>0</v>
      </c>
      <c r="K818" s="18">
        <f>VLOOKUP(D818,Ingredients!C:G,5,0)</f>
        <v>123</v>
      </c>
      <c r="L818" s="52">
        <f t="shared" si="25"/>
        <v>1.5375000000000001</v>
      </c>
    </row>
    <row r="819" spans="1:12">
      <c r="A819" t="s">
        <v>275</v>
      </c>
      <c r="B819" t="s">
        <v>345</v>
      </c>
      <c r="C819" t="s">
        <v>345</v>
      </c>
      <c r="D819" s="3" t="s">
        <v>923</v>
      </c>
      <c r="E819" s="11">
        <v>1.2500000000000001E-2</v>
      </c>
      <c r="F819" s="7" t="s">
        <v>179</v>
      </c>
      <c r="G819" s="9">
        <v>100</v>
      </c>
      <c r="H819" s="9">
        <f t="shared" si="24"/>
        <v>1.25</v>
      </c>
      <c r="I819" t="s">
        <v>486</v>
      </c>
      <c r="J819" s="33">
        <v>0</v>
      </c>
      <c r="K819" s="18">
        <f>VLOOKUP(D819,Ingredients!C:G,5,0)</f>
        <v>1000</v>
      </c>
      <c r="L819" s="52">
        <f t="shared" si="25"/>
        <v>12.5</v>
      </c>
    </row>
    <row r="820" spans="1:12">
      <c r="A820" t="s">
        <v>275</v>
      </c>
      <c r="B820" t="s">
        <v>345</v>
      </c>
      <c r="C820" t="s">
        <v>345</v>
      </c>
      <c r="D820" s="3" t="s">
        <v>855</v>
      </c>
      <c r="E820" s="11">
        <v>1.2500000000000001E-2</v>
      </c>
      <c r="F820" s="7" t="s">
        <v>179</v>
      </c>
      <c r="G820" s="9">
        <v>2400</v>
      </c>
      <c r="H820" s="9">
        <f t="shared" si="24"/>
        <v>30</v>
      </c>
      <c r="I820" t="s">
        <v>486</v>
      </c>
      <c r="J820" s="33">
        <v>0</v>
      </c>
      <c r="K820" s="18">
        <f>VLOOKUP(D820,Ingredients!C:G,5,0)</f>
        <v>1600</v>
      </c>
      <c r="L820" s="52">
        <f t="shared" si="25"/>
        <v>20</v>
      </c>
    </row>
    <row r="821" spans="1:12">
      <c r="A821" t="s">
        <v>275</v>
      </c>
      <c r="B821" t="s">
        <v>345</v>
      </c>
      <c r="C821" t="s">
        <v>345</v>
      </c>
      <c r="D821" s="3" t="s">
        <v>849</v>
      </c>
      <c r="E821" s="11">
        <v>1.2500000000000001E-2</v>
      </c>
      <c r="F821" s="7" t="s">
        <v>179</v>
      </c>
      <c r="G821" s="9">
        <v>1000</v>
      </c>
      <c r="H821" s="9">
        <f t="shared" si="24"/>
        <v>12.5</v>
      </c>
      <c r="I821" t="s">
        <v>486</v>
      </c>
      <c r="J821" s="33">
        <v>0</v>
      </c>
      <c r="K821" s="18">
        <f>VLOOKUP(D821,Ingredients!C:G,5,0)</f>
        <v>950</v>
      </c>
      <c r="L821" s="52">
        <f t="shared" si="25"/>
        <v>11.875</v>
      </c>
    </row>
    <row r="822" spans="1:12">
      <c r="A822" t="s">
        <v>276</v>
      </c>
      <c r="B822" t="s">
        <v>362</v>
      </c>
      <c r="C822" t="s">
        <v>354</v>
      </c>
      <c r="D822" s="3" t="s">
        <v>14</v>
      </c>
      <c r="E822" s="11">
        <v>0.5</v>
      </c>
      <c r="F822" s="7" t="s">
        <v>179</v>
      </c>
      <c r="G822" s="9">
        <v>120</v>
      </c>
      <c r="H822" s="9">
        <f t="shared" si="24"/>
        <v>60</v>
      </c>
      <c r="I822" t="s">
        <v>486</v>
      </c>
      <c r="J822" s="33">
        <v>0</v>
      </c>
      <c r="K822" s="18">
        <f>VLOOKUP(D822,Ingredients!C:G,5,0)</f>
        <v>60</v>
      </c>
      <c r="L822" s="52">
        <f t="shared" si="25"/>
        <v>30</v>
      </c>
    </row>
    <row r="823" spans="1:12">
      <c r="A823" t="s">
        <v>276</v>
      </c>
      <c r="B823" t="s">
        <v>362</v>
      </c>
      <c r="C823" t="s">
        <v>354</v>
      </c>
      <c r="D823" s="3" t="s">
        <v>28</v>
      </c>
      <c r="E823" s="11">
        <v>0.25</v>
      </c>
      <c r="F823" s="7" t="s">
        <v>179</v>
      </c>
      <c r="G823" s="9">
        <v>85</v>
      </c>
      <c r="H823" s="9">
        <f t="shared" si="24"/>
        <v>21.25</v>
      </c>
      <c r="I823" t="s">
        <v>486</v>
      </c>
      <c r="J823" s="33">
        <v>0</v>
      </c>
      <c r="K823" s="18">
        <f>VLOOKUP(D823,Ingredients!C:G,5,0)</f>
        <v>70</v>
      </c>
      <c r="L823" s="52">
        <f t="shared" si="25"/>
        <v>17.5</v>
      </c>
    </row>
    <row r="824" spans="1:12">
      <c r="A824" t="s">
        <v>276</v>
      </c>
      <c r="B824" t="s">
        <v>362</v>
      </c>
      <c r="C824" t="s">
        <v>354</v>
      </c>
      <c r="D824" s="3" t="s">
        <v>24</v>
      </c>
      <c r="E824" s="11">
        <v>0.25</v>
      </c>
      <c r="F824" s="7" t="s">
        <v>179</v>
      </c>
      <c r="G824" s="9">
        <v>55</v>
      </c>
      <c r="H824" s="9">
        <f t="shared" si="24"/>
        <v>13.75</v>
      </c>
      <c r="I824" t="s">
        <v>486</v>
      </c>
      <c r="J824" s="33">
        <v>0</v>
      </c>
      <c r="K824" s="18">
        <f>VLOOKUP(D824,Ingredients!C:G,5,0)</f>
        <v>80</v>
      </c>
      <c r="L824" s="52">
        <f t="shared" si="25"/>
        <v>20</v>
      </c>
    </row>
    <row r="825" spans="1:12">
      <c r="A825" t="s">
        <v>276</v>
      </c>
      <c r="B825" t="s">
        <v>362</v>
      </c>
      <c r="C825" t="s">
        <v>354</v>
      </c>
      <c r="D825" s="3" t="s">
        <v>277</v>
      </c>
      <c r="E825" s="11">
        <v>0.125</v>
      </c>
      <c r="F825" s="7" t="s">
        <v>179</v>
      </c>
      <c r="G825" s="9">
        <v>30</v>
      </c>
      <c r="H825" s="9">
        <f t="shared" ref="H825:H888" si="26">G825*E825</f>
        <v>3.75</v>
      </c>
      <c r="I825" t="s">
        <v>486</v>
      </c>
      <c r="J825" s="33">
        <v>0</v>
      </c>
      <c r="K825" s="18">
        <f>VLOOKUP(D825,Ingredients!C:G,5,0)</f>
        <v>20</v>
      </c>
      <c r="L825" s="52">
        <f t="shared" si="25"/>
        <v>2.5</v>
      </c>
    </row>
    <row r="826" spans="1:12">
      <c r="A826" t="s">
        <v>276</v>
      </c>
      <c r="B826" t="s">
        <v>362</v>
      </c>
      <c r="C826" t="s">
        <v>354</v>
      </c>
      <c r="D826" s="3" t="s">
        <v>50</v>
      </c>
      <c r="E826" s="11">
        <v>0.125</v>
      </c>
      <c r="F826" s="7" t="s">
        <v>179</v>
      </c>
      <c r="G826" s="9">
        <v>120</v>
      </c>
      <c r="H826" s="9">
        <f t="shared" si="26"/>
        <v>15</v>
      </c>
      <c r="I826" t="s">
        <v>486</v>
      </c>
      <c r="J826" s="33">
        <v>0</v>
      </c>
      <c r="K826" s="18">
        <f>VLOOKUP(D826,Ingredients!C:G,5,0)</f>
        <v>120</v>
      </c>
      <c r="L826" s="52">
        <f t="shared" si="25"/>
        <v>15</v>
      </c>
    </row>
    <row r="827" spans="1:12">
      <c r="A827" t="s">
        <v>278</v>
      </c>
      <c r="B827" t="s">
        <v>356</v>
      </c>
      <c r="C827" t="s">
        <v>356</v>
      </c>
      <c r="D827" s="3" t="s">
        <v>911</v>
      </c>
      <c r="E827" s="11">
        <v>1</v>
      </c>
      <c r="F827" s="7" t="s">
        <v>179</v>
      </c>
      <c r="G827" s="9">
        <v>154</v>
      </c>
      <c r="H827" s="9">
        <f t="shared" si="26"/>
        <v>154</v>
      </c>
      <c r="I827" t="s">
        <v>179</v>
      </c>
      <c r="J827" s="33">
        <v>0</v>
      </c>
      <c r="K827" s="18">
        <f>VLOOKUP(D827,Ingredients!C:G,5,0)</f>
        <v>144.19999999999999</v>
      </c>
      <c r="L827" s="52">
        <f t="shared" si="25"/>
        <v>144.19999999999999</v>
      </c>
    </row>
    <row r="828" spans="1:12">
      <c r="A828" t="s">
        <v>278</v>
      </c>
      <c r="B828" t="s">
        <v>356</v>
      </c>
      <c r="C828" t="s">
        <v>356</v>
      </c>
      <c r="D828" s="3" t="s">
        <v>852</v>
      </c>
      <c r="E828" s="11">
        <v>1</v>
      </c>
      <c r="F828" s="7" t="s">
        <v>179</v>
      </c>
      <c r="G828" s="9">
        <v>520.63</v>
      </c>
      <c r="H828" s="9">
        <f t="shared" si="26"/>
        <v>520.63</v>
      </c>
      <c r="I828" t="s">
        <v>179</v>
      </c>
      <c r="J828" s="33">
        <v>0</v>
      </c>
      <c r="K828" s="18">
        <v>550</v>
      </c>
      <c r="L828" s="52">
        <f t="shared" si="25"/>
        <v>550</v>
      </c>
    </row>
    <row r="829" spans="1:12">
      <c r="A829" t="s">
        <v>278</v>
      </c>
      <c r="B829" t="s">
        <v>356</v>
      </c>
      <c r="C829" t="s">
        <v>356</v>
      </c>
      <c r="D829" s="3" t="s">
        <v>873</v>
      </c>
      <c r="E829" s="11">
        <v>0.01</v>
      </c>
      <c r="F829" s="7" t="s">
        <v>179</v>
      </c>
      <c r="G829" s="9">
        <v>550</v>
      </c>
      <c r="H829" s="9">
        <f t="shared" si="26"/>
        <v>5.5</v>
      </c>
      <c r="I829" t="s">
        <v>179</v>
      </c>
      <c r="J829" s="33">
        <v>0</v>
      </c>
      <c r="K829" s="18">
        <f>VLOOKUP(D829,Ingredients!C:G,5,0)</f>
        <v>450</v>
      </c>
      <c r="L829" s="52">
        <f t="shared" si="25"/>
        <v>4.5</v>
      </c>
    </row>
    <row r="830" spans="1:12">
      <c r="A830" t="s">
        <v>278</v>
      </c>
      <c r="B830" t="s">
        <v>356</v>
      </c>
      <c r="C830" t="s">
        <v>356</v>
      </c>
      <c r="D830" s="3" t="s">
        <v>830</v>
      </c>
      <c r="E830" s="11">
        <v>4</v>
      </c>
      <c r="F830" s="7" t="s">
        <v>179</v>
      </c>
      <c r="G830" s="9">
        <v>149</v>
      </c>
      <c r="H830" s="9">
        <f t="shared" si="26"/>
        <v>596</v>
      </c>
      <c r="I830" t="s">
        <v>179</v>
      </c>
      <c r="J830" s="33">
        <v>0</v>
      </c>
      <c r="K830" s="18">
        <f>VLOOKUP(D830,Ingredients!C:G,5,0)</f>
        <v>123</v>
      </c>
      <c r="L830" s="52">
        <f t="shared" si="25"/>
        <v>492</v>
      </c>
    </row>
    <row r="831" spans="1:12">
      <c r="A831" t="s">
        <v>278</v>
      </c>
      <c r="B831" t="s">
        <v>356</v>
      </c>
      <c r="C831" t="s">
        <v>356</v>
      </c>
      <c r="D831" s="3" t="s">
        <v>892</v>
      </c>
      <c r="E831" s="11">
        <v>0.125</v>
      </c>
      <c r="F831" s="7" t="s">
        <v>179</v>
      </c>
      <c r="G831" s="9">
        <v>2000</v>
      </c>
      <c r="H831" s="9">
        <f t="shared" si="26"/>
        <v>250</v>
      </c>
      <c r="I831" t="s">
        <v>179</v>
      </c>
      <c r="J831" s="33">
        <v>0</v>
      </c>
      <c r="K831" s="18">
        <f>VLOOKUP(D831,Ingredients!C:G,5,0)</f>
        <v>2080</v>
      </c>
      <c r="L831" s="52">
        <f t="shared" si="25"/>
        <v>260</v>
      </c>
    </row>
    <row r="832" spans="1:12">
      <c r="A832" t="s">
        <v>278</v>
      </c>
      <c r="B832" t="s">
        <v>356</v>
      </c>
      <c r="C832" t="s">
        <v>356</v>
      </c>
      <c r="D832" s="3" t="s">
        <v>881</v>
      </c>
      <c r="E832" s="11">
        <v>0.125</v>
      </c>
      <c r="F832" s="7" t="s">
        <v>179</v>
      </c>
      <c r="G832" s="9">
        <v>871</v>
      </c>
      <c r="H832" s="9">
        <f t="shared" si="26"/>
        <v>108.875</v>
      </c>
      <c r="I832" t="s">
        <v>179</v>
      </c>
      <c r="J832" s="33">
        <v>0</v>
      </c>
      <c r="K832" s="18">
        <f>VLOOKUP(D832,Ingredients!C:G,5,0)</f>
        <v>885.41</v>
      </c>
      <c r="L832" s="52">
        <f t="shared" si="25"/>
        <v>110.67625</v>
      </c>
    </row>
    <row r="833" spans="1:12">
      <c r="A833" t="s">
        <v>278</v>
      </c>
      <c r="B833" t="s">
        <v>356</v>
      </c>
      <c r="C833" t="s">
        <v>356</v>
      </c>
      <c r="D833" s="3" t="s">
        <v>924</v>
      </c>
      <c r="E833" s="11">
        <v>0.20000000000000004</v>
      </c>
      <c r="F833" s="7" t="s">
        <v>179</v>
      </c>
      <c r="G833" s="9">
        <v>850</v>
      </c>
      <c r="H833" s="9">
        <f t="shared" si="26"/>
        <v>170.00000000000003</v>
      </c>
      <c r="I833" t="s">
        <v>179</v>
      </c>
      <c r="J833" s="33">
        <v>0</v>
      </c>
      <c r="K833" s="18">
        <f>VLOOKUP(D833,Ingredients!C:G,5,0)</f>
        <v>720</v>
      </c>
      <c r="L833" s="52">
        <f t="shared" si="25"/>
        <v>144.00000000000003</v>
      </c>
    </row>
    <row r="834" spans="1:12">
      <c r="A834" t="s">
        <v>371</v>
      </c>
      <c r="B834" t="s">
        <v>355</v>
      </c>
      <c r="C834" t="s">
        <v>371</v>
      </c>
      <c r="D834" s="3" t="s">
        <v>903</v>
      </c>
      <c r="E834" s="11">
        <v>9.0909090909090912E-2</v>
      </c>
      <c r="F834" s="7" t="s">
        <v>179</v>
      </c>
      <c r="G834" s="9">
        <v>153.97999999999999</v>
      </c>
      <c r="H834" s="9">
        <f t="shared" si="26"/>
        <v>13.998181818181818</v>
      </c>
      <c r="I834" t="s">
        <v>253</v>
      </c>
      <c r="J834" s="33">
        <v>0</v>
      </c>
      <c r="K834" s="18">
        <f>VLOOKUP(D834,Ingredients!C:G,5,0)</f>
        <v>152</v>
      </c>
      <c r="L834" s="52">
        <f t="shared" si="25"/>
        <v>13.818181818181818</v>
      </c>
    </row>
    <row r="835" spans="1:12">
      <c r="A835" t="s">
        <v>371</v>
      </c>
      <c r="B835" t="s">
        <v>355</v>
      </c>
      <c r="C835" t="s">
        <v>371</v>
      </c>
      <c r="D835" s="3" t="s">
        <v>853</v>
      </c>
      <c r="E835" s="11">
        <v>4.5454545454545455E-4</v>
      </c>
      <c r="F835" s="7" t="s">
        <v>179</v>
      </c>
      <c r="G835" s="9">
        <v>30</v>
      </c>
      <c r="H835" s="9">
        <f t="shared" si="26"/>
        <v>1.3636363636363636E-2</v>
      </c>
      <c r="I835" t="s">
        <v>253</v>
      </c>
      <c r="J835" s="33">
        <v>0</v>
      </c>
      <c r="K835" s="18">
        <f>VLOOKUP(D835,Ingredients!C:G,5,0)</f>
        <v>55</v>
      </c>
      <c r="L835" s="52">
        <f t="shared" si="25"/>
        <v>2.5000000000000001E-2</v>
      </c>
    </row>
    <row r="836" spans="1:12">
      <c r="A836" t="s">
        <v>371</v>
      </c>
      <c r="B836" t="s">
        <v>355</v>
      </c>
      <c r="C836" t="s">
        <v>371</v>
      </c>
      <c r="D836" s="3" t="s">
        <v>852</v>
      </c>
      <c r="E836" s="11">
        <v>1.4999999999999999E-2</v>
      </c>
      <c r="F836" s="7" t="s">
        <v>179</v>
      </c>
      <c r="G836" s="9">
        <v>520.63</v>
      </c>
      <c r="H836" s="9">
        <f t="shared" si="26"/>
        <v>7.80945</v>
      </c>
      <c r="I836" t="s">
        <v>253</v>
      </c>
      <c r="J836" s="33">
        <v>0</v>
      </c>
      <c r="K836" s="18">
        <v>550</v>
      </c>
      <c r="L836" s="52">
        <f t="shared" ref="L836:L899" si="27">K836*E836</f>
        <v>8.25</v>
      </c>
    </row>
    <row r="837" spans="1:12">
      <c r="A837" t="s">
        <v>371</v>
      </c>
      <c r="B837" t="s">
        <v>355</v>
      </c>
      <c r="C837" t="s">
        <v>371</v>
      </c>
      <c r="D837" s="3" t="s">
        <v>866</v>
      </c>
      <c r="E837" s="11">
        <v>4.5454545454545455E-4</v>
      </c>
      <c r="F837" s="7" t="s">
        <v>179</v>
      </c>
      <c r="G837" s="9">
        <v>153.97999999999999</v>
      </c>
      <c r="H837" s="9">
        <f t="shared" si="26"/>
        <v>6.999090909090909E-2</v>
      </c>
      <c r="I837" t="s">
        <v>253</v>
      </c>
      <c r="J837" s="33">
        <v>0</v>
      </c>
      <c r="K837" s="18">
        <f>VLOOKUP(D837,Ingredients!C:G,5,0)</f>
        <v>142.13999999999999</v>
      </c>
      <c r="L837" s="52">
        <f t="shared" si="27"/>
        <v>6.4609090909090908E-2</v>
      </c>
    </row>
    <row r="838" spans="1:12">
      <c r="A838" t="s">
        <v>281</v>
      </c>
      <c r="B838" t="s">
        <v>355</v>
      </c>
      <c r="C838" t="s">
        <v>281</v>
      </c>
      <c r="D838" s="3" t="s">
        <v>974</v>
      </c>
      <c r="E838" s="11">
        <v>5.5555555555555552E-2</v>
      </c>
      <c r="F838" s="7" t="s">
        <v>179</v>
      </c>
      <c r="G838" s="9">
        <v>152</v>
      </c>
      <c r="H838" s="9">
        <f t="shared" si="26"/>
        <v>8.4444444444444446</v>
      </c>
      <c r="I838" t="s">
        <v>253</v>
      </c>
      <c r="J838" s="33">
        <v>0</v>
      </c>
      <c r="K838" s="18">
        <f>VLOOKUP(D838,Ingredients!C:G,5,0)</f>
        <v>152</v>
      </c>
      <c r="L838" s="52">
        <f t="shared" si="27"/>
        <v>8.4444444444444446</v>
      </c>
    </row>
    <row r="839" spans="1:12">
      <c r="A839" t="s">
        <v>281</v>
      </c>
      <c r="B839" t="s">
        <v>355</v>
      </c>
      <c r="C839" t="s">
        <v>281</v>
      </c>
      <c r="D839" s="3" t="s">
        <v>853</v>
      </c>
      <c r="E839" s="11">
        <v>2.7777777777777778E-4</v>
      </c>
      <c r="F839" s="7" t="s">
        <v>179</v>
      </c>
      <c r="G839" s="9">
        <v>30</v>
      </c>
      <c r="H839" s="9">
        <f t="shared" si="26"/>
        <v>8.3333333333333332E-3</v>
      </c>
      <c r="I839" t="s">
        <v>253</v>
      </c>
      <c r="J839" s="33">
        <v>0</v>
      </c>
      <c r="K839" s="18">
        <f>VLOOKUP(D839,Ingredients!C:G,5,0)</f>
        <v>55</v>
      </c>
      <c r="L839" s="52">
        <f t="shared" si="27"/>
        <v>1.5277777777777777E-2</v>
      </c>
    </row>
    <row r="840" spans="1:12">
      <c r="A840" t="s">
        <v>282</v>
      </c>
      <c r="B840" t="s">
        <v>349</v>
      </c>
      <c r="C840" t="s">
        <v>353</v>
      </c>
      <c r="D840" s="3" t="s">
        <v>884</v>
      </c>
      <c r="E840" s="11">
        <v>1</v>
      </c>
      <c r="F840" s="7" t="s">
        <v>179</v>
      </c>
      <c r="G840" s="9">
        <v>344</v>
      </c>
      <c r="H840" s="9">
        <f t="shared" si="26"/>
        <v>344</v>
      </c>
      <c r="I840" t="s">
        <v>179</v>
      </c>
      <c r="J840" s="33" t="s">
        <v>516</v>
      </c>
      <c r="K840" s="18">
        <f>VLOOKUP(D840,Ingredients!C:G,5,0)</f>
        <v>344</v>
      </c>
      <c r="L840" s="52">
        <f t="shared" si="27"/>
        <v>344</v>
      </c>
    </row>
    <row r="841" spans="1:12">
      <c r="A841" t="s">
        <v>282</v>
      </c>
      <c r="B841" t="s">
        <v>349</v>
      </c>
      <c r="C841" t="s">
        <v>353</v>
      </c>
      <c r="D841" s="3" t="s">
        <v>852</v>
      </c>
      <c r="E841" s="11">
        <v>8.5714285714285715E-2</v>
      </c>
      <c r="F841" s="7" t="s">
        <v>190</v>
      </c>
      <c r="G841" s="9">
        <v>520.63</v>
      </c>
      <c r="H841" s="9">
        <f t="shared" si="26"/>
        <v>44.625428571428571</v>
      </c>
      <c r="I841" t="s">
        <v>179</v>
      </c>
      <c r="J841" s="33" t="s">
        <v>516</v>
      </c>
      <c r="K841" s="18">
        <v>550</v>
      </c>
      <c r="L841" s="52">
        <f t="shared" si="27"/>
        <v>47.142857142857146</v>
      </c>
    </row>
    <row r="842" spans="1:12">
      <c r="A842" t="s">
        <v>282</v>
      </c>
      <c r="B842" t="s">
        <v>349</v>
      </c>
      <c r="C842" t="s">
        <v>353</v>
      </c>
      <c r="D842" s="3" t="s">
        <v>838</v>
      </c>
      <c r="E842" s="11">
        <v>1</v>
      </c>
      <c r="F842" s="7" t="s">
        <v>179</v>
      </c>
      <c r="G842" s="9">
        <v>800</v>
      </c>
      <c r="H842" s="9">
        <f t="shared" si="26"/>
        <v>800</v>
      </c>
      <c r="I842" t="s">
        <v>179</v>
      </c>
      <c r="J842" s="33" t="s">
        <v>516</v>
      </c>
      <c r="K842" s="18">
        <f>VLOOKUP(D842,Ingredients!C:G,5,0)</f>
        <v>950</v>
      </c>
      <c r="L842" s="52">
        <f t="shared" si="27"/>
        <v>950</v>
      </c>
    </row>
    <row r="843" spans="1:12">
      <c r="A843" t="s">
        <v>282</v>
      </c>
      <c r="B843" t="s">
        <v>349</v>
      </c>
      <c r="C843" t="s">
        <v>353</v>
      </c>
      <c r="D843" s="3" t="s">
        <v>73</v>
      </c>
      <c r="E843" s="11">
        <v>0.22</v>
      </c>
      <c r="F843" s="7" t="s">
        <v>179</v>
      </c>
      <c r="G843" s="9">
        <v>305</v>
      </c>
      <c r="H843" s="9">
        <f t="shared" si="26"/>
        <v>67.099999999999994</v>
      </c>
      <c r="I843" t="s">
        <v>179</v>
      </c>
      <c r="J843" s="33" t="s">
        <v>516</v>
      </c>
      <c r="K843" s="18">
        <f>VLOOKUP(D843,Ingredients!C:G,5,0)</f>
        <v>300</v>
      </c>
      <c r="L843" s="52">
        <f t="shared" si="27"/>
        <v>66</v>
      </c>
    </row>
    <row r="844" spans="1:12">
      <c r="A844" t="s">
        <v>282</v>
      </c>
      <c r="B844" t="s">
        <v>349</v>
      </c>
      <c r="C844" t="s">
        <v>353</v>
      </c>
      <c r="D844" s="3" t="s">
        <v>955</v>
      </c>
      <c r="E844" s="11">
        <v>1.2000000000000001E-3</v>
      </c>
      <c r="F844" s="7" t="s">
        <v>179</v>
      </c>
      <c r="G844" s="9">
        <v>3600</v>
      </c>
      <c r="H844" s="9">
        <f t="shared" si="26"/>
        <v>4.32</v>
      </c>
      <c r="I844" t="s">
        <v>179</v>
      </c>
      <c r="J844" s="33" t="s">
        <v>516</v>
      </c>
      <c r="K844" s="18">
        <f>VLOOKUP(D844,Ingredients!C:G,5,0)</f>
        <v>3400</v>
      </c>
      <c r="L844" s="52">
        <f t="shared" si="27"/>
        <v>4.08</v>
      </c>
    </row>
    <row r="845" spans="1:12">
      <c r="A845" t="s">
        <v>282</v>
      </c>
      <c r="B845" t="s">
        <v>349</v>
      </c>
      <c r="C845" t="s">
        <v>353</v>
      </c>
      <c r="D845" s="3" t="s">
        <v>898</v>
      </c>
      <c r="E845" s="11">
        <v>1.2000000000000001E-3</v>
      </c>
      <c r="F845" s="7" t="s">
        <v>179</v>
      </c>
      <c r="G845" s="9">
        <v>290</v>
      </c>
      <c r="H845" s="9">
        <f t="shared" si="26"/>
        <v>0.34800000000000003</v>
      </c>
      <c r="I845" t="s">
        <v>179</v>
      </c>
      <c r="J845" s="33" t="s">
        <v>516</v>
      </c>
      <c r="K845" s="18">
        <f>VLOOKUP(D845,Ingredients!C:G,5,0)</f>
        <v>290</v>
      </c>
      <c r="L845" s="52">
        <f t="shared" si="27"/>
        <v>0.34800000000000003</v>
      </c>
    </row>
    <row r="846" spans="1:12">
      <c r="A846" t="s">
        <v>282</v>
      </c>
      <c r="B846" t="s">
        <v>349</v>
      </c>
      <c r="C846" t="s">
        <v>353</v>
      </c>
      <c r="D846" s="3" t="s">
        <v>926</v>
      </c>
      <c r="E846" s="11">
        <v>2.8571428571428571E-2</v>
      </c>
      <c r="F846" s="7" t="s">
        <v>300</v>
      </c>
      <c r="G846" s="9">
        <v>62.5</v>
      </c>
      <c r="H846" s="9">
        <f t="shared" si="26"/>
        <v>1.7857142857142856</v>
      </c>
      <c r="I846" t="s">
        <v>179</v>
      </c>
      <c r="J846" s="33" t="s">
        <v>516</v>
      </c>
      <c r="K846" s="18">
        <f>VLOOKUP(D846,Ingredients!C:F,3,0)</f>
        <v>50</v>
      </c>
      <c r="L846" s="52">
        <f t="shared" si="27"/>
        <v>1.4285714285714286</v>
      </c>
    </row>
    <row r="847" spans="1:12">
      <c r="A847" t="s">
        <v>282</v>
      </c>
      <c r="B847" t="s">
        <v>349</v>
      </c>
      <c r="C847" t="s">
        <v>353</v>
      </c>
      <c r="D847" s="3" t="s">
        <v>882</v>
      </c>
      <c r="E847" s="11">
        <v>1.2000000000000001E-3</v>
      </c>
      <c r="F847" s="7" t="s">
        <v>179</v>
      </c>
      <c r="G847" s="9">
        <v>1500</v>
      </c>
      <c r="H847" s="9">
        <f t="shared" si="26"/>
        <v>1.8000000000000003</v>
      </c>
      <c r="I847" t="s">
        <v>179</v>
      </c>
      <c r="J847" s="33" t="s">
        <v>516</v>
      </c>
      <c r="K847" s="18">
        <f>VLOOKUP(D847,Ingredients!C:G,5,0)</f>
        <v>1450</v>
      </c>
      <c r="L847" s="52">
        <f t="shared" si="27"/>
        <v>1.7400000000000002</v>
      </c>
    </row>
    <row r="848" spans="1:12">
      <c r="A848" t="s">
        <v>282</v>
      </c>
      <c r="B848" t="s">
        <v>349</v>
      </c>
      <c r="C848" t="s">
        <v>353</v>
      </c>
      <c r="D848" s="3" t="s">
        <v>880</v>
      </c>
      <c r="E848" s="11">
        <v>8.0000000000000002E-3</v>
      </c>
      <c r="F848" s="7" t="s">
        <v>179</v>
      </c>
      <c r="G848" s="9">
        <v>650</v>
      </c>
      <c r="H848" s="9">
        <f t="shared" si="26"/>
        <v>5.2</v>
      </c>
      <c r="I848" t="s">
        <v>179</v>
      </c>
      <c r="J848" s="33" t="s">
        <v>516</v>
      </c>
      <c r="K848" s="18">
        <f>VLOOKUP(D848,Ingredients!C:G,5,0)</f>
        <v>520</v>
      </c>
      <c r="L848" s="52">
        <f t="shared" si="27"/>
        <v>4.16</v>
      </c>
    </row>
    <row r="849" spans="1:12">
      <c r="A849" t="s">
        <v>282</v>
      </c>
      <c r="B849" t="s">
        <v>349</v>
      </c>
      <c r="C849" t="s">
        <v>353</v>
      </c>
      <c r="D849" s="3" t="s">
        <v>28</v>
      </c>
      <c r="E849" s="11">
        <v>0.17333333333333334</v>
      </c>
      <c r="F849" s="7" t="s">
        <v>179</v>
      </c>
      <c r="G849" s="9">
        <v>85</v>
      </c>
      <c r="H849" s="9">
        <f t="shared" si="26"/>
        <v>14.733333333333334</v>
      </c>
      <c r="I849" t="s">
        <v>179</v>
      </c>
      <c r="J849" s="33" t="s">
        <v>516</v>
      </c>
      <c r="K849" s="18">
        <f>VLOOKUP(D849,Ingredients!C:G,5,0)</f>
        <v>70</v>
      </c>
      <c r="L849" s="52">
        <f t="shared" si="27"/>
        <v>12.133333333333333</v>
      </c>
    </row>
    <row r="850" spans="1:12">
      <c r="A850" t="s">
        <v>282</v>
      </c>
      <c r="B850" t="s">
        <v>349</v>
      </c>
      <c r="C850" t="s">
        <v>353</v>
      </c>
      <c r="D850" s="3" t="s">
        <v>273</v>
      </c>
      <c r="E850" s="11">
        <v>4.2857142857142858E-2</v>
      </c>
      <c r="F850" s="7" t="s">
        <v>179</v>
      </c>
      <c r="G850" s="9">
        <v>175</v>
      </c>
      <c r="H850" s="9">
        <f t="shared" si="26"/>
        <v>7.5</v>
      </c>
      <c r="I850" t="s">
        <v>179</v>
      </c>
      <c r="J850" s="33" t="s">
        <v>516</v>
      </c>
      <c r="K850" s="18">
        <f>VLOOKUP(D850,Ingredients!C:G,5,0)</f>
        <v>200</v>
      </c>
      <c r="L850" s="52">
        <f t="shared" si="27"/>
        <v>8.5714285714285712</v>
      </c>
    </row>
    <row r="851" spans="1:12">
      <c r="A851" t="s">
        <v>282</v>
      </c>
      <c r="B851" t="s">
        <v>349</v>
      </c>
      <c r="C851" t="s">
        <v>353</v>
      </c>
      <c r="D851" s="3" t="s">
        <v>301</v>
      </c>
      <c r="E851" s="11">
        <v>1.7142857142857144E-2</v>
      </c>
      <c r="F851" s="7" t="s">
        <v>300</v>
      </c>
      <c r="G851" s="9">
        <v>70</v>
      </c>
      <c r="H851" s="9">
        <f t="shared" si="26"/>
        <v>1.2</v>
      </c>
      <c r="I851" t="s">
        <v>179</v>
      </c>
      <c r="J851" s="33" t="s">
        <v>516</v>
      </c>
      <c r="K851" s="18">
        <f>VLOOKUP(D851,Ingredients!C:G,5,0)</f>
        <v>70</v>
      </c>
      <c r="L851" s="52">
        <f t="shared" si="27"/>
        <v>1.2</v>
      </c>
    </row>
    <row r="852" spans="1:12">
      <c r="A852" t="s">
        <v>282</v>
      </c>
      <c r="B852" t="s">
        <v>349</v>
      </c>
      <c r="C852" t="s">
        <v>353</v>
      </c>
      <c r="D852" s="3" t="s">
        <v>895</v>
      </c>
      <c r="E852" s="11">
        <v>1.1428571428571427E-3</v>
      </c>
      <c r="F852" s="7" t="s">
        <v>179</v>
      </c>
      <c r="G852" s="9">
        <v>400</v>
      </c>
      <c r="H852" s="9">
        <f t="shared" si="26"/>
        <v>0.45714285714285707</v>
      </c>
      <c r="I852" t="s">
        <v>179</v>
      </c>
      <c r="J852" s="33" t="s">
        <v>516</v>
      </c>
      <c r="K852" s="18">
        <f>VLOOKUP(D852,Ingredients!C:G,5,0)</f>
        <v>400</v>
      </c>
      <c r="L852" s="52">
        <f t="shared" si="27"/>
        <v>0.45714285714285707</v>
      </c>
    </row>
    <row r="853" spans="1:12">
      <c r="A853" t="s">
        <v>282</v>
      </c>
      <c r="B853" t="s">
        <v>349</v>
      </c>
      <c r="C853" t="s">
        <v>353</v>
      </c>
      <c r="D853" s="3" t="s">
        <v>927</v>
      </c>
      <c r="E853" s="11">
        <v>4.2857142857142858E-2</v>
      </c>
      <c r="F853" s="7" t="s">
        <v>179</v>
      </c>
      <c r="G853" s="9">
        <v>600</v>
      </c>
      <c r="H853" s="9">
        <f t="shared" si="26"/>
        <v>25.714285714285715</v>
      </c>
      <c r="I853" t="s">
        <v>179</v>
      </c>
      <c r="J853" s="33" t="s">
        <v>516</v>
      </c>
      <c r="K853" s="18">
        <f>VLOOKUP(D853,Ingredients!C:G,5,0)</f>
        <v>600</v>
      </c>
      <c r="L853" s="52">
        <f t="shared" si="27"/>
        <v>25.714285714285715</v>
      </c>
    </row>
    <row r="854" spans="1:12">
      <c r="A854" t="s">
        <v>282</v>
      </c>
      <c r="B854" t="s">
        <v>349</v>
      </c>
      <c r="C854" t="s">
        <v>353</v>
      </c>
      <c r="D854" s="3" t="s">
        <v>855</v>
      </c>
      <c r="E854" s="11">
        <v>1.2000000000000001E-3</v>
      </c>
      <c r="F854" s="7" t="s">
        <v>179</v>
      </c>
      <c r="G854" s="9">
        <v>2400</v>
      </c>
      <c r="H854" s="9">
        <f t="shared" si="26"/>
        <v>2.8800000000000003</v>
      </c>
      <c r="I854" t="s">
        <v>179</v>
      </c>
      <c r="J854" s="33" t="s">
        <v>516</v>
      </c>
      <c r="K854" s="18">
        <f>VLOOKUP(D854,Ingredients!C:G,5,0)</f>
        <v>1600</v>
      </c>
      <c r="L854" s="52">
        <f t="shared" si="27"/>
        <v>1.9200000000000002</v>
      </c>
    </row>
    <row r="855" spans="1:12">
      <c r="A855" t="s">
        <v>282</v>
      </c>
      <c r="B855" t="s">
        <v>349</v>
      </c>
      <c r="C855" t="s">
        <v>353</v>
      </c>
      <c r="D855" s="3" t="s">
        <v>858</v>
      </c>
      <c r="E855" s="11">
        <v>1.2000000000000001E-3</v>
      </c>
      <c r="F855" s="7" t="s">
        <v>179</v>
      </c>
      <c r="G855" s="9">
        <v>1900</v>
      </c>
      <c r="H855" s="9">
        <f t="shared" si="26"/>
        <v>2.2800000000000002</v>
      </c>
      <c r="I855" t="s">
        <v>179</v>
      </c>
      <c r="J855" s="33" t="s">
        <v>516</v>
      </c>
      <c r="K855" s="18">
        <f>VLOOKUP(D855,Ingredients!C:G,5,0)</f>
        <v>1900</v>
      </c>
      <c r="L855" s="52">
        <f t="shared" si="27"/>
        <v>2.2800000000000002</v>
      </c>
    </row>
    <row r="856" spans="1:12">
      <c r="A856" t="s">
        <v>282</v>
      </c>
      <c r="B856" t="s">
        <v>349</v>
      </c>
      <c r="C856" t="s">
        <v>353</v>
      </c>
      <c r="D856" s="3" t="s">
        <v>862</v>
      </c>
      <c r="E856" s="11">
        <v>1.2000000000000001E-3</v>
      </c>
      <c r="F856" s="7" t="s">
        <v>179</v>
      </c>
      <c r="G856" s="9">
        <v>6500</v>
      </c>
      <c r="H856" s="9">
        <f t="shared" si="26"/>
        <v>7.8000000000000007</v>
      </c>
      <c r="I856" t="s">
        <v>179</v>
      </c>
      <c r="J856" s="33" t="s">
        <v>516</v>
      </c>
      <c r="K856" s="18">
        <f>VLOOKUP(D856,Ingredients!C:G,5,0)</f>
        <v>6500</v>
      </c>
      <c r="L856" s="52">
        <f t="shared" si="27"/>
        <v>7.8000000000000007</v>
      </c>
    </row>
    <row r="857" spans="1:12">
      <c r="A857" t="s">
        <v>282</v>
      </c>
      <c r="B857" t="s">
        <v>349</v>
      </c>
      <c r="C857" t="s">
        <v>353</v>
      </c>
      <c r="D857" s="3" t="s">
        <v>954</v>
      </c>
      <c r="E857" s="11">
        <v>1.2000000000000001E-3</v>
      </c>
      <c r="F857" s="7" t="s">
        <v>179</v>
      </c>
      <c r="G857" s="9">
        <v>1900</v>
      </c>
      <c r="H857" s="9">
        <f t="shared" si="26"/>
        <v>2.2800000000000002</v>
      </c>
      <c r="I857" t="s">
        <v>179</v>
      </c>
      <c r="J857" s="33" t="s">
        <v>516</v>
      </c>
      <c r="K857" s="18">
        <f>VLOOKUP(D857,Ingredients!C:G,5,0)</f>
        <v>2000</v>
      </c>
      <c r="L857" s="52">
        <f t="shared" si="27"/>
        <v>2.4000000000000004</v>
      </c>
    </row>
    <row r="858" spans="1:12">
      <c r="A858" t="s">
        <v>282</v>
      </c>
      <c r="B858" t="s">
        <v>349</v>
      </c>
      <c r="C858" t="s">
        <v>353</v>
      </c>
      <c r="D858" s="3" t="s">
        <v>29</v>
      </c>
      <c r="E858" s="11">
        <v>4.7619047619047623E-3</v>
      </c>
      <c r="F858" s="7" t="s">
        <v>179</v>
      </c>
      <c r="G858" s="9">
        <v>60</v>
      </c>
      <c r="H858" s="9">
        <f t="shared" si="26"/>
        <v>0.28571428571428575</v>
      </c>
      <c r="I858" t="s">
        <v>179</v>
      </c>
      <c r="J858" s="33" t="s">
        <v>516</v>
      </c>
      <c r="K858" s="18">
        <f>VLOOKUP(D858,Ingredients!C:G,5,0)</f>
        <v>100</v>
      </c>
      <c r="L858" s="52">
        <f t="shared" si="27"/>
        <v>0.47619047619047622</v>
      </c>
    </row>
    <row r="859" spans="1:12">
      <c r="A859" t="s">
        <v>282</v>
      </c>
      <c r="B859" t="s">
        <v>349</v>
      </c>
      <c r="C859" t="s">
        <v>353</v>
      </c>
      <c r="D859" s="3" t="s">
        <v>7</v>
      </c>
      <c r="E859" s="11">
        <v>0.17333333333333334</v>
      </c>
      <c r="F859" s="7" t="s">
        <v>297</v>
      </c>
      <c r="G859" s="9">
        <v>8</v>
      </c>
      <c r="H859" s="9">
        <f t="shared" si="26"/>
        <v>1.3866666666666667</v>
      </c>
      <c r="I859" t="s">
        <v>179</v>
      </c>
      <c r="J859" s="33" t="s">
        <v>516</v>
      </c>
      <c r="K859" s="18">
        <f>VLOOKUP(D859,Ingredients!C:G,5,0)</f>
        <v>6</v>
      </c>
      <c r="L859" s="52">
        <f t="shared" si="27"/>
        <v>1.04</v>
      </c>
    </row>
    <row r="860" spans="1:12">
      <c r="A860" t="s">
        <v>282</v>
      </c>
      <c r="B860" t="s">
        <v>349</v>
      </c>
      <c r="C860" t="s">
        <v>353</v>
      </c>
      <c r="D860" s="3" t="s">
        <v>35</v>
      </c>
      <c r="E860" s="11">
        <v>0.17333333333333334</v>
      </c>
      <c r="F860" s="7" t="s">
        <v>297</v>
      </c>
      <c r="G860" s="9">
        <v>13</v>
      </c>
      <c r="H860" s="9">
        <f t="shared" si="26"/>
        <v>2.2533333333333334</v>
      </c>
      <c r="I860" t="s">
        <v>179</v>
      </c>
      <c r="J860" s="33" t="s">
        <v>516</v>
      </c>
      <c r="K860" s="18">
        <f>VLOOKUP(D860,Ingredients!C:G,5,0)</f>
        <v>15</v>
      </c>
      <c r="L860" s="52">
        <f t="shared" si="27"/>
        <v>2.6</v>
      </c>
    </row>
    <row r="861" spans="1:12">
      <c r="A861" t="s">
        <v>282</v>
      </c>
      <c r="B861" t="s">
        <v>349</v>
      </c>
      <c r="C861" t="s">
        <v>353</v>
      </c>
      <c r="D861" s="3" t="s">
        <v>849</v>
      </c>
      <c r="E861" s="11">
        <v>2E-3</v>
      </c>
      <c r="F861" s="7" t="s">
        <v>179</v>
      </c>
      <c r="G861" s="9">
        <v>1000</v>
      </c>
      <c r="H861" s="9">
        <f t="shared" si="26"/>
        <v>2</v>
      </c>
      <c r="I861" t="s">
        <v>179</v>
      </c>
      <c r="J861" s="33" t="s">
        <v>516</v>
      </c>
      <c r="K861" s="18">
        <f>VLOOKUP(D861,Ingredients!C:G,5,0)</f>
        <v>950</v>
      </c>
      <c r="L861" s="52">
        <f t="shared" si="27"/>
        <v>1.9000000000000001</v>
      </c>
    </row>
    <row r="862" spans="1:12">
      <c r="A862" t="s">
        <v>282</v>
      </c>
      <c r="B862" t="s">
        <v>349</v>
      </c>
      <c r="C862" t="s">
        <v>353</v>
      </c>
      <c r="D862" s="3" t="s">
        <v>860</v>
      </c>
      <c r="E862" s="11">
        <v>2.5714285714285717E-3</v>
      </c>
      <c r="F862" s="7" t="s">
        <v>179</v>
      </c>
      <c r="G862" s="9">
        <v>2000</v>
      </c>
      <c r="H862" s="9">
        <f t="shared" si="26"/>
        <v>5.1428571428571432</v>
      </c>
      <c r="I862" t="s">
        <v>179</v>
      </c>
      <c r="J862" s="33" t="s">
        <v>516</v>
      </c>
      <c r="K862" s="18">
        <f>VLOOKUP(D862,Ingredients!C:G,5,0)</f>
        <v>1900</v>
      </c>
      <c r="L862" s="52">
        <f t="shared" si="27"/>
        <v>4.8857142857142861</v>
      </c>
    </row>
    <row r="863" spans="1:12">
      <c r="A863" t="s">
        <v>282</v>
      </c>
      <c r="B863" t="s">
        <v>349</v>
      </c>
      <c r="C863" t="s">
        <v>353</v>
      </c>
      <c r="D863" s="3" t="s">
        <v>853</v>
      </c>
      <c r="E863" s="11">
        <v>0.17333333333333334</v>
      </c>
      <c r="F863" s="7" t="s">
        <v>179</v>
      </c>
      <c r="G863" s="9">
        <v>30</v>
      </c>
      <c r="H863" s="9">
        <f t="shared" si="26"/>
        <v>5.2</v>
      </c>
      <c r="I863" t="s">
        <v>179</v>
      </c>
      <c r="J863" s="33" t="s">
        <v>516</v>
      </c>
      <c r="K863" s="18">
        <f>VLOOKUP(D863,Ingredients!C:G,5,0)</f>
        <v>55</v>
      </c>
      <c r="L863" s="52">
        <f t="shared" si="27"/>
        <v>9.5333333333333332</v>
      </c>
    </row>
    <row r="864" spans="1:12">
      <c r="A864" t="s">
        <v>282</v>
      </c>
      <c r="B864" t="s">
        <v>349</v>
      </c>
      <c r="C864" t="s">
        <v>353</v>
      </c>
      <c r="D864" s="3" t="s">
        <v>928</v>
      </c>
      <c r="E864" s="11">
        <v>1.2000000000000001E-3</v>
      </c>
      <c r="F864" s="7" t="s">
        <v>179</v>
      </c>
      <c r="G864" s="9">
        <v>850</v>
      </c>
      <c r="H864" s="9">
        <f t="shared" si="26"/>
        <v>1.02</v>
      </c>
      <c r="I864" t="s">
        <v>179</v>
      </c>
      <c r="J864" s="33" t="s">
        <v>516</v>
      </c>
      <c r="K864" s="18">
        <f>VLOOKUP(D864,Ingredients!C:G,5,0)</f>
        <v>900</v>
      </c>
      <c r="L864" s="52">
        <f t="shared" si="27"/>
        <v>1.08</v>
      </c>
    </row>
    <row r="865" spans="1:12">
      <c r="A865" t="s">
        <v>282</v>
      </c>
      <c r="B865" t="s">
        <v>349</v>
      </c>
      <c r="C865" t="s">
        <v>353</v>
      </c>
      <c r="D865" s="3" t="s">
        <v>50</v>
      </c>
      <c r="E865" s="11">
        <v>2.0952380952380951E-2</v>
      </c>
      <c r="F865" s="7" t="s">
        <v>179</v>
      </c>
      <c r="G865" s="9">
        <v>120</v>
      </c>
      <c r="H865" s="9">
        <f t="shared" si="26"/>
        <v>2.5142857142857142</v>
      </c>
      <c r="I865" t="s">
        <v>179</v>
      </c>
      <c r="J865" s="33" t="s">
        <v>516</v>
      </c>
      <c r="K865" s="18">
        <f>VLOOKUP(D865,Ingredients!C:G,5,0)</f>
        <v>120</v>
      </c>
      <c r="L865" s="52">
        <f t="shared" si="27"/>
        <v>2.5142857142857142</v>
      </c>
    </row>
    <row r="866" spans="1:12">
      <c r="A866" t="s">
        <v>282</v>
      </c>
      <c r="B866" t="s">
        <v>349</v>
      </c>
      <c r="C866" t="s">
        <v>353</v>
      </c>
      <c r="D866" s="3" t="s">
        <v>915</v>
      </c>
      <c r="E866" s="11">
        <v>1.2000000000000001E-3</v>
      </c>
      <c r="F866" s="7" t="s">
        <v>179</v>
      </c>
      <c r="G866" s="9">
        <v>5000</v>
      </c>
      <c r="H866" s="9">
        <f t="shared" si="26"/>
        <v>6.0000000000000009</v>
      </c>
      <c r="I866" t="s">
        <v>179</v>
      </c>
      <c r="J866" s="33" t="s">
        <v>516</v>
      </c>
      <c r="K866" s="18">
        <f>VLOOKUP(D866,Ingredients!C:G,5,0)</f>
        <v>3200</v>
      </c>
      <c r="L866" s="52">
        <f t="shared" si="27"/>
        <v>3.8400000000000003</v>
      </c>
    </row>
    <row r="867" spans="1:12">
      <c r="A867" t="s">
        <v>282</v>
      </c>
      <c r="B867" t="s">
        <v>349</v>
      </c>
      <c r="C867" t="s">
        <v>353</v>
      </c>
      <c r="D867" s="3" t="s">
        <v>929</v>
      </c>
      <c r="E867" s="11">
        <v>1.2E-2</v>
      </c>
      <c r="F867" s="7" t="s">
        <v>179</v>
      </c>
      <c r="G867" s="9">
        <v>650</v>
      </c>
      <c r="H867" s="9">
        <f t="shared" si="26"/>
        <v>7.8</v>
      </c>
      <c r="I867" t="s">
        <v>179</v>
      </c>
      <c r="J867" s="33" t="s">
        <v>516</v>
      </c>
      <c r="K867" s="18">
        <f>VLOOKUP(D867,Ingredients!C:G,5,0)</f>
        <v>650</v>
      </c>
      <c r="L867" s="52">
        <f t="shared" si="27"/>
        <v>7.8</v>
      </c>
    </row>
    <row r="868" spans="1:12">
      <c r="A868" t="s">
        <v>282</v>
      </c>
      <c r="B868" t="s">
        <v>349</v>
      </c>
      <c r="C868" t="s">
        <v>353</v>
      </c>
      <c r="D868" s="3" t="s">
        <v>23</v>
      </c>
      <c r="E868" s="11">
        <v>6.0000000000000001E-3</v>
      </c>
      <c r="F868" s="7" t="s">
        <v>179</v>
      </c>
      <c r="G868" s="9">
        <v>740</v>
      </c>
      <c r="H868" s="9">
        <f t="shared" si="26"/>
        <v>4.4400000000000004</v>
      </c>
      <c r="I868" t="s">
        <v>179</v>
      </c>
      <c r="J868" s="33" t="s">
        <v>516</v>
      </c>
      <c r="K868" s="18">
        <f>VLOOKUP(D868,Ingredients!C:G,5,0)</f>
        <v>780</v>
      </c>
      <c r="L868" s="52">
        <f t="shared" si="27"/>
        <v>4.68</v>
      </c>
    </row>
    <row r="869" spans="1:12">
      <c r="A869" t="s">
        <v>282</v>
      </c>
      <c r="B869" t="s">
        <v>349</v>
      </c>
      <c r="C869" t="s">
        <v>353</v>
      </c>
      <c r="D869" s="3" t="s">
        <v>16</v>
      </c>
      <c r="E869" s="11">
        <v>4.0000000000000001E-3</v>
      </c>
      <c r="F869" s="7" t="s">
        <v>179</v>
      </c>
      <c r="G869" s="9">
        <v>270</v>
      </c>
      <c r="H869" s="9">
        <f t="shared" si="26"/>
        <v>1.08</v>
      </c>
      <c r="I869" t="s">
        <v>179</v>
      </c>
      <c r="J869" s="33" t="s">
        <v>516</v>
      </c>
      <c r="K869" s="18">
        <f>VLOOKUP(D869,Ingredients!C:G,5,0)</f>
        <v>310</v>
      </c>
      <c r="L869" s="52">
        <f t="shared" si="27"/>
        <v>1.24</v>
      </c>
    </row>
    <row r="870" spans="1:12">
      <c r="A870" t="s">
        <v>282</v>
      </c>
      <c r="B870" t="s">
        <v>349</v>
      </c>
      <c r="C870" t="s">
        <v>353</v>
      </c>
      <c r="D870" s="3" t="s">
        <v>923</v>
      </c>
      <c r="E870" s="11">
        <v>2E-3</v>
      </c>
      <c r="F870" s="7" t="s">
        <v>179</v>
      </c>
      <c r="G870" s="9">
        <v>100</v>
      </c>
      <c r="H870" s="9">
        <f t="shared" si="26"/>
        <v>0.2</v>
      </c>
      <c r="I870" t="s">
        <v>179</v>
      </c>
      <c r="J870" s="33" t="s">
        <v>516</v>
      </c>
      <c r="K870" s="18">
        <f>VLOOKUP(D870,Ingredients!C:G,5,0)</f>
        <v>1000</v>
      </c>
      <c r="L870" s="52">
        <f t="shared" si="27"/>
        <v>2</v>
      </c>
    </row>
    <row r="871" spans="1:12">
      <c r="A871" t="s">
        <v>282</v>
      </c>
      <c r="B871" t="s">
        <v>349</v>
      </c>
      <c r="C871" t="s">
        <v>353</v>
      </c>
      <c r="D871" s="3" t="s">
        <v>867</v>
      </c>
      <c r="E871" s="11">
        <v>2E-3</v>
      </c>
      <c r="F871" s="7" t="s">
        <v>179</v>
      </c>
      <c r="G871" s="9">
        <v>900</v>
      </c>
      <c r="H871" s="9">
        <f t="shared" si="26"/>
        <v>1.8</v>
      </c>
      <c r="I871" t="s">
        <v>179</v>
      </c>
      <c r="J871" s="33" t="s">
        <v>516</v>
      </c>
      <c r="K871" s="18">
        <f>VLOOKUP(D871,Ingredients!C:G,5,0)</f>
        <v>950</v>
      </c>
      <c r="L871" s="52">
        <f t="shared" si="27"/>
        <v>1.9000000000000001</v>
      </c>
    </row>
    <row r="872" spans="1:12">
      <c r="A872" t="s">
        <v>283</v>
      </c>
      <c r="B872" t="s">
        <v>349</v>
      </c>
      <c r="C872" t="s">
        <v>352</v>
      </c>
      <c r="D872" s="3" t="s">
        <v>838</v>
      </c>
      <c r="E872" s="11">
        <v>1</v>
      </c>
      <c r="F872" s="7" t="s">
        <v>179</v>
      </c>
      <c r="G872" s="9">
        <v>800</v>
      </c>
      <c r="H872" s="9">
        <f t="shared" si="26"/>
        <v>800</v>
      </c>
      <c r="I872" t="s">
        <v>179</v>
      </c>
      <c r="J872" s="33" t="s">
        <v>516</v>
      </c>
      <c r="K872" s="18">
        <f>VLOOKUP(D872,Ingredients!C:G,5,0)</f>
        <v>950</v>
      </c>
      <c r="L872" s="52">
        <f t="shared" si="27"/>
        <v>950</v>
      </c>
    </row>
    <row r="873" spans="1:12">
      <c r="A873" t="s">
        <v>283</v>
      </c>
      <c r="B873" t="s">
        <v>349</v>
      </c>
      <c r="C873" t="s">
        <v>352</v>
      </c>
      <c r="D873" s="3" t="s">
        <v>852</v>
      </c>
      <c r="E873" s="11">
        <v>0.10057142857142858</v>
      </c>
      <c r="F873" s="7" t="s">
        <v>190</v>
      </c>
      <c r="G873" s="9">
        <v>520.63</v>
      </c>
      <c r="H873" s="9">
        <f t="shared" si="26"/>
        <v>52.360502857142862</v>
      </c>
      <c r="I873" t="s">
        <v>179</v>
      </c>
      <c r="J873" s="33" t="s">
        <v>516</v>
      </c>
      <c r="K873" s="18">
        <v>550</v>
      </c>
      <c r="L873" s="52">
        <f t="shared" si="27"/>
        <v>55.314285714285717</v>
      </c>
    </row>
    <row r="874" spans="1:12">
      <c r="A874" t="s">
        <v>283</v>
      </c>
      <c r="B874" t="s">
        <v>349</v>
      </c>
      <c r="C874" t="s">
        <v>352</v>
      </c>
      <c r="D874" s="3" t="s">
        <v>930</v>
      </c>
      <c r="E874" s="11">
        <v>0.30171428571428571</v>
      </c>
      <c r="F874" s="7" t="s">
        <v>179</v>
      </c>
      <c r="G874" s="9">
        <v>305</v>
      </c>
      <c r="H874" s="9">
        <f t="shared" si="26"/>
        <v>92.022857142857148</v>
      </c>
      <c r="I874" t="s">
        <v>179</v>
      </c>
      <c r="J874" s="33" t="s">
        <v>516</v>
      </c>
      <c r="K874" s="18">
        <f>VLOOKUP(D874,Ingredients!C:G,5,0)</f>
        <v>300</v>
      </c>
      <c r="L874" s="52">
        <f t="shared" si="27"/>
        <v>90.51428571428572</v>
      </c>
    </row>
    <row r="875" spans="1:12">
      <c r="A875" t="s">
        <v>283</v>
      </c>
      <c r="B875" t="s">
        <v>349</v>
      </c>
      <c r="C875" t="s">
        <v>352</v>
      </c>
      <c r="D875" s="3" t="s">
        <v>955</v>
      </c>
      <c r="E875" s="11">
        <v>5.0285714285714291E-3</v>
      </c>
      <c r="F875" s="7" t="s">
        <v>179</v>
      </c>
      <c r="G875" s="9">
        <v>3600</v>
      </c>
      <c r="H875" s="9">
        <f t="shared" si="26"/>
        <v>18.102857142857143</v>
      </c>
      <c r="I875" t="s">
        <v>179</v>
      </c>
      <c r="J875" s="33" t="s">
        <v>516</v>
      </c>
      <c r="K875" s="18">
        <f>VLOOKUP(D875,Ingredients!C:G,5,0)</f>
        <v>3400</v>
      </c>
      <c r="L875" s="52">
        <f t="shared" si="27"/>
        <v>17.09714285714286</v>
      </c>
    </row>
    <row r="876" spans="1:12">
      <c r="A876" t="s">
        <v>283</v>
      </c>
      <c r="B876" t="s">
        <v>349</v>
      </c>
      <c r="C876" t="s">
        <v>352</v>
      </c>
      <c r="D876" s="3" t="s">
        <v>882</v>
      </c>
      <c r="E876" s="11">
        <v>1.2571428571428572E-2</v>
      </c>
      <c r="F876" s="7" t="s">
        <v>179</v>
      </c>
      <c r="G876" s="9">
        <v>1500</v>
      </c>
      <c r="H876" s="9">
        <f t="shared" si="26"/>
        <v>18.857142857142858</v>
      </c>
      <c r="I876" t="s">
        <v>179</v>
      </c>
      <c r="J876" s="33" t="s">
        <v>516</v>
      </c>
      <c r="K876" s="18">
        <f>VLOOKUP(D876,Ingredients!C:G,5,0)</f>
        <v>1450</v>
      </c>
      <c r="L876" s="52">
        <f t="shared" si="27"/>
        <v>18.228571428571428</v>
      </c>
    </row>
    <row r="877" spans="1:12">
      <c r="A877" t="s">
        <v>283</v>
      </c>
      <c r="B877" t="s">
        <v>349</v>
      </c>
      <c r="C877" t="s">
        <v>352</v>
      </c>
      <c r="D877" s="3" t="s">
        <v>915</v>
      </c>
      <c r="E877" s="11">
        <v>1.2571428571428572E-2</v>
      </c>
      <c r="F877" s="7" t="s">
        <v>179</v>
      </c>
      <c r="G877" s="9">
        <v>5000</v>
      </c>
      <c r="H877" s="9">
        <f t="shared" si="26"/>
        <v>62.857142857142861</v>
      </c>
      <c r="I877" t="s">
        <v>179</v>
      </c>
      <c r="J877" s="33" t="s">
        <v>516</v>
      </c>
      <c r="K877" s="18">
        <f>VLOOKUP(D877,Ingredients!C:G,5,0)</f>
        <v>3200</v>
      </c>
      <c r="L877" s="52">
        <f t="shared" si="27"/>
        <v>40.228571428571428</v>
      </c>
    </row>
    <row r="878" spans="1:12">
      <c r="A878" t="s">
        <v>283</v>
      </c>
      <c r="B878" t="s">
        <v>349</v>
      </c>
      <c r="C878" t="s">
        <v>352</v>
      </c>
      <c r="D878" s="3" t="s">
        <v>895</v>
      </c>
      <c r="E878" s="11">
        <v>1.0057142857142858E-2</v>
      </c>
      <c r="F878" s="7" t="s">
        <v>179</v>
      </c>
      <c r="G878" s="9">
        <v>400</v>
      </c>
      <c r="H878" s="9">
        <f t="shared" si="26"/>
        <v>4.0228571428571431</v>
      </c>
      <c r="I878" t="s">
        <v>179</v>
      </c>
      <c r="J878" s="33" t="s">
        <v>516</v>
      </c>
      <c r="K878" s="18">
        <f>VLOOKUP(D878,Ingredients!C:G,5,0)</f>
        <v>400</v>
      </c>
      <c r="L878" s="52">
        <f t="shared" si="27"/>
        <v>4.0228571428571431</v>
      </c>
    </row>
    <row r="879" spans="1:12">
      <c r="A879" t="s">
        <v>283</v>
      </c>
      <c r="B879" t="s">
        <v>349</v>
      </c>
      <c r="C879" t="s">
        <v>352</v>
      </c>
      <c r="D879" s="3" t="s">
        <v>927</v>
      </c>
      <c r="E879" s="11">
        <v>0.20114285714285715</v>
      </c>
      <c r="F879" s="7" t="s">
        <v>179</v>
      </c>
      <c r="G879" s="9">
        <v>600</v>
      </c>
      <c r="H879" s="9">
        <f t="shared" si="26"/>
        <v>120.6857142857143</v>
      </c>
      <c r="I879" t="s">
        <v>179</v>
      </c>
      <c r="J879" s="33" t="s">
        <v>516</v>
      </c>
      <c r="K879" s="18">
        <f>VLOOKUP(D879,Ingredients!C:G,5,0)</f>
        <v>600</v>
      </c>
      <c r="L879" s="52">
        <f t="shared" si="27"/>
        <v>120.6857142857143</v>
      </c>
    </row>
    <row r="880" spans="1:12">
      <c r="A880" t="s">
        <v>283</v>
      </c>
      <c r="B880" t="s">
        <v>349</v>
      </c>
      <c r="C880" t="s">
        <v>352</v>
      </c>
      <c r="D880" s="3" t="s">
        <v>855</v>
      </c>
      <c r="E880" s="11">
        <v>2.2857142857142859E-3</v>
      </c>
      <c r="F880" s="7" t="s">
        <v>179</v>
      </c>
      <c r="G880" s="9">
        <v>2400</v>
      </c>
      <c r="H880" s="9">
        <f t="shared" si="26"/>
        <v>5.4857142857142858</v>
      </c>
      <c r="I880" t="s">
        <v>179</v>
      </c>
      <c r="J880" s="33" t="s">
        <v>516</v>
      </c>
      <c r="K880" s="18">
        <f>VLOOKUP(D880,Ingredients!C:G,5,0)</f>
        <v>1600</v>
      </c>
      <c r="L880" s="52">
        <f t="shared" si="27"/>
        <v>3.6571428571428575</v>
      </c>
    </row>
    <row r="881" spans="1:12">
      <c r="A881" t="s">
        <v>283</v>
      </c>
      <c r="B881" t="s">
        <v>349</v>
      </c>
      <c r="C881" t="s">
        <v>352</v>
      </c>
      <c r="D881" s="3" t="s">
        <v>23</v>
      </c>
      <c r="E881" s="11">
        <v>1.5085714285714286E-2</v>
      </c>
      <c r="F881" s="7" t="s">
        <v>179</v>
      </c>
      <c r="G881" s="9">
        <v>740</v>
      </c>
      <c r="H881" s="9">
        <f t="shared" si="26"/>
        <v>11.163428571428572</v>
      </c>
      <c r="I881" t="s">
        <v>179</v>
      </c>
      <c r="J881" s="33" t="s">
        <v>516</v>
      </c>
      <c r="K881" s="18">
        <f>VLOOKUP(D881,Ingredients!C:G,5,0)</f>
        <v>780</v>
      </c>
      <c r="L881" s="52">
        <f t="shared" si="27"/>
        <v>11.766857142857143</v>
      </c>
    </row>
    <row r="882" spans="1:12">
      <c r="A882" t="s">
        <v>283</v>
      </c>
      <c r="B882" t="s">
        <v>349</v>
      </c>
      <c r="C882" t="s">
        <v>352</v>
      </c>
      <c r="D882" s="3" t="s">
        <v>16</v>
      </c>
      <c r="E882" s="11">
        <v>1.0057142857142858E-2</v>
      </c>
      <c r="F882" s="7" t="s">
        <v>179</v>
      </c>
      <c r="G882" s="9">
        <v>270</v>
      </c>
      <c r="H882" s="9">
        <f t="shared" si="26"/>
        <v>2.7154285714285717</v>
      </c>
      <c r="I882" t="s">
        <v>179</v>
      </c>
      <c r="J882" s="33" t="s">
        <v>516</v>
      </c>
      <c r="K882" s="18">
        <f>VLOOKUP(D882,Ingredients!C:G,5,0)</f>
        <v>310</v>
      </c>
      <c r="L882" s="52">
        <f t="shared" si="27"/>
        <v>3.1177142857142859</v>
      </c>
    </row>
    <row r="883" spans="1:12">
      <c r="A883" t="s">
        <v>283</v>
      </c>
      <c r="B883" t="s">
        <v>349</v>
      </c>
      <c r="C883" t="s">
        <v>352</v>
      </c>
      <c r="D883" s="3" t="s">
        <v>926</v>
      </c>
      <c r="E883" s="11">
        <v>2.057142857142857E-2</v>
      </c>
      <c r="F883" s="7" t="s">
        <v>300</v>
      </c>
      <c r="G883" s="9">
        <v>62.5</v>
      </c>
      <c r="H883" s="9">
        <f t="shared" si="26"/>
        <v>1.2857142857142856</v>
      </c>
      <c r="I883" t="s">
        <v>179</v>
      </c>
      <c r="J883" s="33" t="s">
        <v>516</v>
      </c>
      <c r="K883" s="18">
        <f>VLOOKUP(D883,Ingredients!C:F,3,0)</f>
        <v>50</v>
      </c>
      <c r="L883" s="52">
        <f t="shared" si="27"/>
        <v>1.0285714285714285</v>
      </c>
    </row>
    <row r="884" spans="1:12">
      <c r="A884" t="s">
        <v>283</v>
      </c>
      <c r="B884" t="s">
        <v>349</v>
      </c>
      <c r="C884" t="s">
        <v>352</v>
      </c>
      <c r="D884" s="3" t="s">
        <v>857</v>
      </c>
      <c r="E884" s="11">
        <v>6.8571428571428568E-3</v>
      </c>
      <c r="F884" s="7" t="s">
        <v>179</v>
      </c>
      <c r="G884" s="9">
        <v>520</v>
      </c>
      <c r="H884" s="9">
        <f t="shared" si="26"/>
        <v>3.5657142857142854</v>
      </c>
      <c r="I884" t="s">
        <v>179</v>
      </c>
      <c r="J884" s="33" t="s">
        <v>516</v>
      </c>
      <c r="K884" s="18">
        <f>VLOOKUP(D884,Ingredients!C:G,5,0)</f>
        <v>880</v>
      </c>
      <c r="L884" s="52">
        <f t="shared" si="27"/>
        <v>6.0342857142857138</v>
      </c>
    </row>
    <row r="885" spans="1:12">
      <c r="A885" t="s">
        <v>283</v>
      </c>
      <c r="B885" t="s">
        <v>349</v>
      </c>
      <c r="C885" t="s">
        <v>352</v>
      </c>
      <c r="D885" s="3" t="s">
        <v>867</v>
      </c>
      <c r="E885" s="11">
        <v>1.0057142857142858E-2</v>
      </c>
      <c r="F885" s="7" t="s">
        <v>179</v>
      </c>
      <c r="G885" s="9">
        <v>900</v>
      </c>
      <c r="H885" s="9">
        <f t="shared" si="26"/>
        <v>9.0514285714285716</v>
      </c>
      <c r="I885" t="s">
        <v>179</v>
      </c>
      <c r="J885" s="33" t="s">
        <v>516</v>
      </c>
      <c r="K885" s="18">
        <f>VLOOKUP(D885,Ingredients!C:G,5,0)</f>
        <v>950</v>
      </c>
      <c r="L885" s="52">
        <f t="shared" si="27"/>
        <v>9.5542857142857152</v>
      </c>
    </row>
    <row r="886" spans="1:12">
      <c r="A886" t="s">
        <v>283</v>
      </c>
      <c r="B886" t="s">
        <v>349</v>
      </c>
      <c r="C886" t="s">
        <v>352</v>
      </c>
      <c r="D886" s="3" t="s">
        <v>860</v>
      </c>
      <c r="E886" s="11">
        <v>3.0171428571428571E-3</v>
      </c>
      <c r="F886" s="7" t="s">
        <v>179</v>
      </c>
      <c r="G886" s="9">
        <v>2000</v>
      </c>
      <c r="H886" s="9">
        <f t="shared" si="26"/>
        <v>6.0342857142857138</v>
      </c>
      <c r="I886" t="s">
        <v>179</v>
      </c>
      <c r="J886" s="33" t="s">
        <v>516</v>
      </c>
      <c r="K886" s="18">
        <f>VLOOKUP(D886,Ingredients!C:G,5,0)</f>
        <v>1900</v>
      </c>
      <c r="L886" s="52">
        <f t="shared" si="27"/>
        <v>5.7325714285714282</v>
      </c>
    </row>
    <row r="887" spans="1:12">
      <c r="A887" t="s">
        <v>283</v>
      </c>
      <c r="B887" t="s">
        <v>349</v>
      </c>
      <c r="C887" t="s">
        <v>352</v>
      </c>
      <c r="D887" s="3" t="s">
        <v>853</v>
      </c>
      <c r="E887" s="11">
        <v>2.0114285714285716E-2</v>
      </c>
      <c r="F887" s="7" t="s">
        <v>179</v>
      </c>
      <c r="G887" s="9">
        <v>30</v>
      </c>
      <c r="H887" s="9">
        <f t="shared" si="26"/>
        <v>0.60342857142857154</v>
      </c>
      <c r="I887" t="s">
        <v>179</v>
      </c>
      <c r="J887" s="33" t="s">
        <v>516</v>
      </c>
      <c r="K887" s="18">
        <f>VLOOKUP(D887,Ingredients!C:G,5,0)</f>
        <v>55</v>
      </c>
      <c r="L887" s="52">
        <f t="shared" si="27"/>
        <v>1.1062857142857143</v>
      </c>
    </row>
    <row r="888" spans="1:12">
      <c r="A888" t="s">
        <v>283</v>
      </c>
      <c r="B888" t="s">
        <v>349</v>
      </c>
      <c r="C888" t="s">
        <v>352</v>
      </c>
      <c r="D888" s="3" t="s">
        <v>880</v>
      </c>
      <c r="E888" s="11">
        <v>2.5142857142857146E-3</v>
      </c>
      <c r="F888" s="7" t="s">
        <v>179</v>
      </c>
      <c r="G888" s="9">
        <v>650</v>
      </c>
      <c r="H888" s="9">
        <f t="shared" si="26"/>
        <v>1.6342857142857146</v>
      </c>
      <c r="I888" t="s">
        <v>179</v>
      </c>
      <c r="J888" s="33" t="s">
        <v>516</v>
      </c>
      <c r="K888" s="18">
        <f>VLOOKUP(D888,Ingredients!C:G,5,0)</f>
        <v>520</v>
      </c>
      <c r="L888" s="52">
        <f t="shared" si="27"/>
        <v>1.3074285714285716</v>
      </c>
    </row>
    <row r="889" spans="1:12">
      <c r="A889" t="s">
        <v>283</v>
      </c>
      <c r="B889" t="s">
        <v>349</v>
      </c>
      <c r="C889" t="s">
        <v>352</v>
      </c>
      <c r="D889" s="3" t="s">
        <v>858</v>
      </c>
      <c r="E889" s="11">
        <v>2.5142857142857146E-3</v>
      </c>
      <c r="F889" s="7" t="s">
        <v>179</v>
      </c>
      <c r="G889" s="9">
        <v>1900</v>
      </c>
      <c r="H889" s="9">
        <f t="shared" ref="H889:H952" si="28">G889*E889</f>
        <v>4.7771428571428576</v>
      </c>
      <c r="I889" t="s">
        <v>179</v>
      </c>
      <c r="J889" s="33" t="s">
        <v>516</v>
      </c>
      <c r="K889" s="18">
        <f>VLOOKUP(D889,Ingredients!C:G,5,0)</f>
        <v>1900</v>
      </c>
      <c r="L889" s="52">
        <f t="shared" si="27"/>
        <v>4.7771428571428576</v>
      </c>
    </row>
    <row r="890" spans="1:12">
      <c r="A890" t="s">
        <v>283</v>
      </c>
      <c r="B890" t="s">
        <v>349</v>
      </c>
      <c r="C890" t="s">
        <v>352</v>
      </c>
      <c r="D890" s="3" t="s">
        <v>862</v>
      </c>
      <c r="E890" s="11">
        <v>2.5142857142857146E-3</v>
      </c>
      <c r="F890" s="7" t="s">
        <v>179</v>
      </c>
      <c r="G890" s="9">
        <v>6500</v>
      </c>
      <c r="H890" s="9">
        <f t="shared" si="28"/>
        <v>16.342857142857145</v>
      </c>
      <c r="I890" t="s">
        <v>179</v>
      </c>
      <c r="J890" s="33" t="s">
        <v>516</v>
      </c>
      <c r="K890" s="18">
        <f>VLOOKUP(D890,Ingredients!C:G,5,0)</f>
        <v>6500</v>
      </c>
      <c r="L890" s="52">
        <f t="shared" si="27"/>
        <v>16.342857142857145</v>
      </c>
    </row>
    <row r="891" spans="1:12">
      <c r="A891" t="s">
        <v>283</v>
      </c>
      <c r="B891" t="s">
        <v>349</v>
      </c>
      <c r="C891" t="s">
        <v>352</v>
      </c>
      <c r="D891" s="3" t="s">
        <v>915</v>
      </c>
      <c r="E891" s="11">
        <v>7.5428571428571428E-3</v>
      </c>
      <c r="F891" s="7" t="s">
        <v>179</v>
      </c>
      <c r="G891" s="9">
        <v>5000</v>
      </c>
      <c r="H891" s="9">
        <f t="shared" si="28"/>
        <v>37.714285714285715</v>
      </c>
      <c r="I891" t="s">
        <v>179</v>
      </c>
      <c r="J891" s="33" t="s">
        <v>516</v>
      </c>
      <c r="K891" s="18">
        <f>VLOOKUP(D891,Ingredients!C:G,5,0)</f>
        <v>3200</v>
      </c>
      <c r="L891" s="52">
        <f t="shared" si="27"/>
        <v>24.137142857142855</v>
      </c>
    </row>
    <row r="892" spans="1:12">
      <c r="A892" t="s">
        <v>283</v>
      </c>
      <c r="B892" t="s">
        <v>349</v>
      </c>
      <c r="C892" t="s">
        <v>352</v>
      </c>
      <c r="D892" s="3" t="s">
        <v>913</v>
      </c>
      <c r="E892" s="11">
        <v>0.10057142857142858</v>
      </c>
      <c r="F892" s="7" t="s">
        <v>179</v>
      </c>
      <c r="G892" s="9">
        <v>229.16666666666666</v>
      </c>
      <c r="H892" s="9">
        <f t="shared" si="28"/>
        <v>23.047619047619047</v>
      </c>
      <c r="I892" t="s">
        <v>179</v>
      </c>
      <c r="J892" s="33" t="s">
        <v>516</v>
      </c>
      <c r="K892" s="18">
        <f>VLOOKUP(D892,Ingredients!C:F,3,0)</f>
        <v>343.75</v>
      </c>
      <c r="L892" s="52">
        <f t="shared" si="27"/>
        <v>34.571428571428569</v>
      </c>
    </row>
    <row r="893" spans="1:12">
      <c r="A893" t="s">
        <v>284</v>
      </c>
      <c r="B893" t="s">
        <v>349</v>
      </c>
      <c r="C893" t="s">
        <v>352</v>
      </c>
      <c r="D893" s="3" t="s">
        <v>837</v>
      </c>
      <c r="E893" s="11">
        <v>1</v>
      </c>
      <c r="F893" s="7" t="s">
        <v>179</v>
      </c>
      <c r="G893" s="9">
        <v>1700</v>
      </c>
      <c r="H893" s="9">
        <f t="shared" si="28"/>
        <v>1700</v>
      </c>
      <c r="I893" t="s">
        <v>179</v>
      </c>
      <c r="J893" s="33" t="s">
        <v>514</v>
      </c>
      <c r="K893" s="18">
        <f>VLOOKUP(D893,Ingredients!C:G,5,0)</f>
        <v>1800</v>
      </c>
      <c r="L893" s="52">
        <f t="shared" si="27"/>
        <v>1800</v>
      </c>
    </row>
    <row r="894" spans="1:12">
      <c r="A894" t="s">
        <v>284</v>
      </c>
      <c r="B894" t="s">
        <v>349</v>
      </c>
      <c r="C894" t="s">
        <v>352</v>
      </c>
      <c r="D894" s="3" t="s">
        <v>852</v>
      </c>
      <c r="E894" s="11">
        <v>0.20114285714285715</v>
      </c>
      <c r="F894" s="7" t="s">
        <v>190</v>
      </c>
      <c r="G894" s="9">
        <v>520.63</v>
      </c>
      <c r="H894" s="9">
        <f t="shared" si="28"/>
        <v>104.72100571428572</v>
      </c>
      <c r="I894" t="s">
        <v>179</v>
      </c>
      <c r="J894" s="33" t="s">
        <v>514</v>
      </c>
      <c r="K894" s="18">
        <v>550</v>
      </c>
      <c r="L894" s="52">
        <f t="shared" si="27"/>
        <v>110.62857142857143</v>
      </c>
    </row>
    <row r="895" spans="1:12">
      <c r="A895" t="s">
        <v>284</v>
      </c>
      <c r="B895" t="s">
        <v>349</v>
      </c>
      <c r="C895" t="s">
        <v>352</v>
      </c>
      <c r="D895" s="3" t="s">
        <v>849</v>
      </c>
      <c r="E895" s="11">
        <v>2.5142857142857146E-3</v>
      </c>
      <c r="F895" s="7" t="s">
        <v>181</v>
      </c>
      <c r="G895" s="9">
        <v>1000</v>
      </c>
      <c r="H895" s="9">
        <f t="shared" si="28"/>
        <v>2.5142857142857147</v>
      </c>
      <c r="I895" t="s">
        <v>179</v>
      </c>
      <c r="J895" s="33" t="s">
        <v>514</v>
      </c>
      <c r="K895" s="18">
        <f>VLOOKUP(D895,Ingredients!C:G,5,0)</f>
        <v>950</v>
      </c>
      <c r="L895" s="52">
        <f t="shared" si="27"/>
        <v>2.3885714285714288</v>
      </c>
    </row>
    <row r="896" spans="1:12">
      <c r="A896" t="s">
        <v>284</v>
      </c>
      <c r="B896" t="s">
        <v>349</v>
      </c>
      <c r="C896" t="s">
        <v>352</v>
      </c>
      <c r="D896" s="3" t="s">
        <v>855</v>
      </c>
      <c r="E896" s="11">
        <v>3.4285714285714284E-3</v>
      </c>
      <c r="F896" s="7" t="s">
        <v>179</v>
      </c>
      <c r="G896" s="9">
        <v>2400</v>
      </c>
      <c r="H896" s="9">
        <f t="shared" si="28"/>
        <v>8.2285714285714278</v>
      </c>
      <c r="I896" t="s">
        <v>179</v>
      </c>
      <c r="J896" s="33" t="s">
        <v>514</v>
      </c>
      <c r="K896" s="18">
        <f>VLOOKUP(D896,Ingredients!C:G,5,0)</f>
        <v>1600</v>
      </c>
      <c r="L896" s="52">
        <f t="shared" si="27"/>
        <v>5.4857142857142858</v>
      </c>
    </row>
    <row r="897" spans="1:12">
      <c r="A897" t="s">
        <v>284</v>
      </c>
      <c r="B897" t="s">
        <v>349</v>
      </c>
      <c r="C897" t="s">
        <v>352</v>
      </c>
      <c r="D897" s="3" t="s">
        <v>882</v>
      </c>
      <c r="E897" s="11">
        <v>1.7142857142857142E-3</v>
      </c>
      <c r="F897" s="7" t="s">
        <v>179</v>
      </c>
      <c r="G897" s="9">
        <v>1500</v>
      </c>
      <c r="H897" s="9">
        <f t="shared" si="28"/>
        <v>2.5714285714285712</v>
      </c>
      <c r="I897" t="s">
        <v>179</v>
      </c>
      <c r="J897" s="33" t="s">
        <v>514</v>
      </c>
      <c r="K897" s="18">
        <f>VLOOKUP(D897,Ingredients!C:G,5,0)</f>
        <v>1450</v>
      </c>
      <c r="L897" s="52">
        <f t="shared" si="27"/>
        <v>2.4857142857142858</v>
      </c>
    </row>
    <row r="898" spans="1:12">
      <c r="A898" t="s">
        <v>284</v>
      </c>
      <c r="B898" t="s">
        <v>349</v>
      </c>
      <c r="C898" t="s">
        <v>352</v>
      </c>
      <c r="D898" s="3" t="s">
        <v>931</v>
      </c>
      <c r="E898" s="11">
        <v>5.0285714285714291E-3</v>
      </c>
      <c r="F898" s="7" t="s">
        <v>179</v>
      </c>
      <c r="G898" s="9">
        <v>4000</v>
      </c>
      <c r="H898" s="9">
        <f t="shared" si="28"/>
        <v>20.114285714285717</v>
      </c>
      <c r="I898" t="s">
        <v>179</v>
      </c>
      <c r="J898" s="33" t="s">
        <v>514</v>
      </c>
      <c r="K898" s="18">
        <f>VLOOKUP(D898,Ingredients!C:G,5,0)</f>
        <v>2900</v>
      </c>
      <c r="L898" s="52">
        <f t="shared" si="27"/>
        <v>14.582857142857144</v>
      </c>
    </row>
    <row r="899" spans="1:12">
      <c r="A899" t="s">
        <v>284</v>
      </c>
      <c r="B899" t="s">
        <v>349</v>
      </c>
      <c r="C899" t="s">
        <v>352</v>
      </c>
      <c r="D899" s="3" t="s">
        <v>915</v>
      </c>
      <c r="E899" s="11">
        <v>5.0285714285714291E-3</v>
      </c>
      <c r="F899" s="7" t="s">
        <v>179</v>
      </c>
      <c r="G899" s="9">
        <v>5000</v>
      </c>
      <c r="H899" s="9">
        <f t="shared" si="28"/>
        <v>25.142857142857146</v>
      </c>
      <c r="I899" t="s">
        <v>179</v>
      </c>
      <c r="J899" s="33" t="s">
        <v>514</v>
      </c>
      <c r="K899" s="18">
        <f>VLOOKUP(D899,Ingredients!C:G,5,0)</f>
        <v>3200</v>
      </c>
      <c r="L899" s="52">
        <f t="shared" si="27"/>
        <v>16.091428571428573</v>
      </c>
    </row>
    <row r="900" spans="1:12">
      <c r="A900" t="s">
        <v>284</v>
      </c>
      <c r="B900" t="s">
        <v>349</v>
      </c>
      <c r="C900" t="s">
        <v>352</v>
      </c>
      <c r="D900" s="3" t="s">
        <v>29</v>
      </c>
      <c r="E900" s="11">
        <v>2.5142857142857144E-2</v>
      </c>
      <c r="F900" s="7" t="s">
        <v>179</v>
      </c>
      <c r="G900" s="9">
        <v>60</v>
      </c>
      <c r="H900" s="9">
        <f t="shared" si="28"/>
        <v>1.5085714285714287</v>
      </c>
      <c r="I900" t="s">
        <v>179</v>
      </c>
      <c r="J900" s="33" t="s">
        <v>514</v>
      </c>
      <c r="K900" s="18">
        <f>VLOOKUP(D900,Ingredients!C:G,5,0)</f>
        <v>100</v>
      </c>
      <c r="L900" s="52">
        <f t="shared" ref="L900:L963" si="29">K900*E900</f>
        <v>2.5142857142857142</v>
      </c>
    </row>
    <row r="901" spans="1:12">
      <c r="A901" t="s">
        <v>284</v>
      </c>
      <c r="B901" t="s">
        <v>349</v>
      </c>
      <c r="C901" t="s">
        <v>352</v>
      </c>
      <c r="D901" s="3" t="s">
        <v>955</v>
      </c>
      <c r="E901" s="11">
        <v>1.7142857142857142E-3</v>
      </c>
      <c r="F901" s="7" t="s">
        <v>179</v>
      </c>
      <c r="G901" s="9">
        <v>3600</v>
      </c>
      <c r="H901" s="9">
        <f t="shared" si="28"/>
        <v>6.1714285714285708</v>
      </c>
      <c r="I901" t="s">
        <v>179</v>
      </c>
      <c r="J901" s="33" t="s">
        <v>514</v>
      </c>
      <c r="K901" s="18">
        <f>VLOOKUP(D901,Ingredients!C:G,5,0)</f>
        <v>3400</v>
      </c>
      <c r="L901" s="52">
        <f t="shared" si="29"/>
        <v>5.8285714285714283</v>
      </c>
    </row>
    <row r="902" spans="1:12">
      <c r="A902" t="s">
        <v>284</v>
      </c>
      <c r="B902" t="s">
        <v>349</v>
      </c>
      <c r="C902" t="s">
        <v>352</v>
      </c>
      <c r="D902" s="3" t="s">
        <v>856</v>
      </c>
      <c r="E902" s="11">
        <v>3.4285714285714284E-3</v>
      </c>
      <c r="F902" s="7" t="s">
        <v>179</v>
      </c>
      <c r="G902" s="9">
        <v>850</v>
      </c>
      <c r="H902" s="9">
        <f t="shared" si="28"/>
        <v>2.9142857142857141</v>
      </c>
      <c r="I902" t="s">
        <v>179</v>
      </c>
      <c r="J902" s="33" t="s">
        <v>514</v>
      </c>
      <c r="K902" s="18">
        <f>VLOOKUP(D902,Ingredients!C:G,5,0)</f>
        <v>980</v>
      </c>
      <c r="L902" s="52">
        <f t="shared" si="29"/>
        <v>3.36</v>
      </c>
    </row>
    <row r="903" spans="1:12">
      <c r="A903" t="s">
        <v>284</v>
      </c>
      <c r="B903" t="s">
        <v>349</v>
      </c>
      <c r="C903" t="s">
        <v>352</v>
      </c>
      <c r="D903" s="3" t="s">
        <v>24</v>
      </c>
      <c r="E903" s="11">
        <v>0.39314285714285713</v>
      </c>
      <c r="F903" s="7" t="s">
        <v>179</v>
      </c>
      <c r="G903" s="9">
        <v>55</v>
      </c>
      <c r="H903" s="9">
        <f t="shared" si="28"/>
        <v>21.622857142857143</v>
      </c>
      <c r="I903" t="s">
        <v>179</v>
      </c>
      <c r="J903" s="33" t="s">
        <v>514</v>
      </c>
      <c r="K903" s="18">
        <f>VLOOKUP(D903,Ingredients!C:G,5,0)</f>
        <v>80</v>
      </c>
      <c r="L903" s="52">
        <f t="shared" si="29"/>
        <v>31.451428571428572</v>
      </c>
    </row>
    <row r="904" spans="1:12">
      <c r="A904" t="s">
        <v>284</v>
      </c>
      <c r="B904" t="s">
        <v>349</v>
      </c>
      <c r="C904" t="s">
        <v>352</v>
      </c>
      <c r="D904" s="3" t="s">
        <v>29</v>
      </c>
      <c r="E904" s="11">
        <v>2.5142857142857144E-2</v>
      </c>
      <c r="F904" s="7" t="s">
        <v>179</v>
      </c>
      <c r="G904" s="9">
        <v>60</v>
      </c>
      <c r="H904" s="9">
        <f t="shared" si="28"/>
        <v>1.5085714285714287</v>
      </c>
      <c r="I904" t="s">
        <v>179</v>
      </c>
      <c r="J904" s="33" t="s">
        <v>514</v>
      </c>
      <c r="K904" s="18">
        <f>VLOOKUP(D904,Ingredients!C:G,5,0)</f>
        <v>100</v>
      </c>
      <c r="L904" s="52">
        <f t="shared" si="29"/>
        <v>2.5142857142857142</v>
      </c>
    </row>
    <row r="905" spans="1:12">
      <c r="A905" t="s">
        <v>284</v>
      </c>
      <c r="B905" t="s">
        <v>349</v>
      </c>
      <c r="C905" t="s">
        <v>352</v>
      </c>
      <c r="D905" s="3" t="s">
        <v>35</v>
      </c>
      <c r="E905" s="11">
        <v>9.8285714285714282E-2</v>
      </c>
      <c r="F905" s="7" t="s">
        <v>307</v>
      </c>
      <c r="G905" s="9">
        <v>13</v>
      </c>
      <c r="H905" s="9">
        <f t="shared" si="28"/>
        <v>1.2777142857142856</v>
      </c>
      <c r="I905" t="s">
        <v>179</v>
      </c>
      <c r="J905" s="33" t="s">
        <v>514</v>
      </c>
      <c r="K905" s="18">
        <f>VLOOKUP(D905,Ingredients!C:G,5,0)</f>
        <v>15</v>
      </c>
      <c r="L905" s="52">
        <f t="shared" si="29"/>
        <v>1.4742857142857142</v>
      </c>
    </row>
    <row r="906" spans="1:12">
      <c r="A906" t="s">
        <v>284</v>
      </c>
      <c r="B906" t="s">
        <v>349</v>
      </c>
      <c r="C906" t="s">
        <v>352</v>
      </c>
      <c r="D906" s="3" t="s">
        <v>23</v>
      </c>
      <c r="E906" s="11">
        <v>4.9142857142857139E-3</v>
      </c>
      <c r="F906" s="7" t="s">
        <v>179</v>
      </c>
      <c r="G906" s="9">
        <v>740</v>
      </c>
      <c r="H906" s="9">
        <f t="shared" si="28"/>
        <v>3.6365714285714281</v>
      </c>
      <c r="I906" t="s">
        <v>179</v>
      </c>
      <c r="J906" s="33" t="s">
        <v>514</v>
      </c>
      <c r="K906" s="18">
        <f>VLOOKUP(D906,Ingredients!C:G,5,0)</f>
        <v>780</v>
      </c>
      <c r="L906" s="52">
        <f t="shared" si="29"/>
        <v>3.8331428571428567</v>
      </c>
    </row>
    <row r="907" spans="1:12">
      <c r="A907" t="s">
        <v>284</v>
      </c>
      <c r="B907" t="s">
        <v>349</v>
      </c>
      <c r="C907" t="s">
        <v>352</v>
      </c>
      <c r="D907" s="3" t="s">
        <v>16</v>
      </c>
      <c r="E907" s="11">
        <v>4.9142857142857139E-3</v>
      </c>
      <c r="F907" s="7" t="s">
        <v>179</v>
      </c>
      <c r="G907" s="9">
        <v>270</v>
      </c>
      <c r="H907" s="9">
        <f t="shared" si="28"/>
        <v>1.3268571428571427</v>
      </c>
      <c r="I907" t="s">
        <v>179</v>
      </c>
      <c r="J907" s="33" t="s">
        <v>514</v>
      </c>
      <c r="K907" s="18">
        <f>VLOOKUP(D907,Ingredients!C:G,5,0)</f>
        <v>310</v>
      </c>
      <c r="L907" s="52">
        <f t="shared" si="29"/>
        <v>1.5234285714285714</v>
      </c>
    </row>
    <row r="908" spans="1:12">
      <c r="A908" t="s">
        <v>284</v>
      </c>
      <c r="B908" t="s">
        <v>349</v>
      </c>
      <c r="C908" t="s">
        <v>352</v>
      </c>
      <c r="D908" s="3" t="s">
        <v>73</v>
      </c>
      <c r="E908" s="11">
        <v>0.14857142857142858</v>
      </c>
      <c r="F908" s="7" t="s">
        <v>179</v>
      </c>
      <c r="G908" s="9">
        <v>305</v>
      </c>
      <c r="H908" s="9">
        <f t="shared" si="28"/>
        <v>45.314285714285717</v>
      </c>
      <c r="I908" t="s">
        <v>179</v>
      </c>
      <c r="J908" s="33" t="s">
        <v>514</v>
      </c>
      <c r="K908" s="18">
        <f>VLOOKUP(D908,Ingredients!C:G,5,0)</f>
        <v>300</v>
      </c>
      <c r="L908" s="52">
        <f t="shared" si="29"/>
        <v>44.571428571428569</v>
      </c>
    </row>
    <row r="909" spans="1:12">
      <c r="A909" t="s">
        <v>284</v>
      </c>
      <c r="B909" t="s">
        <v>349</v>
      </c>
      <c r="C909" t="s">
        <v>352</v>
      </c>
      <c r="D909" s="3" t="s">
        <v>853</v>
      </c>
      <c r="E909" s="11">
        <v>1.6E-2</v>
      </c>
      <c r="F909" s="7" t="s">
        <v>263</v>
      </c>
      <c r="G909" s="9">
        <v>30</v>
      </c>
      <c r="H909" s="9">
        <f t="shared" si="28"/>
        <v>0.48</v>
      </c>
      <c r="I909" t="s">
        <v>179</v>
      </c>
      <c r="J909" s="33" t="s">
        <v>514</v>
      </c>
      <c r="K909" s="18">
        <f>VLOOKUP(D909,Ingredients!C:G,5,0)</f>
        <v>55</v>
      </c>
      <c r="L909" s="52">
        <f t="shared" si="29"/>
        <v>0.88</v>
      </c>
    </row>
    <row r="910" spans="1:12">
      <c r="A910" t="s">
        <v>284</v>
      </c>
      <c r="B910" t="s">
        <v>349</v>
      </c>
      <c r="C910" t="s">
        <v>352</v>
      </c>
      <c r="D910" s="3" t="s">
        <v>928</v>
      </c>
      <c r="E910" s="11">
        <v>2.7428571428571428E-3</v>
      </c>
      <c r="F910" s="7" t="s">
        <v>179</v>
      </c>
      <c r="G910" s="9">
        <v>850</v>
      </c>
      <c r="H910" s="9">
        <f t="shared" si="28"/>
        <v>2.3314285714285714</v>
      </c>
      <c r="I910" t="s">
        <v>179</v>
      </c>
      <c r="J910" s="33" t="s">
        <v>514</v>
      </c>
      <c r="K910" s="18">
        <f>VLOOKUP(D910,Ingredients!C:G,5,0)</f>
        <v>900</v>
      </c>
      <c r="L910" s="52">
        <f t="shared" si="29"/>
        <v>2.4685714285714284</v>
      </c>
    </row>
    <row r="911" spans="1:12">
      <c r="A911" t="s">
        <v>285</v>
      </c>
      <c r="B911" t="s">
        <v>349</v>
      </c>
      <c r="C911" t="s">
        <v>353</v>
      </c>
      <c r="D911" s="3" t="s">
        <v>837</v>
      </c>
      <c r="E911" s="11">
        <v>1</v>
      </c>
      <c r="F911" s="7" t="s">
        <v>176</v>
      </c>
      <c r="G911" s="9">
        <v>1700</v>
      </c>
      <c r="H911" s="9">
        <f t="shared" si="28"/>
        <v>1700</v>
      </c>
      <c r="I911" t="s">
        <v>179</v>
      </c>
      <c r="J911" s="33" t="s">
        <v>514</v>
      </c>
      <c r="K911" s="18">
        <f>VLOOKUP(D911,Ingredients!C:G,5,0)</f>
        <v>1800</v>
      </c>
      <c r="L911" s="52">
        <f t="shared" si="29"/>
        <v>1800</v>
      </c>
    </row>
    <row r="912" spans="1:12">
      <c r="A912" t="s">
        <v>285</v>
      </c>
      <c r="B912" t="s">
        <v>349</v>
      </c>
      <c r="C912" t="s">
        <v>353</v>
      </c>
      <c r="D912" s="3" t="s">
        <v>884</v>
      </c>
      <c r="E912" s="11">
        <v>1.2338425381903644</v>
      </c>
      <c r="F912" s="7" t="s">
        <v>179</v>
      </c>
      <c r="G912" s="9">
        <v>344</v>
      </c>
      <c r="H912" s="9">
        <f t="shared" si="28"/>
        <v>424.44183313748533</v>
      </c>
      <c r="I912" t="s">
        <v>179</v>
      </c>
      <c r="J912" s="33" t="s">
        <v>514</v>
      </c>
      <c r="K912" s="18">
        <f>VLOOKUP(D912,Ingredients!C:G,5,0)</f>
        <v>344</v>
      </c>
      <c r="L912" s="52">
        <f t="shared" si="29"/>
        <v>424.44183313748533</v>
      </c>
    </row>
    <row r="913" spans="1:12">
      <c r="A913" t="s">
        <v>285</v>
      </c>
      <c r="B913" t="s">
        <v>349</v>
      </c>
      <c r="C913" t="s">
        <v>353</v>
      </c>
      <c r="D913" s="3" t="s">
        <v>852</v>
      </c>
      <c r="E913" s="11">
        <v>0.10575793184488837</v>
      </c>
      <c r="F913" s="7" t="s">
        <v>190</v>
      </c>
      <c r="G913" s="9">
        <v>520.63</v>
      </c>
      <c r="H913" s="9">
        <f t="shared" si="28"/>
        <v>55.060752056404233</v>
      </c>
      <c r="I913" t="s">
        <v>179</v>
      </c>
      <c r="J913" s="33" t="s">
        <v>514</v>
      </c>
      <c r="K913" s="18">
        <v>550</v>
      </c>
      <c r="L913" s="52">
        <f t="shared" si="29"/>
        <v>58.166862514688603</v>
      </c>
    </row>
    <row r="914" spans="1:12">
      <c r="A914" t="s">
        <v>285</v>
      </c>
      <c r="B914" t="s">
        <v>349</v>
      </c>
      <c r="C914" t="s">
        <v>353</v>
      </c>
      <c r="D914" s="3" t="s">
        <v>73</v>
      </c>
      <c r="E914" s="11">
        <v>0.27144535840188017</v>
      </c>
      <c r="F914" s="7" t="s">
        <v>179</v>
      </c>
      <c r="G914" s="9">
        <v>305</v>
      </c>
      <c r="H914" s="9">
        <f t="shared" si="28"/>
        <v>82.790834312573452</v>
      </c>
      <c r="I914" t="s">
        <v>179</v>
      </c>
      <c r="J914" s="33" t="s">
        <v>514</v>
      </c>
      <c r="K914" s="18">
        <f>VLOOKUP(D914,Ingredients!C:G,5,0)</f>
        <v>300</v>
      </c>
      <c r="L914" s="52">
        <f t="shared" si="29"/>
        <v>81.433607520564053</v>
      </c>
    </row>
    <row r="915" spans="1:12">
      <c r="A915" t="s">
        <v>285</v>
      </c>
      <c r="B915" t="s">
        <v>349</v>
      </c>
      <c r="C915" t="s">
        <v>353</v>
      </c>
      <c r="D915" s="3" t="s">
        <v>955</v>
      </c>
      <c r="E915" s="11">
        <v>1.4806110458284371E-3</v>
      </c>
      <c r="F915" s="7" t="s">
        <v>179</v>
      </c>
      <c r="G915" s="9">
        <v>3600</v>
      </c>
      <c r="H915" s="9">
        <f t="shared" si="28"/>
        <v>5.3301997649823738</v>
      </c>
      <c r="I915" t="s">
        <v>179</v>
      </c>
      <c r="J915" s="33" t="s">
        <v>514</v>
      </c>
      <c r="K915" s="18">
        <f>VLOOKUP(D915,Ingredients!C:G,5,0)</f>
        <v>3400</v>
      </c>
      <c r="L915" s="52">
        <f t="shared" si="29"/>
        <v>5.0340775558166859</v>
      </c>
    </row>
    <row r="916" spans="1:12">
      <c r="A916" t="s">
        <v>285</v>
      </c>
      <c r="B916" t="s">
        <v>349</v>
      </c>
      <c r="C916" t="s">
        <v>353</v>
      </c>
      <c r="D916" s="3" t="s">
        <v>898</v>
      </c>
      <c r="E916" s="11">
        <v>1.4806110458284371E-3</v>
      </c>
      <c r="F916" s="7" t="s">
        <v>179</v>
      </c>
      <c r="G916" s="9">
        <v>290</v>
      </c>
      <c r="H916" s="9">
        <f t="shared" si="28"/>
        <v>0.42937720329024676</v>
      </c>
      <c r="I916" t="s">
        <v>179</v>
      </c>
      <c r="J916" s="33" t="s">
        <v>514</v>
      </c>
      <c r="K916" s="18">
        <f>VLOOKUP(D916,Ingredients!C:G,5,0)</f>
        <v>290</v>
      </c>
      <c r="L916" s="52">
        <f t="shared" si="29"/>
        <v>0.42937720329024676</v>
      </c>
    </row>
    <row r="917" spans="1:12">
      <c r="A917" t="s">
        <v>285</v>
      </c>
      <c r="B917" t="s">
        <v>349</v>
      </c>
      <c r="C917" t="s">
        <v>353</v>
      </c>
      <c r="D917" s="3" t="s">
        <v>926</v>
      </c>
      <c r="E917" s="11">
        <v>3.5252643948296122E-2</v>
      </c>
      <c r="F917" s="7" t="s">
        <v>300</v>
      </c>
      <c r="G917" s="9">
        <v>62.5</v>
      </c>
      <c r="H917" s="9">
        <f t="shared" si="28"/>
        <v>2.2032902467685078</v>
      </c>
      <c r="I917" t="s">
        <v>179</v>
      </c>
      <c r="J917" s="33" t="s">
        <v>514</v>
      </c>
      <c r="K917" s="18">
        <f>VLOOKUP(D917,Ingredients!C:F,3,0)</f>
        <v>50</v>
      </c>
      <c r="L917" s="52">
        <f t="shared" si="29"/>
        <v>1.762632197414806</v>
      </c>
    </row>
    <row r="918" spans="1:12">
      <c r="A918" t="s">
        <v>285</v>
      </c>
      <c r="B918" t="s">
        <v>349</v>
      </c>
      <c r="C918" t="s">
        <v>353</v>
      </c>
      <c r="D918" s="3" t="s">
        <v>882</v>
      </c>
      <c r="E918" s="11">
        <v>1.4806110458284371E-3</v>
      </c>
      <c r="F918" s="7" t="s">
        <v>179</v>
      </c>
      <c r="G918" s="9">
        <v>1500</v>
      </c>
      <c r="H918" s="9">
        <f t="shared" si="28"/>
        <v>2.2209165687426555</v>
      </c>
      <c r="I918" t="s">
        <v>179</v>
      </c>
      <c r="J918" s="33" t="s">
        <v>514</v>
      </c>
      <c r="K918" s="18">
        <f>VLOOKUP(D918,Ingredients!C:G,5,0)</f>
        <v>1450</v>
      </c>
      <c r="L918" s="52">
        <f t="shared" si="29"/>
        <v>2.146886016451234</v>
      </c>
    </row>
    <row r="919" spans="1:12">
      <c r="A919" t="s">
        <v>285</v>
      </c>
      <c r="B919" t="s">
        <v>349</v>
      </c>
      <c r="C919" t="s">
        <v>353</v>
      </c>
      <c r="D919" s="3" t="s">
        <v>880</v>
      </c>
      <c r="E919" s="11">
        <v>9.8707403055229154E-3</v>
      </c>
      <c r="F919" s="7" t="s">
        <v>179</v>
      </c>
      <c r="G919" s="9">
        <v>650</v>
      </c>
      <c r="H919" s="9">
        <f t="shared" si="28"/>
        <v>6.4159811985898951</v>
      </c>
      <c r="I919" t="s">
        <v>179</v>
      </c>
      <c r="J919" s="33" t="s">
        <v>514</v>
      </c>
      <c r="K919" s="18">
        <f>VLOOKUP(D919,Ingredients!C:G,5,0)</f>
        <v>520</v>
      </c>
      <c r="L919" s="52">
        <f t="shared" si="29"/>
        <v>5.1327849588719161</v>
      </c>
    </row>
    <row r="920" spans="1:12">
      <c r="A920" t="s">
        <v>285</v>
      </c>
      <c r="B920" t="s">
        <v>349</v>
      </c>
      <c r="C920" t="s">
        <v>353</v>
      </c>
      <c r="D920" s="3" t="s">
        <v>28</v>
      </c>
      <c r="E920" s="11">
        <v>0.21386603995299647</v>
      </c>
      <c r="F920" s="7" t="s">
        <v>179</v>
      </c>
      <c r="G920" s="9">
        <v>85</v>
      </c>
      <c r="H920" s="9">
        <f t="shared" si="28"/>
        <v>18.1786133960047</v>
      </c>
      <c r="I920" t="s">
        <v>179</v>
      </c>
      <c r="J920" s="33" t="s">
        <v>514</v>
      </c>
      <c r="K920" s="18">
        <f>VLOOKUP(D920,Ingredients!C:G,5,0)</f>
        <v>70</v>
      </c>
      <c r="L920" s="52">
        <f t="shared" si="29"/>
        <v>14.970622796709753</v>
      </c>
    </row>
    <row r="921" spans="1:12">
      <c r="A921" t="s">
        <v>285</v>
      </c>
      <c r="B921" t="s">
        <v>349</v>
      </c>
      <c r="C921" t="s">
        <v>353</v>
      </c>
      <c r="D921" s="3" t="s">
        <v>273</v>
      </c>
      <c r="E921" s="11">
        <v>5.2878965922444184E-2</v>
      </c>
      <c r="F921" s="7" t="s">
        <v>179</v>
      </c>
      <c r="G921" s="9">
        <v>175</v>
      </c>
      <c r="H921" s="9">
        <f t="shared" si="28"/>
        <v>9.253819036427732</v>
      </c>
      <c r="I921" t="s">
        <v>179</v>
      </c>
      <c r="J921" s="33" t="s">
        <v>514</v>
      </c>
      <c r="K921" s="18">
        <f>VLOOKUP(D921,Ingredients!C:G,5,0)</f>
        <v>200</v>
      </c>
      <c r="L921" s="52">
        <f t="shared" si="29"/>
        <v>10.575793184488838</v>
      </c>
    </row>
    <row r="922" spans="1:12">
      <c r="A922" t="s">
        <v>285</v>
      </c>
      <c r="B922" t="s">
        <v>349</v>
      </c>
      <c r="C922" t="s">
        <v>353</v>
      </c>
      <c r="D922" s="3" t="s">
        <v>301</v>
      </c>
      <c r="E922" s="11">
        <v>2.1151586368977675E-2</v>
      </c>
      <c r="F922" s="7" t="s">
        <v>300</v>
      </c>
      <c r="G922" s="9">
        <v>70</v>
      </c>
      <c r="H922" s="9">
        <f t="shared" si="28"/>
        <v>1.4806110458284372</v>
      </c>
      <c r="I922" t="s">
        <v>179</v>
      </c>
      <c r="J922" s="33" t="s">
        <v>514</v>
      </c>
      <c r="K922" s="18">
        <f>VLOOKUP(D922,Ingredients!C:G,5,0)</f>
        <v>70</v>
      </c>
      <c r="L922" s="52">
        <f t="shared" si="29"/>
        <v>1.4806110458284372</v>
      </c>
    </row>
    <row r="923" spans="1:12">
      <c r="A923" t="s">
        <v>285</v>
      </c>
      <c r="B923" t="s">
        <v>349</v>
      </c>
      <c r="C923" t="s">
        <v>353</v>
      </c>
      <c r="D923" s="3" t="s">
        <v>895</v>
      </c>
      <c r="E923" s="11">
        <v>1.4101057579318449E-3</v>
      </c>
      <c r="F923" s="7" t="s">
        <v>179</v>
      </c>
      <c r="G923" s="9">
        <v>400</v>
      </c>
      <c r="H923" s="9">
        <f t="shared" si="28"/>
        <v>0.56404230317273796</v>
      </c>
      <c r="I923" t="s">
        <v>179</v>
      </c>
      <c r="J923" s="33" t="s">
        <v>514</v>
      </c>
      <c r="K923" s="18">
        <f>VLOOKUP(D923,Ingredients!C:G,5,0)</f>
        <v>400</v>
      </c>
      <c r="L923" s="52">
        <f t="shared" si="29"/>
        <v>0.56404230317273796</v>
      </c>
    </row>
    <row r="924" spans="1:12">
      <c r="A924" t="s">
        <v>285</v>
      </c>
      <c r="B924" t="s">
        <v>349</v>
      </c>
      <c r="C924" t="s">
        <v>353</v>
      </c>
      <c r="D924" s="3" t="s">
        <v>927</v>
      </c>
      <c r="E924" s="11">
        <v>5.2878965922444184E-2</v>
      </c>
      <c r="F924" s="7" t="s">
        <v>179</v>
      </c>
      <c r="G924" s="9">
        <v>600</v>
      </c>
      <c r="H924" s="9">
        <f t="shared" si="28"/>
        <v>31.727379553466509</v>
      </c>
      <c r="I924" t="s">
        <v>179</v>
      </c>
      <c r="J924" s="33" t="s">
        <v>514</v>
      </c>
      <c r="K924" s="18">
        <f>VLOOKUP(D924,Ingredients!C:G,5,0)</f>
        <v>600</v>
      </c>
      <c r="L924" s="52">
        <f t="shared" si="29"/>
        <v>31.727379553466509</v>
      </c>
    </row>
    <row r="925" spans="1:12">
      <c r="A925" t="s">
        <v>285</v>
      </c>
      <c r="B925" t="s">
        <v>349</v>
      </c>
      <c r="C925" t="s">
        <v>353</v>
      </c>
      <c r="D925" s="3" t="s">
        <v>855</v>
      </c>
      <c r="E925" s="11">
        <v>1.4806110458284371E-3</v>
      </c>
      <c r="F925" s="7" t="s">
        <v>179</v>
      </c>
      <c r="G925" s="9">
        <v>2400</v>
      </c>
      <c r="H925" s="9">
        <f t="shared" si="28"/>
        <v>3.5534665099882492</v>
      </c>
      <c r="I925" t="s">
        <v>179</v>
      </c>
      <c r="J925" s="33" t="s">
        <v>514</v>
      </c>
      <c r="K925" s="18">
        <f>VLOOKUP(D925,Ingredients!C:G,5,0)</f>
        <v>1600</v>
      </c>
      <c r="L925" s="52">
        <f t="shared" si="29"/>
        <v>2.3689776733254995</v>
      </c>
    </row>
    <row r="926" spans="1:12">
      <c r="A926" t="s">
        <v>285</v>
      </c>
      <c r="B926" t="s">
        <v>349</v>
      </c>
      <c r="C926" t="s">
        <v>353</v>
      </c>
      <c r="D926" s="3" t="s">
        <v>858</v>
      </c>
      <c r="E926" s="11">
        <v>1.4806110458284371E-3</v>
      </c>
      <c r="F926" s="7" t="s">
        <v>179</v>
      </c>
      <c r="G926" s="9">
        <v>1900</v>
      </c>
      <c r="H926" s="9">
        <f t="shared" si="28"/>
        <v>2.8131609870740304</v>
      </c>
      <c r="I926" t="s">
        <v>179</v>
      </c>
      <c r="J926" s="33" t="s">
        <v>514</v>
      </c>
      <c r="K926" s="18">
        <f>VLOOKUP(D926,Ingredients!C:G,5,0)</f>
        <v>1900</v>
      </c>
      <c r="L926" s="52">
        <f t="shared" si="29"/>
        <v>2.8131609870740304</v>
      </c>
    </row>
    <row r="927" spans="1:12">
      <c r="A927" t="s">
        <v>285</v>
      </c>
      <c r="B927" t="s">
        <v>349</v>
      </c>
      <c r="C927" t="s">
        <v>353</v>
      </c>
      <c r="D927" s="3" t="s">
        <v>862</v>
      </c>
      <c r="E927" s="11">
        <v>1.4806110458284371E-3</v>
      </c>
      <c r="F927" s="7" t="s">
        <v>179</v>
      </c>
      <c r="G927" s="9">
        <v>6500</v>
      </c>
      <c r="H927" s="9">
        <f t="shared" si="28"/>
        <v>9.6239717978848418</v>
      </c>
      <c r="I927" t="s">
        <v>179</v>
      </c>
      <c r="J927" s="33" t="s">
        <v>514</v>
      </c>
      <c r="K927" s="18">
        <f>VLOOKUP(D927,Ingredients!C:G,5,0)</f>
        <v>6500</v>
      </c>
      <c r="L927" s="52">
        <f t="shared" si="29"/>
        <v>9.6239717978848418</v>
      </c>
    </row>
    <row r="928" spans="1:12">
      <c r="A928" t="s">
        <v>285</v>
      </c>
      <c r="B928" t="s">
        <v>349</v>
      </c>
      <c r="C928" t="s">
        <v>353</v>
      </c>
      <c r="D928" s="3" t="s">
        <v>954</v>
      </c>
      <c r="E928" s="11">
        <v>1.4806110458284371E-3</v>
      </c>
      <c r="F928" s="7" t="s">
        <v>179</v>
      </c>
      <c r="G928" s="9">
        <v>1900</v>
      </c>
      <c r="H928" s="9">
        <f t="shared" si="28"/>
        <v>2.8131609870740304</v>
      </c>
      <c r="I928" t="s">
        <v>179</v>
      </c>
      <c r="J928" s="33" t="s">
        <v>514</v>
      </c>
      <c r="K928" s="18">
        <f>VLOOKUP(D928,Ingredients!C:G,5,0)</f>
        <v>2000</v>
      </c>
      <c r="L928" s="52">
        <f t="shared" si="29"/>
        <v>2.9612220916568743</v>
      </c>
    </row>
    <row r="929" spans="1:12">
      <c r="A929" t="s">
        <v>285</v>
      </c>
      <c r="B929" t="s">
        <v>349</v>
      </c>
      <c r="C929" t="s">
        <v>353</v>
      </c>
      <c r="D929" s="3" t="s">
        <v>29</v>
      </c>
      <c r="E929" s="11">
        <v>5.8754406580493537E-3</v>
      </c>
      <c r="F929" s="7" t="s">
        <v>179</v>
      </c>
      <c r="G929" s="9">
        <v>60</v>
      </c>
      <c r="H929" s="9">
        <f t="shared" si="28"/>
        <v>0.35252643948296125</v>
      </c>
      <c r="I929" t="s">
        <v>179</v>
      </c>
      <c r="J929" s="33" t="s">
        <v>514</v>
      </c>
      <c r="K929" s="18">
        <f>VLOOKUP(D929,Ingredients!C:G,5,0)</f>
        <v>100</v>
      </c>
      <c r="L929" s="52">
        <f t="shared" si="29"/>
        <v>0.58754406580493534</v>
      </c>
    </row>
    <row r="930" spans="1:12">
      <c r="A930" t="s">
        <v>285</v>
      </c>
      <c r="B930" t="s">
        <v>349</v>
      </c>
      <c r="C930" t="s">
        <v>353</v>
      </c>
      <c r="D930" s="3" t="s">
        <v>7</v>
      </c>
      <c r="E930" s="11">
        <v>0.21386603995299647</v>
      </c>
      <c r="F930" s="7" t="s">
        <v>297</v>
      </c>
      <c r="G930" s="9">
        <v>8</v>
      </c>
      <c r="H930" s="9">
        <f t="shared" si="28"/>
        <v>1.7109283196239717</v>
      </c>
      <c r="I930" t="s">
        <v>179</v>
      </c>
      <c r="J930" s="33" t="s">
        <v>514</v>
      </c>
      <c r="K930" s="18">
        <f>VLOOKUP(D930,Ingredients!C:G,5,0)</f>
        <v>6</v>
      </c>
      <c r="L930" s="52">
        <f t="shared" si="29"/>
        <v>1.2831962397179788</v>
      </c>
    </row>
    <row r="931" spans="1:12">
      <c r="A931" t="s">
        <v>285</v>
      </c>
      <c r="B931" t="s">
        <v>349</v>
      </c>
      <c r="C931" t="s">
        <v>353</v>
      </c>
      <c r="D931" s="3" t="s">
        <v>35</v>
      </c>
      <c r="E931" s="11">
        <v>0.21386603995299647</v>
      </c>
      <c r="F931" s="7" t="s">
        <v>297</v>
      </c>
      <c r="G931" s="9">
        <v>13</v>
      </c>
      <c r="H931" s="9">
        <f t="shared" si="28"/>
        <v>2.780258519388954</v>
      </c>
      <c r="I931" t="s">
        <v>179</v>
      </c>
      <c r="J931" s="33" t="s">
        <v>514</v>
      </c>
      <c r="K931" s="18">
        <f>VLOOKUP(D931,Ingredients!C:G,5,0)</f>
        <v>15</v>
      </c>
      <c r="L931" s="52">
        <f t="shared" si="29"/>
        <v>3.2079905992949471</v>
      </c>
    </row>
    <row r="932" spans="1:12">
      <c r="A932" t="s">
        <v>285</v>
      </c>
      <c r="B932" t="s">
        <v>349</v>
      </c>
      <c r="C932" t="s">
        <v>353</v>
      </c>
      <c r="D932" s="3" t="s">
        <v>849</v>
      </c>
      <c r="E932" s="11">
        <v>2.4676850763807288E-3</v>
      </c>
      <c r="F932" s="7" t="s">
        <v>179</v>
      </c>
      <c r="G932" s="9">
        <v>1000</v>
      </c>
      <c r="H932" s="9">
        <f t="shared" si="28"/>
        <v>2.4676850763807288</v>
      </c>
      <c r="I932" t="s">
        <v>179</v>
      </c>
      <c r="J932" s="33" t="s">
        <v>514</v>
      </c>
      <c r="K932" s="18">
        <f>VLOOKUP(D932,Ingredients!C:G,5,0)</f>
        <v>950</v>
      </c>
      <c r="L932" s="52">
        <f t="shared" si="29"/>
        <v>2.3443008225616926</v>
      </c>
    </row>
    <row r="933" spans="1:12">
      <c r="A933" t="s">
        <v>285</v>
      </c>
      <c r="B933" t="s">
        <v>349</v>
      </c>
      <c r="C933" t="s">
        <v>353</v>
      </c>
      <c r="D933" s="3" t="s">
        <v>860</v>
      </c>
      <c r="E933" s="11">
        <v>3.1727379553466513E-3</v>
      </c>
      <c r="F933" s="7" t="s">
        <v>179</v>
      </c>
      <c r="G933" s="9">
        <v>2000</v>
      </c>
      <c r="H933" s="9">
        <f t="shared" si="28"/>
        <v>6.3454759106933025</v>
      </c>
      <c r="I933" t="s">
        <v>179</v>
      </c>
      <c r="J933" s="33" t="s">
        <v>514</v>
      </c>
      <c r="K933" s="18">
        <f>VLOOKUP(D933,Ingredients!C:G,5,0)</f>
        <v>1900</v>
      </c>
      <c r="L933" s="52">
        <f t="shared" si="29"/>
        <v>6.0282021151586376</v>
      </c>
    </row>
    <row r="934" spans="1:12">
      <c r="A934" t="s">
        <v>285</v>
      </c>
      <c r="B934" t="s">
        <v>349</v>
      </c>
      <c r="C934" t="s">
        <v>353</v>
      </c>
      <c r="D934" s="3" t="s">
        <v>853</v>
      </c>
      <c r="E934" s="11">
        <v>0.21386603995299647</v>
      </c>
      <c r="F934" s="7" t="s">
        <v>179</v>
      </c>
      <c r="G934" s="9">
        <v>30</v>
      </c>
      <c r="H934" s="9">
        <f t="shared" si="28"/>
        <v>6.4159811985898942</v>
      </c>
      <c r="I934" t="s">
        <v>179</v>
      </c>
      <c r="J934" s="33" t="s">
        <v>514</v>
      </c>
      <c r="K934" s="18">
        <f>VLOOKUP(D934,Ingredients!C:G,5,0)</f>
        <v>55</v>
      </c>
      <c r="L934" s="52">
        <f t="shared" si="29"/>
        <v>11.762632197414806</v>
      </c>
    </row>
    <row r="935" spans="1:12">
      <c r="A935" t="s">
        <v>285</v>
      </c>
      <c r="B935" t="s">
        <v>349</v>
      </c>
      <c r="C935" t="s">
        <v>353</v>
      </c>
      <c r="D935" s="3" t="s">
        <v>928</v>
      </c>
      <c r="E935" s="11">
        <v>1.4806110458284371E-3</v>
      </c>
      <c r="F935" s="7" t="s">
        <v>179</v>
      </c>
      <c r="G935" s="9">
        <v>850</v>
      </c>
      <c r="H935" s="9">
        <f t="shared" si="28"/>
        <v>1.2585193889541715</v>
      </c>
      <c r="I935" t="s">
        <v>179</v>
      </c>
      <c r="J935" s="33" t="s">
        <v>514</v>
      </c>
      <c r="K935" s="18">
        <f>VLOOKUP(D935,Ingredients!C:G,5,0)</f>
        <v>900</v>
      </c>
      <c r="L935" s="52">
        <f t="shared" si="29"/>
        <v>1.3325499412455935</v>
      </c>
    </row>
    <row r="936" spans="1:12">
      <c r="A936" t="s">
        <v>285</v>
      </c>
      <c r="B936" t="s">
        <v>349</v>
      </c>
      <c r="C936" t="s">
        <v>353</v>
      </c>
      <c r="D936" s="3" t="s">
        <v>50</v>
      </c>
      <c r="E936" s="11">
        <v>2.5851938895417155E-2</v>
      </c>
      <c r="F936" s="7" t="s">
        <v>179</v>
      </c>
      <c r="G936" s="9">
        <v>120</v>
      </c>
      <c r="H936" s="9">
        <f t="shared" si="28"/>
        <v>3.1022326674500587</v>
      </c>
      <c r="I936" t="s">
        <v>179</v>
      </c>
      <c r="J936" s="33" t="s">
        <v>514</v>
      </c>
      <c r="K936" s="18">
        <f>VLOOKUP(D936,Ingredients!C:G,5,0)</f>
        <v>120</v>
      </c>
      <c r="L936" s="52">
        <f t="shared" si="29"/>
        <v>3.1022326674500587</v>
      </c>
    </row>
    <row r="937" spans="1:12">
      <c r="A937" t="s">
        <v>285</v>
      </c>
      <c r="B937" t="s">
        <v>349</v>
      </c>
      <c r="C937" t="s">
        <v>353</v>
      </c>
      <c r="D937" s="3" t="s">
        <v>915</v>
      </c>
      <c r="E937" s="11">
        <v>1.4806110458284371E-3</v>
      </c>
      <c r="F937" s="7" t="s">
        <v>179</v>
      </c>
      <c r="G937" s="9">
        <v>5000</v>
      </c>
      <c r="H937" s="9">
        <f t="shared" si="28"/>
        <v>7.4030552291421854</v>
      </c>
      <c r="I937" t="s">
        <v>179</v>
      </c>
      <c r="J937" s="33" t="s">
        <v>514</v>
      </c>
      <c r="K937" s="18">
        <f>VLOOKUP(D937,Ingredients!C:G,5,0)</f>
        <v>3200</v>
      </c>
      <c r="L937" s="52">
        <f t="shared" si="29"/>
        <v>4.7379553466509989</v>
      </c>
    </row>
    <row r="938" spans="1:12">
      <c r="A938" t="s">
        <v>285</v>
      </c>
      <c r="B938" t="s">
        <v>349</v>
      </c>
      <c r="C938" t="s">
        <v>353</v>
      </c>
      <c r="D938" s="3" t="s">
        <v>929</v>
      </c>
      <c r="E938" s="11">
        <v>1.4806110458284371E-2</v>
      </c>
      <c r="F938" s="7" t="s">
        <v>179</v>
      </c>
      <c r="G938" s="9">
        <v>650</v>
      </c>
      <c r="H938" s="9">
        <f t="shared" si="28"/>
        <v>9.6239717978848418</v>
      </c>
      <c r="I938" t="s">
        <v>179</v>
      </c>
      <c r="J938" s="33" t="s">
        <v>514</v>
      </c>
      <c r="K938" s="18">
        <f>VLOOKUP(D938,Ingredients!C:G,5,0)</f>
        <v>650</v>
      </c>
      <c r="L938" s="52">
        <f t="shared" si="29"/>
        <v>9.6239717978848418</v>
      </c>
    </row>
    <row r="939" spans="1:12">
      <c r="A939" t="s">
        <v>285</v>
      </c>
      <c r="B939" t="s">
        <v>349</v>
      </c>
      <c r="C939" t="s">
        <v>353</v>
      </c>
      <c r="D939" s="3" t="s">
        <v>23</v>
      </c>
      <c r="E939" s="11">
        <v>7.4030552291421857E-3</v>
      </c>
      <c r="F939" s="7" t="s">
        <v>179</v>
      </c>
      <c r="G939" s="9">
        <v>740</v>
      </c>
      <c r="H939" s="9">
        <f t="shared" si="28"/>
        <v>5.4782608695652177</v>
      </c>
      <c r="I939" t="s">
        <v>179</v>
      </c>
      <c r="J939" s="33" t="s">
        <v>514</v>
      </c>
      <c r="K939" s="18">
        <f>VLOOKUP(D939,Ingredients!C:G,5,0)</f>
        <v>780</v>
      </c>
      <c r="L939" s="52">
        <f t="shared" si="29"/>
        <v>5.7743830787309047</v>
      </c>
    </row>
    <row r="940" spans="1:12">
      <c r="A940" t="s">
        <v>285</v>
      </c>
      <c r="B940" t="s">
        <v>349</v>
      </c>
      <c r="C940" t="s">
        <v>353</v>
      </c>
      <c r="D940" s="3" t="s">
        <v>16</v>
      </c>
      <c r="E940" s="11">
        <v>4.9353701527614577E-3</v>
      </c>
      <c r="F940" s="7" t="s">
        <v>179</v>
      </c>
      <c r="G940" s="9">
        <v>270</v>
      </c>
      <c r="H940" s="9">
        <f t="shared" si="28"/>
        <v>1.3325499412455937</v>
      </c>
      <c r="I940" t="s">
        <v>179</v>
      </c>
      <c r="J940" s="33" t="s">
        <v>514</v>
      </c>
      <c r="K940" s="18">
        <f>VLOOKUP(D940,Ingredients!C:G,5,0)</f>
        <v>310</v>
      </c>
      <c r="L940" s="52">
        <f t="shared" si="29"/>
        <v>1.5299647473560518</v>
      </c>
    </row>
    <row r="941" spans="1:12">
      <c r="A941" t="s">
        <v>285</v>
      </c>
      <c r="B941" t="s">
        <v>349</v>
      </c>
      <c r="C941" t="s">
        <v>353</v>
      </c>
      <c r="D941" s="3" t="s">
        <v>923</v>
      </c>
      <c r="E941" s="11">
        <v>2.4676850763807288E-3</v>
      </c>
      <c r="F941" s="7" t="s">
        <v>179</v>
      </c>
      <c r="G941" s="9">
        <v>100</v>
      </c>
      <c r="H941" s="9">
        <f t="shared" si="28"/>
        <v>0.2467685076380729</v>
      </c>
      <c r="I941" t="s">
        <v>179</v>
      </c>
      <c r="J941" s="33" t="s">
        <v>514</v>
      </c>
      <c r="K941" s="18">
        <f>VLOOKUP(D941,Ingredients!C:G,5,0)</f>
        <v>1000</v>
      </c>
      <c r="L941" s="52">
        <f t="shared" si="29"/>
        <v>2.4676850763807288</v>
      </c>
    </row>
    <row r="942" spans="1:12">
      <c r="A942" t="s">
        <v>285</v>
      </c>
      <c r="B942" t="s">
        <v>349</v>
      </c>
      <c r="C942" t="s">
        <v>353</v>
      </c>
      <c r="D942" s="3" t="s">
        <v>867</v>
      </c>
      <c r="E942" s="11">
        <v>2.4676850763807288E-3</v>
      </c>
      <c r="F942" s="7" t="s">
        <v>179</v>
      </c>
      <c r="G942" s="9">
        <v>900</v>
      </c>
      <c r="H942" s="9">
        <f t="shared" si="28"/>
        <v>2.220916568742656</v>
      </c>
      <c r="I942" t="s">
        <v>179</v>
      </c>
      <c r="J942" s="33" t="s">
        <v>514</v>
      </c>
      <c r="K942" s="18">
        <f>VLOOKUP(D942,Ingredients!C:G,5,0)</f>
        <v>950</v>
      </c>
      <c r="L942" s="52">
        <f t="shared" si="29"/>
        <v>2.3443008225616926</v>
      </c>
    </row>
    <row r="943" spans="1:12">
      <c r="A943" t="s">
        <v>286</v>
      </c>
      <c r="B943" t="s">
        <v>349</v>
      </c>
      <c r="C943" t="s">
        <v>353</v>
      </c>
      <c r="D943" s="33" t="s">
        <v>491</v>
      </c>
      <c r="E943" s="11">
        <v>1</v>
      </c>
      <c r="F943" s="7" t="s">
        <v>176</v>
      </c>
      <c r="G943" s="9">
        <v>614</v>
      </c>
      <c r="H943" s="9">
        <f t="shared" si="28"/>
        <v>614</v>
      </c>
      <c r="I943" t="s">
        <v>179</v>
      </c>
      <c r="J943" s="33" t="s">
        <v>491</v>
      </c>
      <c r="K943" s="18">
        <f>VLOOKUP(D943,Ingredients!C:G,5,0)</f>
        <v>650</v>
      </c>
      <c r="L943" s="52">
        <f t="shared" si="29"/>
        <v>650</v>
      </c>
    </row>
    <row r="944" spans="1:12">
      <c r="A944" t="s">
        <v>286</v>
      </c>
      <c r="B944" t="s">
        <v>349</v>
      </c>
      <c r="C944" t="s">
        <v>353</v>
      </c>
      <c r="D944" s="3" t="s">
        <v>884</v>
      </c>
      <c r="E944" s="11">
        <v>1</v>
      </c>
      <c r="F944" s="7" t="s">
        <v>179</v>
      </c>
      <c r="G944" s="9">
        <v>344</v>
      </c>
      <c r="H944" s="9">
        <f t="shared" si="28"/>
        <v>344</v>
      </c>
      <c r="I944" t="s">
        <v>179</v>
      </c>
      <c r="J944" s="33" t="s">
        <v>491</v>
      </c>
      <c r="K944" s="18">
        <f>VLOOKUP(D944,Ingredients!C:G,5,0)</f>
        <v>344</v>
      </c>
      <c r="L944" s="52">
        <f t="shared" si="29"/>
        <v>344</v>
      </c>
    </row>
    <row r="945" spans="1:12">
      <c r="A945" t="s">
        <v>286</v>
      </c>
      <c r="B945" t="s">
        <v>349</v>
      </c>
      <c r="C945" t="s">
        <v>353</v>
      </c>
      <c r="D945" s="3" t="s">
        <v>852</v>
      </c>
      <c r="E945" s="11">
        <v>0.10575793184488837</v>
      </c>
      <c r="F945" s="7" t="s">
        <v>190</v>
      </c>
      <c r="G945" s="9">
        <v>520.63</v>
      </c>
      <c r="H945" s="9">
        <f t="shared" si="28"/>
        <v>55.060752056404233</v>
      </c>
      <c r="I945" t="s">
        <v>179</v>
      </c>
      <c r="J945" s="33" t="s">
        <v>491</v>
      </c>
      <c r="K945" s="18">
        <v>550</v>
      </c>
      <c r="L945" s="52">
        <f t="shared" si="29"/>
        <v>58.166862514688603</v>
      </c>
    </row>
    <row r="946" spans="1:12">
      <c r="A946" t="s">
        <v>286</v>
      </c>
      <c r="B946" t="s">
        <v>349</v>
      </c>
      <c r="C946" t="s">
        <v>353</v>
      </c>
      <c r="D946" s="3" t="s">
        <v>73</v>
      </c>
      <c r="E946" s="11">
        <v>0.27144535840188017</v>
      </c>
      <c r="F946" s="7" t="s">
        <v>179</v>
      </c>
      <c r="G946" s="9">
        <v>305</v>
      </c>
      <c r="H946" s="9">
        <f t="shared" si="28"/>
        <v>82.790834312573452</v>
      </c>
      <c r="I946" t="s">
        <v>179</v>
      </c>
      <c r="J946" s="33" t="s">
        <v>491</v>
      </c>
      <c r="K946" s="18">
        <f>VLOOKUP(D946,Ingredients!C:G,5,0)</f>
        <v>300</v>
      </c>
      <c r="L946" s="52">
        <f t="shared" si="29"/>
        <v>81.433607520564053</v>
      </c>
    </row>
    <row r="947" spans="1:12">
      <c r="A947" t="s">
        <v>286</v>
      </c>
      <c r="B947" t="s">
        <v>349</v>
      </c>
      <c r="C947" t="s">
        <v>353</v>
      </c>
      <c r="D947" s="3" t="s">
        <v>955</v>
      </c>
      <c r="E947" s="11">
        <v>1.4806110458284371E-3</v>
      </c>
      <c r="F947" s="7" t="s">
        <v>179</v>
      </c>
      <c r="G947" s="9">
        <v>3600</v>
      </c>
      <c r="H947" s="9">
        <f t="shared" si="28"/>
        <v>5.3301997649823738</v>
      </c>
      <c r="I947" t="s">
        <v>179</v>
      </c>
      <c r="J947" s="33" t="s">
        <v>491</v>
      </c>
      <c r="K947" s="18">
        <f>VLOOKUP(D947,Ingredients!C:G,5,0)</f>
        <v>3400</v>
      </c>
      <c r="L947" s="52">
        <f t="shared" si="29"/>
        <v>5.0340775558166859</v>
      </c>
    </row>
    <row r="948" spans="1:12">
      <c r="A948" t="s">
        <v>286</v>
      </c>
      <c r="B948" t="s">
        <v>349</v>
      </c>
      <c r="C948" t="s">
        <v>353</v>
      </c>
      <c r="D948" s="3" t="s">
        <v>898</v>
      </c>
      <c r="E948" s="11">
        <v>1.4806110458284371E-3</v>
      </c>
      <c r="F948" s="7" t="s">
        <v>179</v>
      </c>
      <c r="G948" s="9">
        <v>290</v>
      </c>
      <c r="H948" s="9">
        <f t="shared" si="28"/>
        <v>0.42937720329024676</v>
      </c>
      <c r="I948" t="s">
        <v>179</v>
      </c>
      <c r="J948" s="33" t="s">
        <v>491</v>
      </c>
      <c r="K948" s="18">
        <f>VLOOKUP(D948,Ingredients!C:G,5,0)</f>
        <v>290</v>
      </c>
      <c r="L948" s="52">
        <f t="shared" si="29"/>
        <v>0.42937720329024676</v>
      </c>
    </row>
    <row r="949" spans="1:12">
      <c r="A949" t="s">
        <v>286</v>
      </c>
      <c r="B949" t="s">
        <v>349</v>
      </c>
      <c r="C949" t="s">
        <v>353</v>
      </c>
      <c r="D949" s="3" t="s">
        <v>926</v>
      </c>
      <c r="E949" s="11">
        <v>3.5252643948296122E-2</v>
      </c>
      <c r="F949" s="7" t="s">
        <v>300</v>
      </c>
      <c r="G949" s="9">
        <v>62.5</v>
      </c>
      <c r="H949" s="9">
        <f t="shared" si="28"/>
        <v>2.2032902467685078</v>
      </c>
      <c r="I949" t="s">
        <v>179</v>
      </c>
      <c r="J949" s="33" t="s">
        <v>491</v>
      </c>
      <c r="K949" s="18">
        <f>VLOOKUP(D949,Ingredients!C:F,3,0)</f>
        <v>50</v>
      </c>
      <c r="L949" s="52">
        <f t="shared" si="29"/>
        <v>1.762632197414806</v>
      </c>
    </row>
    <row r="950" spans="1:12">
      <c r="A950" t="s">
        <v>286</v>
      </c>
      <c r="B950" t="s">
        <v>349</v>
      </c>
      <c r="C950" t="s">
        <v>353</v>
      </c>
      <c r="D950" s="3" t="s">
        <v>882</v>
      </c>
      <c r="E950" s="11">
        <v>1.4806110458284371E-3</v>
      </c>
      <c r="F950" s="7" t="s">
        <v>179</v>
      </c>
      <c r="G950" s="9">
        <v>1500</v>
      </c>
      <c r="H950" s="9">
        <f t="shared" si="28"/>
        <v>2.2209165687426555</v>
      </c>
      <c r="I950" t="s">
        <v>179</v>
      </c>
      <c r="J950" s="33" t="s">
        <v>491</v>
      </c>
      <c r="K950" s="18">
        <f>VLOOKUP(D950,Ingredients!C:G,5,0)</f>
        <v>1450</v>
      </c>
      <c r="L950" s="52">
        <f t="shared" si="29"/>
        <v>2.146886016451234</v>
      </c>
    </row>
    <row r="951" spans="1:12">
      <c r="A951" t="s">
        <v>286</v>
      </c>
      <c r="B951" t="s">
        <v>349</v>
      </c>
      <c r="C951" t="s">
        <v>353</v>
      </c>
      <c r="D951" s="3" t="s">
        <v>880</v>
      </c>
      <c r="E951" s="11">
        <v>9.8707403055229154E-3</v>
      </c>
      <c r="F951" s="7" t="s">
        <v>179</v>
      </c>
      <c r="G951" s="9">
        <v>650</v>
      </c>
      <c r="H951" s="9">
        <f t="shared" si="28"/>
        <v>6.4159811985898951</v>
      </c>
      <c r="I951" t="s">
        <v>179</v>
      </c>
      <c r="J951" s="33" t="s">
        <v>491</v>
      </c>
      <c r="K951" s="18">
        <f>VLOOKUP(D951,Ingredients!C:G,5,0)</f>
        <v>520</v>
      </c>
      <c r="L951" s="52">
        <f t="shared" si="29"/>
        <v>5.1327849588719161</v>
      </c>
    </row>
    <row r="952" spans="1:12">
      <c r="A952" t="s">
        <v>286</v>
      </c>
      <c r="B952" t="s">
        <v>349</v>
      </c>
      <c r="C952" t="s">
        <v>353</v>
      </c>
      <c r="D952" s="3" t="s">
        <v>28</v>
      </c>
      <c r="E952" s="11">
        <v>0.21386603995299647</v>
      </c>
      <c r="F952" s="7" t="s">
        <v>179</v>
      </c>
      <c r="G952" s="9">
        <v>85</v>
      </c>
      <c r="H952" s="9">
        <f t="shared" si="28"/>
        <v>18.1786133960047</v>
      </c>
      <c r="I952" t="s">
        <v>179</v>
      </c>
      <c r="J952" s="33" t="s">
        <v>491</v>
      </c>
      <c r="K952" s="18">
        <f>VLOOKUP(D952,Ingredients!C:G,5,0)</f>
        <v>70</v>
      </c>
      <c r="L952" s="52">
        <f t="shared" si="29"/>
        <v>14.970622796709753</v>
      </c>
    </row>
    <row r="953" spans="1:12">
      <c r="A953" t="s">
        <v>286</v>
      </c>
      <c r="B953" t="s">
        <v>349</v>
      </c>
      <c r="C953" t="s">
        <v>353</v>
      </c>
      <c r="D953" s="3" t="s">
        <v>273</v>
      </c>
      <c r="E953" s="11">
        <v>5.2878965922444184E-2</v>
      </c>
      <c r="F953" s="7" t="s">
        <v>179</v>
      </c>
      <c r="G953" s="9">
        <v>175</v>
      </c>
      <c r="H953" s="9">
        <f t="shared" ref="H953:H1016" si="30">G953*E953</f>
        <v>9.253819036427732</v>
      </c>
      <c r="I953" t="s">
        <v>179</v>
      </c>
      <c r="J953" s="33" t="s">
        <v>491</v>
      </c>
      <c r="K953" s="18">
        <f>VLOOKUP(D953,Ingredients!C:G,5,0)</f>
        <v>200</v>
      </c>
      <c r="L953" s="52">
        <f t="shared" si="29"/>
        <v>10.575793184488838</v>
      </c>
    </row>
    <row r="954" spans="1:12">
      <c r="A954" t="s">
        <v>286</v>
      </c>
      <c r="B954" t="s">
        <v>349</v>
      </c>
      <c r="C954" t="s">
        <v>353</v>
      </c>
      <c r="D954" s="3" t="s">
        <v>301</v>
      </c>
      <c r="E954" s="11">
        <v>2.1151586368977675E-2</v>
      </c>
      <c r="F954" s="7" t="s">
        <v>300</v>
      </c>
      <c r="G954" s="9">
        <v>70</v>
      </c>
      <c r="H954" s="9">
        <f t="shared" si="30"/>
        <v>1.4806110458284372</v>
      </c>
      <c r="I954" t="s">
        <v>179</v>
      </c>
      <c r="J954" s="33" t="s">
        <v>491</v>
      </c>
      <c r="K954" s="18">
        <f>VLOOKUP(D954,Ingredients!C:G,5,0)</f>
        <v>70</v>
      </c>
      <c r="L954" s="52">
        <f t="shared" si="29"/>
        <v>1.4806110458284372</v>
      </c>
    </row>
    <row r="955" spans="1:12">
      <c r="A955" t="s">
        <v>286</v>
      </c>
      <c r="B955" t="s">
        <v>349</v>
      </c>
      <c r="C955" t="s">
        <v>353</v>
      </c>
      <c r="D955" s="3" t="s">
        <v>895</v>
      </c>
      <c r="E955" s="11">
        <v>1.4101057579318449E-3</v>
      </c>
      <c r="F955" s="7" t="s">
        <v>179</v>
      </c>
      <c r="G955" s="9">
        <v>400</v>
      </c>
      <c r="H955" s="9">
        <f t="shared" si="30"/>
        <v>0.56404230317273796</v>
      </c>
      <c r="I955" t="s">
        <v>179</v>
      </c>
      <c r="J955" s="33" t="s">
        <v>491</v>
      </c>
      <c r="K955" s="18">
        <f>VLOOKUP(D955,Ingredients!C:G,5,0)</f>
        <v>400</v>
      </c>
      <c r="L955" s="52">
        <f t="shared" si="29"/>
        <v>0.56404230317273796</v>
      </c>
    </row>
    <row r="956" spans="1:12">
      <c r="A956" t="s">
        <v>286</v>
      </c>
      <c r="B956" t="s">
        <v>349</v>
      </c>
      <c r="C956" t="s">
        <v>353</v>
      </c>
      <c r="D956" s="3" t="s">
        <v>927</v>
      </c>
      <c r="E956" s="11">
        <v>5.2878965922444184E-2</v>
      </c>
      <c r="F956" s="7" t="s">
        <v>179</v>
      </c>
      <c r="G956" s="9">
        <v>600</v>
      </c>
      <c r="H956" s="9">
        <f t="shared" si="30"/>
        <v>31.727379553466509</v>
      </c>
      <c r="I956" t="s">
        <v>179</v>
      </c>
      <c r="J956" s="33" t="s">
        <v>491</v>
      </c>
      <c r="K956" s="18">
        <f>VLOOKUP(D956,Ingredients!C:G,5,0)</f>
        <v>600</v>
      </c>
      <c r="L956" s="52">
        <f t="shared" si="29"/>
        <v>31.727379553466509</v>
      </c>
    </row>
    <row r="957" spans="1:12">
      <c r="A957" t="s">
        <v>286</v>
      </c>
      <c r="B957" t="s">
        <v>349</v>
      </c>
      <c r="C957" t="s">
        <v>353</v>
      </c>
      <c r="D957" s="3" t="s">
        <v>855</v>
      </c>
      <c r="E957" s="11">
        <v>1.4806110458284371E-3</v>
      </c>
      <c r="F957" s="7" t="s">
        <v>179</v>
      </c>
      <c r="G957" s="9">
        <v>2400</v>
      </c>
      <c r="H957" s="9">
        <f t="shared" si="30"/>
        <v>3.5534665099882492</v>
      </c>
      <c r="I957" t="s">
        <v>179</v>
      </c>
      <c r="J957" s="33" t="s">
        <v>491</v>
      </c>
      <c r="K957" s="18">
        <f>VLOOKUP(D957,Ingredients!C:G,5,0)</f>
        <v>1600</v>
      </c>
      <c r="L957" s="52">
        <f t="shared" si="29"/>
        <v>2.3689776733254995</v>
      </c>
    </row>
    <row r="958" spans="1:12">
      <c r="A958" t="s">
        <v>286</v>
      </c>
      <c r="B958" t="s">
        <v>349</v>
      </c>
      <c r="C958" t="s">
        <v>353</v>
      </c>
      <c r="D958" s="3" t="s">
        <v>858</v>
      </c>
      <c r="E958" s="11">
        <v>1.4806110458284371E-3</v>
      </c>
      <c r="F958" s="7" t="s">
        <v>179</v>
      </c>
      <c r="G958" s="9">
        <v>1900</v>
      </c>
      <c r="H958" s="9">
        <f t="shared" si="30"/>
        <v>2.8131609870740304</v>
      </c>
      <c r="I958" t="s">
        <v>179</v>
      </c>
      <c r="J958" s="33" t="s">
        <v>491</v>
      </c>
      <c r="K958" s="18">
        <f>VLOOKUP(D958,Ingredients!C:G,5,0)</f>
        <v>1900</v>
      </c>
      <c r="L958" s="52">
        <f t="shared" si="29"/>
        <v>2.8131609870740304</v>
      </c>
    </row>
    <row r="959" spans="1:12">
      <c r="A959" t="s">
        <v>286</v>
      </c>
      <c r="B959" t="s">
        <v>349</v>
      </c>
      <c r="C959" t="s">
        <v>353</v>
      </c>
      <c r="D959" s="3" t="s">
        <v>862</v>
      </c>
      <c r="E959" s="11">
        <v>1.4806110458284371E-3</v>
      </c>
      <c r="F959" s="7" t="s">
        <v>179</v>
      </c>
      <c r="G959" s="9">
        <v>6500</v>
      </c>
      <c r="H959" s="9">
        <f t="shared" si="30"/>
        <v>9.6239717978848418</v>
      </c>
      <c r="I959" t="s">
        <v>179</v>
      </c>
      <c r="J959" s="33" t="s">
        <v>491</v>
      </c>
      <c r="K959" s="18">
        <f>VLOOKUP(D959,Ingredients!C:G,5,0)</f>
        <v>6500</v>
      </c>
      <c r="L959" s="52">
        <f t="shared" si="29"/>
        <v>9.6239717978848418</v>
      </c>
    </row>
    <row r="960" spans="1:12">
      <c r="A960" t="s">
        <v>286</v>
      </c>
      <c r="B960" t="s">
        <v>349</v>
      </c>
      <c r="C960" t="s">
        <v>353</v>
      </c>
      <c r="D960" s="3" t="s">
        <v>954</v>
      </c>
      <c r="E960" s="11">
        <v>1.4806110458284371E-3</v>
      </c>
      <c r="F960" s="7" t="s">
        <v>179</v>
      </c>
      <c r="G960" s="9">
        <v>1900</v>
      </c>
      <c r="H960" s="9">
        <f t="shared" si="30"/>
        <v>2.8131609870740304</v>
      </c>
      <c r="I960" t="s">
        <v>179</v>
      </c>
      <c r="J960" s="33" t="s">
        <v>491</v>
      </c>
      <c r="K960" s="18">
        <f>VLOOKUP(D960,Ingredients!C:G,5,0)</f>
        <v>2000</v>
      </c>
      <c r="L960" s="52">
        <f t="shared" si="29"/>
        <v>2.9612220916568743</v>
      </c>
    </row>
    <row r="961" spans="1:12">
      <c r="A961" t="s">
        <v>286</v>
      </c>
      <c r="B961" t="s">
        <v>349</v>
      </c>
      <c r="C961" t="s">
        <v>353</v>
      </c>
      <c r="D961" s="3" t="s">
        <v>29</v>
      </c>
      <c r="E961" s="11">
        <v>5.8754406580493537E-3</v>
      </c>
      <c r="F961" s="7" t="s">
        <v>179</v>
      </c>
      <c r="G961" s="9">
        <v>60</v>
      </c>
      <c r="H961" s="9">
        <f t="shared" si="30"/>
        <v>0.35252643948296125</v>
      </c>
      <c r="I961" t="s">
        <v>179</v>
      </c>
      <c r="J961" s="33" t="s">
        <v>491</v>
      </c>
      <c r="K961" s="18">
        <f>VLOOKUP(D961,Ingredients!C:G,5,0)</f>
        <v>100</v>
      </c>
      <c r="L961" s="52">
        <f t="shared" si="29"/>
        <v>0.58754406580493534</v>
      </c>
    </row>
    <row r="962" spans="1:12">
      <c r="A962" t="s">
        <v>286</v>
      </c>
      <c r="B962" t="s">
        <v>349</v>
      </c>
      <c r="C962" t="s">
        <v>353</v>
      </c>
      <c r="D962" s="3" t="s">
        <v>7</v>
      </c>
      <c r="E962" s="11">
        <v>0.21386603995299647</v>
      </c>
      <c r="F962" s="7" t="s">
        <v>297</v>
      </c>
      <c r="G962" s="9">
        <v>8</v>
      </c>
      <c r="H962" s="9">
        <f t="shared" si="30"/>
        <v>1.7109283196239717</v>
      </c>
      <c r="I962" t="s">
        <v>179</v>
      </c>
      <c r="J962" s="33" t="s">
        <v>491</v>
      </c>
      <c r="K962" s="18">
        <f>VLOOKUP(D962,Ingredients!C:G,5,0)</f>
        <v>6</v>
      </c>
      <c r="L962" s="52">
        <f t="shared" si="29"/>
        <v>1.2831962397179788</v>
      </c>
    </row>
    <row r="963" spans="1:12">
      <c r="A963" t="s">
        <v>286</v>
      </c>
      <c r="B963" t="s">
        <v>349</v>
      </c>
      <c r="C963" t="s">
        <v>353</v>
      </c>
      <c r="D963" s="3" t="s">
        <v>35</v>
      </c>
      <c r="E963" s="11">
        <v>0.21386603995299647</v>
      </c>
      <c r="F963" s="7" t="s">
        <v>297</v>
      </c>
      <c r="G963" s="9">
        <v>13</v>
      </c>
      <c r="H963" s="9">
        <f t="shared" si="30"/>
        <v>2.780258519388954</v>
      </c>
      <c r="I963" t="s">
        <v>179</v>
      </c>
      <c r="J963" s="33" t="s">
        <v>491</v>
      </c>
      <c r="K963" s="18">
        <f>VLOOKUP(D963,Ingredients!C:G,5,0)</f>
        <v>15</v>
      </c>
      <c r="L963" s="52">
        <f t="shared" si="29"/>
        <v>3.2079905992949471</v>
      </c>
    </row>
    <row r="964" spans="1:12">
      <c r="A964" t="s">
        <v>286</v>
      </c>
      <c r="B964" t="s">
        <v>349</v>
      </c>
      <c r="C964" t="s">
        <v>353</v>
      </c>
      <c r="D964" s="3" t="s">
        <v>849</v>
      </c>
      <c r="E964" s="11">
        <v>2.4676850763807288E-3</v>
      </c>
      <c r="F964" s="7" t="s">
        <v>179</v>
      </c>
      <c r="G964" s="9">
        <v>1000</v>
      </c>
      <c r="H964" s="9">
        <f t="shared" si="30"/>
        <v>2.4676850763807288</v>
      </c>
      <c r="I964" t="s">
        <v>179</v>
      </c>
      <c r="J964" s="33" t="s">
        <v>491</v>
      </c>
      <c r="K964" s="18">
        <f>VLOOKUP(D964,Ingredients!C:G,5,0)</f>
        <v>950</v>
      </c>
      <c r="L964" s="52">
        <f t="shared" ref="L964:L1027" si="31">K964*E964</f>
        <v>2.3443008225616926</v>
      </c>
    </row>
    <row r="965" spans="1:12">
      <c r="A965" t="s">
        <v>286</v>
      </c>
      <c r="B965" t="s">
        <v>349</v>
      </c>
      <c r="C965" t="s">
        <v>353</v>
      </c>
      <c r="D965" s="3" t="s">
        <v>860</v>
      </c>
      <c r="E965" s="11">
        <v>3.1727379553466513E-3</v>
      </c>
      <c r="F965" s="7" t="s">
        <v>179</v>
      </c>
      <c r="G965" s="9">
        <v>2000</v>
      </c>
      <c r="H965" s="9">
        <f t="shared" si="30"/>
        <v>6.3454759106933025</v>
      </c>
      <c r="I965" t="s">
        <v>179</v>
      </c>
      <c r="J965" s="33" t="s">
        <v>491</v>
      </c>
      <c r="K965" s="18">
        <f>VLOOKUP(D965,Ingredients!C:G,5,0)</f>
        <v>1900</v>
      </c>
      <c r="L965" s="52">
        <f t="shared" si="31"/>
        <v>6.0282021151586376</v>
      </c>
    </row>
    <row r="966" spans="1:12">
      <c r="A966" t="s">
        <v>286</v>
      </c>
      <c r="B966" t="s">
        <v>349</v>
      </c>
      <c r="C966" t="s">
        <v>353</v>
      </c>
      <c r="D966" s="3" t="s">
        <v>853</v>
      </c>
      <c r="E966" s="11">
        <v>0.21386603995299647</v>
      </c>
      <c r="F966" s="7" t="s">
        <v>179</v>
      </c>
      <c r="G966" s="9">
        <v>30</v>
      </c>
      <c r="H966" s="9">
        <f t="shared" si="30"/>
        <v>6.4159811985898942</v>
      </c>
      <c r="I966" t="s">
        <v>179</v>
      </c>
      <c r="J966" s="33" t="s">
        <v>491</v>
      </c>
      <c r="K966" s="18">
        <f>VLOOKUP(D966,Ingredients!C:G,5,0)</f>
        <v>55</v>
      </c>
      <c r="L966" s="52">
        <f t="shared" si="31"/>
        <v>11.762632197414806</v>
      </c>
    </row>
    <row r="967" spans="1:12">
      <c r="A967" t="s">
        <v>286</v>
      </c>
      <c r="B967" t="s">
        <v>349</v>
      </c>
      <c r="C967" t="s">
        <v>353</v>
      </c>
      <c r="D967" s="3" t="s">
        <v>928</v>
      </c>
      <c r="E967" s="11">
        <v>1.4806110458284371E-3</v>
      </c>
      <c r="F967" s="7" t="s">
        <v>179</v>
      </c>
      <c r="G967" s="9">
        <v>850</v>
      </c>
      <c r="H967" s="9">
        <f t="shared" si="30"/>
        <v>1.2585193889541715</v>
      </c>
      <c r="I967" t="s">
        <v>179</v>
      </c>
      <c r="J967" s="33" t="s">
        <v>491</v>
      </c>
      <c r="K967" s="18">
        <f>VLOOKUP(D967,Ingredients!C:G,5,0)</f>
        <v>900</v>
      </c>
      <c r="L967" s="52">
        <f t="shared" si="31"/>
        <v>1.3325499412455935</v>
      </c>
    </row>
    <row r="968" spans="1:12">
      <c r="A968" t="s">
        <v>286</v>
      </c>
      <c r="B968" t="s">
        <v>349</v>
      </c>
      <c r="C968" t="s">
        <v>353</v>
      </c>
      <c r="D968" s="3" t="s">
        <v>50</v>
      </c>
      <c r="E968" s="11">
        <v>2.5851938895417155E-2</v>
      </c>
      <c r="F968" s="7" t="s">
        <v>179</v>
      </c>
      <c r="G968" s="9">
        <v>120</v>
      </c>
      <c r="H968" s="9">
        <f t="shared" si="30"/>
        <v>3.1022326674500587</v>
      </c>
      <c r="I968" t="s">
        <v>179</v>
      </c>
      <c r="J968" s="33" t="s">
        <v>491</v>
      </c>
      <c r="K968" s="18">
        <f>VLOOKUP(D968,Ingredients!C:G,5,0)</f>
        <v>120</v>
      </c>
      <c r="L968" s="52">
        <f t="shared" si="31"/>
        <v>3.1022326674500587</v>
      </c>
    </row>
    <row r="969" spans="1:12">
      <c r="A969" t="s">
        <v>286</v>
      </c>
      <c r="B969" t="s">
        <v>349</v>
      </c>
      <c r="C969" t="s">
        <v>353</v>
      </c>
      <c r="D969" s="3" t="s">
        <v>915</v>
      </c>
      <c r="E969" s="11">
        <v>1.4806110458284371E-3</v>
      </c>
      <c r="F969" s="7" t="s">
        <v>179</v>
      </c>
      <c r="G969" s="9">
        <v>5000</v>
      </c>
      <c r="H969" s="9">
        <f t="shared" si="30"/>
        <v>7.4030552291421854</v>
      </c>
      <c r="I969" t="s">
        <v>179</v>
      </c>
      <c r="J969" s="33" t="s">
        <v>491</v>
      </c>
      <c r="K969" s="18">
        <f>VLOOKUP(D969,Ingredients!C:G,5,0)</f>
        <v>3200</v>
      </c>
      <c r="L969" s="52">
        <f t="shared" si="31"/>
        <v>4.7379553466509989</v>
      </c>
    </row>
    <row r="970" spans="1:12">
      <c r="A970" t="s">
        <v>286</v>
      </c>
      <c r="B970" t="s">
        <v>349</v>
      </c>
      <c r="C970" t="s">
        <v>353</v>
      </c>
      <c r="D970" s="3" t="s">
        <v>929</v>
      </c>
      <c r="E970" s="11">
        <v>1.4806110458284371E-2</v>
      </c>
      <c r="F970" s="7" t="s">
        <v>179</v>
      </c>
      <c r="G970" s="9">
        <v>650</v>
      </c>
      <c r="H970" s="9">
        <f t="shared" si="30"/>
        <v>9.6239717978848418</v>
      </c>
      <c r="I970" t="s">
        <v>179</v>
      </c>
      <c r="J970" s="33" t="s">
        <v>491</v>
      </c>
      <c r="K970" s="18">
        <f>VLOOKUP(D970,Ingredients!C:G,5,0)</f>
        <v>650</v>
      </c>
      <c r="L970" s="52">
        <f t="shared" si="31"/>
        <v>9.6239717978848418</v>
      </c>
    </row>
    <row r="971" spans="1:12">
      <c r="A971" t="s">
        <v>286</v>
      </c>
      <c r="B971" t="s">
        <v>349</v>
      </c>
      <c r="C971" t="s">
        <v>353</v>
      </c>
      <c r="D971" s="3" t="s">
        <v>23</v>
      </c>
      <c r="E971" s="11">
        <v>7.4030552291421857E-3</v>
      </c>
      <c r="F971" s="7" t="s">
        <v>179</v>
      </c>
      <c r="G971" s="9">
        <v>740</v>
      </c>
      <c r="H971" s="9">
        <f t="shared" si="30"/>
        <v>5.4782608695652177</v>
      </c>
      <c r="I971" t="s">
        <v>179</v>
      </c>
      <c r="J971" s="33" t="s">
        <v>491</v>
      </c>
      <c r="K971" s="18">
        <f>VLOOKUP(D971,Ingredients!C:G,5,0)</f>
        <v>780</v>
      </c>
      <c r="L971" s="52">
        <f t="shared" si="31"/>
        <v>5.7743830787309047</v>
      </c>
    </row>
    <row r="972" spans="1:12">
      <c r="A972" t="s">
        <v>286</v>
      </c>
      <c r="B972" t="s">
        <v>349</v>
      </c>
      <c r="C972" t="s">
        <v>353</v>
      </c>
      <c r="D972" s="3" t="s">
        <v>16</v>
      </c>
      <c r="E972" s="11">
        <v>4.9353701527614577E-3</v>
      </c>
      <c r="F972" s="7" t="s">
        <v>179</v>
      </c>
      <c r="G972" s="9">
        <v>270</v>
      </c>
      <c r="H972" s="9">
        <f t="shared" si="30"/>
        <v>1.3325499412455937</v>
      </c>
      <c r="I972" t="s">
        <v>179</v>
      </c>
      <c r="J972" s="33" t="s">
        <v>491</v>
      </c>
      <c r="K972" s="18">
        <f>VLOOKUP(D972,Ingredients!C:G,5,0)</f>
        <v>310</v>
      </c>
      <c r="L972" s="52">
        <f t="shared" si="31"/>
        <v>1.5299647473560518</v>
      </c>
    </row>
    <row r="973" spans="1:12">
      <c r="A973" t="s">
        <v>286</v>
      </c>
      <c r="B973" t="s">
        <v>349</v>
      </c>
      <c r="C973" t="s">
        <v>353</v>
      </c>
      <c r="D973" s="3" t="s">
        <v>923</v>
      </c>
      <c r="E973" s="11">
        <v>2.4676850763807288E-3</v>
      </c>
      <c r="F973" s="7" t="s">
        <v>179</v>
      </c>
      <c r="G973" s="9">
        <v>100</v>
      </c>
      <c r="H973" s="9">
        <f t="shared" si="30"/>
        <v>0.2467685076380729</v>
      </c>
      <c r="I973" t="s">
        <v>179</v>
      </c>
      <c r="J973" s="33" t="s">
        <v>491</v>
      </c>
      <c r="K973" s="18">
        <f>VLOOKUP(D973,Ingredients!C:G,5,0)</f>
        <v>1000</v>
      </c>
      <c r="L973" s="52">
        <f t="shared" si="31"/>
        <v>2.4676850763807288</v>
      </c>
    </row>
    <row r="974" spans="1:12">
      <c r="A974" t="s">
        <v>286</v>
      </c>
      <c r="B974" t="s">
        <v>349</v>
      </c>
      <c r="C974" t="s">
        <v>353</v>
      </c>
      <c r="D974" s="3" t="s">
        <v>867</v>
      </c>
      <c r="E974" s="11">
        <v>2.4676850763807288E-3</v>
      </c>
      <c r="F974" s="7" t="s">
        <v>179</v>
      </c>
      <c r="G974" s="9">
        <v>900</v>
      </c>
      <c r="H974" s="9">
        <f t="shared" si="30"/>
        <v>2.220916568742656</v>
      </c>
      <c r="I974" t="s">
        <v>179</v>
      </c>
      <c r="J974" s="33" t="s">
        <v>491</v>
      </c>
      <c r="K974" s="18">
        <f>VLOOKUP(D974,Ingredients!C:G,5,0)</f>
        <v>950</v>
      </c>
      <c r="L974" s="52">
        <f t="shared" si="31"/>
        <v>2.3443008225616926</v>
      </c>
    </row>
    <row r="975" spans="1:12">
      <c r="A975" t="s">
        <v>287</v>
      </c>
      <c r="B975" t="s">
        <v>349</v>
      </c>
      <c r="C975" t="s">
        <v>350</v>
      </c>
      <c r="D975" s="3" t="s">
        <v>833</v>
      </c>
      <c r="E975" s="11">
        <v>1</v>
      </c>
      <c r="F975" s="7" t="s">
        <v>176</v>
      </c>
      <c r="G975" s="9">
        <v>1020</v>
      </c>
      <c r="H975" s="9">
        <f t="shared" si="30"/>
        <v>1020</v>
      </c>
      <c r="I975" t="s">
        <v>179</v>
      </c>
      <c r="J975" s="33" t="s">
        <v>490</v>
      </c>
      <c r="K975" s="18">
        <f>VLOOKUP(D975,Ingredients!C:G,5,0)</f>
        <v>1000</v>
      </c>
      <c r="L975" s="52">
        <f t="shared" si="31"/>
        <v>1000</v>
      </c>
    </row>
    <row r="976" spans="1:12">
      <c r="A976" t="s">
        <v>287</v>
      </c>
      <c r="B976" t="s">
        <v>349</v>
      </c>
      <c r="C976" t="s">
        <v>350</v>
      </c>
      <c r="D976" s="3" t="s">
        <v>932</v>
      </c>
      <c r="E976" s="11">
        <v>6.2500000000000003E-3</v>
      </c>
      <c r="F976" s="7" t="s">
        <v>179</v>
      </c>
      <c r="G976" s="9">
        <v>2848.84</v>
      </c>
      <c r="H976" s="9">
        <f t="shared" si="30"/>
        <v>17.805250000000001</v>
      </c>
      <c r="I976" t="s">
        <v>179</v>
      </c>
      <c r="J976" s="33" t="s">
        <v>490</v>
      </c>
      <c r="K976" s="18">
        <f>VLOOKUP(D976,Ingredients!C:G,5,0)</f>
        <v>2643.68</v>
      </c>
      <c r="L976" s="52">
        <f t="shared" si="31"/>
        <v>16.523</v>
      </c>
    </row>
    <row r="977" spans="1:12">
      <c r="A977" t="s">
        <v>287</v>
      </c>
      <c r="B977" t="s">
        <v>349</v>
      </c>
      <c r="C977" t="s">
        <v>350</v>
      </c>
      <c r="D977" s="3" t="s">
        <v>859</v>
      </c>
      <c r="E977" s="11">
        <v>2.5000000000000001E-3</v>
      </c>
      <c r="F977" s="7" t="s">
        <v>179</v>
      </c>
      <c r="G977" s="9">
        <v>650</v>
      </c>
      <c r="H977" s="9">
        <f t="shared" si="30"/>
        <v>1.625</v>
      </c>
      <c r="I977" t="s">
        <v>179</v>
      </c>
      <c r="J977" s="33" t="s">
        <v>490</v>
      </c>
      <c r="K977" s="18">
        <f>VLOOKUP(D977,Ingredients!C:G,5,0)</f>
        <v>700</v>
      </c>
      <c r="L977" s="52">
        <f t="shared" si="31"/>
        <v>1.75</v>
      </c>
    </row>
    <row r="978" spans="1:12">
      <c r="A978" t="s">
        <v>287</v>
      </c>
      <c r="B978" t="s">
        <v>349</v>
      </c>
      <c r="C978" t="s">
        <v>350</v>
      </c>
      <c r="D978" s="3" t="s">
        <v>855</v>
      </c>
      <c r="E978" s="11">
        <v>8.7499999999999991E-3</v>
      </c>
      <c r="F978" s="7" t="s">
        <v>179</v>
      </c>
      <c r="G978" s="9">
        <v>2400</v>
      </c>
      <c r="H978" s="9">
        <f t="shared" si="30"/>
        <v>20.999999999999996</v>
      </c>
      <c r="I978" t="s">
        <v>179</v>
      </c>
      <c r="J978" s="33" t="s">
        <v>490</v>
      </c>
      <c r="K978" s="18">
        <f>VLOOKUP(D978,Ingredients!C:G,5,0)</f>
        <v>1600</v>
      </c>
      <c r="L978" s="52">
        <f t="shared" si="31"/>
        <v>13.999999999999998</v>
      </c>
    </row>
    <row r="979" spans="1:12">
      <c r="A979" t="s">
        <v>287</v>
      </c>
      <c r="B979" t="s">
        <v>349</v>
      </c>
      <c r="C979" t="s">
        <v>350</v>
      </c>
      <c r="D979" s="3" t="s">
        <v>872</v>
      </c>
      <c r="E979" s="11">
        <v>3.7500000000000003E-3</v>
      </c>
      <c r="F979" s="7" t="s">
        <v>179</v>
      </c>
      <c r="G979" s="9">
        <v>2100</v>
      </c>
      <c r="H979" s="9">
        <f t="shared" si="30"/>
        <v>7.8750000000000009</v>
      </c>
      <c r="I979" t="s">
        <v>179</v>
      </c>
      <c r="J979" s="33" t="s">
        <v>490</v>
      </c>
      <c r="K979" s="18">
        <f>VLOOKUP(D979,Ingredients!C:G,5,0)</f>
        <v>2150</v>
      </c>
      <c r="L979" s="52">
        <f t="shared" si="31"/>
        <v>8.0625</v>
      </c>
    </row>
    <row r="980" spans="1:12">
      <c r="A980" t="s">
        <v>287</v>
      </c>
      <c r="B980" t="s">
        <v>349</v>
      </c>
      <c r="C980" t="s">
        <v>350</v>
      </c>
      <c r="D980" s="3" t="s">
        <v>857</v>
      </c>
      <c r="E980" s="11">
        <v>3.7500000000000003E-3</v>
      </c>
      <c r="F980" s="7" t="s">
        <v>179</v>
      </c>
      <c r="G980" s="9">
        <v>520</v>
      </c>
      <c r="H980" s="9">
        <f t="shared" si="30"/>
        <v>1.9500000000000002</v>
      </c>
      <c r="I980" t="s">
        <v>179</v>
      </c>
      <c r="J980" s="33" t="s">
        <v>490</v>
      </c>
      <c r="K980" s="18">
        <f>VLOOKUP(D980,Ingredients!C:G,5,0)</f>
        <v>880</v>
      </c>
      <c r="L980" s="52">
        <f t="shared" si="31"/>
        <v>3.3000000000000003</v>
      </c>
    </row>
    <row r="981" spans="1:12">
      <c r="A981" t="s">
        <v>287</v>
      </c>
      <c r="B981" t="s">
        <v>349</v>
      </c>
      <c r="C981" t="s">
        <v>350</v>
      </c>
      <c r="D981" s="3" t="s">
        <v>853</v>
      </c>
      <c r="E981" s="11">
        <v>2.5000000000000001E-2</v>
      </c>
      <c r="F981" s="7" t="s">
        <v>314</v>
      </c>
      <c r="G981" s="9">
        <v>30</v>
      </c>
      <c r="H981" s="9">
        <f t="shared" si="30"/>
        <v>0.75</v>
      </c>
      <c r="I981" t="s">
        <v>179</v>
      </c>
      <c r="J981" s="33" t="s">
        <v>490</v>
      </c>
      <c r="K981" s="18">
        <f>VLOOKUP(D981,Ingredients!C:G,5,0)</f>
        <v>55</v>
      </c>
      <c r="L981" s="52">
        <f t="shared" si="31"/>
        <v>1.375</v>
      </c>
    </row>
    <row r="982" spans="1:12">
      <c r="A982" t="s">
        <v>287</v>
      </c>
      <c r="B982" t="s">
        <v>349</v>
      </c>
      <c r="C982" t="s">
        <v>350</v>
      </c>
      <c r="D982" s="3" t="s">
        <v>23</v>
      </c>
      <c r="E982" s="11">
        <v>6.25E-2</v>
      </c>
      <c r="F982" s="7" t="s">
        <v>176</v>
      </c>
      <c r="G982" s="9">
        <v>740</v>
      </c>
      <c r="H982" s="9">
        <f t="shared" si="30"/>
        <v>46.25</v>
      </c>
      <c r="I982" t="s">
        <v>179</v>
      </c>
      <c r="J982" s="33" t="s">
        <v>490</v>
      </c>
      <c r="K982" s="18">
        <f>VLOOKUP(D982,Ingredients!C:G,5,0)</f>
        <v>780</v>
      </c>
      <c r="L982" s="52">
        <f t="shared" si="31"/>
        <v>48.75</v>
      </c>
    </row>
    <row r="983" spans="1:12">
      <c r="A983" t="s">
        <v>287</v>
      </c>
      <c r="B983" t="s">
        <v>349</v>
      </c>
      <c r="C983" t="s">
        <v>350</v>
      </c>
      <c r="D983" s="3" t="s">
        <v>933</v>
      </c>
      <c r="E983" s="11">
        <v>0.35714285714285715</v>
      </c>
      <c r="F983" s="7" t="s">
        <v>176</v>
      </c>
      <c r="G983" s="9">
        <v>250</v>
      </c>
      <c r="H983" s="9">
        <f t="shared" si="30"/>
        <v>89.285714285714292</v>
      </c>
      <c r="I983" t="s">
        <v>179</v>
      </c>
      <c r="J983" s="33" t="s">
        <v>490</v>
      </c>
      <c r="K983" s="18">
        <f>VLOOKUP(D983,Ingredients!C:G,5,0)</f>
        <v>265</v>
      </c>
      <c r="L983" s="52">
        <f t="shared" si="31"/>
        <v>94.642857142857139</v>
      </c>
    </row>
    <row r="984" spans="1:12">
      <c r="A984" t="s">
        <v>287</v>
      </c>
      <c r="B984" t="s">
        <v>349</v>
      </c>
      <c r="C984" t="s">
        <v>350</v>
      </c>
      <c r="D984" s="3" t="s">
        <v>29</v>
      </c>
      <c r="E984" s="11">
        <v>3.4821428571428573E-2</v>
      </c>
      <c r="F984" s="7" t="s">
        <v>176</v>
      </c>
      <c r="G984" s="9">
        <v>60</v>
      </c>
      <c r="H984" s="9">
        <f t="shared" si="30"/>
        <v>2.0892857142857144</v>
      </c>
      <c r="I984" t="s">
        <v>179</v>
      </c>
      <c r="J984" s="33" t="s">
        <v>490</v>
      </c>
      <c r="K984" s="18">
        <f>VLOOKUP(D984,Ingredients!C:G,5,0)</f>
        <v>100</v>
      </c>
      <c r="L984" s="52">
        <f t="shared" si="31"/>
        <v>3.4821428571428572</v>
      </c>
    </row>
    <row r="985" spans="1:12">
      <c r="A985" t="s">
        <v>287</v>
      </c>
      <c r="B985" t="s">
        <v>349</v>
      </c>
      <c r="C985" t="s">
        <v>350</v>
      </c>
      <c r="D985" s="3" t="s">
        <v>24</v>
      </c>
      <c r="E985" s="11">
        <v>0.18571428571428572</v>
      </c>
      <c r="F985" s="7" t="s">
        <v>176</v>
      </c>
      <c r="G985" s="9">
        <v>55</v>
      </c>
      <c r="H985" s="9">
        <f t="shared" si="30"/>
        <v>10.214285714285715</v>
      </c>
      <c r="I985" t="s">
        <v>179</v>
      </c>
      <c r="J985" s="33" t="s">
        <v>490</v>
      </c>
      <c r="K985" s="18">
        <f>VLOOKUP(D985,Ingredients!C:G,5,0)</f>
        <v>80</v>
      </c>
      <c r="L985" s="52">
        <f t="shared" si="31"/>
        <v>14.857142857142858</v>
      </c>
    </row>
    <row r="986" spans="1:12">
      <c r="A986" t="s">
        <v>287</v>
      </c>
      <c r="B986" t="s">
        <v>349</v>
      </c>
      <c r="C986" t="s">
        <v>350</v>
      </c>
      <c r="D986" s="3" t="s">
        <v>927</v>
      </c>
      <c r="E986" s="11">
        <v>2.3214285714285715E-2</v>
      </c>
      <c r="F986" s="7" t="s">
        <v>176</v>
      </c>
      <c r="G986" s="9">
        <v>600</v>
      </c>
      <c r="H986" s="9">
        <f t="shared" si="30"/>
        <v>13.928571428571429</v>
      </c>
      <c r="I986" t="s">
        <v>179</v>
      </c>
      <c r="J986" s="33" t="s">
        <v>490</v>
      </c>
      <c r="K986" s="18">
        <f>VLOOKUP(D986,Ingredients!C:G,5,0)</f>
        <v>600</v>
      </c>
      <c r="L986" s="52">
        <f t="shared" si="31"/>
        <v>13.928571428571429</v>
      </c>
    </row>
    <row r="987" spans="1:12">
      <c r="A987" t="s">
        <v>287</v>
      </c>
      <c r="B987" t="s">
        <v>349</v>
      </c>
      <c r="C987" t="s">
        <v>350</v>
      </c>
      <c r="D987" s="3" t="s">
        <v>35</v>
      </c>
      <c r="E987" s="11">
        <v>6.9642857142857145E-2</v>
      </c>
      <c r="F987" s="7" t="s">
        <v>252</v>
      </c>
      <c r="G987" s="9">
        <v>13</v>
      </c>
      <c r="H987" s="9">
        <f t="shared" si="30"/>
        <v>0.90535714285714286</v>
      </c>
      <c r="I987" t="s">
        <v>179</v>
      </c>
      <c r="J987" s="33" t="s">
        <v>490</v>
      </c>
      <c r="K987" s="18">
        <f>VLOOKUP(D987,Ingredients!C:G,5,0)</f>
        <v>15</v>
      </c>
      <c r="L987" s="52">
        <f t="shared" si="31"/>
        <v>1.0446428571428572</v>
      </c>
    </row>
    <row r="988" spans="1:12">
      <c r="A988" t="s">
        <v>287</v>
      </c>
      <c r="B988" t="s">
        <v>349</v>
      </c>
      <c r="C988" t="s">
        <v>350</v>
      </c>
      <c r="D988" s="3" t="s">
        <v>7</v>
      </c>
      <c r="E988" s="11">
        <v>6.9642857142857145E-2</v>
      </c>
      <c r="F988" s="7" t="s">
        <v>252</v>
      </c>
      <c r="G988" s="9">
        <v>8</v>
      </c>
      <c r="H988" s="9">
        <f t="shared" si="30"/>
        <v>0.55714285714285716</v>
      </c>
      <c r="I988" t="s">
        <v>179</v>
      </c>
      <c r="J988" s="33" t="s">
        <v>490</v>
      </c>
      <c r="K988" s="18">
        <f>VLOOKUP(D988,Ingredients!C:G,5,0)</f>
        <v>6</v>
      </c>
      <c r="L988" s="52">
        <f t="shared" si="31"/>
        <v>0.41785714285714287</v>
      </c>
    </row>
    <row r="989" spans="1:12">
      <c r="A989" t="s">
        <v>287</v>
      </c>
      <c r="B989" t="s">
        <v>349</v>
      </c>
      <c r="C989" t="s">
        <v>350</v>
      </c>
      <c r="D989" s="3" t="s">
        <v>867</v>
      </c>
      <c r="E989" s="11">
        <v>1.2500000000000001E-2</v>
      </c>
      <c r="F989" s="7" t="s">
        <v>176</v>
      </c>
      <c r="G989" s="9">
        <v>900</v>
      </c>
      <c r="H989" s="9">
        <f t="shared" si="30"/>
        <v>11.25</v>
      </c>
      <c r="I989" t="s">
        <v>179</v>
      </c>
      <c r="J989" s="33" t="s">
        <v>490</v>
      </c>
      <c r="K989" s="18">
        <f>VLOOKUP(D989,Ingredients!C:G,5,0)</f>
        <v>950</v>
      </c>
      <c r="L989" s="52">
        <f t="shared" si="31"/>
        <v>11.875</v>
      </c>
    </row>
    <row r="990" spans="1:12">
      <c r="A990" t="s">
        <v>287</v>
      </c>
      <c r="B990" t="s">
        <v>349</v>
      </c>
      <c r="C990" t="s">
        <v>350</v>
      </c>
      <c r="D990" s="3" t="s">
        <v>876</v>
      </c>
      <c r="E990" s="11">
        <v>1.1607142857142858E-2</v>
      </c>
      <c r="F990" s="7" t="s">
        <v>176</v>
      </c>
      <c r="G990" s="9">
        <v>270</v>
      </c>
      <c r="H990" s="9">
        <f t="shared" si="30"/>
        <v>3.1339285714285716</v>
      </c>
      <c r="I990" t="s">
        <v>179</v>
      </c>
      <c r="J990" s="33" t="s">
        <v>490</v>
      </c>
      <c r="K990" s="18">
        <f>VLOOKUP(D990,Ingredients!C:G,5,0)</f>
        <v>290</v>
      </c>
      <c r="L990" s="52">
        <f t="shared" si="31"/>
        <v>3.3660714285714288</v>
      </c>
    </row>
    <row r="991" spans="1:12">
      <c r="A991" t="s">
        <v>288</v>
      </c>
      <c r="B991" t="s">
        <v>349</v>
      </c>
      <c r="C991" t="s">
        <v>351</v>
      </c>
      <c r="D991" s="3" t="s">
        <v>428</v>
      </c>
      <c r="E991" s="11">
        <v>1</v>
      </c>
      <c r="F991" s="7" t="s">
        <v>176</v>
      </c>
      <c r="G991" s="9">
        <v>1600</v>
      </c>
      <c r="H991" s="9">
        <f t="shared" si="30"/>
        <v>1600</v>
      </c>
      <c r="I991" t="s">
        <v>179</v>
      </c>
      <c r="J991" s="33" t="s">
        <v>428</v>
      </c>
      <c r="K991" s="18">
        <f>VLOOKUP(D991,Ingredients!C:G,5,0)</f>
        <v>1514.78</v>
      </c>
      <c r="L991" s="52">
        <f t="shared" si="31"/>
        <v>1514.78</v>
      </c>
    </row>
    <row r="992" spans="1:12">
      <c r="A992" t="s">
        <v>288</v>
      </c>
      <c r="B992" t="s">
        <v>349</v>
      </c>
      <c r="C992" t="s">
        <v>351</v>
      </c>
      <c r="D992" s="3" t="s">
        <v>852</v>
      </c>
      <c r="E992" s="11">
        <v>0.34285714285714286</v>
      </c>
      <c r="F992" s="7" t="s">
        <v>176</v>
      </c>
      <c r="G992" s="9">
        <v>520.63</v>
      </c>
      <c r="H992" s="9">
        <f t="shared" si="30"/>
        <v>178.50171428571429</v>
      </c>
      <c r="I992" t="s">
        <v>179</v>
      </c>
      <c r="J992" s="33" t="s">
        <v>428</v>
      </c>
      <c r="K992" s="18">
        <v>550</v>
      </c>
      <c r="L992" s="52">
        <f t="shared" si="31"/>
        <v>188.57142857142858</v>
      </c>
    </row>
    <row r="993" spans="1:12">
      <c r="A993" t="s">
        <v>288</v>
      </c>
      <c r="B993" t="s">
        <v>349</v>
      </c>
      <c r="C993" t="s">
        <v>351</v>
      </c>
      <c r="D993" s="3" t="s">
        <v>854</v>
      </c>
      <c r="E993" s="11">
        <v>1</v>
      </c>
      <c r="F993" s="13" t="s">
        <v>173</v>
      </c>
      <c r="G993" s="9">
        <v>24.64</v>
      </c>
      <c r="H993" s="9">
        <f t="shared" si="30"/>
        <v>24.64</v>
      </c>
      <c r="I993" t="s">
        <v>179</v>
      </c>
      <c r="J993" s="33" t="s">
        <v>428</v>
      </c>
      <c r="K993" s="18">
        <f>VLOOKUP(D993,Ingredients!C:G,5,0)</f>
        <v>20.059999999999999</v>
      </c>
      <c r="L993" s="52">
        <f t="shared" si="31"/>
        <v>20.059999999999999</v>
      </c>
    </row>
    <row r="994" spans="1:12">
      <c r="A994" t="s">
        <v>288</v>
      </c>
      <c r="B994" t="s">
        <v>349</v>
      </c>
      <c r="C994" t="s">
        <v>351</v>
      </c>
      <c r="D994" s="3" t="s">
        <v>867</v>
      </c>
      <c r="E994" s="11">
        <v>5.0000000000000001E-3</v>
      </c>
      <c r="F994" s="7" t="s">
        <v>179</v>
      </c>
      <c r="G994" s="9">
        <v>900</v>
      </c>
      <c r="H994" s="9">
        <f t="shared" si="30"/>
        <v>4.5</v>
      </c>
      <c r="I994" t="s">
        <v>179</v>
      </c>
      <c r="J994" s="33" t="s">
        <v>428</v>
      </c>
      <c r="K994" s="18">
        <f>VLOOKUP(D994,Ingredients!C:G,5,0)</f>
        <v>950</v>
      </c>
      <c r="L994" s="52">
        <f t="shared" si="31"/>
        <v>4.75</v>
      </c>
    </row>
    <row r="995" spans="1:12">
      <c r="A995" t="s">
        <v>288</v>
      </c>
      <c r="B995" t="s">
        <v>349</v>
      </c>
      <c r="C995" t="s">
        <v>351</v>
      </c>
      <c r="D995" s="3" t="s">
        <v>849</v>
      </c>
      <c r="E995" s="11">
        <v>5.0000000000000001E-3</v>
      </c>
      <c r="F995" s="7" t="s">
        <v>179</v>
      </c>
      <c r="G995" s="9">
        <v>1000</v>
      </c>
      <c r="H995" s="9">
        <f t="shared" si="30"/>
        <v>5</v>
      </c>
      <c r="I995" t="s">
        <v>179</v>
      </c>
      <c r="J995" s="33" t="s">
        <v>428</v>
      </c>
      <c r="K995" s="18">
        <f>VLOOKUP(D995,Ingredients!C:G,5,0)</f>
        <v>950</v>
      </c>
      <c r="L995" s="52">
        <f t="shared" si="31"/>
        <v>4.75</v>
      </c>
    </row>
    <row r="996" spans="1:12">
      <c r="A996" t="s">
        <v>288</v>
      </c>
      <c r="B996" t="s">
        <v>349</v>
      </c>
      <c r="C996" t="s">
        <v>351</v>
      </c>
      <c r="D996" s="3" t="s">
        <v>887</v>
      </c>
      <c r="E996" s="11">
        <v>5.0000000000000001E-3</v>
      </c>
      <c r="F996" s="7" t="s">
        <v>179</v>
      </c>
      <c r="G996" s="9">
        <v>1600</v>
      </c>
      <c r="H996" s="9">
        <f t="shared" si="30"/>
        <v>8</v>
      </c>
      <c r="I996" t="s">
        <v>179</v>
      </c>
      <c r="J996" s="33" t="s">
        <v>428</v>
      </c>
      <c r="K996" s="18">
        <f>VLOOKUP(D996,Ingredients!C:G,5,0)</f>
        <v>1830</v>
      </c>
      <c r="L996" s="52">
        <f t="shared" si="31"/>
        <v>9.15</v>
      </c>
    </row>
    <row r="997" spans="1:12">
      <c r="A997" t="s">
        <v>288</v>
      </c>
      <c r="B997" t="s">
        <v>349</v>
      </c>
      <c r="C997" t="s">
        <v>351</v>
      </c>
      <c r="D997" s="3" t="s">
        <v>895</v>
      </c>
      <c r="E997" s="11">
        <v>5.0000000000000001E-3</v>
      </c>
      <c r="F997" s="7" t="s">
        <v>179</v>
      </c>
      <c r="G997" s="9">
        <v>400</v>
      </c>
      <c r="H997" s="9">
        <f t="shared" si="30"/>
        <v>2</v>
      </c>
      <c r="I997" t="s">
        <v>179</v>
      </c>
      <c r="J997" s="33" t="s">
        <v>428</v>
      </c>
      <c r="K997" s="18">
        <f>VLOOKUP(D997,Ingredients!C:G,5,0)</f>
        <v>400</v>
      </c>
      <c r="L997" s="52">
        <f t="shared" si="31"/>
        <v>2</v>
      </c>
    </row>
    <row r="998" spans="1:12">
      <c r="A998" t="s">
        <v>288</v>
      </c>
      <c r="B998" t="s">
        <v>349</v>
      </c>
      <c r="C998" t="s">
        <v>351</v>
      </c>
      <c r="D998" s="3" t="s">
        <v>853</v>
      </c>
      <c r="E998" s="11">
        <v>0.02</v>
      </c>
      <c r="F998" s="7" t="s">
        <v>315</v>
      </c>
      <c r="G998" s="9">
        <v>30</v>
      </c>
      <c r="H998" s="9">
        <f t="shared" si="30"/>
        <v>0.6</v>
      </c>
      <c r="I998" t="s">
        <v>179</v>
      </c>
      <c r="J998" s="33" t="s">
        <v>428</v>
      </c>
      <c r="K998" s="18">
        <f>VLOOKUP(D998,Ingredients!C:G,5,0)</f>
        <v>55</v>
      </c>
      <c r="L998" s="52">
        <f t="shared" si="31"/>
        <v>1.1000000000000001</v>
      </c>
    </row>
    <row r="999" spans="1:12">
      <c r="A999" t="s">
        <v>288</v>
      </c>
      <c r="B999" t="s">
        <v>349</v>
      </c>
      <c r="C999" t="s">
        <v>351</v>
      </c>
      <c r="D999" s="3" t="s">
        <v>55</v>
      </c>
      <c r="E999" s="11">
        <v>2E-3</v>
      </c>
      <c r="F999" s="7" t="s">
        <v>179</v>
      </c>
      <c r="G999" s="9">
        <v>350</v>
      </c>
      <c r="H999" s="9">
        <f t="shared" si="30"/>
        <v>0.70000000000000007</v>
      </c>
      <c r="I999" t="s">
        <v>179</v>
      </c>
      <c r="J999" s="33" t="s">
        <v>428</v>
      </c>
      <c r="K999" s="18">
        <f>VLOOKUP(D999,Ingredients!C:G,5,0)</f>
        <v>457.875</v>
      </c>
      <c r="L999" s="52">
        <f t="shared" si="31"/>
        <v>0.91575000000000006</v>
      </c>
    </row>
    <row r="1000" spans="1:12">
      <c r="A1000" t="s">
        <v>288</v>
      </c>
      <c r="B1000" t="s">
        <v>349</v>
      </c>
      <c r="C1000" t="s">
        <v>351</v>
      </c>
      <c r="D1000" s="3" t="s">
        <v>873</v>
      </c>
      <c r="E1000" s="11">
        <v>1E-3</v>
      </c>
      <c r="F1000" s="7" t="s">
        <v>179</v>
      </c>
      <c r="G1000" s="9">
        <v>550</v>
      </c>
      <c r="H1000" s="9">
        <f t="shared" si="30"/>
        <v>0.55000000000000004</v>
      </c>
      <c r="I1000" t="s">
        <v>179</v>
      </c>
      <c r="J1000" s="33" t="s">
        <v>428</v>
      </c>
      <c r="K1000" s="18">
        <f>VLOOKUP(D1000,Ingredients!C:G,5,0)</f>
        <v>450</v>
      </c>
      <c r="L1000" s="52">
        <f t="shared" si="31"/>
        <v>0.45</v>
      </c>
    </row>
    <row r="1001" spans="1:12">
      <c r="A1001" t="s">
        <v>288</v>
      </c>
      <c r="B1001" t="s">
        <v>349</v>
      </c>
      <c r="C1001" t="s">
        <v>351</v>
      </c>
      <c r="D1001" s="3" t="s">
        <v>866</v>
      </c>
      <c r="E1001" s="11">
        <v>0.03</v>
      </c>
      <c r="F1001" s="7" t="s">
        <v>176</v>
      </c>
      <c r="G1001" s="9">
        <v>153.97999999999999</v>
      </c>
      <c r="H1001" s="9">
        <f t="shared" si="30"/>
        <v>4.6193999999999997</v>
      </c>
      <c r="I1001" t="s">
        <v>179</v>
      </c>
      <c r="J1001" s="33" t="s">
        <v>428</v>
      </c>
      <c r="K1001" s="18">
        <f>VLOOKUP(D1001,Ingredients!C:G,5,0)</f>
        <v>142.13999999999999</v>
      </c>
      <c r="L1001" s="52">
        <f t="shared" si="31"/>
        <v>4.2641999999999998</v>
      </c>
    </row>
    <row r="1002" spans="1:12">
      <c r="A1002" t="s">
        <v>288</v>
      </c>
      <c r="B1002" t="s">
        <v>349</v>
      </c>
      <c r="C1002" t="s">
        <v>351</v>
      </c>
      <c r="D1002" s="3" t="s">
        <v>835</v>
      </c>
      <c r="E1002" s="11">
        <v>0.03</v>
      </c>
      <c r="F1002" s="7" t="s">
        <v>176</v>
      </c>
      <c r="G1002" s="9">
        <v>389.34</v>
      </c>
      <c r="H1002" s="9">
        <f t="shared" si="30"/>
        <v>11.680199999999999</v>
      </c>
      <c r="I1002" t="s">
        <v>179</v>
      </c>
      <c r="J1002" s="33" t="s">
        <v>428</v>
      </c>
      <c r="K1002" s="18">
        <f>VLOOKUP(D1002,Ingredients!C:G,5,0)</f>
        <v>394.63</v>
      </c>
      <c r="L1002" s="52">
        <f t="shared" si="31"/>
        <v>11.838899999999999</v>
      </c>
    </row>
    <row r="1003" spans="1:12">
      <c r="A1003" t="s">
        <v>288</v>
      </c>
      <c r="B1003" t="s">
        <v>349</v>
      </c>
      <c r="C1003" t="s">
        <v>351</v>
      </c>
      <c r="D1003" s="3" t="s">
        <v>310</v>
      </c>
      <c r="E1003" s="11">
        <v>2.5000000000000001E-3</v>
      </c>
      <c r="F1003" s="7" t="s">
        <v>179</v>
      </c>
      <c r="G1003" s="9">
        <v>425</v>
      </c>
      <c r="H1003" s="9">
        <f t="shared" si="30"/>
        <v>1.0625</v>
      </c>
      <c r="I1003" t="s">
        <v>179</v>
      </c>
      <c r="J1003" s="33" t="s">
        <v>428</v>
      </c>
      <c r="K1003" s="18">
        <f>VLOOKUP(D1003,Ingredients!C:G,5,0)</f>
        <v>850</v>
      </c>
      <c r="L1003" s="52">
        <f t="shared" si="31"/>
        <v>2.125</v>
      </c>
    </row>
    <row r="1004" spans="1:12">
      <c r="A1004" t="s">
        <v>288</v>
      </c>
      <c r="B1004" t="s">
        <v>349</v>
      </c>
      <c r="C1004" t="s">
        <v>351</v>
      </c>
      <c r="D1004" s="3" t="s">
        <v>23</v>
      </c>
      <c r="E1004" s="11">
        <v>0.02</v>
      </c>
      <c r="F1004" s="7" t="s">
        <v>176</v>
      </c>
      <c r="G1004" s="9">
        <v>740</v>
      </c>
      <c r="H1004" s="9">
        <f t="shared" si="30"/>
        <v>14.8</v>
      </c>
      <c r="I1004" t="s">
        <v>179</v>
      </c>
      <c r="J1004" s="33" t="s">
        <v>428</v>
      </c>
      <c r="K1004" s="18">
        <f>VLOOKUP(D1004,Ingredients!C:G,5,0)</f>
        <v>780</v>
      </c>
      <c r="L1004" s="52">
        <f t="shared" si="31"/>
        <v>15.6</v>
      </c>
    </row>
    <row r="1005" spans="1:12">
      <c r="A1005" t="s">
        <v>288</v>
      </c>
      <c r="B1005" t="s">
        <v>349</v>
      </c>
      <c r="C1005" t="s">
        <v>351</v>
      </c>
      <c r="D1005" s="3" t="s">
        <v>16</v>
      </c>
      <c r="E1005" s="11">
        <v>0.01</v>
      </c>
      <c r="F1005" s="7" t="s">
        <v>176</v>
      </c>
      <c r="G1005" s="9">
        <v>270</v>
      </c>
      <c r="H1005" s="9">
        <f t="shared" si="30"/>
        <v>2.7</v>
      </c>
      <c r="I1005" t="s">
        <v>179</v>
      </c>
      <c r="J1005" s="33" t="s">
        <v>428</v>
      </c>
      <c r="K1005" s="18">
        <f>VLOOKUP(D1005,Ingredients!C:G,5,0)</f>
        <v>310</v>
      </c>
      <c r="L1005" s="52">
        <f t="shared" si="31"/>
        <v>3.1</v>
      </c>
    </row>
    <row r="1006" spans="1:12">
      <c r="A1006" t="s">
        <v>288</v>
      </c>
      <c r="B1006" t="s">
        <v>349</v>
      </c>
      <c r="C1006" t="s">
        <v>351</v>
      </c>
      <c r="D1006" s="3" t="s">
        <v>29</v>
      </c>
      <c r="E1006" s="11">
        <v>0.05</v>
      </c>
      <c r="F1006" s="7" t="s">
        <v>176</v>
      </c>
      <c r="G1006" s="9">
        <v>60</v>
      </c>
      <c r="H1006" s="9">
        <f t="shared" si="30"/>
        <v>3</v>
      </c>
      <c r="I1006" t="s">
        <v>179</v>
      </c>
      <c r="J1006" s="33" t="s">
        <v>428</v>
      </c>
      <c r="K1006" s="18">
        <f>VLOOKUP(D1006,Ingredients!C:G,5,0)</f>
        <v>100</v>
      </c>
      <c r="L1006" s="52">
        <f t="shared" si="31"/>
        <v>5</v>
      </c>
    </row>
    <row r="1007" spans="1:12">
      <c r="A1007" t="s">
        <v>288</v>
      </c>
      <c r="B1007" t="s">
        <v>349</v>
      </c>
      <c r="C1007" t="s">
        <v>351</v>
      </c>
      <c r="D1007" s="3" t="s">
        <v>50</v>
      </c>
      <c r="E1007" s="11">
        <v>0.03</v>
      </c>
      <c r="F1007" s="7" t="s">
        <v>176</v>
      </c>
      <c r="G1007" s="9">
        <v>120</v>
      </c>
      <c r="H1007" s="9">
        <f t="shared" si="30"/>
        <v>3.5999999999999996</v>
      </c>
      <c r="I1007" t="s">
        <v>179</v>
      </c>
      <c r="J1007" s="33" t="s">
        <v>428</v>
      </c>
      <c r="K1007" s="18">
        <f>VLOOKUP(D1007,Ingredients!C:G,5,0)</f>
        <v>120</v>
      </c>
      <c r="L1007" s="52">
        <f t="shared" si="31"/>
        <v>3.5999999999999996</v>
      </c>
    </row>
    <row r="1008" spans="1:12">
      <c r="A1008" t="s">
        <v>289</v>
      </c>
      <c r="B1008" t="s">
        <v>349</v>
      </c>
      <c r="C1008" t="s">
        <v>352</v>
      </c>
      <c r="D1008" s="3" t="s">
        <v>833</v>
      </c>
      <c r="E1008" s="11">
        <v>1</v>
      </c>
      <c r="F1008" s="7" t="s">
        <v>176</v>
      </c>
      <c r="G1008" s="9">
        <v>1020</v>
      </c>
      <c r="H1008" s="9">
        <f t="shared" si="30"/>
        <v>1020</v>
      </c>
      <c r="I1008" t="s">
        <v>179</v>
      </c>
      <c r="J1008" s="33" t="s">
        <v>490</v>
      </c>
      <c r="K1008" s="18">
        <f>VLOOKUP(D1008,Ingredients!C:G,5,0)</f>
        <v>1000</v>
      </c>
      <c r="L1008" s="52">
        <f t="shared" si="31"/>
        <v>1000</v>
      </c>
    </row>
    <row r="1009" spans="1:12">
      <c r="A1009" t="s">
        <v>289</v>
      </c>
      <c r="B1009" t="s">
        <v>349</v>
      </c>
      <c r="C1009" t="s">
        <v>352</v>
      </c>
      <c r="D1009" s="3" t="s">
        <v>852</v>
      </c>
      <c r="E1009" s="11">
        <v>0.19047619047619047</v>
      </c>
      <c r="F1009" s="7" t="s">
        <v>176</v>
      </c>
      <c r="G1009" s="9">
        <v>520.63</v>
      </c>
      <c r="H1009" s="9">
        <f t="shared" si="30"/>
        <v>99.167619047619041</v>
      </c>
      <c r="I1009" t="s">
        <v>179</v>
      </c>
      <c r="J1009" s="33" t="s">
        <v>490</v>
      </c>
      <c r="K1009" s="18">
        <v>550</v>
      </c>
      <c r="L1009" s="52">
        <f t="shared" si="31"/>
        <v>104.76190476190476</v>
      </c>
    </row>
    <row r="1010" spans="1:12">
      <c r="A1010" t="s">
        <v>289</v>
      </c>
      <c r="B1010" t="s">
        <v>349</v>
      </c>
      <c r="C1010" t="s">
        <v>352</v>
      </c>
      <c r="D1010" s="3" t="s">
        <v>934</v>
      </c>
      <c r="E1010" s="11">
        <v>0.19047619047619047</v>
      </c>
      <c r="F1010" s="7" t="s">
        <v>176</v>
      </c>
      <c r="G1010" s="9">
        <v>150</v>
      </c>
      <c r="H1010" s="9">
        <f t="shared" si="30"/>
        <v>28.571428571428569</v>
      </c>
      <c r="I1010" t="s">
        <v>179</v>
      </c>
      <c r="J1010" s="33" t="s">
        <v>490</v>
      </c>
      <c r="K1010" s="18">
        <f>VLOOKUP(D1010,Ingredients!C:G,5,0)</f>
        <v>142</v>
      </c>
      <c r="L1010" s="52">
        <f t="shared" si="31"/>
        <v>27.047619047619047</v>
      </c>
    </row>
    <row r="1011" spans="1:12">
      <c r="A1011" t="s">
        <v>289</v>
      </c>
      <c r="B1011" t="s">
        <v>349</v>
      </c>
      <c r="C1011" t="s">
        <v>352</v>
      </c>
      <c r="D1011" s="3" t="s">
        <v>935</v>
      </c>
      <c r="E1011" s="11">
        <v>0.19047619047619047</v>
      </c>
      <c r="F1011" s="7" t="s">
        <v>176</v>
      </c>
      <c r="G1011" s="9">
        <v>230</v>
      </c>
      <c r="H1011" s="9">
        <f t="shared" si="30"/>
        <v>43.80952380952381</v>
      </c>
      <c r="I1011" t="s">
        <v>179</v>
      </c>
      <c r="J1011" s="33" t="s">
        <v>490</v>
      </c>
      <c r="K1011" s="18">
        <f>VLOOKUP(D1011,Ingredients!C:G,5,0)</f>
        <v>210</v>
      </c>
      <c r="L1011" s="52">
        <f t="shared" si="31"/>
        <v>40</v>
      </c>
    </row>
    <row r="1012" spans="1:12">
      <c r="A1012" t="s">
        <v>289</v>
      </c>
      <c r="B1012" t="s">
        <v>349</v>
      </c>
      <c r="C1012" t="s">
        <v>352</v>
      </c>
      <c r="D1012" s="3" t="s">
        <v>936</v>
      </c>
      <c r="E1012" s="11">
        <v>0.14285714285714285</v>
      </c>
      <c r="F1012" s="7" t="s">
        <v>176</v>
      </c>
      <c r="G1012" s="9">
        <v>260</v>
      </c>
      <c r="H1012" s="9">
        <f t="shared" si="30"/>
        <v>37.142857142857139</v>
      </c>
      <c r="I1012" t="s">
        <v>179</v>
      </c>
      <c r="J1012" s="33" t="s">
        <v>490</v>
      </c>
      <c r="K1012" s="18">
        <f>VLOOKUP(D1012,Ingredients!C:G,5,0)</f>
        <v>230</v>
      </c>
      <c r="L1012" s="52">
        <f t="shared" si="31"/>
        <v>32.857142857142854</v>
      </c>
    </row>
    <row r="1013" spans="1:12">
      <c r="A1013" t="s">
        <v>289</v>
      </c>
      <c r="B1013" t="s">
        <v>349</v>
      </c>
      <c r="C1013" t="s">
        <v>352</v>
      </c>
      <c r="D1013" s="3" t="s">
        <v>937</v>
      </c>
      <c r="E1013" s="11">
        <v>0.14285714285714285</v>
      </c>
      <c r="F1013" s="7" t="s">
        <v>176</v>
      </c>
      <c r="G1013" s="9">
        <v>246</v>
      </c>
      <c r="H1013" s="9">
        <f t="shared" si="30"/>
        <v>35.142857142857139</v>
      </c>
      <c r="I1013" t="s">
        <v>179</v>
      </c>
      <c r="J1013" s="33" t="s">
        <v>490</v>
      </c>
      <c r="K1013" s="18">
        <f>VLOOKUP(D1013,Ingredients!C:G,5,0)</f>
        <v>240</v>
      </c>
      <c r="L1013" s="52">
        <f t="shared" si="31"/>
        <v>34.285714285714285</v>
      </c>
    </row>
    <row r="1014" spans="1:12">
      <c r="A1014" t="s">
        <v>289</v>
      </c>
      <c r="B1014" t="s">
        <v>349</v>
      </c>
      <c r="C1014" t="s">
        <v>352</v>
      </c>
      <c r="D1014" s="3" t="s">
        <v>938</v>
      </c>
      <c r="E1014" s="11">
        <v>0.14285714285714285</v>
      </c>
      <c r="F1014" s="7" t="s">
        <v>176</v>
      </c>
      <c r="G1014" s="9">
        <v>475</v>
      </c>
      <c r="H1014" s="9">
        <f t="shared" si="30"/>
        <v>67.857142857142847</v>
      </c>
      <c r="I1014" t="s">
        <v>179</v>
      </c>
      <c r="J1014" s="33" t="s">
        <v>490</v>
      </c>
      <c r="K1014" s="18">
        <f>VLOOKUP(D1014,Ingredients!C:G,5,0)</f>
        <v>445</v>
      </c>
      <c r="L1014" s="52">
        <f t="shared" si="31"/>
        <v>63.571428571428569</v>
      </c>
    </row>
    <row r="1015" spans="1:12">
      <c r="A1015" t="s">
        <v>289</v>
      </c>
      <c r="B1015" t="s">
        <v>349</v>
      </c>
      <c r="C1015" t="s">
        <v>352</v>
      </c>
      <c r="D1015" s="3" t="s">
        <v>196</v>
      </c>
      <c r="E1015" s="11">
        <v>0.14285714285714285</v>
      </c>
      <c r="F1015" s="7" t="s">
        <v>176</v>
      </c>
      <c r="G1015" s="9">
        <v>160</v>
      </c>
      <c r="H1015" s="9">
        <f t="shared" si="30"/>
        <v>22.857142857142854</v>
      </c>
      <c r="I1015" t="s">
        <v>179</v>
      </c>
      <c r="J1015" s="33" t="s">
        <v>490</v>
      </c>
      <c r="K1015" s="18">
        <f>VLOOKUP(D1015,Ingredients!C:G,5,0)</f>
        <v>165</v>
      </c>
      <c r="L1015" s="52">
        <f t="shared" si="31"/>
        <v>23.571428571428569</v>
      </c>
    </row>
    <row r="1016" spans="1:12">
      <c r="A1016" t="s">
        <v>289</v>
      </c>
      <c r="B1016" t="s">
        <v>349</v>
      </c>
      <c r="C1016" t="s">
        <v>352</v>
      </c>
      <c r="D1016" s="3" t="s">
        <v>931</v>
      </c>
      <c r="E1016" s="11">
        <v>1.9047619047619049E-2</v>
      </c>
      <c r="F1016" s="7" t="s">
        <v>176</v>
      </c>
      <c r="G1016" s="9">
        <v>4000</v>
      </c>
      <c r="H1016" s="9">
        <f t="shared" si="30"/>
        <v>76.190476190476204</v>
      </c>
      <c r="I1016" t="s">
        <v>179</v>
      </c>
      <c r="J1016" s="33" t="s">
        <v>490</v>
      </c>
      <c r="K1016" s="18">
        <f>VLOOKUP(D1016,Ingredients!C:G,5,0)</f>
        <v>2900</v>
      </c>
      <c r="L1016" s="52">
        <f t="shared" si="31"/>
        <v>55.238095238095241</v>
      </c>
    </row>
    <row r="1017" spans="1:12">
      <c r="A1017" t="s">
        <v>289</v>
      </c>
      <c r="B1017" t="s">
        <v>349</v>
      </c>
      <c r="C1017" t="s">
        <v>352</v>
      </c>
      <c r="D1017" s="3" t="s">
        <v>928</v>
      </c>
      <c r="E1017" s="11">
        <v>1.9047619047619049E-2</v>
      </c>
      <c r="F1017" s="7" t="s">
        <v>176</v>
      </c>
      <c r="G1017" s="9">
        <v>850</v>
      </c>
      <c r="H1017" s="9">
        <f t="shared" ref="H1017:H1080" si="32">G1017*E1017</f>
        <v>16.190476190476193</v>
      </c>
      <c r="I1017" t="s">
        <v>179</v>
      </c>
      <c r="J1017" s="33" t="s">
        <v>490</v>
      </c>
      <c r="K1017" s="18">
        <f>VLOOKUP(D1017,Ingredients!C:G,5,0)</f>
        <v>900</v>
      </c>
      <c r="L1017" s="52">
        <f t="shared" si="31"/>
        <v>17.142857142857146</v>
      </c>
    </row>
    <row r="1018" spans="1:12">
      <c r="A1018" t="s">
        <v>289</v>
      </c>
      <c r="B1018" t="s">
        <v>349</v>
      </c>
      <c r="C1018" t="s">
        <v>352</v>
      </c>
      <c r="D1018" s="3" t="s">
        <v>853</v>
      </c>
      <c r="E1018" s="11">
        <v>7.1428571428571425E-2</v>
      </c>
      <c r="F1018" s="7" t="s">
        <v>176</v>
      </c>
      <c r="G1018" s="9">
        <v>30</v>
      </c>
      <c r="H1018" s="9">
        <f t="shared" si="32"/>
        <v>2.1428571428571428</v>
      </c>
      <c r="I1018" t="s">
        <v>179</v>
      </c>
      <c r="J1018" s="33" t="s">
        <v>490</v>
      </c>
      <c r="K1018" s="18">
        <f>VLOOKUP(D1018,Ingredients!C:G,5,0)</f>
        <v>55</v>
      </c>
      <c r="L1018" s="52">
        <f t="shared" si="31"/>
        <v>3.9285714285714284</v>
      </c>
    </row>
    <row r="1019" spans="1:12">
      <c r="A1019" t="s">
        <v>289</v>
      </c>
      <c r="B1019" t="s">
        <v>349</v>
      </c>
      <c r="C1019" t="s">
        <v>352</v>
      </c>
      <c r="D1019" s="3" t="s">
        <v>867</v>
      </c>
      <c r="E1019" s="11">
        <v>2.3809523809523808E-2</v>
      </c>
      <c r="F1019" s="7" t="s">
        <v>176</v>
      </c>
      <c r="G1019" s="9">
        <v>900</v>
      </c>
      <c r="H1019" s="9">
        <f t="shared" si="32"/>
        <v>21.428571428571427</v>
      </c>
      <c r="I1019" t="s">
        <v>179</v>
      </c>
      <c r="J1019" s="33" t="s">
        <v>490</v>
      </c>
      <c r="K1019" s="18">
        <f>VLOOKUP(D1019,Ingredients!C:G,5,0)</f>
        <v>950</v>
      </c>
      <c r="L1019" s="52">
        <f t="shared" si="31"/>
        <v>22.619047619047617</v>
      </c>
    </row>
    <row r="1020" spans="1:12">
      <c r="A1020" t="s">
        <v>289</v>
      </c>
      <c r="B1020" t="s">
        <v>349</v>
      </c>
      <c r="C1020" t="s">
        <v>352</v>
      </c>
      <c r="D1020" s="3" t="s">
        <v>895</v>
      </c>
      <c r="E1020" s="11">
        <v>1.9047619047619049E-2</v>
      </c>
      <c r="F1020" s="7" t="s">
        <v>176</v>
      </c>
      <c r="G1020" s="9">
        <v>400</v>
      </c>
      <c r="H1020" s="9">
        <f t="shared" si="32"/>
        <v>7.6190476190476195</v>
      </c>
      <c r="I1020" t="s">
        <v>179</v>
      </c>
      <c r="J1020" s="33" t="s">
        <v>490</v>
      </c>
      <c r="K1020" s="18">
        <f>VLOOKUP(D1020,Ingredients!C:G,5,0)</f>
        <v>400</v>
      </c>
      <c r="L1020" s="52">
        <f t="shared" si="31"/>
        <v>7.6190476190476195</v>
      </c>
    </row>
    <row r="1021" spans="1:12">
      <c r="A1021" t="s">
        <v>289</v>
      </c>
      <c r="B1021" t="s">
        <v>349</v>
      </c>
      <c r="C1021" t="s">
        <v>352</v>
      </c>
      <c r="D1021" s="3" t="s">
        <v>880</v>
      </c>
      <c r="E1021" s="11">
        <v>1.9047619047619049E-2</v>
      </c>
      <c r="F1021" s="7" t="s">
        <v>176</v>
      </c>
      <c r="G1021" s="9">
        <v>650</v>
      </c>
      <c r="H1021" s="9">
        <f t="shared" si="32"/>
        <v>12.380952380952381</v>
      </c>
      <c r="I1021" t="s">
        <v>179</v>
      </c>
      <c r="J1021" s="33" t="s">
        <v>490</v>
      </c>
      <c r="K1021" s="18">
        <f>VLOOKUP(D1021,Ingredients!C:G,5,0)</f>
        <v>520</v>
      </c>
      <c r="L1021" s="52">
        <f t="shared" si="31"/>
        <v>9.9047619047619051</v>
      </c>
    </row>
    <row r="1022" spans="1:12">
      <c r="A1022" t="s">
        <v>289</v>
      </c>
      <c r="B1022" t="s">
        <v>349</v>
      </c>
      <c r="C1022" t="s">
        <v>352</v>
      </c>
      <c r="D1022" s="3" t="s">
        <v>858</v>
      </c>
      <c r="E1022" s="11">
        <v>7.1428571428571426E-3</v>
      </c>
      <c r="F1022" s="7" t="s">
        <v>176</v>
      </c>
      <c r="G1022" s="9">
        <v>1900</v>
      </c>
      <c r="H1022" s="9">
        <f t="shared" si="32"/>
        <v>13.571428571428571</v>
      </c>
      <c r="I1022" t="s">
        <v>179</v>
      </c>
      <c r="J1022" s="33" t="s">
        <v>490</v>
      </c>
      <c r="K1022" s="18">
        <f>VLOOKUP(D1022,Ingredients!C:G,5,0)</f>
        <v>1900</v>
      </c>
      <c r="L1022" s="52">
        <f t="shared" si="31"/>
        <v>13.571428571428571</v>
      </c>
    </row>
    <row r="1023" spans="1:12">
      <c r="A1023" t="s">
        <v>289</v>
      </c>
      <c r="B1023" t="s">
        <v>349</v>
      </c>
      <c r="C1023" t="s">
        <v>352</v>
      </c>
      <c r="D1023" s="3" t="s">
        <v>23</v>
      </c>
      <c r="E1023" s="11">
        <v>1.4999999999999999E-2</v>
      </c>
      <c r="F1023" s="7" t="s">
        <v>176</v>
      </c>
      <c r="G1023" s="9">
        <v>740</v>
      </c>
      <c r="H1023" s="9">
        <f t="shared" si="32"/>
        <v>11.1</v>
      </c>
      <c r="I1023" t="s">
        <v>179</v>
      </c>
      <c r="J1023" s="33" t="s">
        <v>490</v>
      </c>
      <c r="K1023" s="18">
        <f>VLOOKUP(D1023,Ingredients!C:G,5,0)</f>
        <v>780</v>
      </c>
      <c r="L1023" s="52">
        <f t="shared" si="31"/>
        <v>11.7</v>
      </c>
    </row>
    <row r="1024" spans="1:12">
      <c r="A1024" t="s">
        <v>289</v>
      </c>
      <c r="B1024" t="s">
        <v>349</v>
      </c>
      <c r="C1024" t="s">
        <v>352</v>
      </c>
      <c r="D1024" s="3" t="s">
        <v>16</v>
      </c>
      <c r="E1024" s="11">
        <v>1.4999999999999999E-2</v>
      </c>
      <c r="F1024" s="7" t="s">
        <v>176</v>
      </c>
      <c r="G1024" s="9">
        <v>270</v>
      </c>
      <c r="H1024" s="9">
        <f t="shared" si="32"/>
        <v>4.05</v>
      </c>
      <c r="I1024" t="s">
        <v>179</v>
      </c>
      <c r="J1024" s="33" t="s">
        <v>490</v>
      </c>
      <c r="K1024" s="18">
        <f>VLOOKUP(D1024,Ingredients!C:G,5,0)</f>
        <v>310</v>
      </c>
      <c r="L1024" s="52">
        <f t="shared" si="31"/>
        <v>4.6499999999999995</v>
      </c>
    </row>
    <row r="1025" spans="1:12">
      <c r="A1025" t="s">
        <v>289</v>
      </c>
      <c r="B1025" t="s">
        <v>349</v>
      </c>
      <c r="C1025" t="s">
        <v>352</v>
      </c>
      <c r="D1025" s="3" t="s">
        <v>927</v>
      </c>
      <c r="E1025" s="11">
        <v>0.2857142857142857</v>
      </c>
      <c r="F1025" s="7" t="s">
        <v>176</v>
      </c>
      <c r="G1025" s="9">
        <v>600</v>
      </c>
      <c r="H1025" s="9">
        <f t="shared" si="32"/>
        <v>171.42857142857142</v>
      </c>
      <c r="I1025" t="s">
        <v>179</v>
      </c>
      <c r="J1025" s="33" t="s">
        <v>490</v>
      </c>
      <c r="K1025" s="18">
        <f>VLOOKUP(D1025,Ingredients!C:G,5,0)</f>
        <v>600</v>
      </c>
      <c r="L1025" s="52">
        <f t="shared" si="31"/>
        <v>171.42857142857142</v>
      </c>
    </row>
    <row r="1026" spans="1:12">
      <c r="A1026" t="s">
        <v>289</v>
      </c>
      <c r="B1026" t="s">
        <v>349</v>
      </c>
      <c r="C1026" t="s">
        <v>352</v>
      </c>
      <c r="D1026" s="3" t="s">
        <v>29</v>
      </c>
      <c r="E1026" s="11">
        <v>9.5238095238095233E-2</v>
      </c>
      <c r="F1026" s="7" t="s">
        <v>176</v>
      </c>
      <c r="G1026" s="9">
        <v>60</v>
      </c>
      <c r="H1026" s="9">
        <f t="shared" si="32"/>
        <v>5.7142857142857135</v>
      </c>
      <c r="I1026" t="s">
        <v>179</v>
      </c>
      <c r="J1026" s="33" t="s">
        <v>490</v>
      </c>
      <c r="K1026" s="18">
        <f>VLOOKUP(D1026,Ingredients!C:G,5,0)</f>
        <v>100</v>
      </c>
      <c r="L1026" s="52">
        <f t="shared" si="31"/>
        <v>9.5238095238095237</v>
      </c>
    </row>
    <row r="1027" spans="1:12">
      <c r="A1027" t="s">
        <v>289</v>
      </c>
      <c r="B1027" t="s">
        <v>349</v>
      </c>
      <c r="C1027" t="s">
        <v>352</v>
      </c>
      <c r="D1027" s="3" t="s">
        <v>862</v>
      </c>
      <c r="E1027" s="11">
        <v>7.1428571428571426E-3</v>
      </c>
      <c r="F1027" s="7" t="s">
        <v>176</v>
      </c>
      <c r="G1027" s="9">
        <v>6500</v>
      </c>
      <c r="H1027" s="9">
        <f t="shared" si="32"/>
        <v>46.428571428571431</v>
      </c>
      <c r="I1027" t="s">
        <v>179</v>
      </c>
      <c r="J1027" s="33" t="s">
        <v>490</v>
      </c>
      <c r="K1027" s="18">
        <f>VLOOKUP(D1027,Ingredients!C:G,5,0)</f>
        <v>6500</v>
      </c>
      <c r="L1027" s="52">
        <f t="shared" si="31"/>
        <v>46.428571428571431</v>
      </c>
    </row>
    <row r="1028" spans="1:12">
      <c r="A1028" t="s">
        <v>290</v>
      </c>
      <c r="B1028" t="s">
        <v>349</v>
      </c>
      <c r="C1028" t="s">
        <v>352</v>
      </c>
      <c r="D1028" s="3" t="s">
        <v>838</v>
      </c>
      <c r="E1028" s="11">
        <v>1</v>
      </c>
      <c r="F1028" s="7" t="s">
        <v>176</v>
      </c>
      <c r="G1028" s="9">
        <v>800</v>
      </c>
      <c r="H1028" s="9">
        <f t="shared" si="32"/>
        <v>800</v>
      </c>
      <c r="I1028" t="s">
        <v>179</v>
      </c>
      <c r="J1028" s="33" t="s">
        <v>516</v>
      </c>
      <c r="K1028" s="18">
        <f>VLOOKUP(D1028,Ingredients!C:G,5,0)</f>
        <v>950</v>
      </c>
      <c r="L1028" s="52">
        <f t="shared" ref="L1028:L1091" si="33">K1028*E1028</f>
        <v>950</v>
      </c>
    </row>
    <row r="1029" spans="1:12">
      <c r="A1029" t="s">
        <v>290</v>
      </c>
      <c r="B1029" t="s">
        <v>349</v>
      </c>
      <c r="C1029" t="s">
        <v>352</v>
      </c>
      <c r="D1029" s="3" t="s">
        <v>73</v>
      </c>
      <c r="E1029" s="11">
        <v>0.25142857142857145</v>
      </c>
      <c r="F1029" s="7" t="s">
        <v>176</v>
      </c>
      <c r="G1029" s="9">
        <v>305</v>
      </c>
      <c r="H1029" s="9">
        <f t="shared" si="32"/>
        <v>76.685714285714297</v>
      </c>
      <c r="I1029" t="s">
        <v>179</v>
      </c>
      <c r="J1029" s="33" t="s">
        <v>516</v>
      </c>
      <c r="K1029" s="18">
        <f>VLOOKUP(D1029,Ingredients!C:G,5,0)</f>
        <v>300</v>
      </c>
      <c r="L1029" s="52">
        <f t="shared" si="33"/>
        <v>75.428571428571431</v>
      </c>
    </row>
    <row r="1030" spans="1:12">
      <c r="A1030" t="s">
        <v>290</v>
      </c>
      <c r="B1030" t="s">
        <v>349</v>
      </c>
      <c r="C1030" t="s">
        <v>352</v>
      </c>
      <c r="D1030" s="3" t="s">
        <v>852</v>
      </c>
      <c r="E1030" s="11">
        <v>0.20114285714285715</v>
      </c>
      <c r="F1030" s="7" t="s">
        <v>176</v>
      </c>
      <c r="G1030" s="9">
        <v>520.63</v>
      </c>
      <c r="H1030" s="9">
        <f t="shared" si="32"/>
        <v>104.72100571428572</v>
      </c>
      <c r="I1030" t="s">
        <v>179</v>
      </c>
      <c r="J1030" s="33" t="s">
        <v>516</v>
      </c>
      <c r="K1030" s="18">
        <v>550</v>
      </c>
      <c r="L1030" s="52">
        <f t="shared" si="33"/>
        <v>110.62857142857143</v>
      </c>
    </row>
    <row r="1031" spans="1:12">
      <c r="A1031" t="s">
        <v>290</v>
      </c>
      <c r="B1031" t="s">
        <v>349</v>
      </c>
      <c r="C1031" t="s">
        <v>352</v>
      </c>
      <c r="D1031" s="3" t="s">
        <v>24</v>
      </c>
      <c r="E1031" s="11">
        <v>0.20114285714285715</v>
      </c>
      <c r="F1031" s="7" t="s">
        <v>176</v>
      </c>
      <c r="G1031" s="9">
        <v>55</v>
      </c>
      <c r="H1031" s="9">
        <f t="shared" si="32"/>
        <v>11.062857142857144</v>
      </c>
      <c r="I1031" t="s">
        <v>179</v>
      </c>
      <c r="J1031" s="33" t="s">
        <v>516</v>
      </c>
      <c r="K1031" s="18">
        <f>VLOOKUP(D1031,Ingredients!C:G,5,0)</f>
        <v>80</v>
      </c>
      <c r="L1031" s="52">
        <f t="shared" si="33"/>
        <v>16.091428571428573</v>
      </c>
    </row>
    <row r="1032" spans="1:12">
      <c r="A1032" t="s">
        <v>290</v>
      </c>
      <c r="B1032" t="s">
        <v>349</v>
      </c>
      <c r="C1032" t="s">
        <v>352</v>
      </c>
      <c r="D1032" s="3" t="s">
        <v>29</v>
      </c>
      <c r="E1032" s="11">
        <v>1.0057142857142858E-2</v>
      </c>
      <c r="F1032" s="7" t="s">
        <v>176</v>
      </c>
      <c r="G1032" s="9">
        <v>60</v>
      </c>
      <c r="H1032" s="9">
        <f t="shared" si="32"/>
        <v>0.60342857142857154</v>
      </c>
      <c r="I1032" t="s">
        <v>179</v>
      </c>
      <c r="J1032" s="33" t="s">
        <v>516</v>
      </c>
      <c r="K1032" s="18">
        <f>VLOOKUP(D1032,Ingredients!C:G,5,0)</f>
        <v>100</v>
      </c>
      <c r="L1032" s="52">
        <f t="shared" si="33"/>
        <v>1.0057142857142858</v>
      </c>
    </row>
    <row r="1033" spans="1:12">
      <c r="A1033" t="s">
        <v>290</v>
      </c>
      <c r="B1033" t="s">
        <v>349</v>
      </c>
      <c r="C1033" t="s">
        <v>352</v>
      </c>
      <c r="D1033" s="3" t="s">
        <v>880</v>
      </c>
      <c r="E1033" s="11">
        <v>1.0057142857142858E-2</v>
      </c>
      <c r="F1033" s="7" t="s">
        <v>176</v>
      </c>
      <c r="G1033" s="9">
        <v>650</v>
      </c>
      <c r="H1033" s="9">
        <f t="shared" si="32"/>
        <v>6.5371428571428583</v>
      </c>
      <c r="I1033" t="s">
        <v>179</v>
      </c>
      <c r="J1033" s="33" t="s">
        <v>516</v>
      </c>
      <c r="K1033" s="18">
        <f>VLOOKUP(D1033,Ingredients!C:G,5,0)</f>
        <v>520</v>
      </c>
      <c r="L1033" s="52">
        <f t="shared" si="33"/>
        <v>5.2297142857142864</v>
      </c>
    </row>
    <row r="1034" spans="1:12">
      <c r="A1034" t="s">
        <v>290</v>
      </c>
      <c r="B1034" t="s">
        <v>349</v>
      </c>
      <c r="C1034" t="s">
        <v>352</v>
      </c>
      <c r="D1034" s="3" t="s">
        <v>855</v>
      </c>
      <c r="E1034" s="11">
        <v>1.0057142857142858E-2</v>
      </c>
      <c r="F1034" s="7" t="s">
        <v>176</v>
      </c>
      <c r="G1034" s="9">
        <v>2400</v>
      </c>
      <c r="H1034" s="9">
        <f t="shared" si="32"/>
        <v>24.137142857142859</v>
      </c>
      <c r="I1034" t="s">
        <v>179</v>
      </c>
      <c r="J1034" s="33" t="s">
        <v>516</v>
      </c>
      <c r="K1034" s="18">
        <f>VLOOKUP(D1034,Ingredients!C:G,5,0)</f>
        <v>1600</v>
      </c>
      <c r="L1034" s="52">
        <f t="shared" si="33"/>
        <v>16.091428571428573</v>
      </c>
    </row>
    <row r="1035" spans="1:12">
      <c r="A1035" t="s">
        <v>290</v>
      </c>
      <c r="B1035" t="s">
        <v>349</v>
      </c>
      <c r="C1035" t="s">
        <v>352</v>
      </c>
      <c r="D1035" s="3" t="s">
        <v>23</v>
      </c>
      <c r="E1035" s="11">
        <v>1.0057142857142858E-2</v>
      </c>
      <c r="F1035" s="7" t="s">
        <v>176</v>
      </c>
      <c r="G1035" s="9">
        <v>740</v>
      </c>
      <c r="H1035" s="9">
        <f t="shared" si="32"/>
        <v>7.4422857142857151</v>
      </c>
      <c r="I1035" t="s">
        <v>179</v>
      </c>
      <c r="J1035" s="33" t="s">
        <v>516</v>
      </c>
      <c r="K1035" s="18">
        <f>VLOOKUP(D1035,Ingredients!C:G,5,0)</f>
        <v>780</v>
      </c>
      <c r="L1035" s="52">
        <f t="shared" si="33"/>
        <v>7.8445714285714292</v>
      </c>
    </row>
    <row r="1036" spans="1:12">
      <c r="A1036" t="s">
        <v>290</v>
      </c>
      <c r="B1036" t="s">
        <v>349</v>
      </c>
      <c r="C1036" t="s">
        <v>352</v>
      </c>
      <c r="D1036" s="3" t="s">
        <v>16</v>
      </c>
      <c r="E1036" s="11">
        <v>1.0057142857142858E-2</v>
      </c>
      <c r="F1036" s="7" t="s">
        <v>176</v>
      </c>
      <c r="G1036" s="9">
        <v>270</v>
      </c>
      <c r="H1036" s="9">
        <f t="shared" si="32"/>
        <v>2.7154285714285717</v>
      </c>
      <c r="I1036" t="s">
        <v>179</v>
      </c>
      <c r="J1036" s="33" t="s">
        <v>516</v>
      </c>
      <c r="K1036" s="18">
        <f>VLOOKUP(D1036,Ingredients!C:G,5,0)</f>
        <v>310</v>
      </c>
      <c r="L1036" s="52">
        <f t="shared" si="33"/>
        <v>3.1177142857142859</v>
      </c>
    </row>
    <row r="1037" spans="1:12">
      <c r="A1037" t="s">
        <v>290</v>
      </c>
      <c r="B1037" t="s">
        <v>349</v>
      </c>
      <c r="C1037" t="s">
        <v>352</v>
      </c>
      <c r="D1037" s="3" t="s">
        <v>860</v>
      </c>
      <c r="E1037" s="11">
        <v>5.0285714285714291E-3</v>
      </c>
      <c r="F1037" s="7" t="s">
        <v>176</v>
      </c>
      <c r="G1037" s="9">
        <v>2000</v>
      </c>
      <c r="H1037" s="9">
        <f t="shared" si="32"/>
        <v>10.057142857142859</v>
      </c>
      <c r="I1037" t="s">
        <v>179</v>
      </c>
      <c r="J1037" s="33" t="s">
        <v>516</v>
      </c>
      <c r="K1037" s="18">
        <f>VLOOKUP(D1037,Ingredients!C:G,5,0)</f>
        <v>1900</v>
      </c>
      <c r="L1037" s="52">
        <f t="shared" si="33"/>
        <v>9.5542857142857152</v>
      </c>
    </row>
    <row r="1038" spans="1:12">
      <c r="A1038" t="s">
        <v>290</v>
      </c>
      <c r="B1038" t="s">
        <v>349</v>
      </c>
      <c r="C1038" t="s">
        <v>352</v>
      </c>
      <c r="D1038" s="3" t="s">
        <v>867</v>
      </c>
      <c r="E1038" s="11">
        <v>5.0285714285714291E-3</v>
      </c>
      <c r="F1038" s="7" t="s">
        <v>176</v>
      </c>
      <c r="G1038" s="9">
        <v>900</v>
      </c>
      <c r="H1038" s="9">
        <f t="shared" si="32"/>
        <v>4.5257142857142858</v>
      </c>
      <c r="I1038" t="s">
        <v>179</v>
      </c>
      <c r="J1038" s="33" t="s">
        <v>516</v>
      </c>
      <c r="K1038" s="18">
        <f>VLOOKUP(D1038,Ingredients!C:G,5,0)</f>
        <v>950</v>
      </c>
      <c r="L1038" s="52">
        <f t="shared" si="33"/>
        <v>4.7771428571428576</v>
      </c>
    </row>
    <row r="1039" spans="1:12">
      <c r="A1039" t="s">
        <v>290</v>
      </c>
      <c r="B1039" t="s">
        <v>349</v>
      </c>
      <c r="C1039" t="s">
        <v>352</v>
      </c>
      <c r="D1039" s="3" t="s">
        <v>895</v>
      </c>
      <c r="E1039" s="11">
        <v>5.0285714285714291E-3</v>
      </c>
      <c r="F1039" s="7" t="s">
        <v>176</v>
      </c>
      <c r="G1039" s="9">
        <v>400</v>
      </c>
      <c r="H1039" s="9">
        <f t="shared" si="32"/>
        <v>2.0114285714285716</v>
      </c>
      <c r="I1039" t="s">
        <v>179</v>
      </c>
      <c r="J1039" s="33" t="s">
        <v>516</v>
      </c>
      <c r="K1039" s="18">
        <f>VLOOKUP(D1039,Ingredients!C:G,5,0)</f>
        <v>400</v>
      </c>
      <c r="L1039" s="52">
        <f t="shared" si="33"/>
        <v>2.0114285714285716</v>
      </c>
    </row>
    <row r="1040" spans="1:12">
      <c r="A1040" t="s">
        <v>290</v>
      </c>
      <c r="B1040" t="s">
        <v>349</v>
      </c>
      <c r="C1040" t="s">
        <v>352</v>
      </c>
      <c r="D1040" s="3" t="s">
        <v>842</v>
      </c>
      <c r="E1040" s="11">
        <v>5.0285714285714291E-3</v>
      </c>
      <c r="F1040" s="7" t="s">
        <v>176</v>
      </c>
      <c r="G1040" s="9">
        <v>190</v>
      </c>
      <c r="H1040" s="9">
        <f t="shared" si="32"/>
        <v>0.95542857142857152</v>
      </c>
      <c r="I1040" t="s">
        <v>179</v>
      </c>
      <c r="J1040" s="33" t="s">
        <v>516</v>
      </c>
      <c r="K1040" s="18">
        <f>VLOOKUP(D1040,Ingredients!C:G,5,0)</f>
        <v>1700</v>
      </c>
      <c r="L1040" s="52">
        <f t="shared" si="33"/>
        <v>8.5485714285714298</v>
      </c>
    </row>
    <row r="1041" spans="1:12">
      <c r="A1041" t="s">
        <v>290</v>
      </c>
      <c r="B1041" t="s">
        <v>349</v>
      </c>
      <c r="C1041" t="s">
        <v>352</v>
      </c>
      <c r="D1041" s="3" t="s">
        <v>903</v>
      </c>
      <c r="E1041" s="11">
        <v>0.10057142857142858</v>
      </c>
      <c r="F1041" s="7" t="s">
        <v>176</v>
      </c>
      <c r="G1041" s="9">
        <v>153.97999999999999</v>
      </c>
      <c r="H1041" s="9">
        <f t="shared" si="32"/>
        <v>15.485988571428571</v>
      </c>
      <c r="I1041" t="s">
        <v>179</v>
      </c>
      <c r="J1041" s="33" t="s">
        <v>516</v>
      </c>
      <c r="K1041" s="18">
        <f>VLOOKUP(D1041,Ingredients!C:G,5,0)</f>
        <v>152</v>
      </c>
      <c r="L1041" s="52">
        <f t="shared" si="33"/>
        <v>15.286857142857144</v>
      </c>
    </row>
    <row r="1042" spans="1:12">
      <c r="A1042" t="s">
        <v>290</v>
      </c>
      <c r="B1042" t="s">
        <v>349</v>
      </c>
      <c r="C1042" t="s">
        <v>352</v>
      </c>
      <c r="D1042" s="3" t="s">
        <v>931</v>
      </c>
      <c r="E1042" s="11">
        <v>5.0285714285714291E-3</v>
      </c>
      <c r="F1042" s="7" t="s">
        <v>176</v>
      </c>
      <c r="G1042" s="9">
        <v>4000</v>
      </c>
      <c r="H1042" s="9">
        <f t="shared" si="32"/>
        <v>20.114285714285717</v>
      </c>
      <c r="I1042" t="s">
        <v>179</v>
      </c>
      <c r="J1042" s="33" t="s">
        <v>516</v>
      </c>
      <c r="K1042" s="18">
        <f>VLOOKUP(D1042,Ingredients!C:G,5,0)</f>
        <v>2900</v>
      </c>
      <c r="L1042" s="52">
        <f t="shared" si="33"/>
        <v>14.582857142857144</v>
      </c>
    </row>
    <row r="1043" spans="1:12">
      <c r="A1043" t="s">
        <v>290</v>
      </c>
      <c r="B1043" t="s">
        <v>349</v>
      </c>
      <c r="C1043" t="s">
        <v>352</v>
      </c>
      <c r="D1043" s="3" t="s">
        <v>895</v>
      </c>
      <c r="E1043" s="11">
        <v>5.0285714285714291E-3</v>
      </c>
      <c r="F1043" s="7" t="s">
        <v>176</v>
      </c>
      <c r="G1043" s="9">
        <v>400</v>
      </c>
      <c r="H1043" s="9">
        <f t="shared" si="32"/>
        <v>2.0114285714285716</v>
      </c>
      <c r="I1043" t="s">
        <v>179</v>
      </c>
      <c r="J1043" s="33" t="s">
        <v>516</v>
      </c>
      <c r="K1043" s="18">
        <f>VLOOKUP(D1043,Ingredients!C:G,5,0)</f>
        <v>400</v>
      </c>
      <c r="L1043" s="52">
        <f t="shared" si="33"/>
        <v>2.0114285714285716</v>
      </c>
    </row>
    <row r="1044" spans="1:12">
      <c r="A1044" t="s">
        <v>290</v>
      </c>
      <c r="B1044" t="s">
        <v>349</v>
      </c>
      <c r="C1044" t="s">
        <v>352</v>
      </c>
      <c r="D1044" s="3" t="s">
        <v>35</v>
      </c>
      <c r="E1044" s="11">
        <v>0.50285714285714289</v>
      </c>
      <c r="F1044" s="7" t="s">
        <v>252</v>
      </c>
      <c r="G1044" s="9">
        <v>13</v>
      </c>
      <c r="H1044" s="9">
        <f t="shared" si="32"/>
        <v>6.5371428571428574</v>
      </c>
      <c r="I1044" t="s">
        <v>179</v>
      </c>
      <c r="J1044" s="33" t="s">
        <v>516</v>
      </c>
      <c r="K1044" s="18">
        <f>VLOOKUP(D1044,Ingredients!C:G,5,0)</f>
        <v>15</v>
      </c>
      <c r="L1044" s="52">
        <f t="shared" si="33"/>
        <v>7.5428571428571436</v>
      </c>
    </row>
    <row r="1045" spans="1:12">
      <c r="A1045" t="s">
        <v>290</v>
      </c>
      <c r="B1045" t="s">
        <v>349</v>
      </c>
      <c r="C1045" t="s">
        <v>352</v>
      </c>
      <c r="D1045" s="3" t="s">
        <v>50</v>
      </c>
      <c r="E1045" s="11">
        <v>0.10514285714285715</v>
      </c>
      <c r="F1045" s="7" t="s">
        <v>176</v>
      </c>
      <c r="G1045" s="9">
        <v>120</v>
      </c>
      <c r="H1045" s="9">
        <f t="shared" si="32"/>
        <v>12.617142857142857</v>
      </c>
      <c r="I1045" t="s">
        <v>179</v>
      </c>
      <c r="J1045" s="33" t="s">
        <v>516</v>
      </c>
      <c r="K1045" s="18">
        <f>VLOOKUP(D1045,Ingredients!C:G,5,0)</f>
        <v>120</v>
      </c>
      <c r="L1045" s="52">
        <f t="shared" si="33"/>
        <v>12.617142857142857</v>
      </c>
    </row>
    <row r="1046" spans="1:12">
      <c r="A1046" t="s">
        <v>290</v>
      </c>
      <c r="B1046" t="s">
        <v>349</v>
      </c>
      <c r="C1046" t="s">
        <v>352</v>
      </c>
      <c r="D1046" s="3" t="s">
        <v>23</v>
      </c>
      <c r="E1046" s="11">
        <v>5.0285714285714288E-2</v>
      </c>
      <c r="F1046" s="7" t="s">
        <v>176</v>
      </c>
      <c r="G1046" s="9">
        <v>740</v>
      </c>
      <c r="H1046" s="9">
        <f t="shared" si="32"/>
        <v>37.21142857142857</v>
      </c>
      <c r="I1046" t="s">
        <v>179</v>
      </c>
      <c r="J1046" s="33" t="s">
        <v>516</v>
      </c>
      <c r="K1046" s="18">
        <f>VLOOKUP(D1046,Ingredients!C:G,5,0)</f>
        <v>780</v>
      </c>
      <c r="L1046" s="52">
        <f t="shared" si="33"/>
        <v>39.222857142857144</v>
      </c>
    </row>
    <row r="1047" spans="1:12">
      <c r="A1047" t="s">
        <v>290</v>
      </c>
      <c r="B1047" t="s">
        <v>349</v>
      </c>
      <c r="C1047" t="s">
        <v>352</v>
      </c>
      <c r="D1047" s="3" t="s">
        <v>29</v>
      </c>
      <c r="E1047" s="11">
        <v>5.0285714285714288E-2</v>
      </c>
      <c r="F1047" s="7" t="s">
        <v>176</v>
      </c>
      <c r="G1047" s="9">
        <v>60</v>
      </c>
      <c r="H1047" s="9">
        <f t="shared" si="32"/>
        <v>3.0171428571428573</v>
      </c>
      <c r="I1047" t="s">
        <v>179</v>
      </c>
      <c r="J1047" s="33" t="s">
        <v>516</v>
      </c>
      <c r="K1047" s="18">
        <f>VLOOKUP(D1047,Ingredients!C:G,5,0)</f>
        <v>100</v>
      </c>
      <c r="L1047" s="52">
        <f t="shared" si="33"/>
        <v>5.0285714285714285</v>
      </c>
    </row>
    <row r="1048" spans="1:12">
      <c r="A1048" t="s">
        <v>291</v>
      </c>
      <c r="B1048" t="s">
        <v>349</v>
      </c>
      <c r="C1048" t="s">
        <v>352</v>
      </c>
      <c r="D1048" s="33" t="s">
        <v>491</v>
      </c>
      <c r="E1048" s="11">
        <v>1</v>
      </c>
      <c r="F1048" s="7" t="s">
        <v>179</v>
      </c>
      <c r="G1048" s="9">
        <v>614</v>
      </c>
      <c r="H1048" s="9">
        <f t="shared" si="32"/>
        <v>614</v>
      </c>
      <c r="I1048" t="s">
        <v>179</v>
      </c>
      <c r="J1048" s="33" t="s">
        <v>491</v>
      </c>
      <c r="K1048" s="18">
        <f>VLOOKUP(D1048,Ingredients!C:G,5,0)</f>
        <v>650</v>
      </c>
      <c r="L1048" s="52">
        <f t="shared" si="33"/>
        <v>650</v>
      </c>
    </row>
    <row r="1049" spans="1:12">
      <c r="A1049" t="s">
        <v>291</v>
      </c>
      <c r="B1049" t="s">
        <v>349</v>
      </c>
      <c r="C1049" t="s">
        <v>352</v>
      </c>
      <c r="D1049" s="3" t="s">
        <v>852</v>
      </c>
      <c r="E1049" s="11">
        <v>0.20114285714285715</v>
      </c>
      <c r="F1049" s="7" t="s">
        <v>190</v>
      </c>
      <c r="G1049" s="9">
        <v>520.63</v>
      </c>
      <c r="H1049" s="9">
        <f t="shared" si="32"/>
        <v>104.72100571428572</v>
      </c>
      <c r="I1049" t="s">
        <v>179</v>
      </c>
      <c r="J1049" s="33" t="s">
        <v>491</v>
      </c>
      <c r="K1049" s="18">
        <v>550</v>
      </c>
      <c r="L1049" s="52">
        <f t="shared" si="33"/>
        <v>110.62857142857143</v>
      </c>
    </row>
    <row r="1050" spans="1:12">
      <c r="A1050" t="s">
        <v>291</v>
      </c>
      <c r="B1050" t="s">
        <v>349</v>
      </c>
      <c r="C1050" t="s">
        <v>352</v>
      </c>
      <c r="D1050" s="3" t="s">
        <v>930</v>
      </c>
      <c r="E1050" s="11">
        <v>0.30171428571428571</v>
      </c>
      <c r="F1050" s="7" t="s">
        <v>179</v>
      </c>
      <c r="G1050" s="9">
        <v>305</v>
      </c>
      <c r="H1050" s="9">
        <f t="shared" si="32"/>
        <v>92.022857142857148</v>
      </c>
      <c r="I1050" t="s">
        <v>179</v>
      </c>
      <c r="J1050" s="33" t="s">
        <v>491</v>
      </c>
      <c r="K1050" s="18">
        <f>VLOOKUP(D1050,Ingredients!C:G,5,0)</f>
        <v>300</v>
      </c>
      <c r="L1050" s="52">
        <f t="shared" si="33"/>
        <v>90.51428571428572</v>
      </c>
    </row>
    <row r="1051" spans="1:12">
      <c r="A1051" t="s">
        <v>291</v>
      </c>
      <c r="B1051" t="s">
        <v>349</v>
      </c>
      <c r="C1051" t="s">
        <v>352</v>
      </c>
      <c r="D1051" s="3" t="s">
        <v>955</v>
      </c>
      <c r="E1051" s="11">
        <v>5.0285714285714291E-3</v>
      </c>
      <c r="F1051" s="7" t="s">
        <v>179</v>
      </c>
      <c r="G1051" s="9">
        <v>3600</v>
      </c>
      <c r="H1051" s="9">
        <f t="shared" si="32"/>
        <v>18.102857142857143</v>
      </c>
      <c r="I1051" t="s">
        <v>179</v>
      </c>
      <c r="J1051" s="33" t="s">
        <v>491</v>
      </c>
      <c r="K1051" s="18">
        <f>VLOOKUP(D1051,Ingredients!C:G,5,0)</f>
        <v>3400</v>
      </c>
      <c r="L1051" s="52">
        <f t="shared" si="33"/>
        <v>17.09714285714286</v>
      </c>
    </row>
    <row r="1052" spans="1:12">
      <c r="A1052" t="s">
        <v>291</v>
      </c>
      <c r="B1052" t="s">
        <v>349</v>
      </c>
      <c r="C1052" t="s">
        <v>352</v>
      </c>
      <c r="D1052" s="3" t="s">
        <v>882</v>
      </c>
      <c r="E1052" s="11">
        <v>1.2571428571428572E-2</v>
      </c>
      <c r="F1052" s="7" t="s">
        <v>179</v>
      </c>
      <c r="G1052" s="9">
        <v>1500</v>
      </c>
      <c r="H1052" s="9">
        <f t="shared" si="32"/>
        <v>18.857142857142858</v>
      </c>
      <c r="I1052" t="s">
        <v>179</v>
      </c>
      <c r="J1052" s="33" t="s">
        <v>491</v>
      </c>
      <c r="K1052" s="18">
        <f>VLOOKUP(D1052,Ingredients!C:G,5,0)</f>
        <v>1450</v>
      </c>
      <c r="L1052" s="52">
        <f t="shared" si="33"/>
        <v>18.228571428571428</v>
      </c>
    </row>
    <row r="1053" spans="1:12">
      <c r="A1053" t="s">
        <v>291</v>
      </c>
      <c r="B1053" t="s">
        <v>349</v>
      </c>
      <c r="C1053" t="s">
        <v>352</v>
      </c>
      <c r="D1053" s="3" t="s">
        <v>931</v>
      </c>
      <c r="E1053" s="11">
        <v>4.5714285714285718E-3</v>
      </c>
      <c r="F1053" s="7" t="s">
        <v>179</v>
      </c>
      <c r="G1053" s="9">
        <v>4000</v>
      </c>
      <c r="H1053" s="9">
        <f t="shared" si="32"/>
        <v>18.285714285714288</v>
      </c>
      <c r="I1053" t="s">
        <v>179</v>
      </c>
      <c r="J1053" s="33" t="s">
        <v>491</v>
      </c>
      <c r="K1053" s="18">
        <f>VLOOKUP(D1053,Ingredients!C:G,5,0)</f>
        <v>2900</v>
      </c>
      <c r="L1053" s="52">
        <f t="shared" si="33"/>
        <v>13.257142857142858</v>
      </c>
    </row>
    <row r="1054" spans="1:12">
      <c r="A1054" t="s">
        <v>291</v>
      </c>
      <c r="B1054" t="s">
        <v>349</v>
      </c>
      <c r="C1054" t="s">
        <v>352</v>
      </c>
      <c r="D1054" s="3" t="s">
        <v>915</v>
      </c>
      <c r="E1054" s="11">
        <v>1.2571428571428572E-2</v>
      </c>
      <c r="F1054" s="7" t="s">
        <v>179</v>
      </c>
      <c r="G1054" s="9">
        <v>5000</v>
      </c>
      <c r="H1054" s="9">
        <f t="shared" si="32"/>
        <v>62.857142857142861</v>
      </c>
      <c r="I1054" t="s">
        <v>179</v>
      </c>
      <c r="J1054" s="33" t="s">
        <v>491</v>
      </c>
      <c r="K1054" s="18">
        <f>VLOOKUP(D1054,Ingredients!C:G,5,0)</f>
        <v>3200</v>
      </c>
      <c r="L1054" s="52">
        <f t="shared" si="33"/>
        <v>40.228571428571428</v>
      </c>
    </row>
    <row r="1055" spans="1:12">
      <c r="A1055" t="s">
        <v>291</v>
      </c>
      <c r="B1055" t="s">
        <v>349</v>
      </c>
      <c r="C1055" t="s">
        <v>352</v>
      </c>
      <c r="D1055" s="3" t="s">
        <v>895</v>
      </c>
      <c r="E1055" s="11">
        <v>1.0057142857142858E-2</v>
      </c>
      <c r="F1055" s="7" t="s">
        <v>179</v>
      </c>
      <c r="G1055" s="9">
        <v>400</v>
      </c>
      <c r="H1055" s="9">
        <f t="shared" si="32"/>
        <v>4.0228571428571431</v>
      </c>
      <c r="I1055" t="s">
        <v>179</v>
      </c>
      <c r="J1055" s="33" t="s">
        <v>491</v>
      </c>
      <c r="K1055" s="18">
        <f>VLOOKUP(D1055,Ingredients!C:G,5,0)</f>
        <v>400</v>
      </c>
      <c r="L1055" s="52">
        <f t="shared" si="33"/>
        <v>4.0228571428571431</v>
      </c>
    </row>
    <row r="1056" spans="1:12">
      <c r="A1056" t="s">
        <v>291</v>
      </c>
      <c r="B1056" t="s">
        <v>349</v>
      </c>
      <c r="C1056" t="s">
        <v>352</v>
      </c>
      <c r="D1056" s="3" t="s">
        <v>927</v>
      </c>
      <c r="E1056" s="11">
        <v>0.20114285714285715</v>
      </c>
      <c r="F1056" s="7" t="s">
        <v>179</v>
      </c>
      <c r="G1056" s="9">
        <v>600</v>
      </c>
      <c r="H1056" s="9">
        <f t="shared" si="32"/>
        <v>120.6857142857143</v>
      </c>
      <c r="I1056" t="s">
        <v>179</v>
      </c>
      <c r="J1056" s="33" t="s">
        <v>491</v>
      </c>
      <c r="K1056" s="18">
        <f>VLOOKUP(D1056,Ingredients!C:G,5,0)</f>
        <v>600</v>
      </c>
      <c r="L1056" s="52">
        <f t="shared" si="33"/>
        <v>120.6857142857143</v>
      </c>
    </row>
    <row r="1057" spans="1:12">
      <c r="A1057" t="s">
        <v>291</v>
      </c>
      <c r="B1057" t="s">
        <v>349</v>
      </c>
      <c r="C1057" t="s">
        <v>352</v>
      </c>
      <c r="D1057" s="3" t="s">
        <v>855</v>
      </c>
      <c r="E1057" s="11">
        <v>2.5142857142857146E-3</v>
      </c>
      <c r="F1057" s="7" t="s">
        <v>179</v>
      </c>
      <c r="G1057" s="9">
        <v>2400</v>
      </c>
      <c r="H1057" s="9">
        <f t="shared" si="32"/>
        <v>6.0342857142857147</v>
      </c>
      <c r="I1057" t="s">
        <v>179</v>
      </c>
      <c r="J1057" s="33" t="s">
        <v>491</v>
      </c>
      <c r="K1057" s="18">
        <f>VLOOKUP(D1057,Ingredients!C:G,5,0)</f>
        <v>1600</v>
      </c>
      <c r="L1057" s="52">
        <f t="shared" si="33"/>
        <v>4.0228571428571431</v>
      </c>
    </row>
    <row r="1058" spans="1:12">
      <c r="A1058" t="s">
        <v>291</v>
      </c>
      <c r="B1058" t="s">
        <v>349</v>
      </c>
      <c r="C1058" t="s">
        <v>352</v>
      </c>
      <c r="D1058" s="3" t="s">
        <v>23</v>
      </c>
      <c r="E1058" s="11">
        <v>1.5085714285714286E-2</v>
      </c>
      <c r="F1058" s="7" t="s">
        <v>179</v>
      </c>
      <c r="G1058" s="9">
        <v>740</v>
      </c>
      <c r="H1058" s="9">
        <f t="shared" si="32"/>
        <v>11.163428571428572</v>
      </c>
      <c r="I1058" t="s">
        <v>179</v>
      </c>
      <c r="J1058" s="33" t="s">
        <v>491</v>
      </c>
      <c r="K1058" s="18">
        <f>VLOOKUP(D1058,Ingredients!C:G,5,0)</f>
        <v>780</v>
      </c>
      <c r="L1058" s="52">
        <f t="shared" si="33"/>
        <v>11.766857142857143</v>
      </c>
    </row>
    <row r="1059" spans="1:12">
      <c r="A1059" t="s">
        <v>291</v>
      </c>
      <c r="B1059" t="s">
        <v>349</v>
      </c>
      <c r="C1059" t="s">
        <v>352</v>
      </c>
      <c r="D1059" s="3" t="s">
        <v>16</v>
      </c>
      <c r="E1059" s="11">
        <v>1.0057142857142858E-2</v>
      </c>
      <c r="F1059" s="7" t="s">
        <v>179</v>
      </c>
      <c r="G1059" s="9">
        <v>270</v>
      </c>
      <c r="H1059" s="9">
        <f t="shared" si="32"/>
        <v>2.7154285714285717</v>
      </c>
      <c r="I1059" t="s">
        <v>179</v>
      </c>
      <c r="J1059" s="33" t="s">
        <v>491</v>
      </c>
      <c r="K1059" s="18">
        <f>VLOOKUP(D1059,Ingredients!C:G,5,0)</f>
        <v>310</v>
      </c>
      <c r="L1059" s="52">
        <f t="shared" si="33"/>
        <v>3.1177142857142859</v>
      </c>
    </row>
    <row r="1060" spans="1:12">
      <c r="A1060" t="s">
        <v>291</v>
      </c>
      <c r="B1060" t="s">
        <v>349</v>
      </c>
      <c r="C1060" t="s">
        <v>352</v>
      </c>
      <c r="D1060" s="3" t="s">
        <v>926</v>
      </c>
      <c r="E1060" s="11">
        <v>2.057142857142857E-2</v>
      </c>
      <c r="F1060" s="7" t="s">
        <v>300</v>
      </c>
      <c r="G1060" s="9">
        <v>62.5</v>
      </c>
      <c r="H1060" s="9">
        <f t="shared" si="32"/>
        <v>1.2857142857142856</v>
      </c>
      <c r="I1060" t="s">
        <v>179</v>
      </c>
      <c r="J1060" s="33" t="s">
        <v>491</v>
      </c>
      <c r="K1060" s="18">
        <f>VLOOKUP(D1060,Ingredients!C:F,3,0)</f>
        <v>50</v>
      </c>
      <c r="L1060" s="52">
        <f t="shared" si="33"/>
        <v>1.0285714285714285</v>
      </c>
    </row>
    <row r="1061" spans="1:12">
      <c r="A1061" t="s">
        <v>291</v>
      </c>
      <c r="B1061" t="s">
        <v>349</v>
      </c>
      <c r="C1061" t="s">
        <v>352</v>
      </c>
      <c r="D1061" s="3" t="s">
        <v>857</v>
      </c>
      <c r="E1061" s="11">
        <v>2.2857142857142857E-2</v>
      </c>
      <c r="F1061" s="7" t="s">
        <v>179</v>
      </c>
      <c r="G1061" s="9">
        <v>520</v>
      </c>
      <c r="H1061" s="9">
        <f t="shared" si="32"/>
        <v>11.885714285714286</v>
      </c>
      <c r="I1061" t="s">
        <v>179</v>
      </c>
      <c r="J1061" s="33" t="s">
        <v>491</v>
      </c>
      <c r="K1061" s="18">
        <f>VLOOKUP(D1061,Ingredients!C:G,5,0)</f>
        <v>880</v>
      </c>
      <c r="L1061" s="52">
        <f t="shared" si="33"/>
        <v>20.114285714285714</v>
      </c>
    </row>
    <row r="1062" spans="1:12">
      <c r="A1062" t="s">
        <v>291</v>
      </c>
      <c r="B1062" t="s">
        <v>349</v>
      </c>
      <c r="C1062" t="s">
        <v>352</v>
      </c>
      <c r="D1062" s="3" t="s">
        <v>867</v>
      </c>
      <c r="E1062" s="11">
        <v>1.0057142857142858E-2</v>
      </c>
      <c r="F1062" s="7" t="s">
        <v>179</v>
      </c>
      <c r="G1062" s="9">
        <v>900</v>
      </c>
      <c r="H1062" s="9">
        <f t="shared" si="32"/>
        <v>9.0514285714285716</v>
      </c>
      <c r="I1062" t="s">
        <v>179</v>
      </c>
      <c r="J1062" s="33" t="s">
        <v>491</v>
      </c>
      <c r="K1062" s="18">
        <f>VLOOKUP(D1062,Ingredients!C:G,5,0)</f>
        <v>950</v>
      </c>
      <c r="L1062" s="52">
        <f t="shared" si="33"/>
        <v>9.5542857142857152</v>
      </c>
    </row>
    <row r="1063" spans="1:12">
      <c r="A1063" t="s">
        <v>291</v>
      </c>
      <c r="B1063" t="s">
        <v>349</v>
      </c>
      <c r="C1063" t="s">
        <v>352</v>
      </c>
      <c r="D1063" s="3" t="s">
        <v>860</v>
      </c>
      <c r="E1063" s="11">
        <v>3.0171428571428571E-3</v>
      </c>
      <c r="F1063" s="7" t="s">
        <v>179</v>
      </c>
      <c r="G1063" s="9">
        <v>2000</v>
      </c>
      <c r="H1063" s="9">
        <f t="shared" si="32"/>
        <v>6.0342857142857138</v>
      </c>
      <c r="I1063" t="s">
        <v>179</v>
      </c>
      <c r="J1063" s="33" t="s">
        <v>491</v>
      </c>
      <c r="K1063" s="18">
        <f>VLOOKUP(D1063,Ingredients!C:G,5,0)</f>
        <v>1900</v>
      </c>
      <c r="L1063" s="52">
        <f t="shared" si="33"/>
        <v>5.7325714285714282</v>
      </c>
    </row>
    <row r="1064" spans="1:12">
      <c r="A1064" t="s">
        <v>291</v>
      </c>
      <c r="B1064" t="s">
        <v>349</v>
      </c>
      <c r="C1064" t="s">
        <v>352</v>
      </c>
      <c r="D1064" s="3" t="s">
        <v>853</v>
      </c>
      <c r="E1064" s="11">
        <v>2.0114285714285716E-2</v>
      </c>
      <c r="F1064" s="7" t="s">
        <v>179</v>
      </c>
      <c r="G1064" s="9">
        <v>30</v>
      </c>
      <c r="H1064" s="9">
        <f t="shared" si="32"/>
        <v>0.60342857142857154</v>
      </c>
      <c r="I1064" t="s">
        <v>179</v>
      </c>
      <c r="J1064" s="33" t="s">
        <v>491</v>
      </c>
      <c r="K1064" s="18">
        <f>VLOOKUP(D1064,Ingredients!C:G,5,0)</f>
        <v>55</v>
      </c>
      <c r="L1064" s="52">
        <f t="shared" si="33"/>
        <v>1.1062857142857143</v>
      </c>
    </row>
    <row r="1065" spans="1:12">
      <c r="A1065" t="s">
        <v>291</v>
      </c>
      <c r="B1065" t="s">
        <v>349</v>
      </c>
      <c r="C1065" t="s">
        <v>352</v>
      </c>
      <c r="D1065" s="3" t="s">
        <v>880</v>
      </c>
      <c r="E1065" s="11">
        <v>2.5142857142857146E-3</v>
      </c>
      <c r="F1065" s="7" t="s">
        <v>179</v>
      </c>
      <c r="G1065" s="9">
        <v>650</v>
      </c>
      <c r="H1065" s="9">
        <f t="shared" si="32"/>
        <v>1.6342857142857146</v>
      </c>
      <c r="I1065" t="s">
        <v>179</v>
      </c>
      <c r="J1065" s="33" t="s">
        <v>491</v>
      </c>
      <c r="K1065" s="18">
        <f>VLOOKUP(D1065,Ingredients!C:G,5,0)</f>
        <v>520</v>
      </c>
      <c r="L1065" s="52">
        <f t="shared" si="33"/>
        <v>1.3074285714285716</v>
      </c>
    </row>
    <row r="1066" spans="1:12">
      <c r="A1066" t="s">
        <v>291</v>
      </c>
      <c r="B1066" t="s">
        <v>349</v>
      </c>
      <c r="C1066" t="s">
        <v>352</v>
      </c>
      <c r="D1066" s="3" t="s">
        <v>858</v>
      </c>
      <c r="E1066" s="11">
        <v>2.5142857142857146E-3</v>
      </c>
      <c r="F1066" s="7" t="s">
        <v>179</v>
      </c>
      <c r="G1066" s="9">
        <v>1900</v>
      </c>
      <c r="H1066" s="9">
        <f t="shared" si="32"/>
        <v>4.7771428571428576</v>
      </c>
      <c r="I1066" t="s">
        <v>179</v>
      </c>
      <c r="J1066" s="33" t="s">
        <v>491</v>
      </c>
      <c r="K1066" s="18">
        <f>VLOOKUP(D1066,Ingredients!C:G,5,0)</f>
        <v>1900</v>
      </c>
      <c r="L1066" s="52">
        <f t="shared" si="33"/>
        <v>4.7771428571428576</v>
      </c>
    </row>
    <row r="1067" spans="1:12">
      <c r="A1067" t="s">
        <v>291</v>
      </c>
      <c r="B1067" t="s">
        <v>349</v>
      </c>
      <c r="C1067" t="s">
        <v>352</v>
      </c>
      <c r="D1067" s="3" t="s">
        <v>862</v>
      </c>
      <c r="E1067" s="11">
        <v>2.5142857142857146E-3</v>
      </c>
      <c r="F1067" s="7" t="s">
        <v>179</v>
      </c>
      <c r="G1067" s="9">
        <v>6500</v>
      </c>
      <c r="H1067" s="9">
        <f t="shared" si="32"/>
        <v>16.342857142857145</v>
      </c>
      <c r="I1067" t="s">
        <v>179</v>
      </c>
      <c r="J1067" s="33" t="s">
        <v>491</v>
      </c>
      <c r="K1067" s="18">
        <f>VLOOKUP(D1067,Ingredients!C:G,5,0)</f>
        <v>6500</v>
      </c>
      <c r="L1067" s="52">
        <f t="shared" si="33"/>
        <v>16.342857142857145</v>
      </c>
    </row>
    <row r="1068" spans="1:12">
      <c r="A1068" t="s">
        <v>291</v>
      </c>
      <c r="B1068" t="s">
        <v>349</v>
      </c>
      <c r="C1068" t="s">
        <v>352</v>
      </c>
      <c r="D1068" s="3" t="s">
        <v>915</v>
      </c>
      <c r="E1068" s="11">
        <v>7.5428571428571428E-3</v>
      </c>
      <c r="F1068" s="7" t="s">
        <v>179</v>
      </c>
      <c r="G1068" s="9">
        <v>5000</v>
      </c>
      <c r="H1068" s="9">
        <f t="shared" si="32"/>
        <v>37.714285714285715</v>
      </c>
      <c r="I1068" t="s">
        <v>179</v>
      </c>
      <c r="J1068" s="33" t="s">
        <v>491</v>
      </c>
      <c r="K1068" s="18">
        <f>VLOOKUP(D1068,Ingredients!C:G,5,0)</f>
        <v>3200</v>
      </c>
      <c r="L1068" s="52">
        <f t="shared" si="33"/>
        <v>24.137142857142855</v>
      </c>
    </row>
    <row r="1069" spans="1:12">
      <c r="A1069" t="s">
        <v>291</v>
      </c>
      <c r="B1069" t="s">
        <v>349</v>
      </c>
      <c r="C1069" t="s">
        <v>352</v>
      </c>
      <c r="D1069" s="3" t="s">
        <v>913</v>
      </c>
      <c r="E1069" s="11">
        <v>0.10057142857142858</v>
      </c>
      <c r="F1069" s="7" t="s">
        <v>179</v>
      </c>
      <c r="G1069" s="9">
        <v>229.16666666666666</v>
      </c>
      <c r="H1069" s="9">
        <f t="shared" si="32"/>
        <v>23.047619047619047</v>
      </c>
      <c r="I1069" t="s">
        <v>179</v>
      </c>
      <c r="J1069" s="33" t="s">
        <v>491</v>
      </c>
      <c r="K1069" s="18">
        <f>VLOOKUP(D1069,Ingredients!C:F,3,0)</f>
        <v>343.75</v>
      </c>
      <c r="L1069" s="52">
        <f t="shared" si="33"/>
        <v>34.571428571428569</v>
      </c>
    </row>
    <row r="1070" spans="1:12">
      <c r="A1070" t="s">
        <v>292</v>
      </c>
      <c r="B1070" t="s">
        <v>349</v>
      </c>
      <c r="C1070" t="s">
        <v>353</v>
      </c>
      <c r="D1070" s="3" t="s">
        <v>838</v>
      </c>
      <c r="E1070" s="11">
        <v>1</v>
      </c>
      <c r="F1070" s="7" t="s">
        <v>176</v>
      </c>
      <c r="G1070" s="9">
        <v>800</v>
      </c>
      <c r="H1070" s="9">
        <f t="shared" si="32"/>
        <v>800</v>
      </c>
      <c r="I1070" t="s">
        <v>179</v>
      </c>
      <c r="J1070" s="33" t="s">
        <v>516</v>
      </c>
      <c r="K1070" s="18">
        <f>VLOOKUP(D1070,Ingredients!C:G,5,0)</f>
        <v>950</v>
      </c>
      <c r="L1070" s="52">
        <f t="shared" si="33"/>
        <v>950</v>
      </c>
    </row>
    <row r="1071" spans="1:12">
      <c r="A1071" t="s">
        <v>292</v>
      </c>
      <c r="B1071" t="s">
        <v>349</v>
      </c>
      <c r="C1071" t="s">
        <v>353</v>
      </c>
      <c r="D1071" s="3" t="s">
        <v>884</v>
      </c>
      <c r="E1071" s="11">
        <v>0.80769230769230771</v>
      </c>
      <c r="F1071" s="7" t="s">
        <v>176</v>
      </c>
      <c r="G1071" s="9">
        <v>344</v>
      </c>
      <c r="H1071" s="9">
        <f t="shared" si="32"/>
        <v>277.84615384615387</v>
      </c>
      <c r="I1071" t="s">
        <v>179</v>
      </c>
      <c r="J1071" s="33" t="s">
        <v>516</v>
      </c>
      <c r="K1071" s="18">
        <f>VLOOKUP(D1071,Ingredients!C:G,5,0)</f>
        <v>344</v>
      </c>
      <c r="L1071" s="52">
        <f t="shared" si="33"/>
        <v>277.84615384615387</v>
      </c>
    </row>
    <row r="1072" spans="1:12">
      <c r="A1072" t="s">
        <v>292</v>
      </c>
      <c r="B1072" t="s">
        <v>349</v>
      </c>
      <c r="C1072" t="s">
        <v>353</v>
      </c>
      <c r="D1072" s="3" t="s">
        <v>852</v>
      </c>
      <c r="E1072" s="11">
        <v>0.2</v>
      </c>
      <c r="F1072" s="7" t="s">
        <v>176</v>
      </c>
      <c r="G1072" s="9">
        <v>520.63</v>
      </c>
      <c r="H1072" s="9">
        <f t="shared" si="32"/>
        <v>104.126</v>
      </c>
      <c r="I1072" t="s">
        <v>179</v>
      </c>
      <c r="J1072" s="33" t="s">
        <v>516</v>
      </c>
      <c r="K1072" s="18">
        <v>550</v>
      </c>
      <c r="L1072" s="52">
        <f t="shared" si="33"/>
        <v>110</v>
      </c>
    </row>
    <row r="1073" spans="1:12">
      <c r="A1073" t="s">
        <v>292</v>
      </c>
      <c r="B1073" t="s">
        <v>349</v>
      </c>
      <c r="C1073" t="s">
        <v>353</v>
      </c>
      <c r="D1073" s="3" t="s">
        <v>855</v>
      </c>
      <c r="E1073" s="11">
        <v>0.01</v>
      </c>
      <c r="F1073" s="7" t="s">
        <v>176</v>
      </c>
      <c r="G1073" s="9">
        <v>2400</v>
      </c>
      <c r="H1073" s="9">
        <f t="shared" si="32"/>
        <v>24</v>
      </c>
      <c r="I1073" t="s">
        <v>179</v>
      </c>
      <c r="J1073" s="33" t="s">
        <v>516</v>
      </c>
      <c r="K1073" s="18">
        <f>VLOOKUP(D1073,Ingredients!C:G,5,0)</f>
        <v>1600</v>
      </c>
      <c r="L1073" s="52">
        <f t="shared" si="33"/>
        <v>16</v>
      </c>
    </row>
    <row r="1074" spans="1:12">
      <c r="A1074" t="s">
        <v>292</v>
      </c>
      <c r="B1074" t="s">
        <v>349</v>
      </c>
      <c r="C1074" t="s">
        <v>353</v>
      </c>
      <c r="D1074" s="3" t="s">
        <v>887</v>
      </c>
      <c r="E1074" s="11">
        <v>5.0000000000000001E-3</v>
      </c>
      <c r="F1074" s="7" t="s">
        <v>176</v>
      </c>
      <c r="G1074" s="9">
        <v>1600</v>
      </c>
      <c r="H1074" s="9">
        <f t="shared" si="32"/>
        <v>8</v>
      </c>
      <c r="I1074" t="s">
        <v>179</v>
      </c>
      <c r="J1074" s="33" t="s">
        <v>516</v>
      </c>
      <c r="K1074" s="18">
        <f>VLOOKUP(D1074,Ingredients!C:G,5,0)</f>
        <v>1830</v>
      </c>
      <c r="L1074" s="52">
        <f t="shared" si="33"/>
        <v>9.15</v>
      </c>
    </row>
    <row r="1075" spans="1:12">
      <c r="A1075" t="s">
        <v>292</v>
      </c>
      <c r="B1075" t="s">
        <v>349</v>
      </c>
      <c r="C1075" t="s">
        <v>353</v>
      </c>
      <c r="D1075" s="3" t="s">
        <v>867</v>
      </c>
      <c r="E1075" s="11">
        <v>2.5000000000000001E-3</v>
      </c>
      <c r="F1075" s="7" t="s">
        <v>176</v>
      </c>
      <c r="G1075" s="9">
        <v>900</v>
      </c>
      <c r="H1075" s="9">
        <f t="shared" si="32"/>
        <v>2.25</v>
      </c>
      <c r="I1075" t="s">
        <v>179</v>
      </c>
      <c r="J1075" s="33" t="s">
        <v>516</v>
      </c>
      <c r="K1075" s="18">
        <f>VLOOKUP(D1075,Ingredients!C:G,5,0)</f>
        <v>950</v>
      </c>
      <c r="L1075" s="52">
        <f t="shared" si="33"/>
        <v>2.375</v>
      </c>
    </row>
    <row r="1076" spans="1:12">
      <c r="A1076" t="s">
        <v>292</v>
      </c>
      <c r="B1076" t="s">
        <v>349</v>
      </c>
      <c r="C1076" t="s">
        <v>353</v>
      </c>
      <c r="D1076" s="3" t="s">
        <v>860</v>
      </c>
      <c r="E1076" s="11">
        <v>2.5000000000000001E-3</v>
      </c>
      <c r="F1076" s="7" t="s">
        <v>176</v>
      </c>
      <c r="G1076" s="9">
        <v>2000</v>
      </c>
      <c r="H1076" s="9">
        <f t="shared" si="32"/>
        <v>5</v>
      </c>
      <c r="I1076" t="s">
        <v>179</v>
      </c>
      <c r="J1076" s="33" t="s">
        <v>516</v>
      </c>
      <c r="K1076" s="18">
        <f>VLOOKUP(D1076,Ingredients!C:G,5,0)</f>
        <v>1900</v>
      </c>
      <c r="L1076" s="52">
        <f t="shared" si="33"/>
        <v>4.75</v>
      </c>
    </row>
    <row r="1077" spans="1:12">
      <c r="A1077" t="s">
        <v>292</v>
      </c>
      <c r="B1077" t="s">
        <v>349</v>
      </c>
      <c r="C1077" t="s">
        <v>353</v>
      </c>
      <c r="D1077" s="3" t="s">
        <v>895</v>
      </c>
      <c r="E1077" s="11">
        <v>2.5000000000000001E-3</v>
      </c>
      <c r="F1077" s="7" t="s">
        <v>176</v>
      </c>
      <c r="G1077" s="9">
        <v>400</v>
      </c>
      <c r="H1077" s="9">
        <f t="shared" si="32"/>
        <v>1</v>
      </c>
      <c r="I1077" t="s">
        <v>179</v>
      </c>
      <c r="J1077" s="33" t="s">
        <v>516</v>
      </c>
      <c r="K1077" s="18">
        <f>VLOOKUP(D1077,Ingredients!C:G,5,0)</f>
        <v>400</v>
      </c>
      <c r="L1077" s="52">
        <f t="shared" si="33"/>
        <v>1</v>
      </c>
    </row>
    <row r="1078" spans="1:12">
      <c r="A1078" t="s">
        <v>292</v>
      </c>
      <c r="B1078" t="s">
        <v>349</v>
      </c>
      <c r="C1078" t="s">
        <v>353</v>
      </c>
      <c r="D1078" s="3" t="s">
        <v>853</v>
      </c>
      <c r="E1078" s="11">
        <v>0.05</v>
      </c>
      <c r="F1078" s="7" t="s">
        <v>176</v>
      </c>
      <c r="G1078" s="9">
        <v>30</v>
      </c>
      <c r="H1078" s="9">
        <f t="shared" si="32"/>
        <v>1.5</v>
      </c>
      <c r="I1078" t="s">
        <v>179</v>
      </c>
      <c r="J1078" s="33" t="s">
        <v>516</v>
      </c>
      <c r="K1078" s="18">
        <f>VLOOKUP(D1078,Ingredients!C:G,5,0)</f>
        <v>55</v>
      </c>
      <c r="L1078" s="52">
        <f t="shared" si="33"/>
        <v>2.75</v>
      </c>
    </row>
    <row r="1079" spans="1:12">
      <c r="A1079" t="s">
        <v>292</v>
      </c>
      <c r="B1079" t="s">
        <v>349</v>
      </c>
      <c r="C1079" t="s">
        <v>353</v>
      </c>
      <c r="D1079" s="3" t="s">
        <v>927</v>
      </c>
      <c r="E1079" s="11">
        <v>0.05</v>
      </c>
      <c r="F1079" s="7" t="s">
        <v>176</v>
      </c>
      <c r="G1079" s="9">
        <v>600</v>
      </c>
      <c r="H1079" s="9">
        <f t="shared" si="32"/>
        <v>30</v>
      </c>
      <c r="I1079" t="s">
        <v>179</v>
      </c>
      <c r="J1079" s="33" t="s">
        <v>516</v>
      </c>
      <c r="K1079" s="18">
        <f>VLOOKUP(D1079,Ingredients!C:G,5,0)</f>
        <v>600</v>
      </c>
      <c r="L1079" s="52">
        <f t="shared" si="33"/>
        <v>30</v>
      </c>
    </row>
    <row r="1080" spans="1:12">
      <c r="A1080" t="s">
        <v>292</v>
      </c>
      <c r="B1080" t="s">
        <v>349</v>
      </c>
      <c r="C1080" t="s">
        <v>353</v>
      </c>
      <c r="D1080" s="3" t="s">
        <v>24</v>
      </c>
      <c r="E1080" s="11">
        <v>0.05</v>
      </c>
      <c r="F1080" s="7" t="s">
        <v>176</v>
      </c>
      <c r="G1080" s="9">
        <v>55</v>
      </c>
      <c r="H1080" s="9">
        <f t="shared" si="32"/>
        <v>2.75</v>
      </c>
      <c r="I1080" t="s">
        <v>179</v>
      </c>
      <c r="J1080" s="33" t="s">
        <v>516</v>
      </c>
      <c r="K1080" s="18">
        <f>VLOOKUP(D1080,Ingredients!C:G,5,0)</f>
        <v>80</v>
      </c>
      <c r="L1080" s="52">
        <f t="shared" si="33"/>
        <v>4</v>
      </c>
    </row>
    <row r="1081" spans="1:12">
      <c r="A1081" t="s">
        <v>292</v>
      </c>
      <c r="B1081" t="s">
        <v>349</v>
      </c>
      <c r="C1081" t="s">
        <v>353</v>
      </c>
      <c r="D1081" s="3" t="s">
        <v>15</v>
      </c>
      <c r="E1081" s="11">
        <v>2.5000000000000001E-2</v>
      </c>
      <c r="F1081" s="7" t="s">
        <v>176</v>
      </c>
      <c r="G1081" s="9">
        <v>130</v>
      </c>
      <c r="H1081" s="9">
        <f t="shared" ref="H1081:H1144" si="34">G1081*E1081</f>
        <v>3.25</v>
      </c>
      <c r="I1081" t="s">
        <v>179</v>
      </c>
      <c r="J1081" s="33" t="s">
        <v>516</v>
      </c>
      <c r="K1081" s="18">
        <f>VLOOKUP(D1081,Ingredients!C:G,5,0)</f>
        <v>90</v>
      </c>
      <c r="L1081" s="52">
        <f t="shared" si="33"/>
        <v>2.25</v>
      </c>
    </row>
    <row r="1082" spans="1:12">
      <c r="A1082" t="s">
        <v>292</v>
      </c>
      <c r="B1082" t="s">
        <v>349</v>
      </c>
      <c r="C1082" t="s">
        <v>353</v>
      </c>
      <c r="D1082" s="3" t="s">
        <v>924</v>
      </c>
      <c r="E1082" s="11">
        <v>2.5000000000000001E-2</v>
      </c>
      <c r="F1082" s="7" t="s">
        <v>176</v>
      </c>
      <c r="G1082" s="9">
        <v>850</v>
      </c>
      <c r="H1082" s="9">
        <f t="shared" si="34"/>
        <v>21.25</v>
      </c>
      <c r="I1082" t="s">
        <v>179</v>
      </c>
      <c r="J1082" s="33" t="s">
        <v>516</v>
      </c>
      <c r="K1082" s="18">
        <f>VLOOKUP(D1082,Ingredients!C:G,5,0)</f>
        <v>720</v>
      </c>
      <c r="L1082" s="52">
        <f t="shared" si="33"/>
        <v>18</v>
      </c>
    </row>
    <row r="1083" spans="1:12">
      <c r="A1083" t="s">
        <v>293</v>
      </c>
      <c r="B1083" t="s">
        <v>349</v>
      </c>
      <c r="C1083" t="s">
        <v>351</v>
      </c>
      <c r="D1083" s="3" t="s">
        <v>833</v>
      </c>
      <c r="E1083" s="11">
        <v>1</v>
      </c>
      <c r="F1083" s="7" t="s">
        <v>176</v>
      </c>
      <c r="G1083" s="9">
        <v>1020</v>
      </c>
      <c r="H1083" s="9">
        <f t="shared" si="34"/>
        <v>1020</v>
      </c>
      <c r="I1083" t="s">
        <v>179</v>
      </c>
      <c r="J1083" s="33" t="s">
        <v>490</v>
      </c>
      <c r="K1083" s="18">
        <f>VLOOKUP(D1083,Ingredients!C:G,5,0)</f>
        <v>1000</v>
      </c>
      <c r="L1083" s="52">
        <f t="shared" si="33"/>
        <v>1000</v>
      </c>
    </row>
    <row r="1084" spans="1:12">
      <c r="A1084" t="s">
        <v>293</v>
      </c>
      <c r="B1084" t="s">
        <v>349</v>
      </c>
      <c r="C1084" t="s">
        <v>351</v>
      </c>
      <c r="D1084" s="3" t="s">
        <v>935</v>
      </c>
      <c r="E1084" s="11">
        <v>0.25</v>
      </c>
      <c r="F1084" s="7" t="s">
        <v>176</v>
      </c>
      <c r="G1084" s="9">
        <v>230</v>
      </c>
      <c r="H1084" s="9">
        <f t="shared" si="34"/>
        <v>57.5</v>
      </c>
      <c r="I1084" t="s">
        <v>179</v>
      </c>
      <c r="J1084" s="33" t="s">
        <v>490</v>
      </c>
      <c r="K1084" s="18">
        <f>VLOOKUP(D1084,Ingredients!C:G,5,0)</f>
        <v>210</v>
      </c>
      <c r="L1084" s="52">
        <f t="shared" si="33"/>
        <v>52.5</v>
      </c>
    </row>
    <row r="1085" spans="1:12">
      <c r="A1085" t="s">
        <v>293</v>
      </c>
      <c r="B1085" t="s">
        <v>349</v>
      </c>
      <c r="C1085" t="s">
        <v>351</v>
      </c>
      <c r="D1085" s="3" t="s">
        <v>852</v>
      </c>
      <c r="E1085" s="11">
        <v>0.22826086956521738</v>
      </c>
      <c r="F1085" s="7" t="s">
        <v>176</v>
      </c>
      <c r="G1085" s="9">
        <v>520.63</v>
      </c>
      <c r="H1085" s="9">
        <f t="shared" si="34"/>
        <v>118.83945652173912</v>
      </c>
      <c r="I1085" t="s">
        <v>179</v>
      </c>
      <c r="J1085" s="33" t="s">
        <v>490</v>
      </c>
      <c r="K1085" s="18">
        <v>550</v>
      </c>
      <c r="L1085" s="52">
        <f t="shared" si="33"/>
        <v>125.54347826086956</v>
      </c>
    </row>
    <row r="1086" spans="1:12">
      <c r="A1086" t="s">
        <v>293</v>
      </c>
      <c r="B1086" t="s">
        <v>349</v>
      </c>
      <c r="C1086" t="s">
        <v>351</v>
      </c>
      <c r="D1086" s="3" t="s">
        <v>931</v>
      </c>
      <c r="E1086" s="11">
        <v>4.9999999999999992E-3</v>
      </c>
      <c r="F1086" s="7" t="s">
        <v>176</v>
      </c>
      <c r="G1086" s="9">
        <v>4000</v>
      </c>
      <c r="H1086" s="9">
        <f t="shared" si="34"/>
        <v>19.999999999999996</v>
      </c>
      <c r="I1086" t="s">
        <v>179</v>
      </c>
      <c r="J1086" s="33" t="s">
        <v>490</v>
      </c>
      <c r="K1086" s="18">
        <f>VLOOKUP(D1086,Ingredients!C:G,5,0)</f>
        <v>2900</v>
      </c>
      <c r="L1086" s="52">
        <f t="shared" si="33"/>
        <v>14.499999999999998</v>
      </c>
    </row>
    <row r="1087" spans="1:12">
      <c r="A1087" t="s">
        <v>293</v>
      </c>
      <c r="B1087" t="s">
        <v>349</v>
      </c>
      <c r="C1087" t="s">
        <v>351</v>
      </c>
      <c r="D1087" s="3" t="s">
        <v>855</v>
      </c>
      <c r="E1087" s="11">
        <v>9.9999999999999985E-3</v>
      </c>
      <c r="F1087" s="7" t="s">
        <v>176</v>
      </c>
      <c r="G1087" s="9">
        <v>2400</v>
      </c>
      <c r="H1087" s="9">
        <f t="shared" si="34"/>
        <v>23.999999999999996</v>
      </c>
      <c r="I1087" t="s">
        <v>179</v>
      </c>
      <c r="J1087" s="33" t="s">
        <v>490</v>
      </c>
      <c r="K1087" s="18">
        <f>VLOOKUP(D1087,Ingredients!C:G,5,0)</f>
        <v>1600</v>
      </c>
      <c r="L1087" s="52">
        <f t="shared" si="33"/>
        <v>15.999999999999998</v>
      </c>
    </row>
    <row r="1088" spans="1:12">
      <c r="A1088" t="s">
        <v>293</v>
      </c>
      <c r="B1088" t="s">
        <v>349</v>
      </c>
      <c r="C1088" t="s">
        <v>351</v>
      </c>
      <c r="D1088" s="3" t="s">
        <v>928</v>
      </c>
      <c r="E1088" s="11">
        <v>4.9999999999999992E-3</v>
      </c>
      <c r="F1088" s="7" t="s">
        <v>176</v>
      </c>
      <c r="G1088" s="9">
        <v>850</v>
      </c>
      <c r="H1088" s="9">
        <f t="shared" si="34"/>
        <v>4.2499999999999991</v>
      </c>
      <c r="I1088" t="s">
        <v>179</v>
      </c>
      <c r="J1088" s="33" t="s">
        <v>490</v>
      </c>
      <c r="K1088" s="18">
        <f>VLOOKUP(D1088,Ingredients!C:G,5,0)</f>
        <v>900</v>
      </c>
      <c r="L1088" s="52">
        <f t="shared" si="33"/>
        <v>4.4999999999999991</v>
      </c>
    </row>
    <row r="1089" spans="1:12">
      <c r="A1089" t="s">
        <v>293</v>
      </c>
      <c r="B1089" t="s">
        <v>349</v>
      </c>
      <c r="C1089" t="s">
        <v>351</v>
      </c>
      <c r="D1089" s="3" t="s">
        <v>864</v>
      </c>
      <c r="E1089" s="11">
        <v>4.9999999999999992E-3</v>
      </c>
      <c r="F1089" s="7" t="s">
        <v>176</v>
      </c>
      <c r="G1089" s="9">
        <v>1400</v>
      </c>
      <c r="H1089" s="9">
        <f t="shared" si="34"/>
        <v>6.9999999999999991</v>
      </c>
      <c r="I1089" t="s">
        <v>179</v>
      </c>
      <c r="J1089" s="33" t="s">
        <v>490</v>
      </c>
      <c r="K1089" s="18">
        <f>VLOOKUP(D1089,Ingredients!C:G,5,0)</f>
        <v>1400</v>
      </c>
      <c r="L1089" s="52">
        <f t="shared" si="33"/>
        <v>6.9999999999999991</v>
      </c>
    </row>
    <row r="1090" spans="1:12">
      <c r="A1090" t="s">
        <v>293</v>
      </c>
      <c r="B1090" t="s">
        <v>349</v>
      </c>
      <c r="C1090" t="s">
        <v>351</v>
      </c>
      <c r="D1090" s="3" t="s">
        <v>853</v>
      </c>
      <c r="E1090" s="11">
        <v>2.5000000000000001E-2</v>
      </c>
      <c r="F1090" s="7" t="s">
        <v>315</v>
      </c>
      <c r="G1090" s="9">
        <v>30</v>
      </c>
      <c r="H1090" s="9">
        <f t="shared" si="34"/>
        <v>0.75</v>
      </c>
      <c r="I1090" t="s">
        <v>179</v>
      </c>
      <c r="J1090" s="33" t="s">
        <v>490</v>
      </c>
      <c r="K1090" s="18">
        <f>VLOOKUP(D1090,Ingredients!C:G,5,0)</f>
        <v>55</v>
      </c>
      <c r="L1090" s="52">
        <f t="shared" si="33"/>
        <v>1.375</v>
      </c>
    </row>
    <row r="1091" spans="1:12">
      <c r="A1091" t="s">
        <v>293</v>
      </c>
      <c r="B1091" t="s">
        <v>349</v>
      </c>
      <c r="C1091" t="s">
        <v>351</v>
      </c>
      <c r="D1091" s="3" t="s">
        <v>23</v>
      </c>
      <c r="E1091" s="11">
        <v>7.4999999999999997E-3</v>
      </c>
      <c r="F1091" s="7" t="s">
        <v>176</v>
      </c>
      <c r="G1091" s="9">
        <v>740</v>
      </c>
      <c r="H1091" s="9">
        <f t="shared" si="34"/>
        <v>5.55</v>
      </c>
      <c r="I1091" t="s">
        <v>179</v>
      </c>
      <c r="J1091" s="33" t="s">
        <v>490</v>
      </c>
      <c r="K1091" s="18">
        <f>VLOOKUP(D1091,Ingredients!C:G,5,0)</f>
        <v>780</v>
      </c>
      <c r="L1091" s="52">
        <f t="shared" si="33"/>
        <v>5.85</v>
      </c>
    </row>
    <row r="1092" spans="1:12">
      <c r="A1092" t="s">
        <v>293</v>
      </c>
      <c r="B1092" t="s">
        <v>349</v>
      </c>
      <c r="C1092" t="s">
        <v>351</v>
      </c>
      <c r="D1092" s="3" t="s">
        <v>16</v>
      </c>
      <c r="E1092" s="11">
        <v>7.4999999999999997E-3</v>
      </c>
      <c r="F1092" s="7" t="s">
        <v>176</v>
      </c>
      <c r="G1092" s="9">
        <v>270</v>
      </c>
      <c r="H1092" s="9">
        <f t="shared" si="34"/>
        <v>2.0249999999999999</v>
      </c>
      <c r="I1092" t="s">
        <v>179</v>
      </c>
      <c r="J1092" s="33" t="s">
        <v>490</v>
      </c>
      <c r="K1092" s="18">
        <f>VLOOKUP(D1092,Ingredients!C:G,5,0)</f>
        <v>310</v>
      </c>
      <c r="L1092" s="52">
        <f t="shared" ref="L1092:L1155" si="35">K1092*E1092</f>
        <v>2.3249999999999997</v>
      </c>
    </row>
    <row r="1093" spans="1:12">
      <c r="A1093" t="s">
        <v>293</v>
      </c>
      <c r="B1093" t="s">
        <v>349</v>
      </c>
      <c r="C1093" t="s">
        <v>351</v>
      </c>
      <c r="D1093" s="3" t="s">
        <v>856</v>
      </c>
      <c r="E1093" s="11">
        <v>9.9999999999999985E-3</v>
      </c>
      <c r="F1093" s="7" t="s">
        <v>176</v>
      </c>
      <c r="G1093" s="9">
        <v>850</v>
      </c>
      <c r="H1093" s="9">
        <f t="shared" si="34"/>
        <v>8.4999999999999982</v>
      </c>
      <c r="I1093" t="s">
        <v>179</v>
      </c>
      <c r="J1093" s="33" t="s">
        <v>490</v>
      </c>
      <c r="K1093" s="18">
        <f>VLOOKUP(D1093,Ingredients!C:G,5,0)</f>
        <v>980</v>
      </c>
      <c r="L1093" s="52">
        <f t="shared" si="35"/>
        <v>9.7999999999999989</v>
      </c>
    </row>
    <row r="1094" spans="1:12">
      <c r="A1094" t="s">
        <v>293</v>
      </c>
      <c r="B1094" t="s">
        <v>349</v>
      </c>
      <c r="C1094" t="s">
        <v>351</v>
      </c>
      <c r="D1094" s="3" t="s">
        <v>895</v>
      </c>
      <c r="E1094" s="11">
        <v>4.9999999999999992E-3</v>
      </c>
      <c r="F1094" s="7" t="s">
        <v>176</v>
      </c>
      <c r="G1094" s="9">
        <v>400</v>
      </c>
      <c r="H1094" s="9">
        <f t="shared" si="34"/>
        <v>1.9999999999999998</v>
      </c>
      <c r="I1094" t="s">
        <v>179</v>
      </c>
      <c r="J1094" s="33" t="s">
        <v>490</v>
      </c>
      <c r="K1094" s="18">
        <f>VLOOKUP(D1094,Ingredients!C:G,5,0)</f>
        <v>400</v>
      </c>
      <c r="L1094" s="52">
        <f t="shared" si="35"/>
        <v>1.9999999999999998</v>
      </c>
    </row>
    <row r="1095" spans="1:12">
      <c r="A1095" t="s">
        <v>294</v>
      </c>
      <c r="B1095" t="s">
        <v>349</v>
      </c>
      <c r="C1095" t="s">
        <v>352</v>
      </c>
      <c r="D1095" s="33" t="s">
        <v>491</v>
      </c>
      <c r="E1095" s="11">
        <v>1</v>
      </c>
      <c r="F1095" s="7" t="s">
        <v>176</v>
      </c>
      <c r="G1095" s="9">
        <v>614</v>
      </c>
      <c r="H1095" s="9">
        <f t="shared" si="34"/>
        <v>614</v>
      </c>
      <c r="I1095" t="s">
        <v>179</v>
      </c>
      <c r="J1095" s="33" t="s">
        <v>491</v>
      </c>
      <c r="K1095" s="18">
        <f>VLOOKUP(D1095,Ingredients!C:G,5,0)</f>
        <v>650</v>
      </c>
      <c r="L1095" s="52">
        <f t="shared" si="35"/>
        <v>650</v>
      </c>
    </row>
    <row r="1096" spans="1:12">
      <c r="A1096" t="s">
        <v>294</v>
      </c>
      <c r="B1096" t="s">
        <v>349</v>
      </c>
      <c r="C1096" t="s">
        <v>352</v>
      </c>
      <c r="D1096" s="3" t="s">
        <v>852</v>
      </c>
      <c r="E1096" s="11">
        <v>0.2</v>
      </c>
      <c r="F1096" s="7" t="s">
        <v>176</v>
      </c>
      <c r="G1096" s="9">
        <v>520.63</v>
      </c>
      <c r="H1096" s="9">
        <f t="shared" si="34"/>
        <v>104.126</v>
      </c>
      <c r="I1096" t="s">
        <v>179</v>
      </c>
      <c r="J1096" s="33" t="s">
        <v>489</v>
      </c>
      <c r="K1096" s="18">
        <v>550</v>
      </c>
      <c r="L1096" s="52">
        <f t="shared" si="35"/>
        <v>110</v>
      </c>
    </row>
    <row r="1097" spans="1:12">
      <c r="A1097" t="s">
        <v>294</v>
      </c>
      <c r="B1097" t="s">
        <v>349</v>
      </c>
      <c r="C1097" t="s">
        <v>352</v>
      </c>
      <c r="D1097" s="3" t="s">
        <v>851</v>
      </c>
      <c r="E1097" s="11">
        <v>0.5</v>
      </c>
      <c r="F1097" s="13" t="s">
        <v>176</v>
      </c>
      <c r="G1097" s="9">
        <v>177</v>
      </c>
      <c r="H1097" s="9">
        <f t="shared" si="34"/>
        <v>88.5</v>
      </c>
      <c r="I1097" t="s">
        <v>179</v>
      </c>
      <c r="J1097" s="33" t="s">
        <v>489</v>
      </c>
      <c r="K1097" s="18">
        <f>VLOOKUP(D1097,Ingredients!C:G,5,0)</f>
        <v>920</v>
      </c>
      <c r="L1097" s="52">
        <f t="shared" si="35"/>
        <v>460</v>
      </c>
    </row>
    <row r="1098" spans="1:12">
      <c r="A1098" t="s">
        <v>294</v>
      </c>
      <c r="B1098" t="s">
        <v>349</v>
      </c>
      <c r="C1098" t="s">
        <v>352</v>
      </c>
      <c r="D1098" s="3" t="s">
        <v>895</v>
      </c>
      <c r="E1098" s="11">
        <v>5.0000000000000001E-3</v>
      </c>
      <c r="F1098" s="7" t="s">
        <v>176</v>
      </c>
      <c r="G1098" s="9">
        <v>400</v>
      </c>
      <c r="H1098" s="9">
        <f t="shared" si="34"/>
        <v>2</v>
      </c>
      <c r="I1098" t="s">
        <v>179</v>
      </c>
      <c r="J1098" s="33" t="s">
        <v>489</v>
      </c>
      <c r="K1098" s="18">
        <f>VLOOKUP(D1098,Ingredients!C:G,5,0)</f>
        <v>400</v>
      </c>
      <c r="L1098" s="52">
        <f t="shared" si="35"/>
        <v>2</v>
      </c>
    </row>
    <row r="1099" spans="1:12">
      <c r="A1099" t="s">
        <v>294</v>
      </c>
      <c r="B1099" t="s">
        <v>349</v>
      </c>
      <c r="C1099" t="s">
        <v>352</v>
      </c>
      <c r="D1099" s="3" t="s">
        <v>855</v>
      </c>
      <c r="E1099" s="11">
        <v>0.01</v>
      </c>
      <c r="F1099" s="7" t="s">
        <v>176</v>
      </c>
      <c r="G1099" s="9">
        <v>2400</v>
      </c>
      <c r="H1099" s="9">
        <f t="shared" si="34"/>
        <v>24</v>
      </c>
      <c r="I1099" t="s">
        <v>179</v>
      </c>
      <c r="J1099" s="33" t="s">
        <v>489</v>
      </c>
      <c r="K1099" s="18">
        <f>VLOOKUP(D1099,Ingredients!C:G,5,0)</f>
        <v>1600</v>
      </c>
      <c r="L1099" s="52">
        <f t="shared" si="35"/>
        <v>16</v>
      </c>
    </row>
    <row r="1100" spans="1:12">
      <c r="A1100" t="s">
        <v>294</v>
      </c>
      <c r="B1100" t="s">
        <v>349</v>
      </c>
      <c r="C1100" t="s">
        <v>352</v>
      </c>
      <c r="D1100" s="3" t="s">
        <v>872</v>
      </c>
      <c r="E1100" s="11">
        <v>0.01</v>
      </c>
      <c r="F1100" s="7" t="s">
        <v>176</v>
      </c>
      <c r="G1100" s="9">
        <v>2100</v>
      </c>
      <c r="H1100" s="9">
        <f t="shared" si="34"/>
        <v>21</v>
      </c>
      <c r="I1100" t="s">
        <v>179</v>
      </c>
      <c r="J1100" s="33" t="s">
        <v>489</v>
      </c>
      <c r="K1100" s="18">
        <f>VLOOKUP(D1100,Ingredients!C:G,5,0)</f>
        <v>2150</v>
      </c>
      <c r="L1100" s="52">
        <f t="shared" si="35"/>
        <v>21.5</v>
      </c>
    </row>
    <row r="1101" spans="1:12">
      <c r="A1101" t="s">
        <v>294</v>
      </c>
      <c r="B1101" t="s">
        <v>349</v>
      </c>
      <c r="C1101" t="s">
        <v>352</v>
      </c>
      <c r="D1101" s="3" t="s">
        <v>29</v>
      </c>
      <c r="E1101" s="11">
        <v>0.05</v>
      </c>
      <c r="F1101" s="7" t="s">
        <v>176</v>
      </c>
      <c r="G1101" s="9">
        <v>60</v>
      </c>
      <c r="H1101" s="9">
        <f t="shared" si="34"/>
        <v>3</v>
      </c>
      <c r="I1101" t="s">
        <v>179</v>
      </c>
      <c r="J1101" s="33" t="s">
        <v>489</v>
      </c>
      <c r="K1101" s="18">
        <f>VLOOKUP(D1101,Ingredients!C:G,5,0)</f>
        <v>100</v>
      </c>
      <c r="L1101" s="52">
        <f t="shared" si="35"/>
        <v>5</v>
      </c>
    </row>
    <row r="1102" spans="1:12">
      <c r="A1102" t="s">
        <v>294</v>
      </c>
      <c r="B1102" t="s">
        <v>349</v>
      </c>
      <c r="C1102" t="s">
        <v>352</v>
      </c>
      <c r="D1102" s="3" t="s">
        <v>853</v>
      </c>
      <c r="E1102" s="11">
        <v>2.5000000000000001E-2</v>
      </c>
      <c r="F1102" s="7" t="s">
        <v>315</v>
      </c>
      <c r="G1102" s="9">
        <v>30</v>
      </c>
      <c r="H1102" s="9">
        <f t="shared" si="34"/>
        <v>0.75</v>
      </c>
      <c r="I1102" t="s">
        <v>179</v>
      </c>
      <c r="J1102" s="33" t="s">
        <v>489</v>
      </c>
      <c r="K1102" s="18">
        <f>VLOOKUP(D1102,Ingredients!C:G,5,0)</f>
        <v>55</v>
      </c>
      <c r="L1102" s="52">
        <f t="shared" si="35"/>
        <v>1.375</v>
      </c>
    </row>
    <row r="1103" spans="1:12">
      <c r="A1103" t="s">
        <v>294</v>
      </c>
      <c r="B1103" t="s">
        <v>349</v>
      </c>
      <c r="C1103" t="s">
        <v>352</v>
      </c>
      <c r="D1103" s="3" t="s">
        <v>23</v>
      </c>
      <c r="E1103" s="11">
        <v>6.2500000000000003E-3</v>
      </c>
      <c r="F1103" s="7" t="s">
        <v>176</v>
      </c>
      <c r="G1103" s="9">
        <v>740</v>
      </c>
      <c r="H1103" s="9">
        <f t="shared" si="34"/>
        <v>4.625</v>
      </c>
      <c r="I1103" t="s">
        <v>179</v>
      </c>
      <c r="J1103" s="33" t="s">
        <v>489</v>
      </c>
      <c r="K1103" s="18">
        <f>VLOOKUP(D1103,Ingredients!C:G,5,0)</f>
        <v>780</v>
      </c>
      <c r="L1103" s="52">
        <f t="shared" si="35"/>
        <v>4.875</v>
      </c>
    </row>
    <row r="1104" spans="1:12">
      <c r="A1104" t="s">
        <v>294</v>
      </c>
      <c r="B1104" t="s">
        <v>349</v>
      </c>
      <c r="C1104" t="s">
        <v>352</v>
      </c>
      <c r="D1104" s="3" t="s">
        <v>16</v>
      </c>
      <c r="E1104" s="11">
        <v>6.2500000000000003E-3</v>
      </c>
      <c r="F1104" s="7" t="s">
        <v>176</v>
      </c>
      <c r="G1104" s="9">
        <v>270</v>
      </c>
      <c r="H1104" s="9">
        <f t="shared" si="34"/>
        <v>1.6875</v>
      </c>
      <c r="I1104" t="s">
        <v>179</v>
      </c>
      <c r="J1104" s="33" t="s">
        <v>489</v>
      </c>
      <c r="K1104" s="18">
        <f>VLOOKUP(D1104,Ingredients!C:G,5,0)</f>
        <v>310</v>
      </c>
      <c r="L1104" s="52">
        <f t="shared" si="35"/>
        <v>1.9375</v>
      </c>
    </row>
    <row r="1105" spans="1:12">
      <c r="A1105" t="s">
        <v>294</v>
      </c>
      <c r="B1105" t="s">
        <v>349</v>
      </c>
      <c r="C1105" t="s">
        <v>352</v>
      </c>
      <c r="D1105" s="3" t="s">
        <v>35</v>
      </c>
      <c r="E1105" s="11">
        <v>0.2</v>
      </c>
      <c r="F1105" s="7" t="s">
        <v>252</v>
      </c>
      <c r="G1105" s="9">
        <v>13</v>
      </c>
      <c r="H1105" s="9">
        <f t="shared" si="34"/>
        <v>2.6</v>
      </c>
      <c r="I1105" t="s">
        <v>179</v>
      </c>
      <c r="J1105" s="33" t="s">
        <v>489</v>
      </c>
      <c r="K1105" s="18">
        <f>VLOOKUP(D1105,Ingredients!C:G,5,0)</f>
        <v>15</v>
      </c>
      <c r="L1105" s="52">
        <f t="shared" si="35"/>
        <v>3</v>
      </c>
    </row>
    <row r="1106" spans="1:12">
      <c r="A1106" t="s">
        <v>294</v>
      </c>
      <c r="B1106" t="s">
        <v>349</v>
      </c>
      <c r="C1106" t="s">
        <v>352</v>
      </c>
      <c r="D1106" s="3" t="s">
        <v>7</v>
      </c>
      <c r="E1106" s="11">
        <v>0.2</v>
      </c>
      <c r="F1106" s="7" t="s">
        <v>252</v>
      </c>
      <c r="G1106" s="9">
        <v>8</v>
      </c>
      <c r="H1106" s="9">
        <f t="shared" si="34"/>
        <v>1.6</v>
      </c>
      <c r="I1106" t="s">
        <v>179</v>
      </c>
      <c r="J1106" s="33" t="s">
        <v>489</v>
      </c>
      <c r="K1106" s="18">
        <f>VLOOKUP(D1106,Ingredients!C:G,5,0)</f>
        <v>6</v>
      </c>
      <c r="L1106" s="52">
        <f t="shared" si="35"/>
        <v>1.2000000000000002</v>
      </c>
    </row>
    <row r="1107" spans="1:12">
      <c r="A1107" t="s">
        <v>294</v>
      </c>
      <c r="B1107" t="s">
        <v>349</v>
      </c>
      <c r="C1107" t="s">
        <v>352</v>
      </c>
      <c r="D1107" s="3" t="s">
        <v>930</v>
      </c>
      <c r="E1107" s="11">
        <v>0.3</v>
      </c>
      <c r="F1107" s="7" t="s">
        <v>176</v>
      </c>
      <c r="G1107" s="9">
        <v>305</v>
      </c>
      <c r="H1107" s="9">
        <f t="shared" si="34"/>
        <v>91.5</v>
      </c>
      <c r="I1107" t="s">
        <v>179</v>
      </c>
      <c r="J1107" s="33" t="s">
        <v>489</v>
      </c>
      <c r="K1107" s="18">
        <f>VLOOKUP(D1107,Ingredients!C:G,5,0)</f>
        <v>300</v>
      </c>
      <c r="L1107" s="52">
        <f t="shared" si="35"/>
        <v>90</v>
      </c>
    </row>
    <row r="1108" spans="1:12">
      <c r="A1108" t="s">
        <v>295</v>
      </c>
      <c r="B1108" t="s">
        <v>349</v>
      </c>
      <c r="C1108" t="s">
        <v>352</v>
      </c>
      <c r="D1108" s="33" t="s">
        <v>491</v>
      </c>
      <c r="E1108" s="11">
        <v>1</v>
      </c>
      <c r="F1108" s="7" t="s">
        <v>176</v>
      </c>
      <c r="G1108" s="9">
        <v>614</v>
      </c>
      <c r="H1108" s="9">
        <f t="shared" si="34"/>
        <v>614</v>
      </c>
      <c r="I1108" t="s">
        <v>179</v>
      </c>
      <c r="J1108" s="33" t="s">
        <v>491</v>
      </c>
      <c r="K1108" s="18">
        <f>VLOOKUP(D1108,Ingredients!C:G,5,0)</f>
        <v>650</v>
      </c>
      <c r="L1108" s="52">
        <f t="shared" si="35"/>
        <v>650</v>
      </c>
    </row>
    <row r="1109" spans="1:12">
      <c r="A1109" t="s">
        <v>295</v>
      </c>
      <c r="B1109" t="s">
        <v>349</v>
      </c>
      <c r="C1109" t="s">
        <v>352</v>
      </c>
      <c r="D1109" s="3" t="s">
        <v>930</v>
      </c>
      <c r="E1109" s="11">
        <v>0.25166666666666665</v>
      </c>
      <c r="F1109" s="7" t="s">
        <v>176</v>
      </c>
      <c r="G1109" s="9">
        <v>305</v>
      </c>
      <c r="H1109" s="9">
        <f t="shared" si="34"/>
        <v>76.758333333333326</v>
      </c>
      <c r="I1109" t="s">
        <v>179</v>
      </c>
      <c r="J1109" s="33" t="s">
        <v>491</v>
      </c>
      <c r="K1109" s="18">
        <f>VLOOKUP(D1109,Ingredients!C:G,5,0)</f>
        <v>300</v>
      </c>
      <c r="L1109" s="52">
        <f t="shared" si="35"/>
        <v>75.5</v>
      </c>
    </row>
    <row r="1110" spans="1:12">
      <c r="A1110" t="s">
        <v>295</v>
      </c>
      <c r="B1110" t="s">
        <v>349</v>
      </c>
      <c r="C1110" t="s">
        <v>352</v>
      </c>
      <c r="D1110" s="3" t="s">
        <v>852</v>
      </c>
      <c r="E1110" s="11">
        <v>0.20133333333333334</v>
      </c>
      <c r="F1110" s="7" t="s">
        <v>176</v>
      </c>
      <c r="G1110" s="9">
        <v>520.63</v>
      </c>
      <c r="H1110" s="9">
        <f t="shared" si="34"/>
        <v>104.82017333333333</v>
      </c>
      <c r="I1110" t="s">
        <v>179</v>
      </c>
      <c r="J1110" s="33" t="s">
        <v>491</v>
      </c>
      <c r="K1110" s="18">
        <v>550</v>
      </c>
      <c r="L1110" s="52">
        <f t="shared" si="35"/>
        <v>110.73333333333333</v>
      </c>
    </row>
    <row r="1111" spans="1:12">
      <c r="A1111" t="s">
        <v>295</v>
      </c>
      <c r="B1111" t="s">
        <v>349</v>
      </c>
      <c r="C1111" t="s">
        <v>352</v>
      </c>
      <c r="D1111" s="3" t="s">
        <v>24</v>
      </c>
      <c r="E1111" s="11">
        <v>0.20133333333333334</v>
      </c>
      <c r="F1111" s="7" t="s">
        <v>176</v>
      </c>
      <c r="G1111" s="9">
        <v>55</v>
      </c>
      <c r="H1111" s="9">
        <f t="shared" si="34"/>
        <v>11.073333333333334</v>
      </c>
      <c r="I1111" t="s">
        <v>179</v>
      </c>
      <c r="J1111" s="33" t="s">
        <v>491</v>
      </c>
      <c r="K1111" s="18">
        <f>VLOOKUP(D1111,Ingredients!C:G,5,0)</f>
        <v>80</v>
      </c>
      <c r="L1111" s="52">
        <f t="shared" si="35"/>
        <v>16.106666666666666</v>
      </c>
    </row>
    <row r="1112" spans="1:12">
      <c r="A1112" t="s">
        <v>295</v>
      </c>
      <c r="B1112" t="s">
        <v>349</v>
      </c>
      <c r="C1112" t="s">
        <v>352</v>
      </c>
      <c r="D1112" s="3" t="s">
        <v>29</v>
      </c>
      <c r="E1112" s="11">
        <v>1.0066666666666666E-2</v>
      </c>
      <c r="F1112" s="7" t="s">
        <v>176</v>
      </c>
      <c r="G1112" s="9">
        <v>60</v>
      </c>
      <c r="H1112" s="9">
        <f t="shared" si="34"/>
        <v>0.60399999999999998</v>
      </c>
      <c r="I1112" t="s">
        <v>179</v>
      </c>
      <c r="J1112" s="33" t="s">
        <v>491</v>
      </c>
      <c r="K1112" s="18">
        <f>VLOOKUP(D1112,Ingredients!C:G,5,0)</f>
        <v>100</v>
      </c>
      <c r="L1112" s="52">
        <f t="shared" si="35"/>
        <v>1.0066666666666666</v>
      </c>
    </row>
    <row r="1113" spans="1:12">
      <c r="A1113" t="s">
        <v>295</v>
      </c>
      <c r="B1113" t="s">
        <v>349</v>
      </c>
      <c r="C1113" t="s">
        <v>352</v>
      </c>
      <c r="D1113" s="3" t="s">
        <v>880</v>
      </c>
      <c r="E1113" s="11">
        <v>1.0066666666666666E-2</v>
      </c>
      <c r="F1113" s="7" t="s">
        <v>176</v>
      </c>
      <c r="G1113" s="9">
        <v>650</v>
      </c>
      <c r="H1113" s="9">
        <f t="shared" si="34"/>
        <v>6.543333333333333</v>
      </c>
      <c r="I1113" t="s">
        <v>179</v>
      </c>
      <c r="J1113" s="33" t="s">
        <v>491</v>
      </c>
      <c r="K1113" s="18">
        <f>VLOOKUP(D1113,Ingredients!C:G,5,0)</f>
        <v>520</v>
      </c>
      <c r="L1113" s="52">
        <f t="shared" si="35"/>
        <v>5.2346666666666666</v>
      </c>
    </row>
    <row r="1114" spans="1:12">
      <c r="A1114" t="s">
        <v>295</v>
      </c>
      <c r="B1114" t="s">
        <v>349</v>
      </c>
      <c r="C1114" t="s">
        <v>352</v>
      </c>
      <c r="D1114" s="3" t="s">
        <v>887</v>
      </c>
      <c r="E1114" s="11">
        <v>1.0066666666666666E-2</v>
      </c>
      <c r="F1114" s="7" t="s">
        <v>176</v>
      </c>
      <c r="G1114" s="9">
        <v>1600</v>
      </c>
      <c r="H1114" s="9">
        <f t="shared" si="34"/>
        <v>16.106666666666666</v>
      </c>
      <c r="I1114" t="s">
        <v>179</v>
      </c>
      <c r="J1114" s="33" t="s">
        <v>491</v>
      </c>
      <c r="K1114" s="18">
        <f>VLOOKUP(D1114,Ingredients!C:G,5,0)</f>
        <v>1830</v>
      </c>
      <c r="L1114" s="52">
        <f t="shared" si="35"/>
        <v>18.422000000000001</v>
      </c>
    </row>
    <row r="1115" spans="1:12">
      <c r="A1115" t="s">
        <v>295</v>
      </c>
      <c r="B1115" t="s">
        <v>349</v>
      </c>
      <c r="C1115" t="s">
        <v>352</v>
      </c>
      <c r="D1115" s="3" t="s">
        <v>23</v>
      </c>
      <c r="E1115" s="11">
        <v>1.0066666666666666E-2</v>
      </c>
      <c r="F1115" s="7" t="s">
        <v>176</v>
      </c>
      <c r="G1115" s="9">
        <v>740</v>
      </c>
      <c r="H1115" s="9">
        <f t="shared" si="34"/>
        <v>7.4493333333333336</v>
      </c>
      <c r="I1115" t="s">
        <v>179</v>
      </c>
      <c r="J1115" s="33" t="s">
        <v>491</v>
      </c>
      <c r="K1115" s="18">
        <f>VLOOKUP(D1115,Ingredients!C:G,5,0)</f>
        <v>780</v>
      </c>
      <c r="L1115" s="52">
        <f t="shared" si="35"/>
        <v>7.8519999999999994</v>
      </c>
    </row>
    <row r="1116" spans="1:12">
      <c r="A1116" t="s">
        <v>295</v>
      </c>
      <c r="B1116" t="s">
        <v>349</v>
      </c>
      <c r="C1116" t="s">
        <v>352</v>
      </c>
      <c r="D1116" s="3" t="s">
        <v>16</v>
      </c>
      <c r="E1116" s="11">
        <v>1.0066666666666666E-2</v>
      </c>
      <c r="F1116" s="7" t="s">
        <v>176</v>
      </c>
      <c r="G1116" s="9">
        <v>270</v>
      </c>
      <c r="H1116" s="9">
        <f t="shared" si="34"/>
        <v>2.718</v>
      </c>
      <c r="I1116" t="s">
        <v>179</v>
      </c>
      <c r="J1116" s="33" t="s">
        <v>491</v>
      </c>
      <c r="K1116" s="18">
        <f>VLOOKUP(D1116,Ingredients!C:G,5,0)</f>
        <v>310</v>
      </c>
      <c r="L1116" s="52">
        <f t="shared" si="35"/>
        <v>3.1206666666666667</v>
      </c>
    </row>
    <row r="1117" spans="1:12">
      <c r="A1117" t="s">
        <v>295</v>
      </c>
      <c r="B1117" t="s">
        <v>349</v>
      </c>
      <c r="C1117" t="s">
        <v>352</v>
      </c>
      <c r="D1117" s="3" t="s">
        <v>860</v>
      </c>
      <c r="E1117" s="11">
        <v>5.0333333333333332E-3</v>
      </c>
      <c r="F1117" s="7" t="s">
        <v>176</v>
      </c>
      <c r="G1117" s="9">
        <v>2000</v>
      </c>
      <c r="H1117" s="9">
        <f t="shared" si="34"/>
        <v>10.066666666666666</v>
      </c>
      <c r="I1117" t="s">
        <v>179</v>
      </c>
      <c r="J1117" s="33" t="s">
        <v>491</v>
      </c>
      <c r="K1117" s="18">
        <f>VLOOKUP(D1117,Ingredients!C:G,5,0)</f>
        <v>1900</v>
      </c>
      <c r="L1117" s="52">
        <f t="shared" si="35"/>
        <v>9.5633333333333326</v>
      </c>
    </row>
    <row r="1118" spans="1:12">
      <c r="A1118" t="s">
        <v>295</v>
      </c>
      <c r="B1118" t="s">
        <v>349</v>
      </c>
      <c r="C1118" t="s">
        <v>352</v>
      </c>
      <c r="D1118" s="3" t="s">
        <v>867</v>
      </c>
      <c r="E1118" s="11">
        <v>5.0333333333333332E-3</v>
      </c>
      <c r="F1118" s="7" t="s">
        <v>176</v>
      </c>
      <c r="G1118" s="9">
        <v>900</v>
      </c>
      <c r="H1118" s="9">
        <f t="shared" si="34"/>
        <v>4.53</v>
      </c>
      <c r="I1118" t="s">
        <v>179</v>
      </c>
      <c r="J1118" s="33" t="s">
        <v>491</v>
      </c>
      <c r="K1118" s="18">
        <f>VLOOKUP(D1118,Ingredients!C:G,5,0)</f>
        <v>950</v>
      </c>
      <c r="L1118" s="52">
        <f t="shared" si="35"/>
        <v>4.7816666666666663</v>
      </c>
    </row>
    <row r="1119" spans="1:12">
      <c r="A1119" t="s">
        <v>295</v>
      </c>
      <c r="B1119" t="s">
        <v>349</v>
      </c>
      <c r="C1119" t="s">
        <v>352</v>
      </c>
      <c r="D1119" s="3" t="s">
        <v>895</v>
      </c>
      <c r="E1119" s="11">
        <v>5.0333333333333332E-3</v>
      </c>
      <c r="F1119" s="7" t="s">
        <v>176</v>
      </c>
      <c r="G1119" s="9">
        <v>400</v>
      </c>
      <c r="H1119" s="9">
        <f t="shared" si="34"/>
        <v>2.0133333333333332</v>
      </c>
      <c r="I1119" t="s">
        <v>179</v>
      </c>
      <c r="J1119" s="33" t="s">
        <v>491</v>
      </c>
      <c r="K1119" s="18">
        <f>VLOOKUP(D1119,Ingredients!C:G,5,0)</f>
        <v>400</v>
      </c>
      <c r="L1119" s="52">
        <f t="shared" si="35"/>
        <v>2.0133333333333332</v>
      </c>
    </row>
    <row r="1120" spans="1:12">
      <c r="A1120" t="s">
        <v>295</v>
      </c>
      <c r="B1120" t="s">
        <v>349</v>
      </c>
      <c r="C1120" t="s">
        <v>352</v>
      </c>
      <c r="D1120" s="3" t="s">
        <v>842</v>
      </c>
      <c r="E1120" s="11">
        <v>5.0333333333333332E-3</v>
      </c>
      <c r="F1120" s="7" t="s">
        <v>176</v>
      </c>
      <c r="G1120" s="9">
        <v>190</v>
      </c>
      <c r="H1120" s="9">
        <f t="shared" si="34"/>
        <v>0.95633333333333337</v>
      </c>
      <c r="I1120" t="s">
        <v>179</v>
      </c>
      <c r="J1120" s="33" t="s">
        <v>491</v>
      </c>
      <c r="K1120" s="18">
        <f>VLOOKUP(D1120,Ingredients!C:G,5,0)</f>
        <v>1700</v>
      </c>
      <c r="L1120" s="52">
        <f t="shared" si="35"/>
        <v>8.5566666666666666</v>
      </c>
    </row>
    <row r="1121" spans="1:12">
      <c r="A1121" t="s">
        <v>295</v>
      </c>
      <c r="B1121" t="s">
        <v>349</v>
      </c>
      <c r="C1121" t="s">
        <v>352</v>
      </c>
      <c r="D1121" s="3" t="s">
        <v>866</v>
      </c>
      <c r="E1121" s="11">
        <v>0.10066666666666667</v>
      </c>
      <c r="F1121" s="7" t="s">
        <v>176</v>
      </c>
      <c r="G1121" s="9">
        <v>153.97999999999999</v>
      </c>
      <c r="H1121" s="9">
        <f t="shared" si="34"/>
        <v>15.500653333333332</v>
      </c>
      <c r="I1121" t="s">
        <v>179</v>
      </c>
      <c r="J1121" s="33" t="s">
        <v>491</v>
      </c>
      <c r="K1121" s="18">
        <f>VLOOKUP(D1121,Ingredients!C:G,5,0)</f>
        <v>142.13999999999999</v>
      </c>
      <c r="L1121" s="52">
        <f t="shared" si="35"/>
        <v>14.308759999999999</v>
      </c>
    </row>
    <row r="1122" spans="1:12">
      <c r="A1122" t="s">
        <v>295</v>
      </c>
      <c r="B1122" t="s">
        <v>349</v>
      </c>
      <c r="C1122" t="s">
        <v>352</v>
      </c>
      <c r="D1122" s="3" t="s">
        <v>931</v>
      </c>
      <c r="E1122" s="11">
        <v>5.0333333333333332E-3</v>
      </c>
      <c r="F1122" s="7" t="s">
        <v>176</v>
      </c>
      <c r="G1122" s="9">
        <v>4000</v>
      </c>
      <c r="H1122" s="9">
        <f t="shared" si="34"/>
        <v>20.133333333333333</v>
      </c>
      <c r="I1122" t="s">
        <v>179</v>
      </c>
      <c r="J1122" s="33" t="s">
        <v>491</v>
      </c>
      <c r="K1122" s="18">
        <f>VLOOKUP(D1122,Ingredients!C:G,5,0)</f>
        <v>2900</v>
      </c>
      <c r="L1122" s="52">
        <f t="shared" si="35"/>
        <v>14.596666666666666</v>
      </c>
    </row>
    <row r="1123" spans="1:12">
      <c r="A1123" t="s">
        <v>295</v>
      </c>
      <c r="B1123" t="s">
        <v>349</v>
      </c>
      <c r="C1123" t="s">
        <v>352</v>
      </c>
      <c r="D1123" s="3" t="s">
        <v>895</v>
      </c>
      <c r="E1123" s="11">
        <v>5.0333333333333332E-3</v>
      </c>
      <c r="F1123" s="7" t="s">
        <v>176</v>
      </c>
      <c r="G1123" s="9">
        <v>400</v>
      </c>
      <c r="H1123" s="9">
        <f t="shared" si="34"/>
        <v>2.0133333333333332</v>
      </c>
      <c r="I1123" t="s">
        <v>179</v>
      </c>
      <c r="J1123" s="33" t="s">
        <v>491</v>
      </c>
      <c r="K1123" s="18">
        <f>VLOOKUP(D1123,Ingredients!C:G,5,0)</f>
        <v>400</v>
      </c>
      <c r="L1123" s="52">
        <f t="shared" si="35"/>
        <v>2.0133333333333332</v>
      </c>
    </row>
    <row r="1124" spans="1:12">
      <c r="A1124" t="s">
        <v>295</v>
      </c>
      <c r="B1124" t="s">
        <v>349</v>
      </c>
      <c r="C1124" t="s">
        <v>352</v>
      </c>
      <c r="D1124" s="3" t="s">
        <v>35</v>
      </c>
      <c r="E1124" s="11">
        <v>0.5033333333333333</v>
      </c>
      <c r="F1124" s="7" t="s">
        <v>252</v>
      </c>
      <c r="G1124" s="9">
        <v>13</v>
      </c>
      <c r="H1124" s="9">
        <f t="shared" si="34"/>
        <v>6.543333333333333</v>
      </c>
      <c r="I1124" t="s">
        <v>179</v>
      </c>
      <c r="J1124" s="33" t="s">
        <v>491</v>
      </c>
      <c r="K1124" s="18">
        <f>VLOOKUP(D1124,Ingredients!C:G,5,0)</f>
        <v>15</v>
      </c>
      <c r="L1124" s="52">
        <f t="shared" si="35"/>
        <v>7.55</v>
      </c>
    </row>
    <row r="1125" spans="1:12">
      <c r="A1125" t="s">
        <v>295</v>
      </c>
      <c r="B1125" t="s">
        <v>349</v>
      </c>
      <c r="C1125" t="s">
        <v>352</v>
      </c>
      <c r="D1125" s="3" t="s">
        <v>50</v>
      </c>
      <c r="E1125" s="11">
        <v>0.10466666666666666</v>
      </c>
      <c r="F1125" s="7" t="s">
        <v>176</v>
      </c>
      <c r="G1125" s="9">
        <v>120</v>
      </c>
      <c r="H1125" s="9">
        <f t="shared" si="34"/>
        <v>12.559999999999999</v>
      </c>
      <c r="I1125" t="s">
        <v>179</v>
      </c>
      <c r="J1125" s="33" t="s">
        <v>491</v>
      </c>
      <c r="K1125" s="18">
        <f>VLOOKUP(D1125,Ingredients!C:G,5,0)</f>
        <v>120</v>
      </c>
      <c r="L1125" s="52">
        <f t="shared" si="35"/>
        <v>12.559999999999999</v>
      </c>
    </row>
    <row r="1126" spans="1:12">
      <c r="A1126" t="s">
        <v>295</v>
      </c>
      <c r="B1126" t="s">
        <v>349</v>
      </c>
      <c r="C1126" t="s">
        <v>352</v>
      </c>
      <c r="D1126" s="3" t="s">
        <v>23</v>
      </c>
      <c r="E1126" s="11">
        <v>5.0333333333333334E-2</v>
      </c>
      <c r="F1126" s="7" t="s">
        <v>176</v>
      </c>
      <c r="G1126" s="9">
        <v>740</v>
      </c>
      <c r="H1126" s="9">
        <f t="shared" si="34"/>
        <v>37.24666666666667</v>
      </c>
      <c r="I1126" t="s">
        <v>179</v>
      </c>
      <c r="J1126" s="33" t="s">
        <v>491</v>
      </c>
      <c r="K1126" s="18">
        <f>VLOOKUP(D1126,Ingredients!C:G,5,0)</f>
        <v>780</v>
      </c>
      <c r="L1126" s="52">
        <f t="shared" si="35"/>
        <v>39.26</v>
      </c>
    </row>
    <row r="1127" spans="1:12">
      <c r="A1127" t="s">
        <v>295</v>
      </c>
      <c r="B1127" t="s">
        <v>349</v>
      </c>
      <c r="C1127" t="s">
        <v>352</v>
      </c>
      <c r="D1127" s="3" t="s">
        <v>29</v>
      </c>
      <c r="E1127" s="11">
        <v>5.0333333333333334E-2</v>
      </c>
      <c r="F1127" s="7" t="s">
        <v>176</v>
      </c>
      <c r="G1127" s="9">
        <v>60</v>
      </c>
      <c r="H1127" s="9">
        <f t="shared" si="34"/>
        <v>3.02</v>
      </c>
      <c r="I1127" t="s">
        <v>179</v>
      </c>
      <c r="J1127" s="33" t="s">
        <v>491</v>
      </c>
      <c r="K1127" s="18">
        <f>VLOOKUP(D1127,Ingredients!C:G,5,0)</f>
        <v>100</v>
      </c>
      <c r="L1127" s="52">
        <f t="shared" si="35"/>
        <v>5.0333333333333332</v>
      </c>
    </row>
    <row r="1128" spans="1:12">
      <c r="A1128" t="s">
        <v>318</v>
      </c>
      <c r="B1128" t="s">
        <v>349</v>
      </c>
      <c r="C1128" t="s">
        <v>352</v>
      </c>
      <c r="D1128" s="3" t="s">
        <v>837</v>
      </c>
      <c r="E1128" s="11">
        <v>1</v>
      </c>
      <c r="F1128" s="7" t="s">
        <v>179</v>
      </c>
      <c r="G1128" s="9">
        <v>1700</v>
      </c>
      <c r="H1128" s="9">
        <f t="shared" si="34"/>
        <v>1700</v>
      </c>
      <c r="I1128" t="s">
        <v>179</v>
      </c>
      <c r="J1128" s="33" t="s">
        <v>514</v>
      </c>
      <c r="K1128" s="18">
        <f>VLOOKUP(D1128,Ingredients!C:G,5,0)</f>
        <v>1800</v>
      </c>
      <c r="L1128" s="52">
        <f t="shared" si="35"/>
        <v>1800</v>
      </c>
    </row>
    <row r="1129" spans="1:12">
      <c r="A1129" t="s">
        <v>318</v>
      </c>
      <c r="B1129" t="s">
        <v>349</v>
      </c>
      <c r="C1129" t="s">
        <v>352</v>
      </c>
      <c r="D1129" s="3" t="s">
        <v>852</v>
      </c>
      <c r="E1129" s="11">
        <v>0.10057142857142858</v>
      </c>
      <c r="F1129" s="7" t="s">
        <v>190</v>
      </c>
      <c r="G1129" s="9">
        <v>520.63</v>
      </c>
      <c r="H1129" s="9">
        <f t="shared" si="34"/>
        <v>52.360502857142862</v>
      </c>
      <c r="I1129" t="s">
        <v>179</v>
      </c>
      <c r="J1129" s="33" t="s">
        <v>514</v>
      </c>
      <c r="K1129" s="18">
        <v>550</v>
      </c>
      <c r="L1129" s="52">
        <f t="shared" si="35"/>
        <v>55.314285714285717</v>
      </c>
    </row>
    <row r="1130" spans="1:12">
      <c r="A1130" t="s">
        <v>318</v>
      </c>
      <c r="B1130" t="s">
        <v>349</v>
      </c>
      <c r="C1130" t="s">
        <v>352</v>
      </c>
      <c r="D1130" s="3" t="s">
        <v>930</v>
      </c>
      <c r="E1130" s="11">
        <v>0.30171428571428571</v>
      </c>
      <c r="F1130" s="7" t="s">
        <v>179</v>
      </c>
      <c r="G1130" s="9">
        <v>305</v>
      </c>
      <c r="H1130" s="9">
        <f t="shared" si="34"/>
        <v>92.022857142857148</v>
      </c>
      <c r="I1130" t="s">
        <v>179</v>
      </c>
      <c r="J1130" s="33" t="s">
        <v>514</v>
      </c>
      <c r="K1130" s="18">
        <f>VLOOKUP(D1130,Ingredients!C:G,5,0)</f>
        <v>300</v>
      </c>
      <c r="L1130" s="52">
        <f t="shared" si="35"/>
        <v>90.51428571428572</v>
      </c>
    </row>
    <row r="1131" spans="1:12">
      <c r="A1131" t="s">
        <v>318</v>
      </c>
      <c r="B1131" t="s">
        <v>349</v>
      </c>
      <c r="C1131" t="s">
        <v>352</v>
      </c>
      <c r="D1131" s="3" t="s">
        <v>955</v>
      </c>
      <c r="E1131" s="11">
        <v>5.0285714285714291E-3</v>
      </c>
      <c r="F1131" s="7" t="s">
        <v>179</v>
      </c>
      <c r="G1131" s="9">
        <v>3600</v>
      </c>
      <c r="H1131" s="9">
        <f t="shared" si="34"/>
        <v>18.102857142857143</v>
      </c>
      <c r="I1131" t="s">
        <v>179</v>
      </c>
      <c r="J1131" s="33" t="s">
        <v>514</v>
      </c>
      <c r="K1131" s="18">
        <f>VLOOKUP(D1131,Ingredients!C:G,5,0)</f>
        <v>3400</v>
      </c>
      <c r="L1131" s="52">
        <f t="shared" si="35"/>
        <v>17.09714285714286</v>
      </c>
    </row>
    <row r="1132" spans="1:12">
      <c r="A1132" t="s">
        <v>318</v>
      </c>
      <c r="B1132" t="s">
        <v>349</v>
      </c>
      <c r="C1132" t="s">
        <v>352</v>
      </c>
      <c r="D1132" s="3" t="s">
        <v>882</v>
      </c>
      <c r="E1132" s="11">
        <v>1.2571428571428572E-2</v>
      </c>
      <c r="F1132" s="7" t="s">
        <v>179</v>
      </c>
      <c r="G1132" s="9">
        <v>1500</v>
      </c>
      <c r="H1132" s="9">
        <f t="shared" si="34"/>
        <v>18.857142857142858</v>
      </c>
      <c r="I1132" t="s">
        <v>179</v>
      </c>
      <c r="J1132" s="33" t="s">
        <v>514</v>
      </c>
      <c r="K1132" s="18">
        <f>VLOOKUP(D1132,Ingredients!C:G,5,0)</f>
        <v>1450</v>
      </c>
      <c r="L1132" s="52">
        <f t="shared" si="35"/>
        <v>18.228571428571428</v>
      </c>
    </row>
    <row r="1133" spans="1:12">
      <c r="A1133" t="s">
        <v>318</v>
      </c>
      <c r="B1133" t="s">
        <v>349</v>
      </c>
      <c r="C1133" t="s">
        <v>352</v>
      </c>
      <c r="D1133" s="3" t="s">
        <v>915</v>
      </c>
      <c r="E1133" s="11">
        <v>1.2571428571428572E-2</v>
      </c>
      <c r="F1133" s="7" t="s">
        <v>179</v>
      </c>
      <c r="G1133" s="9">
        <v>5000</v>
      </c>
      <c r="H1133" s="9">
        <f t="shared" si="34"/>
        <v>62.857142857142861</v>
      </c>
      <c r="I1133" t="s">
        <v>179</v>
      </c>
      <c r="J1133" s="33" t="s">
        <v>514</v>
      </c>
      <c r="K1133" s="18">
        <f>VLOOKUP(D1133,Ingredients!C:G,5,0)</f>
        <v>3200</v>
      </c>
      <c r="L1133" s="52">
        <f t="shared" si="35"/>
        <v>40.228571428571428</v>
      </c>
    </row>
    <row r="1134" spans="1:12">
      <c r="A1134" t="s">
        <v>318</v>
      </c>
      <c r="B1134" t="s">
        <v>349</v>
      </c>
      <c r="C1134" t="s">
        <v>352</v>
      </c>
      <c r="D1134" s="3" t="s">
        <v>895</v>
      </c>
      <c r="E1134" s="11">
        <v>1.0057142857142858E-2</v>
      </c>
      <c r="F1134" s="7" t="s">
        <v>179</v>
      </c>
      <c r="G1134" s="9">
        <v>400</v>
      </c>
      <c r="H1134" s="9">
        <f t="shared" si="34"/>
        <v>4.0228571428571431</v>
      </c>
      <c r="I1134" t="s">
        <v>179</v>
      </c>
      <c r="J1134" s="33" t="s">
        <v>514</v>
      </c>
      <c r="K1134" s="18">
        <f>VLOOKUP(D1134,Ingredients!C:G,5,0)</f>
        <v>400</v>
      </c>
      <c r="L1134" s="52">
        <f t="shared" si="35"/>
        <v>4.0228571428571431</v>
      </c>
    </row>
    <row r="1135" spans="1:12">
      <c r="A1135" t="s">
        <v>318</v>
      </c>
      <c r="B1135" t="s">
        <v>349</v>
      </c>
      <c r="C1135" t="s">
        <v>352</v>
      </c>
      <c r="D1135" s="3" t="s">
        <v>927</v>
      </c>
      <c r="E1135" s="11">
        <v>0.20114285714285715</v>
      </c>
      <c r="F1135" s="7" t="s">
        <v>179</v>
      </c>
      <c r="G1135" s="9">
        <v>600</v>
      </c>
      <c r="H1135" s="9">
        <f t="shared" si="34"/>
        <v>120.6857142857143</v>
      </c>
      <c r="I1135" t="s">
        <v>179</v>
      </c>
      <c r="J1135" s="33" t="s">
        <v>514</v>
      </c>
      <c r="K1135" s="18">
        <f>VLOOKUP(D1135,Ingredients!C:G,5,0)</f>
        <v>600</v>
      </c>
      <c r="L1135" s="52">
        <f t="shared" si="35"/>
        <v>120.6857142857143</v>
      </c>
    </row>
    <row r="1136" spans="1:12">
      <c r="A1136" t="s">
        <v>318</v>
      </c>
      <c r="B1136" t="s">
        <v>349</v>
      </c>
      <c r="C1136" t="s">
        <v>352</v>
      </c>
      <c r="D1136" s="3" t="s">
        <v>855</v>
      </c>
      <c r="E1136" s="11">
        <v>2.2857142857142859E-3</v>
      </c>
      <c r="F1136" s="7" t="s">
        <v>179</v>
      </c>
      <c r="G1136" s="9">
        <v>2400</v>
      </c>
      <c r="H1136" s="9">
        <f t="shared" si="34"/>
        <v>5.4857142857142858</v>
      </c>
      <c r="I1136" t="s">
        <v>179</v>
      </c>
      <c r="J1136" s="33" t="s">
        <v>514</v>
      </c>
      <c r="K1136" s="18">
        <f>VLOOKUP(D1136,Ingredients!C:G,5,0)</f>
        <v>1600</v>
      </c>
      <c r="L1136" s="52">
        <f t="shared" si="35"/>
        <v>3.6571428571428575</v>
      </c>
    </row>
    <row r="1137" spans="1:12">
      <c r="A1137" t="s">
        <v>318</v>
      </c>
      <c r="B1137" t="s">
        <v>349</v>
      </c>
      <c r="C1137" t="s">
        <v>352</v>
      </c>
      <c r="D1137" s="3" t="s">
        <v>23</v>
      </c>
      <c r="E1137" s="11">
        <v>1.5085714285714286E-2</v>
      </c>
      <c r="F1137" s="7" t="s">
        <v>179</v>
      </c>
      <c r="G1137" s="9">
        <v>740</v>
      </c>
      <c r="H1137" s="9">
        <f t="shared" si="34"/>
        <v>11.163428571428572</v>
      </c>
      <c r="I1137" t="s">
        <v>179</v>
      </c>
      <c r="J1137" s="33" t="s">
        <v>514</v>
      </c>
      <c r="K1137" s="18">
        <f>VLOOKUP(D1137,Ingredients!C:G,5,0)</f>
        <v>780</v>
      </c>
      <c r="L1137" s="52">
        <f t="shared" si="35"/>
        <v>11.766857142857143</v>
      </c>
    </row>
    <row r="1138" spans="1:12">
      <c r="A1138" t="s">
        <v>318</v>
      </c>
      <c r="B1138" t="s">
        <v>349</v>
      </c>
      <c r="C1138" t="s">
        <v>352</v>
      </c>
      <c r="D1138" s="3" t="s">
        <v>16</v>
      </c>
      <c r="E1138" s="11">
        <v>1.0057142857142858E-2</v>
      </c>
      <c r="F1138" s="7" t="s">
        <v>179</v>
      </c>
      <c r="G1138" s="9">
        <v>270</v>
      </c>
      <c r="H1138" s="9">
        <f t="shared" si="34"/>
        <v>2.7154285714285717</v>
      </c>
      <c r="I1138" t="s">
        <v>179</v>
      </c>
      <c r="J1138" s="33" t="s">
        <v>514</v>
      </c>
      <c r="K1138" s="18">
        <f>VLOOKUP(D1138,Ingredients!C:G,5,0)</f>
        <v>310</v>
      </c>
      <c r="L1138" s="52">
        <f t="shared" si="35"/>
        <v>3.1177142857142859</v>
      </c>
    </row>
    <row r="1139" spans="1:12">
      <c r="A1139" t="s">
        <v>318</v>
      </c>
      <c r="B1139" t="s">
        <v>349</v>
      </c>
      <c r="C1139" t="s">
        <v>352</v>
      </c>
      <c r="D1139" s="3" t="s">
        <v>926</v>
      </c>
      <c r="E1139" s="11">
        <v>2.057142857142857E-2</v>
      </c>
      <c r="F1139" s="7" t="s">
        <v>300</v>
      </c>
      <c r="G1139" s="9">
        <v>62.5</v>
      </c>
      <c r="H1139" s="9">
        <f t="shared" si="34"/>
        <v>1.2857142857142856</v>
      </c>
      <c r="I1139" t="s">
        <v>179</v>
      </c>
      <c r="J1139" s="33" t="s">
        <v>514</v>
      </c>
      <c r="K1139" s="18">
        <f>VLOOKUP(D1139,Ingredients!C:F,3,0)</f>
        <v>50</v>
      </c>
      <c r="L1139" s="52">
        <f t="shared" si="35"/>
        <v>1.0285714285714285</v>
      </c>
    </row>
    <row r="1140" spans="1:12">
      <c r="A1140" t="s">
        <v>318</v>
      </c>
      <c r="B1140" t="s">
        <v>349</v>
      </c>
      <c r="C1140" t="s">
        <v>352</v>
      </c>
      <c r="D1140" s="3" t="s">
        <v>857</v>
      </c>
      <c r="E1140" s="11">
        <v>6.8571428571428568E-3</v>
      </c>
      <c r="F1140" s="7" t="s">
        <v>179</v>
      </c>
      <c r="G1140" s="9">
        <v>520</v>
      </c>
      <c r="H1140" s="9">
        <f t="shared" si="34"/>
        <v>3.5657142857142854</v>
      </c>
      <c r="I1140" t="s">
        <v>179</v>
      </c>
      <c r="J1140" s="33" t="s">
        <v>514</v>
      </c>
      <c r="K1140" s="18">
        <f>VLOOKUP(D1140,Ingredients!C:G,5,0)</f>
        <v>880</v>
      </c>
      <c r="L1140" s="52">
        <f t="shared" si="35"/>
        <v>6.0342857142857138</v>
      </c>
    </row>
    <row r="1141" spans="1:12">
      <c r="A1141" t="s">
        <v>318</v>
      </c>
      <c r="B1141" t="s">
        <v>349</v>
      </c>
      <c r="C1141" t="s">
        <v>352</v>
      </c>
      <c r="D1141" s="3" t="s">
        <v>867</v>
      </c>
      <c r="E1141" s="11">
        <v>1.0057142857142858E-2</v>
      </c>
      <c r="F1141" s="7" t="s">
        <v>179</v>
      </c>
      <c r="G1141" s="9">
        <v>900</v>
      </c>
      <c r="H1141" s="9">
        <f t="shared" si="34"/>
        <v>9.0514285714285716</v>
      </c>
      <c r="I1141" t="s">
        <v>179</v>
      </c>
      <c r="J1141" s="33" t="s">
        <v>514</v>
      </c>
      <c r="K1141" s="18">
        <f>VLOOKUP(D1141,Ingredients!C:G,5,0)</f>
        <v>950</v>
      </c>
      <c r="L1141" s="52">
        <f t="shared" si="35"/>
        <v>9.5542857142857152</v>
      </c>
    </row>
    <row r="1142" spans="1:12">
      <c r="A1142" t="s">
        <v>318</v>
      </c>
      <c r="B1142" t="s">
        <v>349</v>
      </c>
      <c r="C1142" t="s">
        <v>352</v>
      </c>
      <c r="D1142" s="3" t="s">
        <v>860</v>
      </c>
      <c r="E1142" s="11">
        <v>3.0171428571428571E-3</v>
      </c>
      <c r="F1142" s="7" t="s">
        <v>179</v>
      </c>
      <c r="G1142" s="9">
        <v>2000</v>
      </c>
      <c r="H1142" s="9">
        <f t="shared" si="34"/>
        <v>6.0342857142857138</v>
      </c>
      <c r="I1142" t="s">
        <v>179</v>
      </c>
      <c r="J1142" s="33" t="s">
        <v>514</v>
      </c>
      <c r="K1142" s="18">
        <f>VLOOKUP(D1142,Ingredients!C:G,5,0)</f>
        <v>1900</v>
      </c>
      <c r="L1142" s="52">
        <f t="shared" si="35"/>
        <v>5.7325714285714282</v>
      </c>
    </row>
    <row r="1143" spans="1:12">
      <c r="A1143" t="s">
        <v>318</v>
      </c>
      <c r="B1143" t="s">
        <v>349</v>
      </c>
      <c r="C1143" t="s">
        <v>352</v>
      </c>
      <c r="D1143" s="3" t="s">
        <v>853</v>
      </c>
      <c r="E1143" s="11">
        <v>2.0114285714285716E-2</v>
      </c>
      <c r="F1143" s="7" t="s">
        <v>179</v>
      </c>
      <c r="G1143" s="9">
        <v>30</v>
      </c>
      <c r="H1143" s="9">
        <f t="shared" si="34"/>
        <v>0.60342857142857154</v>
      </c>
      <c r="I1143" t="s">
        <v>179</v>
      </c>
      <c r="J1143" s="33" t="s">
        <v>514</v>
      </c>
      <c r="K1143" s="18">
        <f>VLOOKUP(D1143,Ingredients!C:G,5,0)</f>
        <v>55</v>
      </c>
      <c r="L1143" s="52">
        <f t="shared" si="35"/>
        <v>1.1062857142857143</v>
      </c>
    </row>
    <row r="1144" spans="1:12">
      <c r="A1144" t="s">
        <v>318</v>
      </c>
      <c r="B1144" t="s">
        <v>349</v>
      </c>
      <c r="C1144" t="s">
        <v>352</v>
      </c>
      <c r="D1144" s="3" t="s">
        <v>880</v>
      </c>
      <c r="E1144" s="11">
        <v>2.5142857142857146E-3</v>
      </c>
      <c r="F1144" s="7" t="s">
        <v>179</v>
      </c>
      <c r="G1144" s="9">
        <v>650</v>
      </c>
      <c r="H1144" s="9">
        <f t="shared" si="34"/>
        <v>1.6342857142857146</v>
      </c>
      <c r="I1144" t="s">
        <v>179</v>
      </c>
      <c r="J1144" s="33" t="s">
        <v>514</v>
      </c>
      <c r="K1144" s="18">
        <f>VLOOKUP(D1144,Ingredients!C:G,5,0)</f>
        <v>520</v>
      </c>
      <c r="L1144" s="52">
        <f t="shared" si="35"/>
        <v>1.3074285714285716</v>
      </c>
    </row>
    <row r="1145" spans="1:12">
      <c r="A1145" t="s">
        <v>318</v>
      </c>
      <c r="B1145" t="s">
        <v>349</v>
      </c>
      <c r="C1145" t="s">
        <v>352</v>
      </c>
      <c r="D1145" s="3" t="s">
        <v>858</v>
      </c>
      <c r="E1145" s="11">
        <v>2.5142857142857146E-3</v>
      </c>
      <c r="F1145" s="7" t="s">
        <v>179</v>
      </c>
      <c r="G1145" s="9">
        <v>1900</v>
      </c>
      <c r="H1145" s="9">
        <f t="shared" ref="H1145:H1208" si="36">G1145*E1145</f>
        <v>4.7771428571428576</v>
      </c>
      <c r="I1145" t="s">
        <v>179</v>
      </c>
      <c r="J1145" s="33" t="s">
        <v>514</v>
      </c>
      <c r="K1145" s="18">
        <f>VLOOKUP(D1145,Ingredients!C:G,5,0)</f>
        <v>1900</v>
      </c>
      <c r="L1145" s="52">
        <f t="shared" si="35"/>
        <v>4.7771428571428576</v>
      </c>
    </row>
    <row r="1146" spans="1:12">
      <c r="A1146" t="s">
        <v>318</v>
      </c>
      <c r="B1146" t="s">
        <v>349</v>
      </c>
      <c r="C1146" t="s">
        <v>352</v>
      </c>
      <c r="D1146" s="3" t="s">
        <v>862</v>
      </c>
      <c r="E1146" s="11">
        <v>2.5142857142857146E-3</v>
      </c>
      <c r="F1146" s="7" t="s">
        <v>179</v>
      </c>
      <c r="G1146" s="9">
        <v>6500</v>
      </c>
      <c r="H1146" s="9">
        <f t="shared" si="36"/>
        <v>16.342857142857145</v>
      </c>
      <c r="I1146" t="s">
        <v>179</v>
      </c>
      <c r="J1146" s="33" t="s">
        <v>514</v>
      </c>
      <c r="K1146" s="18">
        <f>VLOOKUP(D1146,Ingredients!C:G,5,0)</f>
        <v>6500</v>
      </c>
      <c r="L1146" s="52">
        <f t="shared" si="35"/>
        <v>16.342857142857145</v>
      </c>
    </row>
    <row r="1147" spans="1:12">
      <c r="A1147" t="s">
        <v>318</v>
      </c>
      <c r="B1147" t="s">
        <v>349</v>
      </c>
      <c r="C1147" t="s">
        <v>352</v>
      </c>
      <c r="D1147" s="3" t="s">
        <v>915</v>
      </c>
      <c r="E1147" s="11">
        <v>7.5428571428571428E-3</v>
      </c>
      <c r="F1147" s="7" t="s">
        <v>179</v>
      </c>
      <c r="G1147" s="9">
        <v>5000</v>
      </c>
      <c r="H1147" s="9">
        <f t="shared" si="36"/>
        <v>37.714285714285715</v>
      </c>
      <c r="I1147" t="s">
        <v>179</v>
      </c>
      <c r="J1147" s="33" t="s">
        <v>514</v>
      </c>
      <c r="K1147" s="18">
        <f>VLOOKUP(D1147,Ingredients!C:G,5,0)</f>
        <v>3200</v>
      </c>
      <c r="L1147" s="52">
        <f t="shared" si="35"/>
        <v>24.137142857142855</v>
      </c>
    </row>
    <row r="1148" spans="1:12">
      <c r="A1148" t="s">
        <v>318</v>
      </c>
      <c r="B1148" t="s">
        <v>349</v>
      </c>
      <c r="C1148" t="s">
        <v>352</v>
      </c>
      <c r="D1148" s="3" t="s">
        <v>913</v>
      </c>
      <c r="E1148" s="11">
        <v>0.10057142857142858</v>
      </c>
      <c r="F1148" s="7" t="s">
        <v>179</v>
      </c>
      <c r="G1148" s="9">
        <v>229.16666666666666</v>
      </c>
      <c r="H1148" s="9">
        <f t="shared" si="36"/>
        <v>23.047619047619047</v>
      </c>
      <c r="I1148" t="s">
        <v>179</v>
      </c>
      <c r="J1148" s="33" t="s">
        <v>514</v>
      </c>
      <c r="K1148" s="18">
        <f>VLOOKUP(D1148,Ingredients!C:F,3,0)</f>
        <v>343.75</v>
      </c>
      <c r="L1148" s="52">
        <f t="shared" si="35"/>
        <v>34.571428571428569</v>
      </c>
    </row>
    <row r="1149" spans="1:12">
      <c r="A1149" t="s">
        <v>319</v>
      </c>
      <c r="B1149" t="s">
        <v>349</v>
      </c>
      <c r="C1149" t="s">
        <v>352</v>
      </c>
      <c r="D1149" s="3" t="s">
        <v>428</v>
      </c>
      <c r="E1149" s="11">
        <v>1</v>
      </c>
      <c r="F1149" s="7" t="s">
        <v>181</v>
      </c>
      <c r="G1149" s="9">
        <v>1600</v>
      </c>
      <c r="H1149" s="9">
        <f t="shared" si="36"/>
        <v>1600</v>
      </c>
      <c r="I1149" t="s">
        <v>179</v>
      </c>
      <c r="J1149" s="33" t="s">
        <v>428</v>
      </c>
      <c r="K1149" s="18">
        <f>VLOOKUP(D1149,Ingredients!C:G,5,0)</f>
        <v>1514.78</v>
      </c>
      <c r="L1149" s="52">
        <f t="shared" si="35"/>
        <v>1514.78</v>
      </c>
    </row>
    <row r="1150" spans="1:12">
      <c r="A1150" t="s">
        <v>319</v>
      </c>
      <c r="B1150" t="s">
        <v>349</v>
      </c>
      <c r="C1150" t="s">
        <v>352</v>
      </c>
      <c r="D1150" s="3" t="s">
        <v>835</v>
      </c>
      <c r="E1150" s="11">
        <v>0.05</v>
      </c>
      <c r="F1150" s="7" t="s">
        <v>181</v>
      </c>
      <c r="G1150" s="9">
        <v>389.34</v>
      </c>
      <c r="H1150" s="9">
        <f t="shared" si="36"/>
        <v>19.466999999999999</v>
      </c>
      <c r="I1150" t="s">
        <v>179</v>
      </c>
      <c r="J1150" s="33" t="s">
        <v>428</v>
      </c>
      <c r="K1150" s="18">
        <f>VLOOKUP(D1150,Ingredients!C:G,5,0)</f>
        <v>394.63</v>
      </c>
      <c r="L1150" s="52">
        <f t="shared" si="35"/>
        <v>19.7315</v>
      </c>
    </row>
    <row r="1151" spans="1:12">
      <c r="A1151" t="s">
        <v>319</v>
      </c>
      <c r="B1151" t="s">
        <v>349</v>
      </c>
      <c r="C1151" t="s">
        <v>352</v>
      </c>
      <c r="D1151" s="3" t="s">
        <v>854</v>
      </c>
      <c r="E1151" s="11">
        <v>1</v>
      </c>
      <c r="F1151" s="13" t="s">
        <v>173</v>
      </c>
      <c r="G1151" s="9">
        <v>24.64</v>
      </c>
      <c r="H1151" s="9">
        <f t="shared" si="36"/>
        <v>24.64</v>
      </c>
      <c r="I1151" t="s">
        <v>179</v>
      </c>
      <c r="J1151" s="33" t="s">
        <v>428</v>
      </c>
      <c r="K1151" s="18">
        <f>VLOOKUP(D1151,Ingredients!C:G,5,0)</f>
        <v>20.059999999999999</v>
      </c>
      <c r="L1151" s="52">
        <f t="shared" si="35"/>
        <v>20.059999999999999</v>
      </c>
    </row>
    <row r="1152" spans="1:12">
      <c r="A1152" t="s">
        <v>319</v>
      </c>
      <c r="B1152" t="s">
        <v>349</v>
      </c>
      <c r="C1152" t="s">
        <v>352</v>
      </c>
      <c r="D1152" s="3" t="s">
        <v>879</v>
      </c>
      <c r="E1152" s="11">
        <v>1.2500000000000001E-2</v>
      </c>
      <c r="F1152" s="7" t="s">
        <v>181</v>
      </c>
      <c r="G1152" s="9">
        <v>1113.51</v>
      </c>
      <c r="H1152" s="9">
        <f t="shared" si="36"/>
        <v>13.918875</v>
      </c>
      <c r="I1152" t="s">
        <v>179</v>
      </c>
      <c r="J1152" s="33" t="s">
        <v>428</v>
      </c>
      <c r="K1152" s="18">
        <f>VLOOKUP(D1152,Ingredients!C:G,5,0)</f>
        <v>1066.33</v>
      </c>
      <c r="L1152" s="52">
        <f t="shared" si="35"/>
        <v>13.329124999999999</v>
      </c>
    </row>
    <row r="1153" spans="1:12">
      <c r="A1153" t="s">
        <v>319</v>
      </c>
      <c r="B1153" t="s">
        <v>349</v>
      </c>
      <c r="C1153" t="s">
        <v>352</v>
      </c>
      <c r="D1153" s="3" t="s">
        <v>872</v>
      </c>
      <c r="E1153" s="11">
        <v>1.2500000000000001E-2</v>
      </c>
      <c r="F1153" s="7" t="s">
        <v>181</v>
      </c>
      <c r="G1153" s="9">
        <v>2100</v>
      </c>
      <c r="H1153" s="9">
        <f t="shared" si="36"/>
        <v>26.25</v>
      </c>
      <c r="I1153" t="s">
        <v>179</v>
      </c>
      <c r="J1153" s="33" t="s">
        <v>428</v>
      </c>
      <c r="K1153" s="18">
        <f>VLOOKUP(D1153,Ingredients!C:G,5,0)</f>
        <v>2150</v>
      </c>
      <c r="L1153" s="52">
        <f t="shared" si="35"/>
        <v>26.875</v>
      </c>
    </row>
    <row r="1154" spans="1:12">
      <c r="A1154" t="s">
        <v>319</v>
      </c>
      <c r="B1154" t="s">
        <v>349</v>
      </c>
      <c r="C1154" t="s">
        <v>352</v>
      </c>
      <c r="D1154" s="3" t="s">
        <v>853</v>
      </c>
      <c r="E1154" s="11">
        <v>7.4999999999999997E-3</v>
      </c>
      <c r="F1154" s="7" t="s">
        <v>181</v>
      </c>
      <c r="G1154" s="9">
        <v>30</v>
      </c>
      <c r="H1154" s="9">
        <f t="shared" si="36"/>
        <v>0.22499999999999998</v>
      </c>
      <c r="I1154" t="s">
        <v>179</v>
      </c>
      <c r="J1154" s="33" t="s">
        <v>428</v>
      </c>
      <c r="K1154" s="18">
        <f>VLOOKUP(D1154,Ingredients!C:G,5,0)</f>
        <v>55</v>
      </c>
      <c r="L1154" s="52">
        <f t="shared" si="35"/>
        <v>0.41249999999999998</v>
      </c>
    </row>
    <row r="1155" spans="1:12">
      <c r="A1155" t="s">
        <v>319</v>
      </c>
      <c r="B1155" t="s">
        <v>349</v>
      </c>
      <c r="C1155" t="s">
        <v>352</v>
      </c>
      <c r="D1155" s="3" t="s">
        <v>856</v>
      </c>
      <c r="E1155" s="11">
        <v>1.2500000000000001E-2</v>
      </c>
      <c r="F1155" s="7" t="s">
        <v>181</v>
      </c>
      <c r="G1155" s="9">
        <v>850</v>
      </c>
      <c r="H1155" s="9">
        <f t="shared" si="36"/>
        <v>10.625</v>
      </c>
      <c r="I1155" t="s">
        <v>179</v>
      </c>
      <c r="J1155" s="33" t="s">
        <v>428</v>
      </c>
      <c r="K1155" s="18">
        <f>VLOOKUP(D1155,Ingredients!C:G,5,0)</f>
        <v>980</v>
      </c>
      <c r="L1155" s="52">
        <f t="shared" si="35"/>
        <v>12.25</v>
      </c>
    </row>
    <row r="1156" spans="1:12">
      <c r="A1156" t="s">
        <v>319</v>
      </c>
      <c r="B1156" t="s">
        <v>349</v>
      </c>
      <c r="C1156" t="s">
        <v>352</v>
      </c>
      <c r="D1156" s="3" t="s">
        <v>852</v>
      </c>
      <c r="E1156" s="11">
        <v>6.25E-2</v>
      </c>
      <c r="F1156" s="7" t="s">
        <v>181</v>
      </c>
      <c r="G1156" s="9">
        <v>520.63</v>
      </c>
      <c r="H1156" s="9">
        <f t="shared" si="36"/>
        <v>32.539375</v>
      </c>
      <c r="I1156" t="s">
        <v>179</v>
      </c>
      <c r="J1156" s="33" t="s">
        <v>428</v>
      </c>
      <c r="K1156" s="18">
        <v>550</v>
      </c>
      <c r="L1156" s="52">
        <f t="shared" ref="L1156:L1219" si="37">K1156*E1156</f>
        <v>34.375</v>
      </c>
    </row>
    <row r="1157" spans="1:12">
      <c r="A1157" t="s">
        <v>319</v>
      </c>
      <c r="B1157" t="s">
        <v>349</v>
      </c>
      <c r="C1157" t="s">
        <v>352</v>
      </c>
      <c r="D1157" s="3" t="s">
        <v>23</v>
      </c>
      <c r="E1157" s="11">
        <v>0.01</v>
      </c>
      <c r="F1157" s="7" t="s">
        <v>181</v>
      </c>
      <c r="G1157" s="9">
        <v>740</v>
      </c>
      <c r="H1157" s="9">
        <f t="shared" si="36"/>
        <v>7.4</v>
      </c>
      <c r="I1157" t="s">
        <v>179</v>
      </c>
      <c r="J1157" s="33" t="s">
        <v>428</v>
      </c>
      <c r="K1157" s="18">
        <f>VLOOKUP(D1157,Ingredients!C:G,5,0)</f>
        <v>780</v>
      </c>
      <c r="L1157" s="52">
        <f t="shared" si="37"/>
        <v>7.8</v>
      </c>
    </row>
    <row r="1158" spans="1:12">
      <c r="A1158" t="s">
        <v>319</v>
      </c>
      <c r="B1158" t="s">
        <v>349</v>
      </c>
      <c r="C1158" t="s">
        <v>352</v>
      </c>
      <c r="D1158" s="3" t="s">
        <v>16</v>
      </c>
      <c r="E1158" s="11">
        <v>0.01</v>
      </c>
      <c r="F1158" s="7" t="s">
        <v>181</v>
      </c>
      <c r="G1158" s="9">
        <v>270</v>
      </c>
      <c r="H1158" s="9">
        <f t="shared" si="36"/>
        <v>2.7</v>
      </c>
      <c r="I1158" t="s">
        <v>179</v>
      </c>
      <c r="J1158" s="33" t="s">
        <v>428</v>
      </c>
      <c r="K1158" s="18">
        <f>VLOOKUP(D1158,Ingredients!C:G,5,0)</f>
        <v>310</v>
      </c>
      <c r="L1158" s="52">
        <f t="shared" si="37"/>
        <v>3.1</v>
      </c>
    </row>
    <row r="1159" spans="1:12">
      <c r="A1159" t="s">
        <v>319</v>
      </c>
      <c r="B1159" t="s">
        <v>349</v>
      </c>
      <c r="C1159" t="s">
        <v>352</v>
      </c>
      <c r="D1159" s="3" t="s">
        <v>835</v>
      </c>
      <c r="E1159" s="11">
        <v>1.2500000000000001E-2</v>
      </c>
      <c r="F1159" s="7" t="s">
        <v>181</v>
      </c>
      <c r="G1159" s="9">
        <v>389.34</v>
      </c>
      <c r="H1159" s="9">
        <f t="shared" si="36"/>
        <v>4.8667499999999997</v>
      </c>
      <c r="I1159" t="s">
        <v>179</v>
      </c>
      <c r="J1159" s="33" t="s">
        <v>428</v>
      </c>
      <c r="K1159" s="18">
        <f>VLOOKUP(D1159,Ingredients!C:G,5,0)</f>
        <v>394.63</v>
      </c>
      <c r="L1159" s="52">
        <f t="shared" si="37"/>
        <v>4.9328750000000001</v>
      </c>
    </row>
    <row r="1160" spans="1:12">
      <c r="A1160" t="s">
        <v>319</v>
      </c>
      <c r="B1160" t="s">
        <v>349</v>
      </c>
      <c r="C1160" t="s">
        <v>352</v>
      </c>
      <c r="D1160" s="3" t="s">
        <v>189</v>
      </c>
      <c r="E1160" s="11">
        <v>0.5</v>
      </c>
      <c r="F1160" s="7" t="s">
        <v>190</v>
      </c>
      <c r="G1160" s="9">
        <v>0</v>
      </c>
      <c r="H1160" s="9">
        <f t="shared" si="36"/>
        <v>0</v>
      </c>
      <c r="I1160" t="s">
        <v>179</v>
      </c>
      <c r="J1160" s="33" t="s">
        <v>428</v>
      </c>
      <c r="K1160" s="18">
        <v>550</v>
      </c>
      <c r="L1160" s="52">
        <f t="shared" si="37"/>
        <v>275</v>
      </c>
    </row>
    <row r="1161" spans="1:12">
      <c r="A1161" t="s">
        <v>319</v>
      </c>
      <c r="B1161" t="s">
        <v>349</v>
      </c>
      <c r="C1161" t="s">
        <v>352</v>
      </c>
      <c r="D1161" s="3" t="s">
        <v>872</v>
      </c>
      <c r="E1161" s="11">
        <v>1.2500000000000001E-2</v>
      </c>
      <c r="F1161" s="7" t="s">
        <v>179</v>
      </c>
      <c r="G1161" s="9">
        <v>2100</v>
      </c>
      <c r="H1161" s="9">
        <f t="shared" si="36"/>
        <v>26.25</v>
      </c>
      <c r="I1161" t="s">
        <v>179</v>
      </c>
      <c r="J1161" s="33" t="s">
        <v>428</v>
      </c>
      <c r="K1161" s="18">
        <f>VLOOKUP(D1161,Ingredients!C:G,5,0)</f>
        <v>2150</v>
      </c>
      <c r="L1161" s="52">
        <f t="shared" si="37"/>
        <v>26.875</v>
      </c>
    </row>
    <row r="1162" spans="1:12">
      <c r="A1162" t="s">
        <v>319</v>
      </c>
      <c r="B1162" t="s">
        <v>349</v>
      </c>
      <c r="C1162" t="s">
        <v>352</v>
      </c>
      <c r="D1162" s="3" t="s">
        <v>856</v>
      </c>
      <c r="E1162" s="11">
        <v>1.2500000000000001E-2</v>
      </c>
      <c r="F1162" s="7" t="s">
        <v>179</v>
      </c>
      <c r="G1162" s="9">
        <v>850</v>
      </c>
      <c r="H1162" s="9">
        <f t="shared" si="36"/>
        <v>10.625</v>
      </c>
      <c r="I1162" t="s">
        <v>179</v>
      </c>
      <c r="J1162" s="33" t="s">
        <v>428</v>
      </c>
      <c r="K1162" s="18">
        <f>VLOOKUP(D1162,Ingredients!C:G,5,0)</f>
        <v>980</v>
      </c>
      <c r="L1162" s="52">
        <f t="shared" si="37"/>
        <v>12.25</v>
      </c>
    </row>
    <row r="1163" spans="1:12">
      <c r="A1163" t="s">
        <v>319</v>
      </c>
      <c r="B1163" t="s">
        <v>349</v>
      </c>
      <c r="C1163" t="s">
        <v>352</v>
      </c>
      <c r="D1163" s="3" t="s">
        <v>853</v>
      </c>
      <c r="E1163" s="11">
        <v>7.4999999999999997E-3</v>
      </c>
      <c r="F1163" s="7" t="s">
        <v>179</v>
      </c>
      <c r="G1163" s="9">
        <v>30</v>
      </c>
      <c r="H1163" s="9">
        <f t="shared" si="36"/>
        <v>0.22499999999999998</v>
      </c>
      <c r="I1163" t="s">
        <v>179</v>
      </c>
      <c r="J1163" s="33" t="s">
        <v>428</v>
      </c>
      <c r="K1163" s="18">
        <f>VLOOKUP(D1163,Ingredients!C:G,5,0)</f>
        <v>55</v>
      </c>
      <c r="L1163" s="52">
        <f t="shared" si="37"/>
        <v>0.41249999999999998</v>
      </c>
    </row>
    <row r="1164" spans="1:12">
      <c r="A1164" t="s">
        <v>319</v>
      </c>
      <c r="B1164" t="s">
        <v>349</v>
      </c>
      <c r="C1164" t="s">
        <v>352</v>
      </c>
      <c r="D1164" s="3" t="s">
        <v>879</v>
      </c>
      <c r="E1164" s="11">
        <v>1.2500000000000001E-2</v>
      </c>
      <c r="F1164" s="7" t="s">
        <v>181</v>
      </c>
      <c r="G1164" s="9">
        <v>1113.51</v>
      </c>
      <c r="H1164" s="9">
        <f t="shared" si="36"/>
        <v>13.918875</v>
      </c>
      <c r="I1164" t="s">
        <v>179</v>
      </c>
      <c r="J1164" s="33" t="s">
        <v>428</v>
      </c>
      <c r="K1164" s="18">
        <f>VLOOKUP(D1164,Ingredients!C:G,5,0)</f>
        <v>1066.33</v>
      </c>
      <c r="L1164" s="52">
        <f t="shared" si="37"/>
        <v>13.329124999999999</v>
      </c>
    </row>
    <row r="1165" spans="1:12">
      <c r="A1165" t="s">
        <v>319</v>
      </c>
      <c r="B1165" t="s">
        <v>349</v>
      </c>
      <c r="C1165" t="s">
        <v>352</v>
      </c>
      <c r="D1165" s="3" t="s">
        <v>24</v>
      </c>
      <c r="E1165" s="11">
        <v>2.5000000000000001E-2</v>
      </c>
      <c r="F1165" s="7" t="s">
        <v>181</v>
      </c>
      <c r="G1165" s="9">
        <v>55</v>
      </c>
      <c r="H1165" s="9">
        <f t="shared" si="36"/>
        <v>1.375</v>
      </c>
      <c r="I1165" t="s">
        <v>179</v>
      </c>
      <c r="J1165" s="33" t="s">
        <v>428</v>
      </c>
      <c r="K1165" s="18">
        <f>VLOOKUP(D1165,Ingredients!C:G,5,0)</f>
        <v>80</v>
      </c>
      <c r="L1165" s="52">
        <f t="shared" si="37"/>
        <v>2</v>
      </c>
    </row>
    <row r="1166" spans="1:12">
      <c r="A1166" t="s">
        <v>319</v>
      </c>
      <c r="B1166" t="s">
        <v>349</v>
      </c>
      <c r="C1166" t="s">
        <v>352</v>
      </c>
      <c r="D1166" s="3" t="s">
        <v>95</v>
      </c>
      <c r="E1166" s="11">
        <v>2.5000000000000001E-2</v>
      </c>
      <c r="F1166" s="7" t="s">
        <v>181</v>
      </c>
      <c r="G1166" s="9">
        <v>140</v>
      </c>
      <c r="H1166" s="9">
        <f t="shared" si="36"/>
        <v>3.5</v>
      </c>
      <c r="I1166" t="s">
        <v>179</v>
      </c>
      <c r="J1166" s="33" t="s">
        <v>428</v>
      </c>
      <c r="K1166" s="18">
        <f>VLOOKUP(D1166,Ingredients!C:G,5,0)</f>
        <v>90</v>
      </c>
      <c r="L1166" s="52">
        <f t="shared" si="37"/>
        <v>2.25</v>
      </c>
    </row>
    <row r="1167" spans="1:12">
      <c r="A1167" t="s">
        <v>320</v>
      </c>
      <c r="B1167" t="s">
        <v>349</v>
      </c>
      <c r="C1167" t="s">
        <v>351</v>
      </c>
      <c r="D1167" s="3" t="s">
        <v>843</v>
      </c>
      <c r="E1167" s="10">
        <v>1</v>
      </c>
      <c r="F1167" s="7" t="s">
        <v>176</v>
      </c>
      <c r="G1167" s="9">
        <v>614</v>
      </c>
      <c r="H1167" s="9">
        <f t="shared" si="36"/>
        <v>614</v>
      </c>
      <c r="I1167" t="s">
        <v>179</v>
      </c>
      <c r="J1167" s="33" t="s">
        <v>491</v>
      </c>
      <c r="K1167" s="18">
        <f>VLOOKUP(D1167,Ingredients!C:G,5,0)</f>
        <v>650</v>
      </c>
      <c r="L1167" s="52">
        <f t="shared" si="37"/>
        <v>650</v>
      </c>
    </row>
    <row r="1168" spans="1:12">
      <c r="A1168" t="s">
        <v>320</v>
      </c>
      <c r="B1168" t="s">
        <v>349</v>
      </c>
      <c r="C1168" t="s">
        <v>351</v>
      </c>
      <c r="D1168" s="3" t="s">
        <v>866</v>
      </c>
      <c r="E1168" s="10">
        <v>3.7499999999999999E-2</v>
      </c>
      <c r="F1168" s="7" t="s">
        <v>176</v>
      </c>
      <c r="G1168" s="9">
        <v>153.97999999999999</v>
      </c>
      <c r="H1168" s="9">
        <f t="shared" si="36"/>
        <v>5.7742499999999994</v>
      </c>
      <c r="I1168" t="s">
        <v>179</v>
      </c>
      <c r="J1168" s="33" t="s">
        <v>491</v>
      </c>
      <c r="K1168" s="18">
        <f>VLOOKUP(D1168,Ingredients!C:G,5,0)</f>
        <v>142.13999999999999</v>
      </c>
      <c r="L1168" s="52">
        <f t="shared" si="37"/>
        <v>5.3302499999999995</v>
      </c>
    </row>
    <row r="1169" spans="1:12">
      <c r="A1169" t="s">
        <v>320</v>
      </c>
      <c r="B1169" t="s">
        <v>349</v>
      </c>
      <c r="C1169" t="s">
        <v>351</v>
      </c>
      <c r="D1169" s="3" t="s">
        <v>835</v>
      </c>
      <c r="E1169" s="10">
        <v>0.05</v>
      </c>
      <c r="F1169" s="7" t="s">
        <v>176</v>
      </c>
      <c r="G1169" s="9">
        <v>389.34</v>
      </c>
      <c r="H1169" s="9">
        <f t="shared" si="36"/>
        <v>19.466999999999999</v>
      </c>
      <c r="I1169" t="s">
        <v>179</v>
      </c>
      <c r="J1169" s="33" t="s">
        <v>491</v>
      </c>
      <c r="K1169" s="18">
        <f>VLOOKUP(D1169,Ingredients!C:G,5,0)</f>
        <v>394.63</v>
      </c>
      <c r="L1169" s="52">
        <f t="shared" si="37"/>
        <v>19.7315</v>
      </c>
    </row>
    <row r="1170" spans="1:12">
      <c r="A1170" t="s">
        <v>320</v>
      </c>
      <c r="B1170" t="s">
        <v>349</v>
      </c>
      <c r="C1170" t="s">
        <v>351</v>
      </c>
      <c r="D1170" s="3" t="s">
        <v>854</v>
      </c>
      <c r="E1170" s="10">
        <v>3.5</v>
      </c>
      <c r="F1170" s="13" t="s">
        <v>173</v>
      </c>
      <c r="G1170" s="9">
        <v>24.64</v>
      </c>
      <c r="H1170" s="9">
        <f t="shared" si="36"/>
        <v>86.240000000000009</v>
      </c>
      <c r="I1170" t="s">
        <v>179</v>
      </c>
      <c r="J1170" s="33" t="s">
        <v>491</v>
      </c>
      <c r="K1170" s="18">
        <f>VLOOKUP(D1170,Ingredients!C:G,5,0)</f>
        <v>20.059999999999999</v>
      </c>
      <c r="L1170" s="52">
        <f t="shared" si="37"/>
        <v>70.209999999999994</v>
      </c>
    </row>
    <row r="1171" spans="1:12">
      <c r="A1171" t="s">
        <v>320</v>
      </c>
      <c r="B1171" t="s">
        <v>349</v>
      </c>
      <c r="C1171" t="s">
        <v>351</v>
      </c>
      <c r="D1171" s="3" t="s">
        <v>23</v>
      </c>
      <c r="E1171" s="10">
        <v>3.1250000000000002E-3</v>
      </c>
      <c r="F1171" s="7" t="s">
        <v>179</v>
      </c>
      <c r="G1171" s="9">
        <v>740</v>
      </c>
      <c r="H1171" s="9">
        <f t="shared" si="36"/>
        <v>2.3125</v>
      </c>
      <c r="I1171" t="s">
        <v>179</v>
      </c>
      <c r="J1171" s="33" t="s">
        <v>491</v>
      </c>
      <c r="K1171" s="18">
        <f>VLOOKUP(D1171,Ingredients!C:G,5,0)</f>
        <v>780</v>
      </c>
      <c r="L1171" s="52">
        <f t="shared" si="37"/>
        <v>2.4375</v>
      </c>
    </row>
    <row r="1172" spans="1:12">
      <c r="A1172" t="s">
        <v>320</v>
      </c>
      <c r="B1172" t="s">
        <v>349</v>
      </c>
      <c r="C1172" t="s">
        <v>351</v>
      </c>
      <c r="D1172" s="3" t="s">
        <v>16</v>
      </c>
      <c r="E1172" s="10">
        <v>3.1250000000000002E-3</v>
      </c>
      <c r="F1172" s="7" t="s">
        <v>179</v>
      </c>
      <c r="G1172" s="9">
        <v>270</v>
      </c>
      <c r="H1172" s="9">
        <f t="shared" si="36"/>
        <v>0.84375</v>
      </c>
      <c r="I1172" t="s">
        <v>179</v>
      </c>
      <c r="J1172" s="33" t="s">
        <v>491</v>
      </c>
      <c r="K1172" s="18">
        <f>VLOOKUP(D1172,Ingredients!C:G,5,0)</f>
        <v>310</v>
      </c>
      <c r="L1172" s="52">
        <f t="shared" si="37"/>
        <v>0.96875</v>
      </c>
    </row>
    <row r="1173" spans="1:12">
      <c r="A1173" t="s">
        <v>320</v>
      </c>
      <c r="B1173" t="s">
        <v>349</v>
      </c>
      <c r="C1173" t="s">
        <v>351</v>
      </c>
      <c r="D1173" s="3" t="s">
        <v>853</v>
      </c>
      <c r="E1173" s="10">
        <v>8.7500000000000008E-3</v>
      </c>
      <c r="F1173" s="7" t="s">
        <v>179</v>
      </c>
      <c r="G1173" s="9">
        <v>30</v>
      </c>
      <c r="H1173" s="9">
        <f t="shared" si="36"/>
        <v>0.26250000000000001</v>
      </c>
      <c r="I1173" t="s">
        <v>179</v>
      </c>
      <c r="J1173" s="33" t="s">
        <v>491</v>
      </c>
      <c r="K1173" s="18">
        <f>VLOOKUP(D1173,Ingredients!C:G,5,0)</f>
        <v>55</v>
      </c>
      <c r="L1173" s="52">
        <f t="shared" si="37"/>
        <v>0.48125000000000007</v>
      </c>
    </row>
    <row r="1174" spans="1:12">
      <c r="A1174" t="s">
        <v>320</v>
      </c>
      <c r="B1174" t="s">
        <v>349</v>
      </c>
      <c r="C1174" t="s">
        <v>351</v>
      </c>
      <c r="D1174" s="3" t="s">
        <v>867</v>
      </c>
      <c r="E1174" s="10">
        <v>8.7500000000000008E-3</v>
      </c>
      <c r="F1174" s="7" t="s">
        <v>179</v>
      </c>
      <c r="G1174" s="9">
        <v>900</v>
      </c>
      <c r="H1174" s="9">
        <f t="shared" si="36"/>
        <v>7.8750000000000009</v>
      </c>
      <c r="I1174" t="s">
        <v>179</v>
      </c>
      <c r="J1174" s="33" t="s">
        <v>491</v>
      </c>
      <c r="K1174" s="18">
        <f>VLOOKUP(D1174,Ingredients!C:G,5,0)</f>
        <v>950</v>
      </c>
      <c r="L1174" s="52">
        <f t="shared" si="37"/>
        <v>8.3125</v>
      </c>
    </row>
    <row r="1175" spans="1:12">
      <c r="A1175" t="s">
        <v>320</v>
      </c>
      <c r="B1175" t="s">
        <v>349</v>
      </c>
      <c r="C1175" t="s">
        <v>351</v>
      </c>
      <c r="D1175" s="3" t="s">
        <v>849</v>
      </c>
      <c r="E1175" s="10">
        <v>3.7499999999999999E-3</v>
      </c>
      <c r="F1175" s="7" t="s">
        <v>179</v>
      </c>
      <c r="G1175" s="9">
        <v>1000</v>
      </c>
      <c r="H1175" s="9">
        <f t="shared" si="36"/>
        <v>3.75</v>
      </c>
      <c r="I1175" t="s">
        <v>179</v>
      </c>
      <c r="J1175" s="33" t="s">
        <v>491</v>
      </c>
      <c r="K1175" s="18">
        <f>VLOOKUP(D1175,Ingredients!C:G,5,0)</f>
        <v>950</v>
      </c>
      <c r="L1175" s="52">
        <f t="shared" si="37"/>
        <v>3.5625</v>
      </c>
    </row>
    <row r="1176" spans="1:12">
      <c r="A1176" t="s">
        <v>320</v>
      </c>
      <c r="B1176" t="s">
        <v>349</v>
      </c>
      <c r="C1176" t="s">
        <v>351</v>
      </c>
      <c r="D1176" s="3" t="s">
        <v>852</v>
      </c>
      <c r="E1176" s="10">
        <v>3.7499999999999999E-3</v>
      </c>
      <c r="F1176" s="7" t="s">
        <v>179</v>
      </c>
      <c r="G1176" s="9">
        <v>520.63</v>
      </c>
      <c r="H1176" s="9">
        <f t="shared" si="36"/>
        <v>1.9523625</v>
      </c>
      <c r="I1176" t="s">
        <v>179</v>
      </c>
      <c r="J1176" s="33" t="s">
        <v>491</v>
      </c>
      <c r="K1176" s="18">
        <v>550</v>
      </c>
      <c r="L1176" s="52">
        <f t="shared" si="37"/>
        <v>2.0625</v>
      </c>
    </row>
    <row r="1177" spans="1:12">
      <c r="A1177" t="s">
        <v>320</v>
      </c>
      <c r="B1177" t="s">
        <v>349</v>
      </c>
      <c r="C1177" t="s">
        <v>351</v>
      </c>
      <c r="D1177" s="3" t="s">
        <v>901</v>
      </c>
      <c r="E1177" s="10">
        <v>0.1875</v>
      </c>
      <c r="F1177" s="7" t="s">
        <v>317</v>
      </c>
      <c r="G1177" s="9">
        <v>73</v>
      </c>
      <c r="H1177" s="9">
        <f t="shared" si="36"/>
        <v>13.6875</v>
      </c>
      <c r="I1177" t="s">
        <v>179</v>
      </c>
      <c r="J1177" s="33" t="s">
        <v>491</v>
      </c>
      <c r="K1177" s="18">
        <f>VLOOKUP(D1177,Ingredients!C:G,5,0)</f>
        <v>73</v>
      </c>
      <c r="L1177" s="52">
        <f t="shared" si="37"/>
        <v>13.6875</v>
      </c>
    </row>
    <row r="1178" spans="1:12">
      <c r="A1178" t="s">
        <v>320</v>
      </c>
      <c r="B1178" t="s">
        <v>349</v>
      </c>
      <c r="C1178" t="s">
        <v>351</v>
      </c>
      <c r="D1178" s="3" t="s">
        <v>874</v>
      </c>
      <c r="E1178" s="10">
        <v>2.5000000000000001E-2</v>
      </c>
      <c r="F1178" s="7" t="s">
        <v>176</v>
      </c>
      <c r="G1178" s="9">
        <v>110</v>
      </c>
      <c r="H1178" s="9">
        <f t="shared" si="36"/>
        <v>2.75</v>
      </c>
      <c r="I1178" t="s">
        <v>179</v>
      </c>
      <c r="J1178" s="33" t="s">
        <v>491</v>
      </c>
      <c r="K1178" s="18">
        <f>VLOOKUP(D1178,Ingredients!C:G,5,0)</f>
        <v>179</v>
      </c>
      <c r="L1178" s="52">
        <f t="shared" si="37"/>
        <v>4.4750000000000005</v>
      </c>
    </row>
    <row r="1179" spans="1:12">
      <c r="A1179" t="s">
        <v>320</v>
      </c>
      <c r="B1179" t="s">
        <v>349</v>
      </c>
      <c r="C1179" t="s">
        <v>351</v>
      </c>
      <c r="D1179" s="3" t="s">
        <v>186</v>
      </c>
      <c r="E1179" s="10">
        <v>2.5000000000000001E-2</v>
      </c>
      <c r="F1179" s="7" t="s">
        <v>176</v>
      </c>
      <c r="G1179" s="9">
        <v>1500</v>
      </c>
      <c r="H1179" s="9">
        <f t="shared" si="36"/>
        <v>37.5</v>
      </c>
      <c r="I1179" t="s">
        <v>179</v>
      </c>
      <c r="J1179" s="33" t="s">
        <v>491</v>
      </c>
      <c r="K1179" s="18">
        <f>VLOOKUP(D1179,Ingredients!C:G,5,0)</f>
        <v>1400</v>
      </c>
      <c r="L1179" s="52">
        <f t="shared" si="37"/>
        <v>35</v>
      </c>
    </row>
    <row r="1180" spans="1:12">
      <c r="A1180" t="s">
        <v>320</v>
      </c>
      <c r="B1180" t="s">
        <v>349</v>
      </c>
      <c r="C1180" t="s">
        <v>351</v>
      </c>
      <c r="D1180" s="3" t="s">
        <v>16</v>
      </c>
      <c r="E1180" s="10">
        <v>6.2500000000000003E-3</v>
      </c>
      <c r="F1180" s="7" t="s">
        <v>176</v>
      </c>
      <c r="G1180" s="9">
        <v>270</v>
      </c>
      <c r="H1180" s="9">
        <f t="shared" si="36"/>
        <v>1.6875</v>
      </c>
      <c r="I1180" t="s">
        <v>179</v>
      </c>
      <c r="J1180" s="33" t="s">
        <v>491</v>
      </c>
      <c r="K1180" s="18">
        <f>VLOOKUP(D1180,Ingredients!C:G,5,0)</f>
        <v>310</v>
      </c>
      <c r="L1180" s="52">
        <f t="shared" si="37"/>
        <v>1.9375</v>
      </c>
    </row>
    <row r="1181" spans="1:12">
      <c r="A1181" t="s">
        <v>320</v>
      </c>
      <c r="B1181" t="s">
        <v>349</v>
      </c>
      <c r="C1181" t="s">
        <v>351</v>
      </c>
      <c r="D1181" s="3" t="s">
        <v>852</v>
      </c>
      <c r="E1181" s="10">
        <v>3.7499999999999999E-3</v>
      </c>
      <c r="F1181" s="7" t="s">
        <v>176</v>
      </c>
      <c r="G1181" s="9">
        <v>520.63</v>
      </c>
      <c r="H1181" s="9">
        <f t="shared" si="36"/>
        <v>1.9523625</v>
      </c>
      <c r="I1181" t="s">
        <v>179</v>
      </c>
      <c r="J1181" s="33" t="s">
        <v>491</v>
      </c>
      <c r="K1181" s="18">
        <v>550</v>
      </c>
      <c r="L1181" s="52">
        <f t="shared" si="37"/>
        <v>2.0625</v>
      </c>
    </row>
    <row r="1182" spans="1:12">
      <c r="A1182" t="s">
        <v>320</v>
      </c>
      <c r="B1182" t="s">
        <v>349</v>
      </c>
      <c r="C1182" t="s">
        <v>351</v>
      </c>
      <c r="D1182" s="3" t="s">
        <v>939</v>
      </c>
      <c r="E1182" s="10">
        <v>0.05</v>
      </c>
      <c r="F1182" s="7" t="s">
        <v>176</v>
      </c>
      <c r="G1182" s="9">
        <v>1250</v>
      </c>
      <c r="H1182" s="9">
        <f t="shared" si="36"/>
        <v>62.5</v>
      </c>
      <c r="I1182" t="s">
        <v>179</v>
      </c>
      <c r="J1182" s="33" t="s">
        <v>491</v>
      </c>
      <c r="K1182" s="18">
        <f>VLOOKUP(D1182,Ingredients!C:G,5,0)</f>
        <v>1500</v>
      </c>
      <c r="L1182" s="52">
        <f t="shared" si="37"/>
        <v>75</v>
      </c>
    </row>
    <row r="1183" spans="1:12">
      <c r="A1183" t="s">
        <v>320</v>
      </c>
      <c r="B1183" t="s">
        <v>349</v>
      </c>
      <c r="C1183" t="s">
        <v>351</v>
      </c>
      <c r="D1183" s="3" t="s">
        <v>902</v>
      </c>
      <c r="E1183" s="10">
        <v>1.2500000000000001E-2</v>
      </c>
      <c r="F1183" s="7" t="s">
        <v>176</v>
      </c>
      <c r="G1183" s="9">
        <v>662.5</v>
      </c>
      <c r="H1183" s="9">
        <f t="shared" si="36"/>
        <v>8.28125</v>
      </c>
      <c r="I1183" t="s">
        <v>179</v>
      </c>
      <c r="J1183" s="33" t="s">
        <v>491</v>
      </c>
      <c r="K1183" s="18">
        <f>VLOOKUP(D1183,Ingredients!C:G,5,0)</f>
        <v>700</v>
      </c>
      <c r="L1183" s="52">
        <f t="shared" si="37"/>
        <v>8.75</v>
      </c>
    </row>
    <row r="1184" spans="1:12">
      <c r="A1184" t="s">
        <v>493</v>
      </c>
      <c r="B1184" t="s">
        <v>349</v>
      </c>
      <c r="C1184" t="s">
        <v>352</v>
      </c>
      <c r="D1184" s="3" t="s">
        <v>837</v>
      </c>
      <c r="E1184" s="10">
        <v>1</v>
      </c>
      <c r="F1184" s="7" t="s">
        <v>179</v>
      </c>
      <c r="G1184" s="9">
        <v>1700</v>
      </c>
      <c r="H1184" s="9">
        <f t="shared" si="36"/>
        <v>1700</v>
      </c>
      <c r="I1184" t="s">
        <v>179</v>
      </c>
      <c r="J1184" s="33" t="s">
        <v>514</v>
      </c>
      <c r="K1184" s="18">
        <f>VLOOKUP(D1184,Ingredients!C:G,5,0)</f>
        <v>1800</v>
      </c>
      <c r="L1184" s="52">
        <f t="shared" si="37"/>
        <v>1800</v>
      </c>
    </row>
    <row r="1185" spans="1:12">
      <c r="A1185" t="s">
        <v>493</v>
      </c>
      <c r="B1185" t="s">
        <v>349</v>
      </c>
      <c r="C1185" t="s">
        <v>352</v>
      </c>
      <c r="D1185" s="3" t="s">
        <v>852</v>
      </c>
      <c r="E1185" s="10">
        <v>0.125</v>
      </c>
      <c r="F1185" s="7" t="s">
        <v>179</v>
      </c>
      <c r="G1185" s="9">
        <v>520.63</v>
      </c>
      <c r="H1185" s="9">
        <f t="shared" si="36"/>
        <v>65.078749999999999</v>
      </c>
      <c r="I1185" t="s">
        <v>179</v>
      </c>
      <c r="J1185" s="33" t="s">
        <v>514</v>
      </c>
      <c r="K1185" s="18">
        <v>550</v>
      </c>
      <c r="L1185" s="52">
        <f t="shared" si="37"/>
        <v>68.75</v>
      </c>
    </row>
    <row r="1186" spans="1:12">
      <c r="A1186" t="s">
        <v>493</v>
      </c>
      <c r="B1186" t="s">
        <v>349</v>
      </c>
      <c r="C1186" t="s">
        <v>352</v>
      </c>
      <c r="D1186" s="3" t="s">
        <v>24</v>
      </c>
      <c r="E1186" s="10">
        <v>0.125</v>
      </c>
      <c r="F1186" s="7" t="s">
        <v>179</v>
      </c>
      <c r="G1186" s="9">
        <v>55</v>
      </c>
      <c r="H1186" s="9">
        <f t="shared" si="36"/>
        <v>6.875</v>
      </c>
      <c r="I1186" t="s">
        <v>179</v>
      </c>
      <c r="J1186" s="33" t="s">
        <v>514</v>
      </c>
      <c r="K1186" s="18">
        <f>VLOOKUP(D1186,Ingredients!C:G,5,0)</f>
        <v>80</v>
      </c>
      <c r="L1186" s="52">
        <f t="shared" si="37"/>
        <v>10</v>
      </c>
    </row>
    <row r="1187" spans="1:12">
      <c r="A1187" t="s">
        <v>493</v>
      </c>
      <c r="B1187" t="s">
        <v>349</v>
      </c>
      <c r="C1187" t="s">
        <v>352</v>
      </c>
      <c r="D1187" s="3" t="s">
        <v>16</v>
      </c>
      <c r="E1187" s="10">
        <v>6.2500000000000003E-3</v>
      </c>
      <c r="F1187" s="7" t="s">
        <v>179</v>
      </c>
      <c r="G1187" s="9">
        <v>270</v>
      </c>
      <c r="H1187" s="9">
        <f t="shared" si="36"/>
        <v>1.6875</v>
      </c>
      <c r="I1187" t="s">
        <v>179</v>
      </c>
      <c r="J1187" s="33" t="s">
        <v>514</v>
      </c>
      <c r="K1187" s="18">
        <f>VLOOKUP(D1187,Ingredients!C:G,5,0)</f>
        <v>310</v>
      </c>
      <c r="L1187" s="52">
        <f t="shared" si="37"/>
        <v>1.9375</v>
      </c>
    </row>
    <row r="1188" spans="1:12">
      <c r="A1188" t="s">
        <v>493</v>
      </c>
      <c r="B1188" t="s">
        <v>349</v>
      </c>
      <c r="C1188" t="s">
        <v>352</v>
      </c>
      <c r="D1188" s="3" t="s">
        <v>23</v>
      </c>
      <c r="E1188" s="10">
        <v>6.2500000000000003E-3</v>
      </c>
      <c r="F1188" s="7" t="s">
        <v>179</v>
      </c>
      <c r="G1188" s="9">
        <v>740</v>
      </c>
      <c r="H1188" s="9">
        <f t="shared" si="36"/>
        <v>4.625</v>
      </c>
      <c r="I1188" t="s">
        <v>179</v>
      </c>
      <c r="J1188" s="33" t="s">
        <v>514</v>
      </c>
      <c r="K1188" s="18">
        <f>VLOOKUP(D1188,Ingredients!C:G,5,0)</f>
        <v>780</v>
      </c>
      <c r="L1188" s="52">
        <f t="shared" si="37"/>
        <v>4.875</v>
      </c>
    </row>
    <row r="1189" spans="1:12">
      <c r="A1189" t="s">
        <v>493</v>
      </c>
      <c r="B1189" t="s">
        <v>349</v>
      </c>
      <c r="C1189" t="s">
        <v>352</v>
      </c>
      <c r="D1189" s="3" t="s">
        <v>867</v>
      </c>
      <c r="E1189" s="10">
        <v>8.7500000000000008E-3</v>
      </c>
      <c r="F1189" s="7" t="s">
        <v>179</v>
      </c>
      <c r="G1189" s="9">
        <v>900</v>
      </c>
      <c r="H1189" s="9">
        <f t="shared" si="36"/>
        <v>7.8750000000000009</v>
      </c>
      <c r="I1189" t="s">
        <v>179</v>
      </c>
      <c r="J1189" s="33" t="s">
        <v>514</v>
      </c>
      <c r="K1189" s="18">
        <f>VLOOKUP(D1189,Ingredients!C:G,5,0)</f>
        <v>950</v>
      </c>
      <c r="L1189" s="52">
        <f t="shared" si="37"/>
        <v>8.3125</v>
      </c>
    </row>
    <row r="1190" spans="1:12">
      <c r="A1190" t="s">
        <v>493</v>
      </c>
      <c r="B1190" t="s">
        <v>349</v>
      </c>
      <c r="C1190" t="s">
        <v>352</v>
      </c>
      <c r="D1190" s="3" t="s">
        <v>880</v>
      </c>
      <c r="E1190" s="10">
        <v>8.7500000000000008E-3</v>
      </c>
      <c r="F1190" s="7" t="s">
        <v>179</v>
      </c>
      <c r="G1190" s="9">
        <v>650</v>
      </c>
      <c r="H1190" s="9">
        <f t="shared" si="36"/>
        <v>5.6875000000000009</v>
      </c>
      <c r="I1190" t="s">
        <v>179</v>
      </c>
      <c r="J1190" s="33" t="s">
        <v>514</v>
      </c>
      <c r="K1190" s="18">
        <f>VLOOKUP(D1190,Ingredients!C:G,5,0)</f>
        <v>520</v>
      </c>
      <c r="L1190" s="52">
        <f t="shared" si="37"/>
        <v>4.5500000000000007</v>
      </c>
    </row>
    <row r="1191" spans="1:12">
      <c r="A1191" t="s">
        <v>493</v>
      </c>
      <c r="B1191" t="s">
        <v>349</v>
      </c>
      <c r="C1191" t="s">
        <v>352</v>
      </c>
      <c r="D1191" s="3" t="s">
        <v>887</v>
      </c>
      <c r="E1191" s="10">
        <v>6.2500000000000003E-3</v>
      </c>
      <c r="F1191" s="7" t="s">
        <v>179</v>
      </c>
      <c r="G1191" s="9">
        <v>1600</v>
      </c>
      <c r="H1191" s="9">
        <f t="shared" si="36"/>
        <v>10</v>
      </c>
      <c r="I1191" t="s">
        <v>179</v>
      </c>
      <c r="J1191" s="33" t="s">
        <v>514</v>
      </c>
      <c r="K1191" s="18">
        <f>VLOOKUP(D1191,Ingredients!C:G,5,0)</f>
        <v>1830</v>
      </c>
      <c r="L1191" s="52">
        <f t="shared" si="37"/>
        <v>11.4375</v>
      </c>
    </row>
    <row r="1192" spans="1:12">
      <c r="A1192" t="s">
        <v>493</v>
      </c>
      <c r="B1192" t="s">
        <v>349</v>
      </c>
      <c r="C1192" t="s">
        <v>352</v>
      </c>
      <c r="D1192" s="3" t="s">
        <v>895</v>
      </c>
      <c r="E1192" s="10">
        <v>6.2500000000000003E-3</v>
      </c>
      <c r="F1192" s="7" t="s">
        <v>179</v>
      </c>
      <c r="G1192" s="9">
        <v>400</v>
      </c>
      <c r="H1192" s="9">
        <f t="shared" si="36"/>
        <v>2.5</v>
      </c>
      <c r="I1192" t="s">
        <v>179</v>
      </c>
      <c r="J1192" s="33" t="s">
        <v>514</v>
      </c>
      <c r="K1192" s="18">
        <f>VLOOKUP(D1192,Ingredients!C:G,5,0)</f>
        <v>400</v>
      </c>
      <c r="L1192" s="52">
        <f t="shared" si="37"/>
        <v>2.5</v>
      </c>
    </row>
    <row r="1193" spans="1:12">
      <c r="A1193" t="s">
        <v>493</v>
      </c>
      <c r="B1193" t="s">
        <v>349</v>
      </c>
      <c r="C1193" t="s">
        <v>352</v>
      </c>
      <c r="D1193" s="3" t="s">
        <v>853</v>
      </c>
      <c r="E1193" s="10">
        <v>8.7500000000000008E-3</v>
      </c>
      <c r="F1193" s="7" t="s">
        <v>179</v>
      </c>
      <c r="G1193" s="9">
        <v>30</v>
      </c>
      <c r="H1193" s="9">
        <f t="shared" si="36"/>
        <v>0.26250000000000001</v>
      </c>
      <c r="I1193" t="s">
        <v>179</v>
      </c>
      <c r="J1193" s="33" t="s">
        <v>514</v>
      </c>
      <c r="K1193" s="18">
        <f>VLOOKUP(D1193,Ingredients!C:G,5,0)</f>
        <v>55</v>
      </c>
      <c r="L1193" s="52">
        <f t="shared" si="37"/>
        <v>0.48125000000000007</v>
      </c>
    </row>
    <row r="1194" spans="1:12">
      <c r="A1194" t="s">
        <v>493</v>
      </c>
      <c r="B1194" t="s">
        <v>349</v>
      </c>
      <c r="C1194" t="s">
        <v>352</v>
      </c>
      <c r="D1194" s="3" t="s">
        <v>28</v>
      </c>
      <c r="E1194" s="10">
        <v>0.1875</v>
      </c>
      <c r="F1194" s="7" t="s">
        <v>179</v>
      </c>
      <c r="G1194" s="9">
        <v>85</v>
      </c>
      <c r="H1194" s="9">
        <f t="shared" si="36"/>
        <v>15.9375</v>
      </c>
      <c r="I1194" t="s">
        <v>179</v>
      </c>
      <c r="J1194" s="33" t="s">
        <v>514</v>
      </c>
      <c r="K1194" s="18">
        <f>VLOOKUP(D1194,Ingredients!C:G,5,0)</f>
        <v>70</v>
      </c>
      <c r="L1194" s="52">
        <f t="shared" si="37"/>
        <v>13.125</v>
      </c>
    </row>
    <row r="1195" spans="1:12">
      <c r="A1195" t="s">
        <v>493</v>
      </c>
      <c r="B1195" t="s">
        <v>349</v>
      </c>
      <c r="C1195" t="s">
        <v>352</v>
      </c>
      <c r="D1195" s="3" t="s">
        <v>158</v>
      </c>
      <c r="E1195" s="10">
        <v>0.75</v>
      </c>
      <c r="F1195" s="7" t="s">
        <v>179</v>
      </c>
      <c r="G1195" s="9">
        <v>40</v>
      </c>
      <c r="H1195" s="9">
        <f t="shared" si="36"/>
        <v>30</v>
      </c>
      <c r="I1195" t="s">
        <v>179</v>
      </c>
      <c r="J1195" s="33" t="s">
        <v>514</v>
      </c>
      <c r="K1195" s="18">
        <f>VLOOKUP(D1195,Ingredients!C:G,5,0)</f>
        <v>45</v>
      </c>
      <c r="L1195" s="52">
        <f t="shared" si="37"/>
        <v>33.75</v>
      </c>
    </row>
    <row r="1196" spans="1:12">
      <c r="A1196" t="s">
        <v>324</v>
      </c>
      <c r="B1196" t="s">
        <v>348</v>
      </c>
      <c r="C1196" t="s">
        <v>365</v>
      </c>
      <c r="D1196" s="3" t="s">
        <v>831</v>
      </c>
      <c r="E1196" s="11">
        <v>1.4999999999999999E-2</v>
      </c>
      <c r="F1196" s="7" t="s">
        <v>179</v>
      </c>
      <c r="G1196" s="9">
        <v>908</v>
      </c>
      <c r="H1196" s="9">
        <f t="shared" si="36"/>
        <v>13.62</v>
      </c>
      <c r="I1196" t="s">
        <v>253</v>
      </c>
      <c r="J1196" s="33">
        <v>0</v>
      </c>
      <c r="K1196" s="18">
        <f>VLOOKUP(D1196,Ingredients!C:G,5,0)</f>
        <v>908</v>
      </c>
      <c r="L1196" s="52">
        <f t="shared" si="37"/>
        <v>13.62</v>
      </c>
    </row>
    <row r="1197" spans="1:12">
      <c r="A1197" t="s">
        <v>324</v>
      </c>
      <c r="B1197" t="s">
        <v>348</v>
      </c>
      <c r="C1197" t="s">
        <v>365</v>
      </c>
      <c r="D1197" s="3" t="s">
        <v>186</v>
      </c>
      <c r="E1197" s="11">
        <v>3.7500000000000001E-4</v>
      </c>
      <c r="F1197" s="7" t="s">
        <v>179</v>
      </c>
      <c r="G1197" s="9">
        <v>1500</v>
      </c>
      <c r="H1197" s="9">
        <f t="shared" si="36"/>
        <v>0.5625</v>
      </c>
      <c r="I1197" t="s">
        <v>253</v>
      </c>
      <c r="J1197" s="33">
        <v>0</v>
      </c>
      <c r="K1197" s="18">
        <f>VLOOKUP(D1197,Ingredients!C:G,5,0)</f>
        <v>1400</v>
      </c>
      <c r="L1197" s="52">
        <f t="shared" si="37"/>
        <v>0.52500000000000002</v>
      </c>
    </row>
    <row r="1198" spans="1:12">
      <c r="A1198" t="s">
        <v>324</v>
      </c>
      <c r="B1198" t="s">
        <v>348</v>
      </c>
      <c r="C1198" t="s">
        <v>365</v>
      </c>
      <c r="D1198" s="3" t="s">
        <v>23</v>
      </c>
      <c r="E1198" s="11">
        <v>9.3750000000000002E-5</v>
      </c>
      <c r="F1198" s="7" t="s">
        <v>179</v>
      </c>
      <c r="G1198" s="9">
        <v>740</v>
      </c>
      <c r="H1198" s="9">
        <f t="shared" si="36"/>
        <v>6.9375000000000006E-2</v>
      </c>
      <c r="I1198" t="s">
        <v>253</v>
      </c>
      <c r="J1198" s="33">
        <v>0</v>
      </c>
      <c r="K1198" s="18">
        <f>VLOOKUP(D1198,Ingredients!C:G,5,0)</f>
        <v>780</v>
      </c>
      <c r="L1198" s="52">
        <f t="shared" si="37"/>
        <v>7.3124999999999996E-2</v>
      </c>
    </row>
    <row r="1199" spans="1:12">
      <c r="A1199" t="s">
        <v>324</v>
      </c>
      <c r="B1199" t="s">
        <v>348</v>
      </c>
      <c r="C1199" t="s">
        <v>365</v>
      </c>
      <c r="D1199" s="3" t="s">
        <v>16</v>
      </c>
      <c r="E1199" s="11">
        <v>9.3750000000000002E-5</v>
      </c>
      <c r="F1199" s="7" t="s">
        <v>179</v>
      </c>
      <c r="G1199" s="9">
        <v>270</v>
      </c>
      <c r="H1199" s="9">
        <f t="shared" si="36"/>
        <v>2.5312500000000002E-2</v>
      </c>
      <c r="I1199" t="s">
        <v>253</v>
      </c>
      <c r="J1199" s="33">
        <v>0</v>
      </c>
      <c r="K1199" s="18">
        <f>VLOOKUP(D1199,Ingredients!C:G,5,0)</f>
        <v>310</v>
      </c>
      <c r="L1199" s="52">
        <f t="shared" si="37"/>
        <v>2.9062500000000002E-2</v>
      </c>
    </row>
    <row r="1200" spans="1:12">
      <c r="A1200" t="s">
        <v>324</v>
      </c>
      <c r="B1200" t="s">
        <v>348</v>
      </c>
      <c r="C1200" t="s">
        <v>365</v>
      </c>
      <c r="D1200" s="3" t="s">
        <v>835</v>
      </c>
      <c r="E1200" s="11">
        <v>1.8749999999999999E-3</v>
      </c>
      <c r="F1200" s="7" t="s">
        <v>179</v>
      </c>
      <c r="G1200" s="9">
        <v>389.34</v>
      </c>
      <c r="H1200" s="9">
        <f t="shared" si="36"/>
        <v>0.73001249999999995</v>
      </c>
      <c r="I1200" t="s">
        <v>253</v>
      </c>
      <c r="J1200" s="33">
        <v>0</v>
      </c>
      <c r="K1200" s="18">
        <f>VLOOKUP(D1200,Ingredients!C:G,5,0)</f>
        <v>394.63</v>
      </c>
      <c r="L1200" s="52">
        <f t="shared" si="37"/>
        <v>0.73993124999999993</v>
      </c>
    </row>
    <row r="1201" spans="1:12">
      <c r="A1201" t="s">
        <v>324</v>
      </c>
      <c r="B1201" t="s">
        <v>348</v>
      </c>
      <c r="C1201" t="s">
        <v>365</v>
      </c>
      <c r="D1201" s="3" t="s">
        <v>866</v>
      </c>
      <c r="E1201" s="11">
        <v>1.8749999999999999E-3</v>
      </c>
      <c r="F1201" s="7" t="s">
        <v>179</v>
      </c>
      <c r="G1201" s="9">
        <v>153.97999999999999</v>
      </c>
      <c r="H1201" s="9">
        <f t="shared" si="36"/>
        <v>0.28871249999999998</v>
      </c>
      <c r="I1201" t="s">
        <v>253</v>
      </c>
      <c r="J1201" s="33">
        <v>0</v>
      </c>
      <c r="K1201" s="18">
        <f>VLOOKUP(D1201,Ingredients!C:G,5,0)</f>
        <v>142.13999999999999</v>
      </c>
      <c r="L1201" s="52">
        <f t="shared" si="37"/>
        <v>0.26651249999999999</v>
      </c>
    </row>
    <row r="1202" spans="1:12">
      <c r="A1202" t="s">
        <v>324</v>
      </c>
      <c r="B1202" t="s">
        <v>348</v>
      </c>
      <c r="C1202" t="s">
        <v>365</v>
      </c>
      <c r="D1202" s="3" t="s">
        <v>853</v>
      </c>
      <c r="E1202" s="11">
        <v>7.5000000000000002E-4</v>
      </c>
      <c r="F1202" s="7" t="s">
        <v>179</v>
      </c>
      <c r="G1202" s="9">
        <v>30</v>
      </c>
      <c r="H1202" s="9">
        <f t="shared" si="36"/>
        <v>2.2499999999999999E-2</v>
      </c>
      <c r="I1202" t="s">
        <v>253</v>
      </c>
      <c r="J1202" s="33">
        <v>0</v>
      </c>
      <c r="K1202" s="18">
        <f>VLOOKUP(D1202,Ingredients!C:G,5,0)</f>
        <v>55</v>
      </c>
      <c r="L1202" s="52">
        <f t="shared" si="37"/>
        <v>4.1250000000000002E-2</v>
      </c>
    </row>
    <row r="1203" spans="1:12">
      <c r="A1203" t="s">
        <v>324</v>
      </c>
      <c r="B1203" t="s">
        <v>348</v>
      </c>
      <c r="C1203" t="s">
        <v>365</v>
      </c>
      <c r="D1203" s="3" t="s">
        <v>867</v>
      </c>
      <c r="E1203" s="11">
        <v>3.7500000000000001E-4</v>
      </c>
      <c r="F1203" s="7" t="s">
        <v>179</v>
      </c>
      <c r="G1203" s="9">
        <v>900</v>
      </c>
      <c r="H1203" s="9">
        <f t="shared" si="36"/>
        <v>0.33750000000000002</v>
      </c>
      <c r="I1203" t="s">
        <v>253</v>
      </c>
      <c r="J1203" s="33">
        <v>0</v>
      </c>
      <c r="K1203" s="18">
        <f>VLOOKUP(D1203,Ingredients!C:G,5,0)</f>
        <v>950</v>
      </c>
      <c r="L1203" s="52">
        <f t="shared" si="37"/>
        <v>0.35625000000000001</v>
      </c>
    </row>
    <row r="1204" spans="1:12">
      <c r="A1204" t="s">
        <v>324</v>
      </c>
      <c r="B1204" t="s">
        <v>348</v>
      </c>
      <c r="C1204" t="s">
        <v>365</v>
      </c>
      <c r="D1204" s="3" t="s">
        <v>887</v>
      </c>
      <c r="E1204" s="11">
        <v>2.6250000000000004E-4</v>
      </c>
      <c r="F1204" s="7" t="s">
        <v>179</v>
      </c>
      <c r="G1204" s="9">
        <v>1600</v>
      </c>
      <c r="H1204" s="9">
        <f t="shared" si="36"/>
        <v>0.42000000000000004</v>
      </c>
      <c r="I1204" t="s">
        <v>253</v>
      </c>
      <c r="J1204" s="33">
        <v>0</v>
      </c>
      <c r="K1204" s="18">
        <f>VLOOKUP(D1204,Ingredients!C:G,5,0)</f>
        <v>1830</v>
      </c>
      <c r="L1204" s="52">
        <f t="shared" si="37"/>
        <v>0.48037500000000005</v>
      </c>
    </row>
    <row r="1205" spans="1:12">
      <c r="A1205" t="s">
        <v>324</v>
      </c>
      <c r="B1205" t="s">
        <v>348</v>
      </c>
      <c r="C1205" t="s">
        <v>365</v>
      </c>
      <c r="D1205" s="3" t="s">
        <v>895</v>
      </c>
      <c r="E1205" s="11">
        <v>2.9999999999999997E-4</v>
      </c>
      <c r="F1205" s="7" t="s">
        <v>179</v>
      </c>
      <c r="G1205" s="9">
        <v>400</v>
      </c>
      <c r="H1205" s="9">
        <f t="shared" si="36"/>
        <v>0.12</v>
      </c>
      <c r="I1205" t="s">
        <v>253</v>
      </c>
      <c r="J1205" s="33">
        <v>0</v>
      </c>
      <c r="K1205" s="18">
        <f>VLOOKUP(D1205,Ingredients!C:G,5,0)</f>
        <v>400</v>
      </c>
      <c r="L1205" s="52">
        <f t="shared" si="37"/>
        <v>0.12</v>
      </c>
    </row>
    <row r="1206" spans="1:12">
      <c r="A1206" t="s">
        <v>324</v>
      </c>
      <c r="B1206" t="s">
        <v>348</v>
      </c>
      <c r="C1206" t="s">
        <v>365</v>
      </c>
      <c r="D1206" s="3" t="s">
        <v>854</v>
      </c>
      <c r="E1206" s="11">
        <v>1.4999999999999999E-2</v>
      </c>
      <c r="F1206" s="7" t="s">
        <v>253</v>
      </c>
      <c r="G1206" s="9">
        <v>24.64</v>
      </c>
      <c r="H1206" s="9">
        <f t="shared" si="36"/>
        <v>0.36959999999999998</v>
      </c>
      <c r="I1206" t="s">
        <v>253</v>
      </c>
      <c r="J1206" s="33">
        <v>0</v>
      </c>
      <c r="K1206" s="18">
        <f>VLOOKUP(D1206,Ingredients!C:G,5,0)</f>
        <v>20.059999999999999</v>
      </c>
      <c r="L1206" s="52">
        <f t="shared" si="37"/>
        <v>0.30089999999999995</v>
      </c>
    </row>
    <row r="1207" spans="1:12">
      <c r="A1207" t="s">
        <v>324</v>
      </c>
      <c r="B1207" t="s">
        <v>348</v>
      </c>
      <c r="C1207" t="s">
        <v>365</v>
      </c>
      <c r="D1207" s="3" t="s">
        <v>900</v>
      </c>
      <c r="E1207" s="11">
        <v>5.6249999999999998E-3</v>
      </c>
      <c r="F1207" s="7" t="s">
        <v>176</v>
      </c>
      <c r="G1207" s="9">
        <v>440</v>
      </c>
      <c r="H1207" s="9">
        <f t="shared" si="36"/>
        <v>2.4750000000000001</v>
      </c>
      <c r="I1207" t="s">
        <v>253</v>
      </c>
      <c r="J1207" s="33">
        <v>0</v>
      </c>
      <c r="K1207" s="18">
        <f>VLOOKUP(D1207,Ingredients!C:G,5,0)</f>
        <v>440</v>
      </c>
      <c r="L1207" s="52">
        <f t="shared" si="37"/>
        <v>2.4750000000000001</v>
      </c>
    </row>
    <row r="1208" spans="1:12">
      <c r="A1208" t="s">
        <v>324</v>
      </c>
      <c r="B1208" t="s">
        <v>348</v>
      </c>
      <c r="C1208" t="s">
        <v>365</v>
      </c>
      <c r="D1208" s="3" t="s">
        <v>852</v>
      </c>
      <c r="E1208" s="11">
        <v>7.4999999999999997E-3</v>
      </c>
      <c r="F1208" s="7" t="s">
        <v>179</v>
      </c>
      <c r="G1208" s="9">
        <v>520.63</v>
      </c>
      <c r="H1208" s="9">
        <f t="shared" si="36"/>
        <v>3.904725</v>
      </c>
      <c r="I1208" t="s">
        <v>253</v>
      </c>
      <c r="J1208" s="33">
        <v>0</v>
      </c>
      <c r="K1208" s="18">
        <v>550</v>
      </c>
      <c r="L1208" s="52">
        <f t="shared" si="37"/>
        <v>4.125</v>
      </c>
    </row>
    <row r="1209" spans="1:12">
      <c r="A1209" t="s">
        <v>325</v>
      </c>
      <c r="B1209" t="s">
        <v>349</v>
      </c>
      <c r="C1209" t="s">
        <v>352</v>
      </c>
      <c r="D1209" s="3" t="s">
        <v>492</v>
      </c>
      <c r="E1209" s="10">
        <v>1</v>
      </c>
      <c r="F1209" s="7" t="s">
        <v>179</v>
      </c>
      <c r="G1209" s="9">
        <v>1890.54</v>
      </c>
      <c r="H1209" s="9">
        <f t="shared" ref="H1209:H1272" si="38">G1209*E1209</f>
        <v>1890.54</v>
      </c>
      <c r="I1209" t="s">
        <v>179</v>
      </c>
      <c r="J1209" s="33" t="s">
        <v>492</v>
      </c>
      <c r="K1209" s="18">
        <f>VLOOKUP(D1209,Ingredients!C:G,5,0)</f>
        <v>1462.18</v>
      </c>
      <c r="L1209" s="52">
        <f t="shared" si="37"/>
        <v>1462.18</v>
      </c>
    </row>
    <row r="1210" spans="1:12">
      <c r="A1210" t="s">
        <v>325</v>
      </c>
      <c r="B1210" t="s">
        <v>349</v>
      </c>
      <c r="C1210" t="s">
        <v>352</v>
      </c>
      <c r="D1210" s="3" t="s">
        <v>835</v>
      </c>
      <c r="E1210" s="10">
        <v>3.3333333333333333E-2</v>
      </c>
      <c r="F1210" s="7" t="s">
        <v>179</v>
      </c>
      <c r="G1210" s="9">
        <v>389.34</v>
      </c>
      <c r="H1210" s="9">
        <f t="shared" si="38"/>
        <v>12.978</v>
      </c>
      <c r="I1210" t="s">
        <v>179</v>
      </c>
      <c r="J1210" s="33" t="s">
        <v>492</v>
      </c>
      <c r="K1210" s="18">
        <f>VLOOKUP(D1210,Ingredients!C:G,5,0)</f>
        <v>394.63</v>
      </c>
      <c r="L1210" s="52">
        <f t="shared" si="37"/>
        <v>13.154333333333334</v>
      </c>
    </row>
    <row r="1211" spans="1:12">
      <c r="A1211" t="s">
        <v>325</v>
      </c>
      <c r="B1211" t="s">
        <v>349</v>
      </c>
      <c r="C1211" t="s">
        <v>352</v>
      </c>
      <c r="D1211" s="3" t="s">
        <v>854</v>
      </c>
      <c r="E1211" s="10">
        <v>0.5</v>
      </c>
      <c r="F1211" s="13" t="s">
        <v>173</v>
      </c>
      <c r="G1211" s="9">
        <v>24.64</v>
      </c>
      <c r="H1211" s="9">
        <f t="shared" si="38"/>
        <v>12.32</v>
      </c>
      <c r="I1211" t="s">
        <v>179</v>
      </c>
      <c r="J1211" s="33" t="s">
        <v>492</v>
      </c>
      <c r="K1211" s="18">
        <f>VLOOKUP(D1211,Ingredients!C:G,5,0)</f>
        <v>20.059999999999999</v>
      </c>
      <c r="L1211" s="52">
        <f t="shared" si="37"/>
        <v>10.029999999999999</v>
      </c>
    </row>
    <row r="1212" spans="1:12">
      <c r="A1212" t="s">
        <v>325</v>
      </c>
      <c r="B1212" t="s">
        <v>349</v>
      </c>
      <c r="C1212" t="s">
        <v>352</v>
      </c>
      <c r="D1212" s="3" t="s">
        <v>853</v>
      </c>
      <c r="E1212" s="10">
        <v>1.1666666666666667E-2</v>
      </c>
      <c r="F1212" s="7" t="s">
        <v>179</v>
      </c>
      <c r="G1212" s="9">
        <v>30</v>
      </c>
      <c r="H1212" s="9">
        <f t="shared" si="38"/>
        <v>0.35000000000000003</v>
      </c>
      <c r="I1212" t="s">
        <v>179</v>
      </c>
      <c r="J1212" s="33" t="s">
        <v>492</v>
      </c>
      <c r="K1212" s="18">
        <f>VLOOKUP(D1212,Ingredients!C:G,5,0)</f>
        <v>55</v>
      </c>
      <c r="L1212" s="52">
        <f t="shared" si="37"/>
        <v>0.64166666666666672</v>
      </c>
    </row>
    <row r="1213" spans="1:12">
      <c r="A1213" t="s">
        <v>325</v>
      </c>
      <c r="B1213" t="s">
        <v>349</v>
      </c>
      <c r="C1213" t="s">
        <v>352</v>
      </c>
      <c r="D1213" s="3" t="s">
        <v>879</v>
      </c>
      <c r="E1213" s="10">
        <v>1.6666666666666666E-2</v>
      </c>
      <c r="F1213" s="7" t="s">
        <v>179</v>
      </c>
      <c r="G1213" s="9">
        <v>1113.51</v>
      </c>
      <c r="H1213" s="9">
        <f t="shared" si="38"/>
        <v>18.558499999999999</v>
      </c>
      <c r="I1213" t="s">
        <v>179</v>
      </c>
      <c r="J1213" s="33" t="s">
        <v>492</v>
      </c>
      <c r="K1213" s="18">
        <f>VLOOKUP(D1213,Ingredients!C:G,5,0)</f>
        <v>1066.33</v>
      </c>
      <c r="L1213" s="52">
        <f t="shared" si="37"/>
        <v>17.772166666666664</v>
      </c>
    </row>
    <row r="1214" spans="1:12">
      <c r="A1214" t="s">
        <v>325</v>
      </c>
      <c r="B1214" t="s">
        <v>349</v>
      </c>
      <c r="C1214" t="s">
        <v>352</v>
      </c>
      <c r="D1214" s="3" t="s">
        <v>872</v>
      </c>
      <c r="E1214" s="10">
        <v>1.6666666666666666E-2</v>
      </c>
      <c r="F1214" s="7" t="s">
        <v>179</v>
      </c>
      <c r="G1214" s="9">
        <v>2100</v>
      </c>
      <c r="H1214" s="9">
        <f t="shared" si="38"/>
        <v>35</v>
      </c>
      <c r="I1214" t="s">
        <v>179</v>
      </c>
      <c r="J1214" s="33" t="s">
        <v>492</v>
      </c>
      <c r="K1214" s="18">
        <f>VLOOKUP(D1214,Ingredients!C:G,5,0)</f>
        <v>2150</v>
      </c>
      <c r="L1214" s="52">
        <f t="shared" si="37"/>
        <v>35.833333333333336</v>
      </c>
    </row>
    <row r="1215" spans="1:12">
      <c r="A1215" t="s">
        <v>325</v>
      </c>
      <c r="B1215" t="s">
        <v>349</v>
      </c>
      <c r="C1215" t="s">
        <v>352</v>
      </c>
      <c r="D1215" s="3" t="s">
        <v>852</v>
      </c>
      <c r="E1215" s="10">
        <v>8.3333333333333332E-3</v>
      </c>
      <c r="F1215" s="7" t="s">
        <v>179</v>
      </c>
      <c r="G1215" s="9">
        <v>520.63</v>
      </c>
      <c r="H1215" s="9">
        <f t="shared" si="38"/>
        <v>4.3385833333333332</v>
      </c>
      <c r="I1215" t="s">
        <v>179</v>
      </c>
      <c r="J1215" s="33" t="s">
        <v>492</v>
      </c>
      <c r="K1215" s="18">
        <v>550</v>
      </c>
      <c r="L1215" s="52">
        <f t="shared" si="37"/>
        <v>4.583333333333333</v>
      </c>
    </row>
    <row r="1216" spans="1:12">
      <c r="A1216" t="s">
        <v>325</v>
      </c>
      <c r="B1216" t="s">
        <v>349</v>
      </c>
      <c r="C1216" t="s">
        <v>352</v>
      </c>
      <c r="D1216" s="3" t="s">
        <v>16</v>
      </c>
      <c r="E1216" s="10">
        <v>8.3333333333333332E-3</v>
      </c>
      <c r="F1216" s="7" t="s">
        <v>179</v>
      </c>
      <c r="G1216" s="9">
        <v>270</v>
      </c>
      <c r="H1216" s="9">
        <f t="shared" si="38"/>
        <v>2.25</v>
      </c>
      <c r="I1216" t="s">
        <v>179</v>
      </c>
      <c r="J1216" s="33" t="s">
        <v>492</v>
      </c>
      <c r="K1216" s="18">
        <f>VLOOKUP(D1216,Ingredients!C:G,5,0)</f>
        <v>310</v>
      </c>
      <c r="L1216" s="52">
        <f t="shared" si="37"/>
        <v>2.5833333333333335</v>
      </c>
    </row>
    <row r="1217" spans="1:12">
      <c r="A1217" t="s">
        <v>325</v>
      </c>
      <c r="B1217" t="s">
        <v>349</v>
      </c>
      <c r="C1217" t="s">
        <v>352</v>
      </c>
      <c r="D1217" s="3" t="s">
        <v>23</v>
      </c>
      <c r="E1217" s="10">
        <v>8.3333333333333332E-3</v>
      </c>
      <c r="F1217" s="7" t="s">
        <v>179</v>
      </c>
      <c r="G1217" s="9">
        <v>740</v>
      </c>
      <c r="H1217" s="9">
        <f t="shared" si="38"/>
        <v>6.166666666666667</v>
      </c>
      <c r="I1217" t="s">
        <v>179</v>
      </c>
      <c r="J1217" s="33" t="s">
        <v>492</v>
      </c>
      <c r="K1217" s="18">
        <f>VLOOKUP(D1217,Ingredients!C:G,5,0)</f>
        <v>780</v>
      </c>
      <c r="L1217" s="52">
        <f t="shared" si="37"/>
        <v>6.5</v>
      </c>
    </row>
    <row r="1218" spans="1:12">
      <c r="A1218" t="s">
        <v>325</v>
      </c>
      <c r="B1218" t="s">
        <v>349</v>
      </c>
      <c r="C1218" t="s">
        <v>352</v>
      </c>
      <c r="D1218" s="3" t="s">
        <v>901</v>
      </c>
      <c r="E1218" s="10">
        <v>0.5</v>
      </c>
      <c r="F1218" s="7" t="s">
        <v>190</v>
      </c>
      <c r="G1218" s="9">
        <v>73</v>
      </c>
      <c r="H1218" s="9">
        <f t="shared" si="38"/>
        <v>36.5</v>
      </c>
      <c r="I1218" t="s">
        <v>179</v>
      </c>
      <c r="J1218" s="33" t="s">
        <v>492</v>
      </c>
      <c r="K1218" s="18">
        <f>VLOOKUP(D1218,Ingredients!C:G,5,0)</f>
        <v>73</v>
      </c>
      <c r="L1218" s="52">
        <f t="shared" si="37"/>
        <v>36.5</v>
      </c>
    </row>
    <row r="1219" spans="1:12">
      <c r="A1219" t="s">
        <v>325</v>
      </c>
      <c r="B1219" t="s">
        <v>349</v>
      </c>
      <c r="C1219" t="s">
        <v>352</v>
      </c>
      <c r="D1219" s="3" t="s">
        <v>853</v>
      </c>
      <c r="E1219" s="10">
        <v>1.1666666666666667E-2</v>
      </c>
      <c r="F1219" s="7" t="s">
        <v>176</v>
      </c>
      <c r="G1219" s="9">
        <v>30</v>
      </c>
      <c r="H1219" s="9">
        <f t="shared" si="38"/>
        <v>0.35000000000000003</v>
      </c>
      <c r="I1219" t="s">
        <v>179</v>
      </c>
      <c r="J1219" s="33" t="s">
        <v>492</v>
      </c>
      <c r="K1219" s="18">
        <f>VLOOKUP(D1219,Ingredients!C:G,5,0)</f>
        <v>55</v>
      </c>
      <c r="L1219" s="52">
        <f t="shared" si="37"/>
        <v>0.64166666666666672</v>
      </c>
    </row>
    <row r="1220" spans="1:12">
      <c r="A1220" t="s">
        <v>325</v>
      </c>
      <c r="B1220" t="s">
        <v>349</v>
      </c>
      <c r="C1220" t="s">
        <v>352</v>
      </c>
      <c r="D1220" s="3" t="s">
        <v>879</v>
      </c>
      <c r="E1220" s="10">
        <v>1.1666666666666667E-2</v>
      </c>
      <c r="F1220" s="7" t="s">
        <v>176</v>
      </c>
      <c r="G1220" s="9">
        <v>1113.51</v>
      </c>
      <c r="H1220" s="9">
        <f t="shared" si="38"/>
        <v>12.99095</v>
      </c>
      <c r="I1220" t="s">
        <v>179</v>
      </c>
      <c r="J1220" s="33" t="s">
        <v>492</v>
      </c>
      <c r="K1220" s="18">
        <f>VLOOKUP(D1220,Ingredients!C:G,5,0)</f>
        <v>1066.33</v>
      </c>
      <c r="L1220" s="52">
        <f t="shared" ref="L1220:L1283" si="39">K1220*E1220</f>
        <v>12.440516666666666</v>
      </c>
    </row>
    <row r="1221" spans="1:12">
      <c r="A1221" t="s">
        <v>325</v>
      </c>
      <c r="B1221" t="s">
        <v>349</v>
      </c>
      <c r="C1221" t="s">
        <v>352</v>
      </c>
      <c r="D1221" s="3" t="s">
        <v>872</v>
      </c>
      <c r="E1221" s="10">
        <v>1.1666666666666667E-2</v>
      </c>
      <c r="F1221" s="7" t="s">
        <v>176</v>
      </c>
      <c r="G1221" s="9">
        <v>2100</v>
      </c>
      <c r="H1221" s="9">
        <f t="shared" si="38"/>
        <v>24.5</v>
      </c>
      <c r="I1221" t="s">
        <v>179</v>
      </c>
      <c r="J1221" s="33" t="s">
        <v>492</v>
      </c>
      <c r="K1221" s="18">
        <f>VLOOKUP(D1221,Ingredients!C:G,5,0)</f>
        <v>2150</v>
      </c>
      <c r="L1221" s="52">
        <f t="shared" si="39"/>
        <v>25.083333333333336</v>
      </c>
    </row>
    <row r="1222" spans="1:12">
      <c r="A1222" t="s">
        <v>325</v>
      </c>
      <c r="B1222" t="s">
        <v>349</v>
      </c>
      <c r="C1222" t="s">
        <v>352</v>
      </c>
      <c r="D1222" s="3" t="s">
        <v>856</v>
      </c>
      <c r="E1222" s="10">
        <v>1.1666666666666667E-2</v>
      </c>
      <c r="F1222" s="7" t="s">
        <v>176</v>
      </c>
      <c r="G1222" s="9">
        <v>850</v>
      </c>
      <c r="H1222" s="9">
        <f t="shared" si="38"/>
        <v>9.9166666666666679</v>
      </c>
      <c r="I1222" t="s">
        <v>179</v>
      </c>
      <c r="J1222" s="33" t="s">
        <v>492</v>
      </c>
      <c r="K1222" s="18">
        <f>VLOOKUP(D1222,Ingredients!C:G,5,0)</f>
        <v>980</v>
      </c>
      <c r="L1222" s="52">
        <f t="shared" si="39"/>
        <v>11.433333333333334</v>
      </c>
    </row>
    <row r="1223" spans="1:12">
      <c r="A1223" t="s">
        <v>325</v>
      </c>
      <c r="B1223" t="s">
        <v>349</v>
      </c>
      <c r="C1223" t="s">
        <v>352</v>
      </c>
      <c r="D1223" s="3" t="s">
        <v>95</v>
      </c>
      <c r="E1223" s="10">
        <v>1.6666666666666666E-2</v>
      </c>
      <c r="F1223" s="7" t="s">
        <v>176</v>
      </c>
      <c r="G1223" s="9">
        <v>140</v>
      </c>
      <c r="H1223" s="9">
        <f t="shared" si="38"/>
        <v>2.3333333333333335</v>
      </c>
      <c r="I1223" t="s">
        <v>179</v>
      </c>
      <c r="J1223" s="33" t="s">
        <v>492</v>
      </c>
      <c r="K1223" s="18">
        <f>VLOOKUP(D1223,Ingredients!C:G,5,0)</f>
        <v>90</v>
      </c>
      <c r="L1223" s="52">
        <f t="shared" si="39"/>
        <v>1.5</v>
      </c>
    </row>
    <row r="1224" spans="1:12">
      <c r="A1224" t="s">
        <v>325</v>
      </c>
      <c r="B1224" t="s">
        <v>349</v>
      </c>
      <c r="C1224" t="s">
        <v>352</v>
      </c>
      <c r="D1224" s="3" t="s">
        <v>24</v>
      </c>
      <c r="E1224" s="10">
        <v>2.4999999999999998E-2</v>
      </c>
      <c r="F1224" s="7" t="s">
        <v>176</v>
      </c>
      <c r="G1224" s="9">
        <v>55</v>
      </c>
      <c r="H1224" s="9">
        <f t="shared" si="38"/>
        <v>1.3749999999999998</v>
      </c>
      <c r="I1224" t="s">
        <v>179</v>
      </c>
      <c r="J1224" s="33" t="s">
        <v>492</v>
      </c>
      <c r="K1224" s="18">
        <f>VLOOKUP(D1224,Ingredients!C:G,5,0)</f>
        <v>80</v>
      </c>
      <c r="L1224" s="52">
        <f t="shared" si="39"/>
        <v>1.9999999999999998</v>
      </c>
    </row>
    <row r="1225" spans="1:12">
      <c r="A1225" t="s">
        <v>325</v>
      </c>
      <c r="B1225" t="s">
        <v>349</v>
      </c>
      <c r="C1225" t="s">
        <v>352</v>
      </c>
      <c r="D1225" s="3" t="s">
        <v>940</v>
      </c>
      <c r="E1225" s="10">
        <v>1.6666666666666666E-2</v>
      </c>
      <c r="F1225" s="7" t="s">
        <v>176</v>
      </c>
      <c r="G1225" s="9">
        <v>3000</v>
      </c>
      <c r="H1225" s="9">
        <f t="shared" si="38"/>
        <v>50</v>
      </c>
      <c r="I1225" t="s">
        <v>179</v>
      </c>
      <c r="J1225" s="33" t="s">
        <v>492</v>
      </c>
      <c r="K1225" s="18">
        <f>VLOOKUP(D1225,Ingredients!C:G,5,0)</f>
        <v>2900</v>
      </c>
      <c r="L1225" s="52">
        <f t="shared" si="39"/>
        <v>48.333333333333336</v>
      </c>
    </row>
    <row r="1226" spans="1:12">
      <c r="A1226" t="s">
        <v>328</v>
      </c>
      <c r="B1226" t="s">
        <v>349</v>
      </c>
      <c r="C1226" t="s">
        <v>351</v>
      </c>
      <c r="D1226" s="3" t="s">
        <v>428</v>
      </c>
      <c r="E1226" s="10">
        <v>1</v>
      </c>
      <c r="F1226" s="7" t="s">
        <v>176</v>
      </c>
      <c r="G1226" s="9">
        <v>1600</v>
      </c>
      <c r="H1226" s="9">
        <f t="shared" si="38"/>
        <v>1600</v>
      </c>
      <c r="I1226" t="s">
        <v>179</v>
      </c>
      <c r="J1226" s="33" t="s">
        <v>428</v>
      </c>
      <c r="K1226" s="18">
        <f>VLOOKUP(D1226,Ingredients!C:G,5,0)</f>
        <v>1514.78</v>
      </c>
      <c r="L1226" s="52">
        <f t="shared" si="39"/>
        <v>1514.78</v>
      </c>
    </row>
    <row r="1227" spans="1:12">
      <c r="A1227" t="s">
        <v>328</v>
      </c>
      <c r="B1227" t="s">
        <v>349</v>
      </c>
      <c r="C1227" t="s">
        <v>351</v>
      </c>
      <c r="D1227" s="3" t="s">
        <v>866</v>
      </c>
      <c r="E1227" s="10">
        <v>0.05</v>
      </c>
      <c r="F1227" s="7" t="s">
        <v>176</v>
      </c>
      <c r="G1227" s="9">
        <v>153.97999999999999</v>
      </c>
      <c r="H1227" s="9">
        <f t="shared" si="38"/>
        <v>7.6989999999999998</v>
      </c>
      <c r="I1227" t="s">
        <v>179</v>
      </c>
      <c r="J1227" s="33" t="s">
        <v>428</v>
      </c>
      <c r="K1227" s="18">
        <f>VLOOKUP(D1227,Ingredients!C:G,5,0)</f>
        <v>142.13999999999999</v>
      </c>
      <c r="L1227" s="52">
        <f t="shared" si="39"/>
        <v>7.1069999999999993</v>
      </c>
    </row>
    <row r="1228" spans="1:12">
      <c r="A1228" t="s">
        <v>328</v>
      </c>
      <c r="B1228" t="s">
        <v>349</v>
      </c>
      <c r="C1228" t="s">
        <v>351</v>
      </c>
      <c r="D1228" s="3" t="s">
        <v>835</v>
      </c>
      <c r="E1228" s="10">
        <v>0.05</v>
      </c>
      <c r="F1228" s="7" t="s">
        <v>176</v>
      </c>
      <c r="G1228" s="9">
        <v>389.34</v>
      </c>
      <c r="H1228" s="9">
        <f t="shared" si="38"/>
        <v>19.466999999999999</v>
      </c>
      <c r="I1228" t="s">
        <v>179</v>
      </c>
      <c r="J1228" s="33" t="s">
        <v>428</v>
      </c>
      <c r="K1228" s="18">
        <f>VLOOKUP(D1228,Ingredients!C:G,5,0)</f>
        <v>394.63</v>
      </c>
      <c r="L1228" s="52">
        <f t="shared" si="39"/>
        <v>19.7315</v>
      </c>
    </row>
    <row r="1229" spans="1:12">
      <c r="A1229" t="s">
        <v>328</v>
      </c>
      <c r="B1229" t="s">
        <v>349</v>
      </c>
      <c r="C1229" t="s">
        <v>351</v>
      </c>
      <c r="D1229" s="3" t="s">
        <v>186</v>
      </c>
      <c r="E1229" s="10">
        <v>1.4999999999999999E-2</v>
      </c>
      <c r="F1229" s="7" t="s">
        <v>176</v>
      </c>
      <c r="G1229" s="9">
        <v>1500</v>
      </c>
      <c r="H1229" s="9">
        <f t="shared" si="38"/>
        <v>22.5</v>
      </c>
      <c r="I1229" t="s">
        <v>179</v>
      </c>
      <c r="J1229" s="33" t="s">
        <v>428</v>
      </c>
      <c r="K1229" s="18">
        <f>VLOOKUP(D1229,Ingredients!C:G,5,0)</f>
        <v>1400</v>
      </c>
      <c r="L1229" s="52">
        <f t="shared" si="39"/>
        <v>21</v>
      </c>
    </row>
    <row r="1230" spans="1:12">
      <c r="A1230" t="s">
        <v>328</v>
      </c>
      <c r="B1230" t="s">
        <v>349</v>
      </c>
      <c r="C1230" t="s">
        <v>351</v>
      </c>
      <c r="D1230" s="3" t="s">
        <v>23</v>
      </c>
      <c r="E1230" s="10">
        <v>5.000000000000001E-3</v>
      </c>
      <c r="F1230" s="7" t="s">
        <v>176</v>
      </c>
      <c r="G1230" s="9">
        <v>740</v>
      </c>
      <c r="H1230" s="9">
        <f t="shared" si="38"/>
        <v>3.7000000000000006</v>
      </c>
      <c r="I1230" t="s">
        <v>179</v>
      </c>
      <c r="J1230" s="33" t="s">
        <v>428</v>
      </c>
      <c r="K1230" s="18">
        <f>VLOOKUP(D1230,Ingredients!C:G,5,0)</f>
        <v>780</v>
      </c>
      <c r="L1230" s="52">
        <f t="shared" si="39"/>
        <v>3.9000000000000008</v>
      </c>
    </row>
    <row r="1231" spans="1:12">
      <c r="A1231" t="s">
        <v>328</v>
      </c>
      <c r="B1231" t="s">
        <v>349</v>
      </c>
      <c r="C1231" t="s">
        <v>351</v>
      </c>
      <c r="D1231" s="3" t="s">
        <v>16</v>
      </c>
      <c r="E1231" s="10">
        <v>5.000000000000001E-3</v>
      </c>
      <c r="F1231" s="7" t="s">
        <v>176</v>
      </c>
      <c r="G1231" s="9">
        <v>270</v>
      </c>
      <c r="H1231" s="9">
        <f t="shared" si="38"/>
        <v>1.3500000000000003</v>
      </c>
      <c r="I1231" t="s">
        <v>179</v>
      </c>
      <c r="J1231" s="33" t="s">
        <v>428</v>
      </c>
      <c r="K1231" s="18">
        <f>VLOOKUP(D1231,Ingredients!C:G,5,0)</f>
        <v>310</v>
      </c>
      <c r="L1231" s="52">
        <f t="shared" si="39"/>
        <v>1.5500000000000003</v>
      </c>
    </row>
    <row r="1232" spans="1:12">
      <c r="A1232" t="s">
        <v>328</v>
      </c>
      <c r="B1232" t="s">
        <v>349</v>
      </c>
      <c r="C1232" t="s">
        <v>351</v>
      </c>
      <c r="D1232" s="3" t="s">
        <v>854</v>
      </c>
      <c r="E1232" s="10">
        <v>0.70000000000000007</v>
      </c>
      <c r="F1232" s="13" t="s">
        <v>173</v>
      </c>
      <c r="G1232" s="9">
        <v>24.64</v>
      </c>
      <c r="H1232" s="9">
        <f t="shared" si="38"/>
        <v>17.248000000000001</v>
      </c>
      <c r="I1232" t="s">
        <v>179</v>
      </c>
      <c r="J1232" s="33" t="s">
        <v>428</v>
      </c>
      <c r="K1232" s="18">
        <f>VLOOKUP(D1232,Ingredients!C:G,5,0)</f>
        <v>20.059999999999999</v>
      </c>
      <c r="L1232" s="52">
        <f t="shared" si="39"/>
        <v>14.042</v>
      </c>
    </row>
    <row r="1233" spans="1:12">
      <c r="A1233" t="s">
        <v>328</v>
      </c>
      <c r="B1233" t="s">
        <v>349</v>
      </c>
      <c r="C1233" t="s">
        <v>351</v>
      </c>
      <c r="D1233" s="3" t="s">
        <v>867</v>
      </c>
      <c r="E1233" s="10">
        <v>5.000000000000001E-3</v>
      </c>
      <c r="F1233" s="7" t="s">
        <v>179</v>
      </c>
      <c r="G1233" s="9">
        <v>900</v>
      </c>
      <c r="H1233" s="9">
        <f t="shared" si="38"/>
        <v>4.5000000000000009</v>
      </c>
      <c r="I1233" t="s">
        <v>179</v>
      </c>
      <c r="J1233" s="33" t="s">
        <v>428</v>
      </c>
      <c r="K1233" s="18">
        <f>VLOOKUP(D1233,Ingredients!C:G,5,0)</f>
        <v>950</v>
      </c>
      <c r="L1233" s="52">
        <f t="shared" si="39"/>
        <v>4.7500000000000009</v>
      </c>
    </row>
    <row r="1234" spans="1:12">
      <c r="A1234" t="s">
        <v>328</v>
      </c>
      <c r="B1234" t="s">
        <v>349</v>
      </c>
      <c r="C1234" t="s">
        <v>351</v>
      </c>
      <c r="D1234" s="3" t="s">
        <v>849</v>
      </c>
      <c r="E1234" s="10">
        <v>5.000000000000001E-3</v>
      </c>
      <c r="F1234" s="7" t="s">
        <v>179</v>
      </c>
      <c r="G1234" s="9">
        <v>1000</v>
      </c>
      <c r="H1234" s="9">
        <f t="shared" si="38"/>
        <v>5.0000000000000009</v>
      </c>
      <c r="I1234" t="s">
        <v>179</v>
      </c>
      <c r="J1234" s="33" t="s">
        <v>428</v>
      </c>
      <c r="K1234" s="18">
        <f>VLOOKUP(D1234,Ingredients!C:G,5,0)</f>
        <v>950</v>
      </c>
      <c r="L1234" s="52">
        <f t="shared" si="39"/>
        <v>4.7500000000000009</v>
      </c>
    </row>
    <row r="1235" spans="1:12">
      <c r="A1235" t="s">
        <v>328</v>
      </c>
      <c r="B1235" t="s">
        <v>349</v>
      </c>
      <c r="C1235" t="s">
        <v>351</v>
      </c>
      <c r="D1235" s="3" t="s">
        <v>887</v>
      </c>
      <c r="E1235" s="10">
        <v>1.0000000000000002E-2</v>
      </c>
      <c r="F1235" s="7" t="s">
        <v>179</v>
      </c>
      <c r="G1235" s="9">
        <v>1600</v>
      </c>
      <c r="H1235" s="9">
        <f t="shared" si="38"/>
        <v>16.000000000000004</v>
      </c>
      <c r="I1235" t="s">
        <v>179</v>
      </c>
      <c r="J1235" s="33" t="s">
        <v>428</v>
      </c>
      <c r="K1235" s="18">
        <f>VLOOKUP(D1235,Ingredients!C:G,5,0)</f>
        <v>1830</v>
      </c>
      <c r="L1235" s="52">
        <f t="shared" si="39"/>
        <v>18.300000000000004</v>
      </c>
    </row>
    <row r="1236" spans="1:12">
      <c r="A1236" t="s">
        <v>328</v>
      </c>
      <c r="B1236" t="s">
        <v>349</v>
      </c>
      <c r="C1236" t="s">
        <v>351</v>
      </c>
      <c r="D1236" s="3" t="s">
        <v>895</v>
      </c>
      <c r="E1236" s="10">
        <v>1.0000000000000002E-2</v>
      </c>
      <c r="F1236" s="7" t="s">
        <v>179</v>
      </c>
      <c r="G1236" s="9">
        <v>400</v>
      </c>
      <c r="H1236" s="9">
        <f t="shared" si="38"/>
        <v>4.0000000000000009</v>
      </c>
      <c r="I1236" t="s">
        <v>179</v>
      </c>
      <c r="J1236" s="33" t="s">
        <v>428</v>
      </c>
      <c r="K1236" s="18">
        <f>VLOOKUP(D1236,Ingredients!C:G,5,0)</f>
        <v>400</v>
      </c>
      <c r="L1236" s="52">
        <f t="shared" si="39"/>
        <v>4.0000000000000009</v>
      </c>
    </row>
    <row r="1237" spans="1:12">
      <c r="A1237" t="s">
        <v>328</v>
      </c>
      <c r="B1237" t="s">
        <v>349</v>
      </c>
      <c r="C1237" t="s">
        <v>351</v>
      </c>
      <c r="D1237" s="3" t="s">
        <v>853</v>
      </c>
      <c r="E1237" s="10">
        <v>1.0000000000000002E-2</v>
      </c>
      <c r="F1237" s="7" t="s">
        <v>179</v>
      </c>
      <c r="G1237" s="9">
        <v>30</v>
      </c>
      <c r="H1237" s="9">
        <f t="shared" si="38"/>
        <v>0.30000000000000004</v>
      </c>
      <c r="I1237" t="s">
        <v>179</v>
      </c>
      <c r="J1237" s="33" t="s">
        <v>428</v>
      </c>
      <c r="K1237" s="18">
        <f>VLOOKUP(D1237,Ingredients!C:G,5,0)</f>
        <v>55</v>
      </c>
      <c r="L1237" s="52">
        <f t="shared" si="39"/>
        <v>0.55000000000000016</v>
      </c>
    </row>
    <row r="1238" spans="1:12">
      <c r="A1238" t="s">
        <v>328</v>
      </c>
      <c r="B1238" t="s">
        <v>349</v>
      </c>
      <c r="C1238" t="s">
        <v>351</v>
      </c>
      <c r="D1238" s="3" t="s">
        <v>852</v>
      </c>
      <c r="E1238" s="10">
        <v>0.30000000000000004</v>
      </c>
      <c r="F1238" s="7" t="s">
        <v>317</v>
      </c>
      <c r="G1238" s="9">
        <v>520.63</v>
      </c>
      <c r="H1238" s="9">
        <f t="shared" si="38"/>
        <v>156.18900000000002</v>
      </c>
      <c r="I1238" t="s">
        <v>179</v>
      </c>
      <c r="J1238" s="33" t="s">
        <v>428</v>
      </c>
      <c r="K1238" s="18">
        <v>550</v>
      </c>
      <c r="L1238" s="52">
        <f t="shared" si="39"/>
        <v>165.00000000000003</v>
      </c>
    </row>
    <row r="1239" spans="1:12">
      <c r="A1239" t="s">
        <v>329</v>
      </c>
      <c r="B1239" t="s">
        <v>349</v>
      </c>
      <c r="C1239" t="s">
        <v>352</v>
      </c>
      <c r="D1239" s="33" t="s">
        <v>491</v>
      </c>
      <c r="E1239" s="10">
        <v>1</v>
      </c>
      <c r="F1239" s="7" t="s">
        <v>176</v>
      </c>
      <c r="G1239" s="9">
        <v>614</v>
      </c>
      <c r="H1239" s="9">
        <f t="shared" si="38"/>
        <v>614</v>
      </c>
      <c r="I1239" t="s">
        <v>179</v>
      </c>
      <c r="J1239" s="33" t="s">
        <v>491</v>
      </c>
      <c r="K1239" s="18">
        <f>VLOOKUP(D1239,Ingredients!C:G,5,0)</f>
        <v>650</v>
      </c>
      <c r="L1239" s="52">
        <f t="shared" si="39"/>
        <v>650</v>
      </c>
    </row>
    <row r="1240" spans="1:12">
      <c r="A1240" t="s">
        <v>329</v>
      </c>
      <c r="B1240" t="s">
        <v>349</v>
      </c>
      <c r="C1240" t="s">
        <v>352</v>
      </c>
      <c r="D1240" s="3" t="s">
        <v>852</v>
      </c>
      <c r="E1240" s="10">
        <v>6.25E-2</v>
      </c>
      <c r="F1240" s="7" t="s">
        <v>176</v>
      </c>
      <c r="G1240" s="9">
        <v>520.63</v>
      </c>
      <c r="H1240" s="9">
        <f t="shared" si="38"/>
        <v>32.539375</v>
      </c>
      <c r="I1240" t="s">
        <v>179</v>
      </c>
      <c r="J1240" s="33" t="s">
        <v>491</v>
      </c>
      <c r="K1240" s="18">
        <v>550</v>
      </c>
      <c r="L1240" s="52">
        <f t="shared" si="39"/>
        <v>34.375</v>
      </c>
    </row>
    <row r="1241" spans="1:12">
      <c r="A1241" t="s">
        <v>329</v>
      </c>
      <c r="B1241" t="s">
        <v>349</v>
      </c>
      <c r="C1241" t="s">
        <v>352</v>
      </c>
      <c r="D1241" s="3" t="s">
        <v>23</v>
      </c>
      <c r="E1241" s="10">
        <v>5.0000000000000001E-3</v>
      </c>
      <c r="F1241" s="7" t="s">
        <v>176</v>
      </c>
      <c r="G1241" s="9">
        <v>740</v>
      </c>
      <c r="H1241" s="9">
        <f t="shared" si="38"/>
        <v>3.7</v>
      </c>
      <c r="I1241" t="s">
        <v>179</v>
      </c>
      <c r="J1241" s="33" t="s">
        <v>491</v>
      </c>
      <c r="K1241" s="18">
        <f>VLOOKUP(D1241,Ingredients!C:G,5,0)</f>
        <v>780</v>
      </c>
      <c r="L1241" s="52">
        <f t="shared" si="39"/>
        <v>3.9</v>
      </c>
    </row>
    <row r="1242" spans="1:12">
      <c r="A1242" t="s">
        <v>329</v>
      </c>
      <c r="B1242" t="s">
        <v>349</v>
      </c>
      <c r="C1242" t="s">
        <v>352</v>
      </c>
      <c r="D1242" s="3" t="s">
        <v>16</v>
      </c>
      <c r="E1242" s="10">
        <v>5.0000000000000001E-3</v>
      </c>
      <c r="F1242" s="7" t="s">
        <v>176</v>
      </c>
      <c r="G1242" s="9">
        <v>270</v>
      </c>
      <c r="H1242" s="9">
        <f t="shared" si="38"/>
        <v>1.35</v>
      </c>
      <c r="I1242" t="s">
        <v>179</v>
      </c>
      <c r="J1242" s="33" t="s">
        <v>491</v>
      </c>
      <c r="K1242" s="18">
        <f>VLOOKUP(D1242,Ingredients!C:G,5,0)</f>
        <v>310</v>
      </c>
      <c r="L1242" s="52">
        <f t="shared" si="39"/>
        <v>1.55</v>
      </c>
    </row>
    <row r="1243" spans="1:12">
      <c r="A1243" t="s">
        <v>329</v>
      </c>
      <c r="B1243" t="s">
        <v>349</v>
      </c>
      <c r="C1243" t="s">
        <v>352</v>
      </c>
      <c r="D1243" s="3" t="s">
        <v>23</v>
      </c>
      <c r="E1243" s="10">
        <v>1.2500000000000001E-2</v>
      </c>
      <c r="F1243" s="7" t="s">
        <v>176</v>
      </c>
      <c r="G1243" s="9">
        <v>740</v>
      </c>
      <c r="H1243" s="9">
        <f t="shared" si="38"/>
        <v>9.25</v>
      </c>
      <c r="I1243" t="s">
        <v>179</v>
      </c>
      <c r="J1243" s="33" t="s">
        <v>491</v>
      </c>
      <c r="K1243" s="18">
        <f>VLOOKUP(D1243,Ingredients!C:G,5,0)</f>
        <v>780</v>
      </c>
      <c r="L1243" s="52">
        <f t="shared" si="39"/>
        <v>9.75</v>
      </c>
    </row>
    <row r="1244" spans="1:12">
      <c r="A1244" t="s">
        <v>329</v>
      </c>
      <c r="B1244" t="s">
        <v>349</v>
      </c>
      <c r="C1244" t="s">
        <v>352</v>
      </c>
      <c r="D1244" s="3" t="s">
        <v>29</v>
      </c>
      <c r="E1244" s="10">
        <v>2.5000000000000001E-2</v>
      </c>
      <c r="F1244" s="7" t="s">
        <v>176</v>
      </c>
      <c r="G1244" s="9">
        <v>60</v>
      </c>
      <c r="H1244" s="9">
        <f t="shared" si="38"/>
        <v>1.5</v>
      </c>
      <c r="I1244" t="s">
        <v>179</v>
      </c>
      <c r="J1244" s="33" t="s">
        <v>491</v>
      </c>
      <c r="K1244" s="18">
        <f>VLOOKUP(D1244,Ingredients!C:G,5,0)</f>
        <v>100</v>
      </c>
      <c r="L1244" s="52">
        <f t="shared" si="39"/>
        <v>2.5</v>
      </c>
    </row>
    <row r="1245" spans="1:12">
      <c r="A1245" t="s">
        <v>329</v>
      </c>
      <c r="B1245" t="s">
        <v>349</v>
      </c>
      <c r="C1245" t="s">
        <v>352</v>
      </c>
      <c r="D1245" s="3" t="s">
        <v>853</v>
      </c>
      <c r="E1245" s="10">
        <v>1.2500000000000001E-2</v>
      </c>
      <c r="F1245" s="7" t="s">
        <v>176</v>
      </c>
      <c r="G1245" s="9">
        <v>30</v>
      </c>
      <c r="H1245" s="9">
        <f t="shared" si="38"/>
        <v>0.375</v>
      </c>
      <c r="I1245" t="s">
        <v>179</v>
      </c>
      <c r="J1245" s="33" t="s">
        <v>491</v>
      </c>
      <c r="K1245" s="18">
        <f>VLOOKUP(D1245,Ingredients!C:G,5,0)</f>
        <v>55</v>
      </c>
      <c r="L1245" s="52">
        <f t="shared" si="39"/>
        <v>0.6875</v>
      </c>
    </row>
    <row r="1246" spans="1:12">
      <c r="A1246" t="s">
        <v>329</v>
      </c>
      <c r="B1246" t="s">
        <v>349</v>
      </c>
      <c r="C1246" t="s">
        <v>352</v>
      </c>
      <c r="D1246" s="3" t="s">
        <v>879</v>
      </c>
      <c r="E1246" s="10">
        <v>0.01</v>
      </c>
      <c r="F1246" s="7" t="s">
        <v>176</v>
      </c>
      <c r="G1246" s="9">
        <v>1113.51</v>
      </c>
      <c r="H1246" s="9">
        <f t="shared" si="38"/>
        <v>11.1351</v>
      </c>
      <c r="I1246" t="s">
        <v>179</v>
      </c>
      <c r="J1246" s="33" t="s">
        <v>491</v>
      </c>
      <c r="K1246" s="18">
        <f>VLOOKUP(D1246,Ingredients!C:G,5,0)</f>
        <v>1066.33</v>
      </c>
      <c r="L1246" s="52">
        <f t="shared" si="39"/>
        <v>10.6633</v>
      </c>
    </row>
    <row r="1247" spans="1:12">
      <c r="A1247" t="s">
        <v>329</v>
      </c>
      <c r="B1247" t="s">
        <v>349</v>
      </c>
      <c r="C1247" t="s">
        <v>352</v>
      </c>
      <c r="D1247" s="3" t="s">
        <v>930</v>
      </c>
      <c r="E1247" s="10">
        <v>0.375</v>
      </c>
      <c r="F1247" s="7" t="s">
        <v>176</v>
      </c>
      <c r="G1247" s="9">
        <v>305</v>
      </c>
      <c r="H1247" s="9">
        <f t="shared" si="38"/>
        <v>114.375</v>
      </c>
      <c r="I1247" t="s">
        <v>179</v>
      </c>
      <c r="J1247" s="33" t="s">
        <v>491</v>
      </c>
      <c r="K1247" s="18">
        <f>VLOOKUP(D1247,Ingredients!C:G,5,0)</f>
        <v>300</v>
      </c>
      <c r="L1247" s="52">
        <f t="shared" si="39"/>
        <v>112.5</v>
      </c>
    </row>
    <row r="1248" spans="1:12">
      <c r="A1248" t="s">
        <v>329</v>
      </c>
      <c r="B1248" t="s">
        <v>349</v>
      </c>
      <c r="C1248" t="s">
        <v>352</v>
      </c>
      <c r="D1248" s="3" t="s">
        <v>851</v>
      </c>
      <c r="E1248" s="10">
        <v>0.05</v>
      </c>
      <c r="F1248" s="13" t="s">
        <v>176</v>
      </c>
      <c r="G1248" s="9">
        <v>177</v>
      </c>
      <c r="H1248" s="9">
        <f t="shared" si="38"/>
        <v>8.85</v>
      </c>
      <c r="I1248" t="s">
        <v>179</v>
      </c>
      <c r="J1248" s="33" t="s">
        <v>491</v>
      </c>
      <c r="K1248" s="18">
        <f>VLOOKUP(D1248,Ingredients!C:G,5,0)</f>
        <v>920</v>
      </c>
      <c r="L1248" s="52">
        <f t="shared" si="39"/>
        <v>46</v>
      </c>
    </row>
    <row r="1249" spans="1:12">
      <c r="A1249" t="s">
        <v>330</v>
      </c>
      <c r="B1249" t="s">
        <v>349</v>
      </c>
      <c r="C1249" t="s">
        <v>352</v>
      </c>
      <c r="D1249" s="3" t="s">
        <v>837</v>
      </c>
      <c r="E1249" s="10">
        <v>1</v>
      </c>
      <c r="F1249" s="7" t="s">
        <v>176</v>
      </c>
      <c r="G1249" s="9">
        <v>1700</v>
      </c>
      <c r="H1249" s="9">
        <f t="shared" si="38"/>
        <v>1700</v>
      </c>
      <c r="I1249" t="s">
        <v>179</v>
      </c>
      <c r="J1249" s="33" t="s">
        <v>514</v>
      </c>
      <c r="K1249" s="18">
        <f>VLOOKUP(D1249,Ingredients!C:G,5,0)</f>
        <v>1800</v>
      </c>
      <c r="L1249" s="52">
        <f t="shared" si="39"/>
        <v>1800</v>
      </c>
    </row>
    <row r="1250" spans="1:12">
      <c r="A1250" t="s">
        <v>330</v>
      </c>
      <c r="B1250" t="s">
        <v>349</v>
      </c>
      <c r="C1250" t="s">
        <v>352</v>
      </c>
      <c r="D1250" s="3" t="s">
        <v>852</v>
      </c>
      <c r="E1250" s="10">
        <v>0.1</v>
      </c>
      <c r="F1250" s="7" t="s">
        <v>176</v>
      </c>
      <c r="G1250" s="9">
        <v>520.63</v>
      </c>
      <c r="H1250" s="9">
        <f t="shared" si="38"/>
        <v>52.063000000000002</v>
      </c>
      <c r="I1250" t="s">
        <v>179</v>
      </c>
      <c r="J1250" s="33" t="s">
        <v>514</v>
      </c>
      <c r="K1250" s="18">
        <v>550</v>
      </c>
      <c r="L1250" s="52">
        <f t="shared" si="39"/>
        <v>55</v>
      </c>
    </row>
    <row r="1251" spans="1:12">
      <c r="A1251" t="s">
        <v>330</v>
      </c>
      <c r="B1251" t="s">
        <v>349</v>
      </c>
      <c r="C1251" t="s">
        <v>352</v>
      </c>
      <c r="D1251" s="3" t="s">
        <v>867</v>
      </c>
      <c r="E1251" s="10">
        <v>1.4999999999999999E-2</v>
      </c>
      <c r="F1251" s="7" t="s">
        <v>176</v>
      </c>
      <c r="G1251" s="9">
        <v>900</v>
      </c>
      <c r="H1251" s="9">
        <f t="shared" si="38"/>
        <v>13.5</v>
      </c>
      <c r="I1251" t="s">
        <v>179</v>
      </c>
      <c r="J1251" s="33" t="s">
        <v>514</v>
      </c>
      <c r="K1251" s="18">
        <f>VLOOKUP(D1251,Ingredients!C:G,5,0)</f>
        <v>950</v>
      </c>
      <c r="L1251" s="52">
        <f t="shared" si="39"/>
        <v>14.25</v>
      </c>
    </row>
    <row r="1252" spans="1:12">
      <c r="A1252" t="s">
        <v>330</v>
      </c>
      <c r="B1252" t="s">
        <v>349</v>
      </c>
      <c r="C1252" t="s">
        <v>352</v>
      </c>
      <c r="D1252" s="3" t="s">
        <v>849</v>
      </c>
      <c r="E1252" s="10">
        <v>1.4999999999999999E-2</v>
      </c>
      <c r="F1252" s="7" t="s">
        <v>176</v>
      </c>
      <c r="G1252" s="9">
        <v>1000</v>
      </c>
      <c r="H1252" s="9">
        <f t="shared" si="38"/>
        <v>15</v>
      </c>
      <c r="I1252" t="s">
        <v>179</v>
      </c>
      <c r="J1252" s="33" t="s">
        <v>514</v>
      </c>
      <c r="K1252" s="18">
        <f>VLOOKUP(D1252,Ingredients!C:G,5,0)</f>
        <v>950</v>
      </c>
      <c r="L1252" s="52">
        <f t="shared" si="39"/>
        <v>14.25</v>
      </c>
    </row>
    <row r="1253" spans="1:12">
      <c r="A1253" t="s">
        <v>330</v>
      </c>
      <c r="B1253" t="s">
        <v>349</v>
      </c>
      <c r="C1253" t="s">
        <v>352</v>
      </c>
      <c r="D1253" s="3" t="s">
        <v>895</v>
      </c>
      <c r="E1253" s="10">
        <v>0.06</v>
      </c>
      <c r="F1253" s="7" t="s">
        <v>176</v>
      </c>
      <c r="G1253" s="9">
        <v>400</v>
      </c>
      <c r="H1253" s="9">
        <f t="shared" si="38"/>
        <v>24</v>
      </c>
      <c r="I1253" t="s">
        <v>179</v>
      </c>
      <c r="J1253" s="33" t="s">
        <v>514</v>
      </c>
      <c r="K1253" s="18">
        <f>VLOOKUP(D1253,Ingredients!C:G,5,0)</f>
        <v>400</v>
      </c>
      <c r="L1253" s="52">
        <f t="shared" si="39"/>
        <v>24</v>
      </c>
    </row>
    <row r="1254" spans="1:12">
      <c r="A1254" t="s">
        <v>330</v>
      </c>
      <c r="B1254" t="s">
        <v>349</v>
      </c>
      <c r="C1254" t="s">
        <v>352</v>
      </c>
      <c r="D1254" s="3" t="s">
        <v>887</v>
      </c>
      <c r="E1254" s="10">
        <v>0.06</v>
      </c>
      <c r="F1254" s="7" t="s">
        <v>176</v>
      </c>
      <c r="G1254" s="9">
        <v>1600</v>
      </c>
      <c r="H1254" s="9">
        <f t="shared" si="38"/>
        <v>96</v>
      </c>
      <c r="I1254" t="s">
        <v>179</v>
      </c>
      <c r="J1254" s="33" t="s">
        <v>514</v>
      </c>
      <c r="K1254" s="18">
        <f>VLOOKUP(D1254,Ingredients!C:G,5,0)</f>
        <v>1830</v>
      </c>
      <c r="L1254" s="52">
        <f t="shared" si="39"/>
        <v>109.8</v>
      </c>
    </row>
    <row r="1255" spans="1:12">
      <c r="A1255" t="s">
        <v>330</v>
      </c>
      <c r="B1255" t="s">
        <v>349</v>
      </c>
      <c r="C1255" t="s">
        <v>352</v>
      </c>
      <c r="D1255" s="3" t="s">
        <v>880</v>
      </c>
      <c r="E1255" s="10">
        <v>1.4999999999999999E-2</v>
      </c>
      <c r="F1255" s="7" t="s">
        <v>176</v>
      </c>
      <c r="G1255" s="9">
        <v>650</v>
      </c>
      <c r="H1255" s="9">
        <f t="shared" si="38"/>
        <v>9.75</v>
      </c>
      <c r="I1255" t="s">
        <v>179</v>
      </c>
      <c r="J1255" s="33" t="s">
        <v>514</v>
      </c>
      <c r="K1255" s="18">
        <f>VLOOKUP(D1255,Ingredients!C:G,5,0)</f>
        <v>520</v>
      </c>
      <c r="L1255" s="52">
        <f t="shared" si="39"/>
        <v>7.8</v>
      </c>
    </row>
    <row r="1256" spans="1:12">
      <c r="A1256" t="s">
        <v>330</v>
      </c>
      <c r="B1256" t="s">
        <v>349</v>
      </c>
      <c r="C1256" t="s">
        <v>352</v>
      </c>
      <c r="D1256" s="3" t="s">
        <v>171</v>
      </c>
      <c r="E1256" s="10">
        <v>0.30000000000000004</v>
      </c>
      <c r="F1256" s="7" t="s">
        <v>176</v>
      </c>
      <c r="G1256" s="9">
        <v>65</v>
      </c>
      <c r="H1256" s="9">
        <f t="shared" si="38"/>
        <v>19.500000000000004</v>
      </c>
      <c r="I1256" t="s">
        <v>179</v>
      </c>
      <c r="J1256" s="33" t="s">
        <v>514</v>
      </c>
      <c r="K1256" s="18">
        <f>VLOOKUP(D1256,Ingredients!C:G,5,0)</f>
        <v>80</v>
      </c>
      <c r="L1256" s="52">
        <f t="shared" si="39"/>
        <v>24.000000000000004</v>
      </c>
    </row>
    <row r="1257" spans="1:12">
      <c r="A1257" t="s">
        <v>330</v>
      </c>
      <c r="B1257" t="s">
        <v>349</v>
      </c>
      <c r="C1257" t="s">
        <v>352</v>
      </c>
      <c r="D1257" s="3" t="s">
        <v>23</v>
      </c>
      <c r="E1257" s="4">
        <v>0.02</v>
      </c>
      <c r="F1257" s="4" t="s">
        <v>176</v>
      </c>
      <c r="G1257" s="9">
        <v>740</v>
      </c>
      <c r="H1257" s="9">
        <f t="shared" si="38"/>
        <v>14.8</v>
      </c>
      <c r="I1257" t="s">
        <v>179</v>
      </c>
      <c r="J1257" s="33" t="s">
        <v>514</v>
      </c>
      <c r="K1257" s="18">
        <f>VLOOKUP(D1257,Ingredients!C:G,5,0)</f>
        <v>780</v>
      </c>
      <c r="L1257" s="52">
        <f t="shared" si="39"/>
        <v>15.6</v>
      </c>
    </row>
    <row r="1258" spans="1:12">
      <c r="A1258" t="s">
        <v>330</v>
      </c>
      <c r="B1258" t="s">
        <v>349</v>
      </c>
      <c r="C1258" t="s">
        <v>352</v>
      </c>
      <c r="D1258" s="3" t="s">
        <v>16</v>
      </c>
      <c r="E1258" s="4">
        <v>0.04</v>
      </c>
      <c r="F1258" s="4" t="s">
        <v>176</v>
      </c>
      <c r="G1258" s="9">
        <v>270</v>
      </c>
      <c r="H1258" s="9">
        <f t="shared" si="38"/>
        <v>10.8</v>
      </c>
      <c r="I1258" t="s">
        <v>179</v>
      </c>
      <c r="J1258" s="33" t="s">
        <v>514</v>
      </c>
      <c r="K1258" s="18">
        <f>VLOOKUP(D1258,Ingredients!C:G,5,0)</f>
        <v>310</v>
      </c>
      <c r="L1258" s="52">
        <f t="shared" si="39"/>
        <v>12.4</v>
      </c>
    </row>
    <row r="1259" spans="1:12">
      <c r="A1259" t="s">
        <v>330</v>
      </c>
      <c r="B1259" t="s">
        <v>349</v>
      </c>
      <c r="C1259" t="s">
        <v>352</v>
      </c>
      <c r="D1259" s="3" t="s">
        <v>35</v>
      </c>
      <c r="E1259" s="4">
        <v>0.5</v>
      </c>
      <c r="F1259" s="4" t="s">
        <v>252</v>
      </c>
      <c r="G1259" s="9">
        <v>13</v>
      </c>
      <c r="H1259" s="9">
        <f t="shared" si="38"/>
        <v>6.5</v>
      </c>
      <c r="I1259" t="s">
        <v>179</v>
      </c>
      <c r="J1259" s="33" t="s">
        <v>514</v>
      </c>
      <c r="K1259" s="18">
        <f>VLOOKUP(D1259,Ingredients!C:G,5,0)</f>
        <v>15</v>
      </c>
      <c r="L1259" s="52">
        <f t="shared" si="39"/>
        <v>7.5</v>
      </c>
    </row>
    <row r="1260" spans="1:12">
      <c r="A1260" t="s">
        <v>330</v>
      </c>
      <c r="B1260" t="s">
        <v>349</v>
      </c>
      <c r="C1260" t="s">
        <v>352</v>
      </c>
      <c r="D1260" s="3" t="s">
        <v>852</v>
      </c>
      <c r="E1260" s="10">
        <v>0.2</v>
      </c>
      <c r="F1260" s="7" t="s">
        <v>176</v>
      </c>
      <c r="G1260" s="9">
        <v>520.63</v>
      </c>
      <c r="H1260" s="9">
        <f t="shared" si="38"/>
        <v>104.126</v>
      </c>
      <c r="I1260" t="s">
        <v>179</v>
      </c>
      <c r="J1260" s="33" t="s">
        <v>514</v>
      </c>
      <c r="K1260" s="18">
        <v>550</v>
      </c>
      <c r="L1260" s="52">
        <f t="shared" si="39"/>
        <v>110</v>
      </c>
    </row>
    <row r="1261" spans="1:12">
      <c r="A1261" t="s">
        <v>330</v>
      </c>
      <c r="B1261" t="s">
        <v>349</v>
      </c>
      <c r="C1261" t="s">
        <v>352</v>
      </c>
      <c r="D1261" s="3" t="s">
        <v>24</v>
      </c>
      <c r="E1261" s="10">
        <v>0.25</v>
      </c>
      <c r="F1261" s="7" t="s">
        <v>176</v>
      </c>
      <c r="G1261" s="9">
        <v>55</v>
      </c>
      <c r="H1261" s="9">
        <f t="shared" si="38"/>
        <v>13.75</v>
      </c>
      <c r="I1261" t="s">
        <v>179</v>
      </c>
      <c r="J1261" s="33" t="s">
        <v>514</v>
      </c>
      <c r="K1261" s="18">
        <f>VLOOKUP(D1261,Ingredients!C:G,5,0)</f>
        <v>80</v>
      </c>
      <c r="L1261" s="52">
        <f t="shared" si="39"/>
        <v>20</v>
      </c>
    </row>
    <row r="1262" spans="1:12">
      <c r="A1262" t="s">
        <v>330</v>
      </c>
      <c r="B1262" t="s">
        <v>349</v>
      </c>
      <c r="C1262" t="s">
        <v>352</v>
      </c>
      <c r="D1262" s="3" t="s">
        <v>28</v>
      </c>
      <c r="E1262" s="10">
        <v>0.2</v>
      </c>
      <c r="F1262" s="7" t="s">
        <v>176</v>
      </c>
      <c r="G1262" s="9">
        <v>85</v>
      </c>
      <c r="H1262" s="9">
        <f t="shared" si="38"/>
        <v>17</v>
      </c>
      <c r="I1262" t="s">
        <v>179</v>
      </c>
      <c r="J1262" s="33" t="s">
        <v>514</v>
      </c>
      <c r="K1262" s="18">
        <f>VLOOKUP(D1262,Ingredients!C:G,5,0)</f>
        <v>70</v>
      </c>
      <c r="L1262" s="52">
        <f t="shared" si="39"/>
        <v>14</v>
      </c>
    </row>
    <row r="1263" spans="1:12">
      <c r="A1263" t="s">
        <v>330</v>
      </c>
      <c r="B1263" t="s">
        <v>349</v>
      </c>
      <c r="C1263" t="s">
        <v>352</v>
      </c>
      <c r="D1263" s="3" t="s">
        <v>853</v>
      </c>
      <c r="E1263" s="10">
        <v>0.06</v>
      </c>
      <c r="F1263" s="7" t="s">
        <v>176</v>
      </c>
      <c r="G1263" s="9">
        <v>30</v>
      </c>
      <c r="H1263" s="9">
        <f t="shared" si="38"/>
        <v>1.7999999999999998</v>
      </c>
      <c r="I1263" t="s">
        <v>179</v>
      </c>
      <c r="J1263" s="33" t="s">
        <v>514</v>
      </c>
      <c r="K1263" s="18">
        <f>VLOOKUP(D1263,Ingredients!C:G,5,0)</f>
        <v>55</v>
      </c>
      <c r="L1263" s="52">
        <f t="shared" si="39"/>
        <v>3.3</v>
      </c>
    </row>
    <row r="1264" spans="1:12">
      <c r="A1264" t="s">
        <v>331</v>
      </c>
      <c r="B1264" t="s">
        <v>349</v>
      </c>
      <c r="C1264" t="s">
        <v>352</v>
      </c>
      <c r="D1264" s="3" t="s">
        <v>837</v>
      </c>
      <c r="E1264" s="10">
        <v>1</v>
      </c>
      <c r="F1264" s="7" t="s">
        <v>176</v>
      </c>
      <c r="G1264" s="9">
        <v>1700</v>
      </c>
      <c r="H1264" s="9">
        <f t="shared" si="38"/>
        <v>1700</v>
      </c>
      <c r="I1264" t="s">
        <v>179</v>
      </c>
      <c r="J1264" s="33" t="s">
        <v>514</v>
      </c>
      <c r="K1264" s="18">
        <f>VLOOKUP(D1264,Ingredients!C:G,5,0)</f>
        <v>1800</v>
      </c>
      <c r="L1264" s="52">
        <f t="shared" si="39"/>
        <v>1800</v>
      </c>
    </row>
    <row r="1265" spans="1:12">
      <c r="A1265" t="s">
        <v>331</v>
      </c>
      <c r="B1265" t="s">
        <v>349</v>
      </c>
      <c r="C1265" t="s">
        <v>352</v>
      </c>
      <c r="D1265" s="3" t="s">
        <v>852</v>
      </c>
      <c r="E1265" s="10">
        <v>0.1</v>
      </c>
      <c r="F1265" s="7" t="s">
        <v>176</v>
      </c>
      <c r="G1265" s="9">
        <v>520.63</v>
      </c>
      <c r="H1265" s="9">
        <f t="shared" si="38"/>
        <v>52.063000000000002</v>
      </c>
      <c r="I1265" t="s">
        <v>179</v>
      </c>
      <c r="J1265" s="33" t="s">
        <v>514</v>
      </c>
      <c r="K1265" s="18">
        <v>550</v>
      </c>
      <c r="L1265" s="52">
        <f t="shared" si="39"/>
        <v>55</v>
      </c>
    </row>
    <row r="1266" spans="1:12">
      <c r="A1266" t="s">
        <v>331</v>
      </c>
      <c r="B1266" t="s">
        <v>349</v>
      </c>
      <c r="C1266" t="s">
        <v>352</v>
      </c>
      <c r="D1266" s="3" t="s">
        <v>24</v>
      </c>
      <c r="E1266" s="10">
        <v>0.1</v>
      </c>
      <c r="F1266" s="7" t="s">
        <v>176</v>
      </c>
      <c r="G1266" s="9">
        <v>55</v>
      </c>
      <c r="H1266" s="9">
        <f t="shared" si="38"/>
        <v>5.5</v>
      </c>
      <c r="I1266" t="s">
        <v>179</v>
      </c>
      <c r="J1266" s="33" t="s">
        <v>514</v>
      </c>
      <c r="K1266" s="18">
        <f>VLOOKUP(D1266,Ingredients!C:G,5,0)</f>
        <v>80</v>
      </c>
      <c r="L1266" s="52">
        <f t="shared" si="39"/>
        <v>8</v>
      </c>
    </row>
    <row r="1267" spans="1:12">
      <c r="A1267" t="s">
        <v>331</v>
      </c>
      <c r="B1267" t="s">
        <v>349</v>
      </c>
      <c r="C1267" t="s">
        <v>352</v>
      </c>
      <c r="D1267" s="3" t="s">
        <v>28</v>
      </c>
      <c r="E1267" s="10">
        <v>0.2</v>
      </c>
      <c r="F1267" s="7" t="s">
        <v>176</v>
      </c>
      <c r="G1267" s="9">
        <v>85</v>
      </c>
      <c r="H1267" s="9">
        <f t="shared" si="38"/>
        <v>17</v>
      </c>
      <c r="I1267" t="s">
        <v>179</v>
      </c>
      <c r="J1267" s="33" t="s">
        <v>514</v>
      </c>
      <c r="K1267" s="18">
        <f>VLOOKUP(D1267,Ingredients!C:G,5,0)</f>
        <v>70</v>
      </c>
      <c r="L1267" s="52">
        <f t="shared" si="39"/>
        <v>14</v>
      </c>
    </row>
    <row r="1268" spans="1:12">
      <c r="A1268" t="s">
        <v>331</v>
      </c>
      <c r="B1268" t="s">
        <v>349</v>
      </c>
      <c r="C1268" t="s">
        <v>352</v>
      </c>
      <c r="D1268" s="3" t="s">
        <v>853</v>
      </c>
      <c r="E1268" s="10">
        <v>1.0000000000000002E-2</v>
      </c>
      <c r="F1268" s="7" t="s">
        <v>176</v>
      </c>
      <c r="G1268" s="9">
        <v>30</v>
      </c>
      <c r="H1268" s="9">
        <f t="shared" si="38"/>
        <v>0.30000000000000004</v>
      </c>
      <c r="I1268" t="s">
        <v>179</v>
      </c>
      <c r="J1268" s="33" t="s">
        <v>514</v>
      </c>
      <c r="K1268" s="18">
        <f>VLOOKUP(D1268,Ingredients!C:G,5,0)</f>
        <v>55</v>
      </c>
      <c r="L1268" s="52">
        <f t="shared" si="39"/>
        <v>0.55000000000000016</v>
      </c>
    </row>
    <row r="1269" spans="1:12">
      <c r="A1269" t="s">
        <v>331</v>
      </c>
      <c r="B1269" t="s">
        <v>349</v>
      </c>
      <c r="C1269" t="s">
        <v>352</v>
      </c>
      <c r="D1269" s="3" t="s">
        <v>867</v>
      </c>
      <c r="E1269" s="10">
        <v>8.0000000000000002E-3</v>
      </c>
      <c r="F1269" s="7" t="s">
        <v>176</v>
      </c>
      <c r="G1269" s="9">
        <v>900</v>
      </c>
      <c r="H1269" s="9">
        <f t="shared" si="38"/>
        <v>7.2</v>
      </c>
      <c r="I1269" t="s">
        <v>179</v>
      </c>
      <c r="J1269" s="33" t="s">
        <v>514</v>
      </c>
      <c r="K1269" s="18">
        <f>VLOOKUP(D1269,Ingredients!C:G,5,0)</f>
        <v>950</v>
      </c>
      <c r="L1269" s="52">
        <f t="shared" si="39"/>
        <v>7.6000000000000005</v>
      </c>
    </row>
    <row r="1270" spans="1:12">
      <c r="A1270" t="s">
        <v>331</v>
      </c>
      <c r="B1270" t="s">
        <v>349</v>
      </c>
      <c r="C1270" t="s">
        <v>352</v>
      </c>
      <c r="D1270" s="3" t="s">
        <v>849</v>
      </c>
      <c r="E1270" s="10">
        <v>4.0000000000000001E-3</v>
      </c>
      <c r="F1270" s="7" t="s">
        <v>176</v>
      </c>
      <c r="G1270" s="9">
        <v>1000</v>
      </c>
      <c r="H1270" s="9">
        <f t="shared" si="38"/>
        <v>4</v>
      </c>
      <c r="I1270" t="s">
        <v>179</v>
      </c>
      <c r="J1270" s="33" t="s">
        <v>514</v>
      </c>
      <c r="K1270" s="18">
        <f>VLOOKUP(D1270,Ingredients!C:G,5,0)</f>
        <v>950</v>
      </c>
      <c r="L1270" s="52">
        <f t="shared" si="39"/>
        <v>3.8000000000000003</v>
      </c>
    </row>
    <row r="1271" spans="1:12">
      <c r="A1271" t="s">
        <v>331</v>
      </c>
      <c r="B1271" t="s">
        <v>349</v>
      </c>
      <c r="C1271" t="s">
        <v>352</v>
      </c>
      <c r="D1271" s="3" t="s">
        <v>895</v>
      </c>
      <c r="E1271" s="10">
        <v>1.0000000000000002E-2</v>
      </c>
      <c r="F1271" s="7" t="s">
        <v>176</v>
      </c>
      <c r="G1271" s="9">
        <v>400</v>
      </c>
      <c r="H1271" s="9">
        <f t="shared" si="38"/>
        <v>4.0000000000000009</v>
      </c>
      <c r="I1271" t="s">
        <v>179</v>
      </c>
      <c r="J1271" s="33" t="s">
        <v>514</v>
      </c>
      <c r="K1271" s="18">
        <f>VLOOKUP(D1271,Ingredients!C:G,5,0)</f>
        <v>400</v>
      </c>
      <c r="L1271" s="52">
        <f t="shared" si="39"/>
        <v>4.0000000000000009</v>
      </c>
    </row>
    <row r="1272" spans="1:12">
      <c r="A1272" t="s">
        <v>331</v>
      </c>
      <c r="B1272" t="s">
        <v>349</v>
      </c>
      <c r="C1272" t="s">
        <v>352</v>
      </c>
      <c r="D1272" s="3" t="s">
        <v>887</v>
      </c>
      <c r="E1272" s="10">
        <v>1.0000000000000002E-2</v>
      </c>
      <c r="F1272" s="7" t="s">
        <v>176</v>
      </c>
      <c r="G1272" s="9">
        <v>1600</v>
      </c>
      <c r="H1272" s="9">
        <f t="shared" si="38"/>
        <v>16.000000000000004</v>
      </c>
      <c r="I1272" t="s">
        <v>179</v>
      </c>
      <c r="J1272" s="33" t="s">
        <v>514</v>
      </c>
      <c r="K1272" s="18">
        <f>VLOOKUP(D1272,Ingredients!C:G,5,0)</f>
        <v>1830</v>
      </c>
      <c r="L1272" s="52">
        <f t="shared" si="39"/>
        <v>18.300000000000004</v>
      </c>
    </row>
    <row r="1273" spans="1:12">
      <c r="A1273" t="s">
        <v>331</v>
      </c>
      <c r="B1273" t="s">
        <v>349</v>
      </c>
      <c r="C1273" t="s">
        <v>352</v>
      </c>
      <c r="D1273" s="3" t="s">
        <v>880</v>
      </c>
      <c r="E1273" s="10">
        <v>8.0000000000000002E-3</v>
      </c>
      <c r="F1273" s="7" t="s">
        <v>176</v>
      </c>
      <c r="G1273" s="9">
        <v>650</v>
      </c>
      <c r="H1273" s="9">
        <f t="shared" ref="H1273:H1337" si="40">G1273*E1273</f>
        <v>5.2</v>
      </c>
      <c r="I1273" t="s">
        <v>179</v>
      </c>
      <c r="J1273" s="33" t="s">
        <v>514</v>
      </c>
      <c r="K1273" s="18">
        <f>VLOOKUP(D1273,Ingredients!C:G,5,0)</f>
        <v>520</v>
      </c>
      <c r="L1273" s="52">
        <f t="shared" si="39"/>
        <v>4.16</v>
      </c>
    </row>
    <row r="1274" spans="1:12">
      <c r="A1274" t="s">
        <v>331</v>
      </c>
      <c r="B1274" t="s">
        <v>349</v>
      </c>
      <c r="C1274" t="s">
        <v>352</v>
      </c>
      <c r="D1274" s="3" t="s">
        <v>144</v>
      </c>
      <c r="E1274" s="10">
        <v>0.5</v>
      </c>
      <c r="F1274" s="7" t="s">
        <v>176</v>
      </c>
      <c r="G1274" s="9">
        <v>110</v>
      </c>
      <c r="H1274" s="9">
        <f t="shared" si="40"/>
        <v>55</v>
      </c>
      <c r="I1274" t="s">
        <v>179</v>
      </c>
      <c r="J1274" s="33" t="s">
        <v>514</v>
      </c>
      <c r="K1274" s="18">
        <f>VLOOKUP(D1274,Ingredients!C:G,5,0)</f>
        <v>100</v>
      </c>
      <c r="L1274" s="52">
        <f t="shared" si="39"/>
        <v>50</v>
      </c>
    </row>
    <row r="1275" spans="1:12">
      <c r="A1275" t="s">
        <v>332</v>
      </c>
      <c r="B1275" t="s">
        <v>349</v>
      </c>
      <c r="C1275" t="s">
        <v>351</v>
      </c>
      <c r="D1275" s="3" t="s">
        <v>428</v>
      </c>
      <c r="E1275" s="10">
        <v>1</v>
      </c>
      <c r="F1275" s="7" t="s">
        <v>179</v>
      </c>
      <c r="G1275" s="9">
        <v>1600</v>
      </c>
      <c r="H1275" s="9">
        <f t="shared" si="40"/>
        <v>1600</v>
      </c>
      <c r="I1275" t="s">
        <v>179</v>
      </c>
      <c r="J1275" s="33" t="s">
        <v>428</v>
      </c>
      <c r="K1275" s="18">
        <f>VLOOKUP(D1275,Ingredients!C:G,5,0)</f>
        <v>1514.78</v>
      </c>
      <c r="L1275" s="52">
        <f t="shared" si="39"/>
        <v>1514.78</v>
      </c>
    </row>
    <row r="1276" spans="1:12">
      <c r="A1276" t="s">
        <v>332</v>
      </c>
      <c r="B1276" t="s">
        <v>349</v>
      </c>
      <c r="C1276" t="s">
        <v>351</v>
      </c>
      <c r="D1276" s="3" t="s">
        <v>831</v>
      </c>
      <c r="E1276" s="10">
        <v>0.30000000000000004</v>
      </c>
      <c r="F1276" s="7" t="s">
        <v>179</v>
      </c>
      <c r="G1276" s="9">
        <v>908</v>
      </c>
      <c r="H1276" s="9">
        <f t="shared" si="40"/>
        <v>272.40000000000003</v>
      </c>
      <c r="I1276" t="s">
        <v>179</v>
      </c>
      <c r="J1276" s="33" t="s">
        <v>428</v>
      </c>
      <c r="K1276" s="18">
        <f>VLOOKUP(D1276,Ingredients!C:G,5,0)</f>
        <v>908</v>
      </c>
      <c r="L1276" s="52">
        <f t="shared" si="39"/>
        <v>272.40000000000003</v>
      </c>
    </row>
    <row r="1277" spans="1:12">
      <c r="A1277" t="s">
        <v>332</v>
      </c>
      <c r="B1277" t="s">
        <v>349</v>
      </c>
      <c r="C1277" t="s">
        <v>351</v>
      </c>
      <c r="D1277" s="3" t="s">
        <v>861</v>
      </c>
      <c r="E1277" s="10">
        <v>0.1</v>
      </c>
      <c r="F1277" s="7" t="s">
        <v>179</v>
      </c>
      <c r="G1277" s="9">
        <v>500</v>
      </c>
      <c r="H1277" s="9">
        <f t="shared" si="40"/>
        <v>50</v>
      </c>
      <c r="I1277" t="s">
        <v>179</v>
      </c>
      <c r="J1277" s="33" t="s">
        <v>428</v>
      </c>
      <c r="K1277" s="18">
        <f>VLOOKUP(D1277,Ingredients!C:G,5,0)</f>
        <v>500</v>
      </c>
      <c r="L1277" s="52">
        <f t="shared" si="39"/>
        <v>50</v>
      </c>
    </row>
    <row r="1278" spans="1:12">
      <c r="A1278" t="s">
        <v>332</v>
      </c>
      <c r="B1278" t="s">
        <v>349</v>
      </c>
      <c r="C1278" t="s">
        <v>351</v>
      </c>
      <c r="D1278" s="3" t="s">
        <v>853</v>
      </c>
      <c r="E1278" s="10">
        <v>1.4000000000000002E-2</v>
      </c>
      <c r="F1278" s="7" t="s">
        <v>179</v>
      </c>
      <c r="G1278" s="9">
        <v>30</v>
      </c>
      <c r="H1278" s="9">
        <f t="shared" si="40"/>
        <v>0.42000000000000004</v>
      </c>
      <c r="I1278" t="s">
        <v>179</v>
      </c>
      <c r="J1278" s="33" t="s">
        <v>428</v>
      </c>
      <c r="K1278" s="18">
        <f>VLOOKUP(D1278,Ingredients!C:G,5,0)</f>
        <v>55</v>
      </c>
      <c r="L1278" s="52">
        <f t="shared" si="39"/>
        <v>0.77000000000000013</v>
      </c>
    </row>
    <row r="1279" spans="1:12">
      <c r="A1279" t="s">
        <v>332</v>
      </c>
      <c r="B1279" t="s">
        <v>349</v>
      </c>
      <c r="C1279" t="s">
        <v>351</v>
      </c>
      <c r="D1279" s="3" t="s">
        <v>867</v>
      </c>
      <c r="E1279" s="10">
        <v>1.2E-2</v>
      </c>
      <c r="F1279" s="7" t="s">
        <v>179</v>
      </c>
      <c r="G1279" s="9">
        <v>900</v>
      </c>
      <c r="H1279" s="9">
        <f t="shared" si="40"/>
        <v>10.8</v>
      </c>
      <c r="I1279" t="s">
        <v>179</v>
      </c>
      <c r="J1279" s="33" t="s">
        <v>428</v>
      </c>
      <c r="K1279" s="18">
        <f>VLOOKUP(D1279,Ingredients!C:G,5,0)</f>
        <v>950</v>
      </c>
      <c r="L1279" s="52">
        <f t="shared" si="39"/>
        <v>11.4</v>
      </c>
    </row>
    <row r="1280" spans="1:12">
      <c r="A1280" t="s">
        <v>332</v>
      </c>
      <c r="B1280" t="s">
        <v>349</v>
      </c>
      <c r="C1280" t="s">
        <v>351</v>
      </c>
      <c r="D1280" s="3" t="s">
        <v>887</v>
      </c>
      <c r="E1280" s="10">
        <v>1.6E-2</v>
      </c>
      <c r="F1280" s="7" t="s">
        <v>179</v>
      </c>
      <c r="G1280" s="9">
        <v>1600</v>
      </c>
      <c r="H1280" s="9">
        <f t="shared" si="40"/>
        <v>25.6</v>
      </c>
      <c r="I1280" t="s">
        <v>179</v>
      </c>
      <c r="J1280" s="33" t="s">
        <v>428</v>
      </c>
      <c r="K1280" s="18">
        <f>VLOOKUP(D1280,Ingredients!C:G,5,0)</f>
        <v>1830</v>
      </c>
      <c r="L1280" s="52">
        <f t="shared" si="39"/>
        <v>29.28</v>
      </c>
    </row>
    <row r="1281" spans="1:12">
      <c r="A1281" t="s">
        <v>332</v>
      </c>
      <c r="B1281" t="s">
        <v>349</v>
      </c>
      <c r="C1281" t="s">
        <v>351</v>
      </c>
      <c r="D1281" s="3" t="s">
        <v>895</v>
      </c>
      <c r="E1281" s="10">
        <v>1.6E-2</v>
      </c>
      <c r="F1281" s="7" t="s">
        <v>179</v>
      </c>
      <c r="G1281" s="9">
        <v>400</v>
      </c>
      <c r="H1281" s="9">
        <f t="shared" si="40"/>
        <v>6.4</v>
      </c>
      <c r="I1281" t="s">
        <v>179</v>
      </c>
      <c r="J1281" s="33" t="s">
        <v>428</v>
      </c>
      <c r="K1281" s="18">
        <f>VLOOKUP(D1281,Ingredients!C:G,5,0)</f>
        <v>400</v>
      </c>
      <c r="L1281" s="52">
        <f t="shared" si="39"/>
        <v>6.4</v>
      </c>
    </row>
    <row r="1282" spans="1:12">
      <c r="A1282" t="s">
        <v>332</v>
      </c>
      <c r="B1282" t="s">
        <v>349</v>
      </c>
      <c r="C1282" t="s">
        <v>351</v>
      </c>
      <c r="D1282" s="3" t="s">
        <v>29</v>
      </c>
      <c r="E1282" s="10">
        <v>1.0000000000000002E-2</v>
      </c>
      <c r="F1282" s="7" t="s">
        <v>179</v>
      </c>
      <c r="G1282" s="9">
        <v>60</v>
      </c>
      <c r="H1282" s="9">
        <f t="shared" si="40"/>
        <v>0.60000000000000009</v>
      </c>
      <c r="I1282" t="s">
        <v>179</v>
      </c>
      <c r="J1282" s="33" t="s">
        <v>428</v>
      </c>
      <c r="K1282" s="18">
        <f>VLOOKUP(D1282,Ingredients!C:G,5,0)</f>
        <v>100</v>
      </c>
      <c r="L1282" s="52">
        <f t="shared" si="39"/>
        <v>1.0000000000000002</v>
      </c>
    </row>
    <row r="1283" spans="1:12">
      <c r="A1283" t="s">
        <v>332</v>
      </c>
      <c r="B1283" t="s">
        <v>349</v>
      </c>
      <c r="C1283" t="s">
        <v>351</v>
      </c>
      <c r="D1283" s="3" t="s">
        <v>852</v>
      </c>
      <c r="E1283" s="10">
        <v>0.4</v>
      </c>
      <c r="F1283" s="7" t="s">
        <v>190</v>
      </c>
      <c r="G1283" s="9">
        <v>520.63</v>
      </c>
      <c r="H1283" s="9">
        <f t="shared" si="40"/>
        <v>208.25200000000001</v>
      </c>
      <c r="I1283" t="s">
        <v>179</v>
      </c>
      <c r="J1283" s="33" t="s">
        <v>428</v>
      </c>
      <c r="K1283" s="18">
        <v>550</v>
      </c>
      <c r="L1283" s="52">
        <f t="shared" si="39"/>
        <v>220</v>
      </c>
    </row>
    <row r="1284" spans="1:12">
      <c r="A1284" t="s">
        <v>333</v>
      </c>
      <c r="B1284" t="s">
        <v>349</v>
      </c>
      <c r="C1284" t="s">
        <v>352</v>
      </c>
      <c r="D1284" s="3" t="s">
        <v>837</v>
      </c>
      <c r="E1284" s="10">
        <v>1</v>
      </c>
      <c r="F1284" s="7" t="s">
        <v>176</v>
      </c>
      <c r="G1284" s="9">
        <v>1700</v>
      </c>
      <c r="H1284" s="9">
        <f t="shared" si="40"/>
        <v>1700</v>
      </c>
      <c r="I1284" t="s">
        <v>179</v>
      </c>
      <c r="J1284" s="33" t="s">
        <v>514</v>
      </c>
      <c r="K1284" s="18">
        <f>VLOOKUP(D1284,Ingredients!C:G,5,0)</f>
        <v>1800</v>
      </c>
      <c r="L1284" s="52">
        <f t="shared" ref="L1284:L1347" si="41">K1284*E1284</f>
        <v>1800</v>
      </c>
    </row>
    <row r="1285" spans="1:12">
      <c r="A1285" t="s">
        <v>333</v>
      </c>
      <c r="B1285" t="s">
        <v>349</v>
      </c>
      <c r="C1285" t="s">
        <v>352</v>
      </c>
      <c r="D1285" s="3" t="s">
        <v>852</v>
      </c>
      <c r="E1285" s="10">
        <v>0.2</v>
      </c>
      <c r="F1285" s="7" t="s">
        <v>179</v>
      </c>
      <c r="G1285" s="9">
        <v>520.63</v>
      </c>
      <c r="H1285" s="9">
        <f t="shared" si="40"/>
        <v>104.126</v>
      </c>
      <c r="I1285" t="s">
        <v>179</v>
      </c>
      <c r="J1285" s="33" t="s">
        <v>514</v>
      </c>
      <c r="K1285" s="18">
        <v>550</v>
      </c>
      <c r="L1285" s="52">
        <f t="shared" si="41"/>
        <v>110</v>
      </c>
    </row>
    <row r="1286" spans="1:12">
      <c r="A1286" t="s">
        <v>333</v>
      </c>
      <c r="B1286" t="s">
        <v>349</v>
      </c>
      <c r="C1286" t="s">
        <v>352</v>
      </c>
      <c r="D1286" s="3" t="s">
        <v>24</v>
      </c>
      <c r="E1286" s="10">
        <v>0.25</v>
      </c>
      <c r="F1286" s="7" t="s">
        <v>179</v>
      </c>
      <c r="G1286" s="9">
        <v>55</v>
      </c>
      <c r="H1286" s="9">
        <f t="shared" si="40"/>
        <v>13.75</v>
      </c>
      <c r="I1286" t="s">
        <v>179</v>
      </c>
      <c r="J1286" s="33" t="s">
        <v>514</v>
      </c>
      <c r="K1286" s="18">
        <f>VLOOKUP(D1286,Ingredients!C:G,5,0)</f>
        <v>80</v>
      </c>
      <c r="L1286" s="52">
        <f t="shared" si="41"/>
        <v>20</v>
      </c>
    </row>
    <row r="1287" spans="1:12">
      <c r="A1287" t="s">
        <v>333</v>
      </c>
      <c r="B1287" t="s">
        <v>349</v>
      </c>
      <c r="C1287" t="s">
        <v>352</v>
      </c>
      <c r="D1287" s="3" t="s">
        <v>853</v>
      </c>
      <c r="E1287" s="10">
        <v>0.03</v>
      </c>
      <c r="F1287" s="7" t="s">
        <v>179</v>
      </c>
      <c r="G1287" s="9">
        <v>30</v>
      </c>
      <c r="H1287" s="9">
        <f t="shared" si="40"/>
        <v>0.89999999999999991</v>
      </c>
      <c r="I1287" t="s">
        <v>179</v>
      </c>
      <c r="J1287" s="33" t="s">
        <v>514</v>
      </c>
      <c r="K1287" s="18">
        <f>VLOOKUP(D1287,Ingredients!C:G,5,0)</f>
        <v>55</v>
      </c>
      <c r="L1287" s="52">
        <f t="shared" si="41"/>
        <v>1.65</v>
      </c>
    </row>
    <row r="1288" spans="1:12">
      <c r="A1288" t="s">
        <v>333</v>
      </c>
      <c r="B1288" t="s">
        <v>349</v>
      </c>
      <c r="C1288" t="s">
        <v>352</v>
      </c>
      <c r="D1288" s="3" t="s">
        <v>867</v>
      </c>
      <c r="E1288" s="10">
        <v>0.03</v>
      </c>
      <c r="F1288" s="7" t="s">
        <v>179</v>
      </c>
      <c r="G1288" s="9">
        <v>900</v>
      </c>
      <c r="H1288" s="9">
        <f t="shared" si="40"/>
        <v>27</v>
      </c>
      <c r="I1288" t="s">
        <v>179</v>
      </c>
      <c r="J1288" s="33" t="s">
        <v>514</v>
      </c>
      <c r="K1288" s="18">
        <f>VLOOKUP(D1288,Ingredients!C:G,5,0)</f>
        <v>950</v>
      </c>
      <c r="L1288" s="52">
        <f t="shared" si="41"/>
        <v>28.5</v>
      </c>
    </row>
    <row r="1289" spans="1:12">
      <c r="A1289" t="s">
        <v>333</v>
      </c>
      <c r="B1289" t="s">
        <v>349</v>
      </c>
      <c r="C1289" t="s">
        <v>352</v>
      </c>
      <c r="D1289" s="3" t="s">
        <v>941</v>
      </c>
      <c r="E1289" s="10">
        <v>1.4999999999999999E-2</v>
      </c>
      <c r="F1289" s="7" t="s">
        <v>179</v>
      </c>
      <c r="G1289" s="9">
        <v>2200</v>
      </c>
      <c r="H1289" s="9">
        <f t="shared" si="40"/>
        <v>33</v>
      </c>
      <c r="I1289" t="s">
        <v>179</v>
      </c>
      <c r="J1289" s="33" t="s">
        <v>514</v>
      </c>
      <c r="K1289" s="18">
        <f>VLOOKUP(D1289,Ingredients!C:G,5,0)</f>
        <v>1500</v>
      </c>
      <c r="L1289" s="52">
        <f t="shared" si="41"/>
        <v>22.5</v>
      </c>
    </row>
    <row r="1290" spans="1:12">
      <c r="A1290" t="s">
        <v>333</v>
      </c>
      <c r="B1290" t="s">
        <v>349</v>
      </c>
      <c r="C1290" t="s">
        <v>352</v>
      </c>
      <c r="D1290" s="3" t="s">
        <v>880</v>
      </c>
      <c r="E1290" s="10">
        <v>1.4999999999999999E-2</v>
      </c>
      <c r="F1290" s="7" t="s">
        <v>179</v>
      </c>
      <c r="G1290" s="9">
        <v>650</v>
      </c>
      <c r="H1290" s="9">
        <f t="shared" si="40"/>
        <v>9.75</v>
      </c>
      <c r="I1290" t="s">
        <v>179</v>
      </c>
      <c r="J1290" s="33" t="s">
        <v>514</v>
      </c>
      <c r="K1290" s="18">
        <f>VLOOKUP(D1290,Ingredients!C:G,5,0)</f>
        <v>520</v>
      </c>
      <c r="L1290" s="52">
        <f t="shared" si="41"/>
        <v>7.8</v>
      </c>
    </row>
    <row r="1291" spans="1:12">
      <c r="A1291" t="s">
        <v>333</v>
      </c>
      <c r="B1291" t="s">
        <v>349</v>
      </c>
      <c r="C1291" t="s">
        <v>352</v>
      </c>
      <c r="D1291" s="3" t="s">
        <v>895</v>
      </c>
      <c r="E1291" s="10">
        <v>2.5000000000000001E-2</v>
      </c>
      <c r="F1291" s="7" t="s">
        <v>179</v>
      </c>
      <c r="G1291" s="9">
        <v>400</v>
      </c>
      <c r="H1291" s="9">
        <f t="shared" si="40"/>
        <v>10</v>
      </c>
      <c r="I1291" t="s">
        <v>179</v>
      </c>
      <c r="J1291" s="33" t="s">
        <v>514</v>
      </c>
      <c r="K1291" s="18">
        <f>VLOOKUP(D1291,Ingredients!C:G,5,0)</f>
        <v>400</v>
      </c>
      <c r="L1291" s="52">
        <f t="shared" si="41"/>
        <v>10</v>
      </c>
    </row>
    <row r="1292" spans="1:12">
      <c r="A1292" t="s">
        <v>333</v>
      </c>
      <c r="B1292" t="s">
        <v>349</v>
      </c>
      <c r="C1292" t="s">
        <v>352</v>
      </c>
      <c r="D1292" s="3" t="s">
        <v>844</v>
      </c>
      <c r="E1292" s="10">
        <v>2.5000000000000001E-2</v>
      </c>
      <c r="F1292" s="7" t="s">
        <v>179</v>
      </c>
      <c r="G1292" s="9">
        <v>2200</v>
      </c>
      <c r="H1292" s="9">
        <f t="shared" si="40"/>
        <v>55</v>
      </c>
      <c r="I1292" t="s">
        <v>179</v>
      </c>
      <c r="J1292" s="33" t="s">
        <v>514</v>
      </c>
      <c r="K1292" s="18">
        <f>VLOOKUP(D1292,Ingredients!C:G,5,0)</f>
        <v>1400</v>
      </c>
      <c r="L1292" s="52">
        <f t="shared" si="41"/>
        <v>35</v>
      </c>
    </row>
    <row r="1293" spans="1:12">
      <c r="A1293" t="s">
        <v>333</v>
      </c>
      <c r="B1293" t="s">
        <v>349</v>
      </c>
      <c r="C1293" t="s">
        <v>352</v>
      </c>
      <c r="D1293" s="3" t="s">
        <v>903</v>
      </c>
      <c r="E1293" s="10">
        <v>0.06</v>
      </c>
      <c r="F1293" s="7" t="s">
        <v>179</v>
      </c>
      <c r="G1293" s="9">
        <v>153.97999999999999</v>
      </c>
      <c r="H1293" s="9">
        <f t="shared" si="40"/>
        <v>9.2387999999999995</v>
      </c>
      <c r="I1293" t="s">
        <v>179</v>
      </c>
      <c r="J1293" s="33" t="s">
        <v>514</v>
      </c>
      <c r="K1293" s="18">
        <f>VLOOKUP(D1293,Ingredients!C:G,5,0)</f>
        <v>152</v>
      </c>
      <c r="L1293" s="52">
        <f t="shared" si="41"/>
        <v>9.1199999999999992</v>
      </c>
    </row>
    <row r="1294" spans="1:12">
      <c r="A1294" t="s">
        <v>336</v>
      </c>
      <c r="B1294" t="s">
        <v>349</v>
      </c>
      <c r="C1294" t="s">
        <v>353</v>
      </c>
      <c r="D1294" s="3" t="s">
        <v>492</v>
      </c>
      <c r="E1294" s="10">
        <v>1</v>
      </c>
      <c r="F1294" s="7" t="s">
        <v>179</v>
      </c>
      <c r="G1294" s="9">
        <v>1890.54</v>
      </c>
      <c r="H1294" s="9">
        <f t="shared" si="40"/>
        <v>1890.54</v>
      </c>
      <c r="I1294" t="s">
        <v>179</v>
      </c>
      <c r="J1294" s="33" t="s">
        <v>492</v>
      </c>
      <c r="K1294" s="18">
        <f>VLOOKUP(D1294,Ingredients!C:G,5,0)</f>
        <v>1462.18</v>
      </c>
      <c r="L1294" s="52">
        <f t="shared" si="41"/>
        <v>1462.18</v>
      </c>
    </row>
    <row r="1295" spans="1:12">
      <c r="A1295" t="s">
        <v>336</v>
      </c>
      <c r="B1295" t="s">
        <v>349</v>
      </c>
      <c r="C1295" t="s">
        <v>353</v>
      </c>
      <c r="D1295" s="3" t="s">
        <v>884</v>
      </c>
      <c r="E1295" s="10">
        <v>0.75</v>
      </c>
      <c r="F1295" s="7" t="s">
        <v>179</v>
      </c>
      <c r="G1295" s="9">
        <v>344</v>
      </c>
      <c r="H1295" s="9">
        <f t="shared" si="40"/>
        <v>258</v>
      </c>
      <c r="I1295" t="s">
        <v>179</v>
      </c>
      <c r="J1295" s="33" t="s">
        <v>492</v>
      </c>
      <c r="K1295" s="18">
        <f>VLOOKUP(D1295,Ingredients!C:G,5,0)</f>
        <v>344</v>
      </c>
      <c r="L1295" s="52">
        <f t="shared" si="41"/>
        <v>258</v>
      </c>
    </row>
    <row r="1296" spans="1:12">
      <c r="A1296" t="s">
        <v>336</v>
      </c>
      <c r="B1296" t="s">
        <v>349</v>
      </c>
      <c r="C1296" t="s">
        <v>353</v>
      </c>
      <c r="D1296" s="3" t="s">
        <v>852</v>
      </c>
      <c r="E1296" s="10">
        <v>0.125</v>
      </c>
      <c r="F1296" s="7" t="s">
        <v>179</v>
      </c>
      <c r="G1296" s="9">
        <v>520.63</v>
      </c>
      <c r="H1296" s="9">
        <f t="shared" si="40"/>
        <v>65.078749999999999</v>
      </c>
      <c r="I1296" t="s">
        <v>179</v>
      </c>
      <c r="J1296" s="33" t="s">
        <v>492</v>
      </c>
      <c r="K1296" s="18">
        <v>550</v>
      </c>
      <c r="L1296" s="52">
        <f t="shared" si="41"/>
        <v>68.75</v>
      </c>
    </row>
    <row r="1297" spans="1:12">
      <c r="A1297" t="s">
        <v>336</v>
      </c>
      <c r="B1297" t="s">
        <v>349</v>
      </c>
      <c r="C1297" t="s">
        <v>353</v>
      </c>
      <c r="D1297" s="3" t="s">
        <v>853</v>
      </c>
      <c r="E1297" s="10">
        <v>2.5000000000000001E-2</v>
      </c>
      <c r="F1297" s="7" t="s">
        <v>179</v>
      </c>
      <c r="G1297" s="9">
        <v>30</v>
      </c>
      <c r="H1297" s="9">
        <f t="shared" si="40"/>
        <v>0.75</v>
      </c>
      <c r="I1297" t="s">
        <v>179</v>
      </c>
      <c r="J1297" s="33" t="s">
        <v>492</v>
      </c>
      <c r="K1297" s="18">
        <f>VLOOKUP(D1297,Ingredients!C:G,5,0)</f>
        <v>55</v>
      </c>
      <c r="L1297" s="52">
        <f t="shared" si="41"/>
        <v>1.375</v>
      </c>
    </row>
    <row r="1298" spans="1:12">
      <c r="A1298" t="s">
        <v>336</v>
      </c>
      <c r="B1298" t="s">
        <v>349</v>
      </c>
      <c r="C1298" t="s">
        <v>353</v>
      </c>
      <c r="D1298" s="3" t="s">
        <v>867</v>
      </c>
      <c r="E1298" s="10">
        <v>1.8749999999999999E-2</v>
      </c>
      <c r="F1298" s="7" t="s">
        <v>179</v>
      </c>
      <c r="G1298" s="9">
        <v>900</v>
      </c>
      <c r="H1298" s="9">
        <f t="shared" si="40"/>
        <v>16.875</v>
      </c>
      <c r="I1298" t="s">
        <v>179</v>
      </c>
      <c r="J1298" s="33" t="s">
        <v>492</v>
      </c>
      <c r="K1298" s="18">
        <f>VLOOKUP(D1298,Ingredients!C:G,5,0)</f>
        <v>950</v>
      </c>
      <c r="L1298" s="52">
        <f t="shared" si="41"/>
        <v>17.8125</v>
      </c>
    </row>
    <row r="1299" spans="1:12">
      <c r="A1299" t="s">
        <v>336</v>
      </c>
      <c r="B1299" t="s">
        <v>349</v>
      </c>
      <c r="C1299" t="s">
        <v>353</v>
      </c>
      <c r="D1299" s="3" t="s">
        <v>880</v>
      </c>
      <c r="E1299" s="10">
        <v>1.8749999999999999E-2</v>
      </c>
      <c r="F1299" s="7" t="s">
        <v>179</v>
      </c>
      <c r="G1299" s="9">
        <v>650</v>
      </c>
      <c r="H1299" s="9">
        <f t="shared" si="40"/>
        <v>12.1875</v>
      </c>
      <c r="I1299" t="s">
        <v>179</v>
      </c>
      <c r="J1299" s="33" t="s">
        <v>492</v>
      </c>
      <c r="K1299" s="18">
        <f>VLOOKUP(D1299,Ingredients!C:G,5,0)</f>
        <v>520</v>
      </c>
      <c r="L1299" s="52">
        <f t="shared" si="41"/>
        <v>9.75</v>
      </c>
    </row>
    <row r="1300" spans="1:12">
      <c r="A1300" t="s">
        <v>336</v>
      </c>
      <c r="B1300" t="s">
        <v>349</v>
      </c>
      <c r="C1300" t="s">
        <v>353</v>
      </c>
      <c r="D1300" s="3" t="s">
        <v>887</v>
      </c>
      <c r="E1300" s="10">
        <v>1.8749999999999999E-2</v>
      </c>
      <c r="F1300" s="7" t="s">
        <v>179</v>
      </c>
      <c r="G1300" s="9">
        <v>1600</v>
      </c>
      <c r="H1300" s="9">
        <f t="shared" si="40"/>
        <v>30</v>
      </c>
      <c r="I1300" t="s">
        <v>179</v>
      </c>
      <c r="J1300" s="33" t="s">
        <v>492</v>
      </c>
      <c r="K1300" s="18">
        <f>VLOOKUP(D1300,Ingredients!C:G,5,0)</f>
        <v>1830</v>
      </c>
      <c r="L1300" s="52">
        <f t="shared" si="41"/>
        <v>34.3125</v>
      </c>
    </row>
    <row r="1301" spans="1:12">
      <c r="A1301" t="s">
        <v>336</v>
      </c>
      <c r="B1301" t="s">
        <v>349</v>
      </c>
      <c r="C1301" t="s">
        <v>353</v>
      </c>
      <c r="D1301" s="3" t="s">
        <v>895</v>
      </c>
      <c r="E1301" s="10">
        <v>1.8749999999999999E-2</v>
      </c>
      <c r="F1301" s="7" t="s">
        <v>179</v>
      </c>
      <c r="G1301" s="9">
        <v>400</v>
      </c>
      <c r="H1301" s="9">
        <f t="shared" si="40"/>
        <v>7.5</v>
      </c>
      <c r="I1301" t="s">
        <v>179</v>
      </c>
      <c r="J1301" s="33" t="s">
        <v>492</v>
      </c>
      <c r="K1301" s="18">
        <f>VLOOKUP(D1301,Ingredients!C:G,5,0)</f>
        <v>400</v>
      </c>
      <c r="L1301" s="52">
        <f t="shared" si="41"/>
        <v>7.5</v>
      </c>
    </row>
    <row r="1302" spans="1:12">
      <c r="A1302" t="s">
        <v>336</v>
      </c>
      <c r="B1302" t="s">
        <v>349</v>
      </c>
      <c r="C1302" t="s">
        <v>353</v>
      </c>
      <c r="D1302" s="3" t="s">
        <v>860</v>
      </c>
      <c r="E1302" s="10">
        <v>1.8749999999999999E-2</v>
      </c>
      <c r="F1302" s="7" t="s">
        <v>179</v>
      </c>
      <c r="G1302" s="9">
        <v>2000</v>
      </c>
      <c r="H1302" s="9">
        <f t="shared" si="40"/>
        <v>37.5</v>
      </c>
      <c r="I1302" t="s">
        <v>179</v>
      </c>
      <c r="J1302" s="33" t="s">
        <v>492</v>
      </c>
      <c r="K1302" s="18">
        <f>VLOOKUP(D1302,Ingredients!C:G,5,0)</f>
        <v>1900</v>
      </c>
      <c r="L1302" s="52">
        <f t="shared" si="41"/>
        <v>35.625</v>
      </c>
    </row>
    <row r="1303" spans="1:12">
      <c r="A1303" t="s">
        <v>336</v>
      </c>
      <c r="B1303" t="s">
        <v>349</v>
      </c>
      <c r="C1303" t="s">
        <v>353</v>
      </c>
      <c r="D1303" s="3" t="s">
        <v>273</v>
      </c>
      <c r="E1303" s="10">
        <v>2.5000000000000001E-2</v>
      </c>
      <c r="F1303" s="7" t="s">
        <v>179</v>
      </c>
      <c r="G1303" s="9">
        <v>175</v>
      </c>
      <c r="H1303" s="9">
        <f t="shared" si="40"/>
        <v>4.375</v>
      </c>
      <c r="I1303" t="s">
        <v>179</v>
      </c>
      <c r="J1303" s="33" t="s">
        <v>492</v>
      </c>
      <c r="K1303" s="18">
        <f>VLOOKUP(D1303,Ingredients!C:G,5,0)</f>
        <v>200</v>
      </c>
      <c r="L1303" s="52">
        <f t="shared" si="41"/>
        <v>5</v>
      </c>
    </row>
    <row r="1304" spans="1:12">
      <c r="A1304" t="s">
        <v>336</v>
      </c>
      <c r="B1304" t="s">
        <v>349</v>
      </c>
      <c r="C1304" t="s">
        <v>353</v>
      </c>
      <c r="D1304" s="3" t="s">
        <v>860</v>
      </c>
      <c r="E1304" s="10">
        <v>6.2500000000000003E-3</v>
      </c>
      <c r="F1304" s="7" t="s">
        <v>179</v>
      </c>
      <c r="G1304" s="9">
        <v>2000</v>
      </c>
      <c r="H1304" s="9">
        <f t="shared" si="40"/>
        <v>12.5</v>
      </c>
      <c r="I1304" t="s">
        <v>179</v>
      </c>
      <c r="J1304" s="33" t="s">
        <v>492</v>
      </c>
      <c r="K1304" s="18">
        <f>VLOOKUP(D1304,Ingredients!C:G,5,0)</f>
        <v>1900</v>
      </c>
      <c r="L1304" s="52">
        <f t="shared" si="41"/>
        <v>11.875</v>
      </c>
    </row>
    <row r="1305" spans="1:12">
      <c r="A1305" t="s">
        <v>336</v>
      </c>
      <c r="B1305" t="s">
        <v>349</v>
      </c>
      <c r="C1305" t="s">
        <v>353</v>
      </c>
      <c r="D1305" s="3" t="s">
        <v>930</v>
      </c>
      <c r="E1305" s="10">
        <v>0.125</v>
      </c>
      <c r="F1305" s="7" t="s">
        <v>179</v>
      </c>
      <c r="G1305" s="9">
        <v>305</v>
      </c>
      <c r="H1305" s="9">
        <f t="shared" si="40"/>
        <v>38.125</v>
      </c>
      <c r="I1305" t="s">
        <v>179</v>
      </c>
      <c r="J1305" s="33" t="s">
        <v>492</v>
      </c>
      <c r="K1305" s="18">
        <f>VLOOKUP(D1305,Ingredients!C:G,5,0)</f>
        <v>300</v>
      </c>
      <c r="L1305" s="52">
        <f t="shared" si="41"/>
        <v>37.5</v>
      </c>
    </row>
    <row r="1306" spans="1:12">
      <c r="A1306" t="s">
        <v>336</v>
      </c>
      <c r="B1306" t="s">
        <v>349</v>
      </c>
      <c r="C1306" t="s">
        <v>353</v>
      </c>
      <c r="D1306" s="3" t="s">
        <v>873</v>
      </c>
      <c r="E1306" s="10">
        <v>1.8749999999999999E-2</v>
      </c>
      <c r="F1306" s="7" t="s">
        <v>179</v>
      </c>
      <c r="G1306" s="9">
        <v>550</v>
      </c>
      <c r="H1306" s="9">
        <f t="shared" si="40"/>
        <v>10.3125</v>
      </c>
      <c r="I1306" t="s">
        <v>179</v>
      </c>
      <c r="J1306" s="33" t="s">
        <v>492</v>
      </c>
      <c r="K1306" s="18">
        <f>VLOOKUP(D1306,Ingredients!C:G,5,0)</f>
        <v>450</v>
      </c>
      <c r="L1306" s="52">
        <f t="shared" si="41"/>
        <v>8.4375</v>
      </c>
    </row>
    <row r="1307" spans="1:12">
      <c r="A1307" t="s">
        <v>336</v>
      </c>
      <c r="B1307" t="s">
        <v>349</v>
      </c>
      <c r="C1307" t="s">
        <v>353</v>
      </c>
      <c r="D1307" s="3" t="s">
        <v>926</v>
      </c>
      <c r="E1307" s="10">
        <v>1.8749999999999999E-2</v>
      </c>
      <c r="F1307" s="7" t="s">
        <v>179</v>
      </c>
      <c r="G1307" s="9">
        <v>62.5</v>
      </c>
      <c r="H1307" s="9">
        <f t="shared" si="40"/>
        <v>1.171875</v>
      </c>
      <c r="I1307" t="s">
        <v>179</v>
      </c>
      <c r="J1307" s="33" t="s">
        <v>492</v>
      </c>
      <c r="K1307" s="18">
        <f>VLOOKUP(D1307,Ingredients!C:F,3,0)</f>
        <v>50</v>
      </c>
      <c r="L1307" s="52">
        <f t="shared" si="41"/>
        <v>0.9375</v>
      </c>
    </row>
    <row r="1308" spans="1:12">
      <c r="A1308" t="s">
        <v>336</v>
      </c>
      <c r="B1308" t="s">
        <v>349</v>
      </c>
      <c r="C1308" t="s">
        <v>353</v>
      </c>
      <c r="D1308" s="3" t="s">
        <v>28</v>
      </c>
      <c r="E1308" s="10">
        <v>0.125</v>
      </c>
      <c r="F1308" s="7" t="s">
        <v>179</v>
      </c>
      <c r="G1308" s="9">
        <v>85</v>
      </c>
      <c r="H1308" s="9">
        <f t="shared" si="40"/>
        <v>10.625</v>
      </c>
      <c r="I1308" t="s">
        <v>179</v>
      </c>
      <c r="J1308" s="33" t="s">
        <v>492</v>
      </c>
      <c r="K1308" s="18">
        <f>VLOOKUP(D1308,Ingredients!C:G,5,0)</f>
        <v>70</v>
      </c>
      <c r="L1308" s="52">
        <f t="shared" si="41"/>
        <v>8.75</v>
      </c>
    </row>
    <row r="1309" spans="1:12">
      <c r="A1309" t="s">
        <v>336</v>
      </c>
      <c r="B1309" t="s">
        <v>349</v>
      </c>
      <c r="C1309" t="s">
        <v>353</v>
      </c>
      <c r="D1309" s="3" t="s">
        <v>927</v>
      </c>
      <c r="E1309" s="10">
        <v>0.125</v>
      </c>
      <c r="F1309" s="7" t="s">
        <v>179</v>
      </c>
      <c r="G1309" s="9">
        <v>600</v>
      </c>
      <c r="H1309" s="9">
        <f t="shared" si="40"/>
        <v>75</v>
      </c>
      <c r="I1309" t="s">
        <v>179</v>
      </c>
      <c r="J1309" s="33" t="s">
        <v>492</v>
      </c>
      <c r="K1309" s="18">
        <f>VLOOKUP(D1309,Ingredients!C:G,5,0)</f>
        <v>600</v>
      </c>
      <c r="L1309" s="52">
        <f t="shared" si="41"/>
        <v>75</v>
      </c>
    </row>
    <row r="1310" spans="1:12">
      <c r="A1310" t="s">
        <v>336</v>
      </c>
      <c r="B1310" t="s">
        <v>349</v>
      </c>
      <c r="C1310" t="s">
        <v>353</v>
      </c>
      <c r="D1310" s="3" t="s">
        <v>855</v>
      </c>
      <c r="E1310" s="10">
        <v>1.2500000000000001E-2</v>
      </c>
      <c r="F1310" s="7" t="s">
        <v>179</v>
      </c>
      <c r="G1310" s="9">
        <v>2400</v>
      </c>
      <c r="H1310" s="9">
        <f t="shared" si="40"/>
        <v>30</v>
      </c>
      <c r="I1310" t="s">
        <v>179</v>
      </c>
      <c r="J1310" s="33" t="s">
        <v>492</v>
      </c>
      <c r="K1310" s="18">
        <f>VLOOKUP(D1310,Ingredients!C:G,5,0)</f>
        <v>1600</v>
      </c>
      <c r="L1310" s="52">
        <f t="shared" si="41"/>
        <v>20</v>
      </c>
    </row>
    <row r="1311" spans="1:12">
      <c r="A1311" t="s">
        <v>338</v>
      </c>
      <c r="B1311" t="s">
        <v>349</v>
      </c>
      <c r="C1311" t="s">
        <v>351</v>
      </c>
      <c r="D1311" s="3" t="s">
        <v>831</v>
      </c>
      <c r="E1311" s="10">
        <v>1</v>
      </c>
      <c r="F1311" s="7" t="s">
        <v>179</v>
      </c>
      <c r="G1311" s="9">
        <v>908</v>
      </c>
      <c r="H1311" s="9">
        <f t="shared" si="40"/>
        <v>908</v>
      </c>
      <c r="I1311" t="s">
        <v>179</v>
      </c>
      <c r="J1311" s="33" t="s">
        <v>489</v>
      </c>
      <c r="K1311" s="18">
        <f>VLOOKUP(D1311,Ingredients!C:G,5,0)</f>
        <v>908</v>
      </c>
      <c r="L1311" s="52">
        <f t="shared" si="41"/>
        <v>908</v>
      </c>
    </row>
    <row r="1312" spans="1:12">
      <c r="A1312" t="s">
        <v>338</v>
      </c>
      <c r="B1312" t="s">
        <v>349</v>
      </c>
      <c r="C1312" t="s">
        <v>351</v>
      </c>
      <c r="D1312" s="3" t="s">
        <v>186</v>
      </c>
      <c r="E1312" s="10">
        <v>2.5000000000000001E-2</v>
      </c>
      <c r="F1312" s="7" t="s">
        <v>179</v>
      </c>
      <c r="G1312" s="9">
        <v>1500</v>
      </c>
      <c r="H1312" s="9">
        <f t="shared" si="40"/>
        <v>37.5</v>
      </c>
      <c r="I1312" t="s">
        <v>179</v>
      </c>
      <c r="J1312" s="33" t="s">
        <v>489</v>
      </c>
      <c r="K1312" s="18">
        <f>VLOOKUP(D1312,Ingredients!C:G,5,0)</f>
        <v>1400</v>
      </c>
      <c r="L1312" s="52">
        <f t="shared" si="41"/>
        <v>35</v>
      </c>
    </row>
    <row r="1313" spans="1:12">
      <c r="A1313" t="s">
        <v>338</v>
      </c>
      <c r="B1313" t="s">
        <v>349</v>
      </c>
      <c r="C1313" t="s">
        <v>351</v>
      </c>
      <c r="D1313" s="3" t="s">
        <v>23</v>
      </c>
      <c r="E1313" s="10">
        <v>6.2500000000000003E-3</v>
      </c>
      <c r="F1313" s="7" t="s">
        <v>179</v>
      </c>
      <c r="G1313" s="9">
        <v>740</v>
      </c>
      <c r="H1313" s="9">
        <f t="shared" si="40"/>
        <v>4.625</v>
      </c>
      <c r="I1313" t="s">
        <v>179</v>
      </c>
      <c r="J1313" s="33" t="s">
        <v>489</v>
      </c>
      <c r="K1313" s="18">
        <f>VLOOKUP(D1313,Ingredients!C:G,5,0)</f>
        <v>780</v>
      </c>
      <c r="L1313" s="52">
        <f t="shared" si="41"/>
        <v>4.875</v>
      </c>
    </row>
    <row r="1314" spans="1:12">
      <c r="A1314" t="s">
        <v>338</v>
      </c>
      <c r="B1314" t="s">
        <v>349</v>
      </c>
      <c r="C1314" t="s">
        <v>351</v>
      </c>
      <c r="D1314" s="3" t="s">
        <v>16</v>
      </c>
      <c r="E1314" s="10">
        <v>6.2500000000000003E-3</v>
      </c>
      <c r="F1314" s="7" t="s">
        <v>179</v>
      </c>
      <c r="G1314" s="9">
        <v>270</v>
      </c>
      <c r="H1314" s="9">
        <f t="shared" si="40"/>
        <v>1.6875</v>
      </c>
      <c r="I1314" t="s">
        <v>179</v>
      </c>
      <c r="J1314" s="33" t="s">
        <v>489</v>
      </c>
      <c r="K1314" s="18">
        <f>VLOOKUP(D1314,Ingredients!C:G,5,0)</f>
        <v>310</v>
      </c>
      <c r="L1314" s="52">
        <f t="shared" si="41"/>
        <v>1.9375</v>
      </c>
    </row>
    <row r="1315" spans="1:12">
      <c r="A1315" t="s">
        <v>338</v>
      </c>
      <c r="B1315" t="s">
        <v>349</v>
      </c>
      <c r="C1315" t="s">
        <v>351</v>
      </c>
      <c r="D1315" s="3" t="s">
        <v>835</v>
      </c>
      <c r="E1315" s="10">
        <v>0.125</v>
      </c>
      <c r="F1315" s="7" t="s">
        <v>179</v>
      </c>
      <c r="G1315" s="9">
        <v>389.34</v>
      </c>
      <c r="H1315" s="9">
        <f t="shared" si="40"/>
        <v>48.667499999999997</v>
      </c>
      <c r="I1315" t="s">
        <v>179</v>
      </c>
      <c r="J1315" s="33" t="s">
        <v>489</v>
      </c>
      <c r="K1315" s="18">
        <f>VLOOKUP(D1315,Ingredients!C:G,5,0)</f>
        <v>394.63</v>
      </c>
      <c r="L1315" s="52">
        <f t="shared" si="41"/>
        <v>49.328749999999999</v>
      </c>
    </row>
    <row r="1316" spans="1:12">
      <c r="A1316" t="s">
        <v>338</v>
      </c>
      <c r="B1316" t="s">
        <v>349</v>
      </c>
      <c r="C1316" t="s">
        <v>351</v>
      </c>
      <c r="D1316" s="3" t="s">
        <v>866</v>
      </c>
      <c r="E1316" s="10">
        <v>0.125</v>
      </c>
      <c r="F1316" s="7" t="s">
        <v>179</v>
      </c>
      <c r="G1316" s="9">
        <v>153.97999999999999</v>
      </c>
      <c r="H1316" s="9">
        <f t="shared" si="40"/>
        <v>19.247499999999999</v>
      </c>
      <c r="I1316" t="s">
        <v>179</v>
      </c>
      <c r="J1316" s="33" t="s">
        <v>489</v>
      </c>
      <c r="K1316" s="18">
        <f>VLOOKUP(D1316,Ingredients!C:G,5,0)</f>
        <v>142.13999999999999</v>
      </c>
      <c r="L1316" s="52">
        <f t="shared" si="41"/>
        <v>17.767499999999998</v>
      </c>
    </row>
    <row r="1317" spans="1:12">
      <c r="A1317" t="s">
        <v>338</v>
      </c>
      <c r="B1317" t="s">
        <v>349</v>
      </c>
      <c r="C1317" t="s">
        <v>351</v>
      </c>
      <c r="D1317" s="3" t="s">
        <v>853</v>
      </c>
      <c r="E1317" s="10">
        <v>0.05</v>
      </c>
      <c r="F1317" s="7" t="s">
        <v>179</v>
      </c>
      <c r="G1317" s="9">
        <v>30</v>
      </c>
      <c r="H1317" s="9">
        <f t="shared" si="40"/>
        <v>1.5</v>
      </c>
      <c r="I1317" t="s">
        <v>179</v>
      </c>
      <c r="J1317" s="33" t="s">
        <v>489</v>
      </c>
      <c r="K1317" s="18">
        <f>VLOOKUP(D1317,Ingredients!C:G,5,0)</f>
        <v>55</v>
      </c>
      <c r="L1317" s="52">
        <f t="shared" si="41"/>
        <v>2.75</v>
      </c>
    </row>
    <row r="1318" spans="1:12">
      <c r="A1318" t="s">
        <v>338</v>
      </c>
      <c r="B1318" t="s">
        <v>349</v>
      </c>
      <c r="C1318" t="s">
        <v>351</v>
      </c>
      <c r="D1318" s="3" t="s">
        <v>867</v>
      </c>
      <c r="E1318" s="10">
        <v>2.5000000000000001E-2</v>
      </c>
      <c r="F1318" s="7" t="s">
        <v>179</v>
      </c>
      <c r="G1318" s="9">
        <v>900</v>
      </c>
      <c r="H1318" s="9">
        <f t="shared" si="40"/>
        <v>22.5</v>
      </c>
      <c r="I1318" t="s">
        <v>179</v>
      </c>
      <c r="J1318" s="33" t="s">
        <v>489</v>
      </c>
      <c r="K1318" s="18">
        <f>VLOOKUP(D1318,Ingredients!C:G,5,0)</f>
        <v>950</v>
      </c>
      <c r="L1318" s="52">
        <f t="shared" si="41"/>
        <v>23.75</v>
      </c>
    </row>
    <row r="1319" spans="1:12">
      <c r="A1319" t="s">
        <v>338</v>
      </c>
      <c r="B1319" t="s">
        <v>349</v>
      </c>
      <c r="C1319" t="s">
        <v>351</v>
      </c>
      <c r="D1319" s="3" t="s">
        <v>887</v>
      </c>
      <c r="E1319" s="10">
        <v>1.7500000000000002E-2</v>
      </c>
      <c r="F1319" s="7" t="s">
        <v>179</v>
      </c>
      <c r="G1319" s="9">
        <v>1600</v>
      </c>
      <c r="H1319" s="9">
        <f t="shared" si="40"/>
        <v>28.000000000000004</v>
      </c>
      <c r="I1319" t="s">
        <v>179</v>
      </c>
      <c r="J1319" s="33" t="s">
        <v>489</v>
      </c>
      <c r="K1319" s="18">
        <f>VLOOKUP(D1319,Ingredients!C:G,5,0)</f>
        <v>1830</v>
      </c>
      <c r="L1319" s="52">
        <f t="shared" si="41"/>
        <v>32.025000000000006</v>
      </c>
    </row>
    <row r="1320" spans="1:12">
      <c r="A1320" t="s">
        <v>338</v>
      </c>
      <c r="B1320" t="s">
        <v>349</v>
      </c>
      <c r="C1320" t="s">
        <v>351</v>
      </c>
      <c r="D1320" s="3" t="s">
        <v>895</v>
      </c>
      <c r="E1320" s="10">
        <v>0.02</v>
      </c>
      <c r="F1320" s="7" t="s">
        <v>179</v>
      </c>
      <c r="G1320" s="9">
        <v>400</v>
      </c>
      <c r="H1320" s="9">
        <f t="shared" si="40"/>
        <v>8</v>
      </c>
      <c r="I1320" t="s">
        <v>179</v>
      </c>
      <c r="J1320" s="33" t="s">
        <v>489</v>
      </c>
      <c r="K1320" s="18">
        <f>VLOOKUP(D1320,Ingredients!C:G,5,0)</f>
        <v>400</v>
      </c>
      <c r="L1320" s="52">
        <f t="shared" si="41"/>
        <v>8</v>
      </c>
    </row>
    <row r="1321" spans="1:12">
      <c r="A1321" t="s">
        <v>338</v>
      </c>
      <c r="B1321" t="s">
        <v>349</v>
      </c>
      <c r="C1321" t="s">
        <v>351</v>
      </c>
      <c r="D1321" s="3" t="s">
        <v>854</v>
      </c>
      <c r="E1321" s="10">
        <v>1</v>
      </c>
      <c r="F1321" s="13" t="s">
        <v>173</v>
      </c>
      <c r="G1321" s="9">
        <v>24.64</v>
      </c>
      <c r="H1321" s="9">
        <f t="shared" si="40"/>
        <v>24.64</v>
      </c>
      <c r="I1321" t="s">
        <v>179</v>
      </c>
      <c r="J1321" s="33" t="s">
        <v>489</v>
      </c>
      <c r="K1321" s="18">
        <f>VLOOKUP(D1321,Ingredients!C:G,5,0)</f>
        <v>20.059999999999999</v>
      </c>
      <c r="L1321" s="52">
        <f t="shared" si="41"/>
        <v>20.059999999999999</v>
      </c>
    </row>
    <row r="1322" spans="1:12">
      <c r="A1322" t="s">
        <v>338</v>
      </c>
      <c r="B1322" t="s">
        <v>349</v>
      </c>
      <c r="C1322" t="s">
        <v>351</v>
      </c>
      <c r="D1322" s="3" t="s">
        <v>900</v>
      </c>
      <c r="E1322" s="10">
        <v>0.375</v>
      </c>
      <c r="F1322" s="7" t="s">
        <v>176</v>
      </c>
      <c r="G1322" s="9">
        <v>440</v>
      </c>
      <c r="H1322" s="9">
        <f t="shared" si="40"/>
        <v>165</v>
      </c>
      <c r="I1322" t="s">
        <v>179</v>
      </c>
      <c r="J1322" s="33" t="s">
        <v>489</v>
      </c>
      <c r="K1322" s="18">
        <f>VLOOKUP(D1322,Ingredients!C:G,5,0)</f>
        <v>440</v>
      </c>
      <c r="L1322" s="52">
        <f t="shared" si="41"/>
        <v>165</v>
      </c>
    </row>
    <row r="1323" spans="1:12">
      <c r="A1323" t="s">
        <v>338</v>
      </c>
      <c r="B1323" t="s">
        <v>349</v>
      </c>
      <c r="C1323" t="s">
        <v>351</v>
      </c>
      <c r="D1323" s="3" t="s">
        <v>852</v>
      </c>
      <c r="E1323" s="10">
        <v>0.5</v>
      </c>
      <c r="F1323" s="7" t="s">
        <v>179</v>
      </c>
      <c r="G1323" s="9">
        <v>520.63</v>
      </c>
      <c r="H1323" s="9">
        <f t="shared" si="40"/>
        <v>260.315</v>
      </c>
      <c r="I1323" t="s">
        <v>179</v>
      </c>
      <c r="J1323" s="33" t="s">
        <v>489</v>
      </c>
      <c r="K1323" s="18">
        <v>550</v>
      </c>
      <c r="L1323" s="52">
        <f t="shared" si="41"/>
        <v>275</v>
      </c>
    </row>
    <row r="1324" spans="1:12">
      <c r="A1324" t="s">
        <v>339</v>
      </c>
      <c r="B1324" t="s">
        <v>349</v>
      </c>
      <c r="C1324" t="s">
        <v>352</v>
      </c>
      <c r="D1324" s="3" t="s">
        <v>831</v>
      </c>
      <c r="E1324" s="10">
        <v>1</v>
      </c>
      <c r="F1324" s="7" t="s">
        <v>179</v>
      </c>
      <c r="G1324" s="9">
        <v>908</v>
      </c>
      <c r="H1324" s="9">
        <f t="shared" si="40"/>
        <v>908</v>
      </c>
      <c r="I1324" t="s">
        <v>179</v>
      </c>
      <c r="J1324" s="33" t="s">
        <v>489</v>
      </c>
      <c r="K1324" s="18">
        <f>VLOOKUP(D1324,Ingredients!C:G,5,0)</f>
        <v>908</v>
      </c>
      <c r="L1324" s="52">
        <f t="shared" si="41"/>
        <v>908</v>
      </c>
    </row>
    <row r="1325" spans="1:12">
      <c r="A1325" t="s">
        <v>339</v>
      </c>
      <c r="B1325" t="s">
        <v>349</v>
      </c>
      <c r="C1325" t="s">
        <v>352</v>
      </c>
      <c r="D1325" s="3" t="s">
        <v>852</v>
      </c>
      <c r="E1325" s="10">
        <v>0.05</v>
      </c>
      <c r="F1325" s="7" t="s">
        <v>179</v>
      </c>
      <c r="G1325" s="9">
        <v>520.63</v>
      </c>
      <c r="H1325" s="9">
        <f t="shared" si="40"/>
        <v>26.031500000000001</v>
      </c>
      <c r="I1325" t="s">
        <v>179</v>
      </c>
      <c r="J1325" s="33" t="s">
        <v>489</v>
      </c>
      <c r="K1325" s="18">
        <v>550</v>
      </c>
      <c r="L1325" s="52">
        <f t="shared" si="41"/>
        <v>27.5</v>
      </c>
    </row>
    <row r="1326" spans="1:12">
      <c r="A1326" t="s">
        <v>339</v>
      </c>
      <c r="B1326" t="s">
        <v>349</v>
      </c>
      <c r="C1326" t="s">
        <v>352</v>
      </c>
      <c r="D1326" s="3" t="s">
        <v>942</v>
      </c>
      <c r="E1326" s="10">
        <v>2.5000000000000001E-2</v>
      </c>
      <c r="F1326" s="7" t="s">
        <v>179</v>
      </c>
      <c r="G1326" s="9">
        <v>1388.75</v>
      </c>
      <c r="H1326" s="9">
        <f t="shared" si="40"/>
        <v>34.71875</v>
      </c>
      <c r="I1326" t="s">
        <v>179</v>
      </c>
      <c r="J1326" s="33" t="s">
        <v>489</v>
      </c>
      <c r="K1326" s="18">
        <f>VLOOKUP(D1326,Ingredients!C:G,5,0)</f>
        <v>1375</v>
      </c>
      <c r="L1326" s="52">
        <f t="shared" si="41"/>
        <v>34.375</v>
      </c>
    </row>
    <row r="1327" spans="1:12">
      <c r="A1327" t="s">
        <v>339</v>
      </c>
      <c r="B1327" t="s">
        <v>349</v>
      </c>
      <c r="C1327" t="s">
        <v>352</v>
      </c>
      <c r="D1327" s="3" t="s">
        <v>23</v>
      </c>
      <c r="E1327" s="10">
        <v>1.125E-2</v>
      </c>
      <c r="F1327" s="7" t="s">
        <v>179</v>
      </c>
      <c r="G1327" s="9">
        <v>740</v>
      </c>
      <c r="H1327" s="9">
        <f t="shared" si="40"/>
        <v>8.3249999999999993</v>
      </c>
      <c r="I1327" t="s">
        <v>179</v>
      </c>
      <c r="J1327" s="33" t="s">
        <v>489</v>
      </c>
      <c r="K1327" s="18">
        <f>VLOOKUP(D1327,Ingredients!C:G,5,0)</f>
        <v>780</v>
      </c>
      <c r="L1327" s="52">
        <f t="shared" si="41"/>
        <v>8.7750000000000004</v>
      </c>
    </row>
    <row r="1328" spans="1:12">
      <c r="A1328" t="s">
        <v>339</v>
      </c>
      <c r="B1328" t="s">
        <v>349</v>
      </c>
      <c r="C1328" t="s">
        <v>352</v>
      </c>
      <c r="D1328" s="3" t="s">
        <v>16</v>
      </c>
      <c r="E1328" s="10">
        <v>1.125E-2</v>
      </c>
      <c r="F1328" s="7" t="s">
        <v>179</v>
      </c>
      <c r="G1328" s="9">
        <v>270</v>
      </c>
      <c r="H1328" s="9">
        <f t="shared" si="40"/>
        <v>3.0375000000000001</v>
      </c>
      <c r="I1328" t="s">
        <v>179</v>
      </c>
      <c r="J1328" s="33" t="s">
        <v>489</v>
      </c>
      <c r="K1328" s="18">
        <f>VLOOKUP(D1328,Ingredients!C:G,5,0)</f>
        <v>310</v>
      </c>
      <c r="L1328" s="52">
        <f t="shared" si="41"/>
        <v>3.4874999999999998</v>
      </c>
    </row>
    <row r="1329" spans="1:12">
      <c r="A1329" t="s">
        <v>339</v>
      </c>
      <c r="B1329" t="s">
        <v>349</v>
      </c>
      <c r="C1329" t="s">
        <v>352</v>
      </c>
      <c r="D1329" s="3" t="s">
        <v>853</v>
      </c>
      <c r="E1329" s="10">
        <v>0.02</v>
      </c>
      <c r="F1329" s="7" t="s">
        <v>179</v>
      </c>
      <c r="G1329" s="9">
        <v>30</v>
      </c>
      <c r="H1329" s="9">
        <f t="shared" si="40"/>
        <v>0.6</v>
      </c>
      <c r="I1329" t="s">
        <v>179</v>
      </c>
      <c r="J1329" s="33" t="s">
        <v>489</v>
      </c>
      <c r="K1329" s="18">
        <f>VLOOKUP(D1329,Ingredients!C:G,5,0)</f>
        <v>55</v>
      </c>
      <c r="L1329" s="52">
        <f t="shared" si="41"/>
        <v>1.1000000000000001</v>
      </c>
    </row>
    <row r="1330" spans="1:12">
      <c r="A1330" t="s">
        <v>339</v>
      </c>
      <c r="B1330" t="s">
        <v>349</v>
      </c>
      <c r="C1330" t="s">
        <v>352</v>
      </c>
      <c r="D1330" s="3" t="s">
        <v>872</v>
      </c>
      <c r="E1330" s="10">
        <v>0.02</v>
      </c>
      <c r="F1330" s="7" t="s">
        <v>179</v>
      </c>
      <c r="G1330" s="9">
        <v>2100</v>
      </c>
      <c r="H1330" s="9">
        <f t="shared" si="40"/>
        <v>42</v>
      </c>
      <c r="I1330" t="s">
        <v>179</v>
      </c>
      <c r="J1330" s="33" t="s">
        <v>489</v>
      </c>
      <c r="K1330" s="18">
        <f>VLOOKUP(D1330,Ingredients!C:G,5,0)</f>
        <v>2150</v>
      </c>
      <c r="L1330" s="52">
        <f t="shared" si="41"/>
        <v>43</v>
      </c>
    </row>
    <row r="1331" spans="1:12">
      <c r="A1331" t="s">
        <v>339</v>
      </c>
      <c r="B1331" t="s">
        <v>349</v>
      </c>
      <c r="C1331" t="s">
        <v>352</v>
      </c>
      <c r="D1331" s="3" t="s">
        <v>913</v>
      </c>
      <c r="E1331" s="10">
        <v>0.25</v>
      </c>
      <c r="F1331" s="7" t="s">
        <v>179</v>
      </c>
      <c r="G1331" s="9">
        <v>229.16666666666666</v>
      </c>
      <c r="H1331" s="9">
        <f t="shared" si="40"/>
        <v>57.291666666666664</v>
      </c>
      <c r="I1331" t="s">
        <v>179</v>
      </c>
      <c r="J1331" s="33" t="s">
        <v>489</v>
      </c>
      <c r="K1331" s="18">
        <f>VLOOKUP(D1331,Ingredients!C:F,3,0)</f>
        <v>343.75</v>
      </c>
      <c r="L1331" s="52">
        <f t="shared" si="41"/>
        <v>85.9375</v>
      </c>
    </row>
    <row r="1332" spans="1:12">
      <c r="A1332" t="s">
        <v>339</v>
      </c>
      <c r="B1332" t="s">
        <v>349</v>
      </c>
      <c r="C1332" t="s">
        <v>352</v>
      </c>
      <c r="D1332" s="3" t="s">
        <v>851</v>
      </c>
      <c r="E1332" s="10">
        <v>0.05</v>
      </c>
      <c r="F1332" s="13" t="s">
        <v>176</v>
      </c>
      <c r="G1332" s="9">
        <v>177</v>
      </c>
      <c r="H1332" s="9">
        <f t="shared" si="40"/>
        <v>8.85</v>
      </c>
      <c r="I1332" t="s">
        <v>179</v>
      </c>
      <c r="J1332" s="33" t="s">
        <v>489</v>
      </c>
      <c r="K1332" s="18">
        <f>VLOOKUP(D1332,Ingredients!C:G,5,0)</f>
        <v>920</v>
      </c>
      <c r="L1332" s="52">
        <f t="shared" si="41"/>
        <v>46</v>
      </c>
    </row>
    <row r="1333" spans="1:12">
      <c r="A1333" t="s">
        <v>339</v>
      </c>
      <c r="B1333" t="s">
        <v>349</v>
      </c>
      <c r="C1333" t="s">
        <v>352</v>
      </c>
      <c r="D1333" s="3" t="s">
        <v>341</v>
      </c>
      <c r="E1333" s="10">
        <v>2.5000000000000001E-2</v>
      </c>
      <c r="F1333" s="7" t="s">
        <v>179</v>
      </c>
      <c r="G1333" s="9">
        <v>1750</v>
      </c>
      <c r="H1333" s="9">
        <f t="shared" si="40"/>
        <v>43.75</v>
      </c>
      <c r="I1333" t="s">
        <v>179</v>
      </c>
      <c r="J1333" s="33" t="s">
        <v>489</v>
      </c>
      <c r="K1333" s="18">
        <f>VLOOKUP(D1333,Ingredients!C:G,5,0)</f>
        <v>1750</v>
      </c>
      <c r="L1333" s="52">
        <f t="shared" si="41"/>
        <v>43.75</v>
      </c>
    </row>
    <row r="1334" spans="1:12">
      <c r="A1334" t="s">
        <v>339</v>
      </c>
      <c r="B1334" t="s">
        <v>349</v>
      </c>
      <c r="C1334" t="s">
        <v>352</v>
      </c>
      <c r="D1334" s="3" t="s">
        <v>857</v>
      </c>
      <c r="E1334" s="10">
        <v>2.5000000000000001E-2</v>
      </c>
      <c r="F1334" s="7" t="s">
        <v>179</v>
      </c>
      <c r="G1334" s="9">
        <v>520</v>
      </c>
      <c r="H1334" s="9">
        <f t="shared" si="40"/>
        <v>13</v>
      </c>
      <c r="I1334" t="s">
        <v>179</v>
      </c>
      <c r="J1334" s="33" t="s">
        <v>489</v>
      </c>
      <c r="K1334" s="18">
        <f>VLOOKUP(D1334,Ingredients!C:G,5,0)</f>
        <v>880</v>
      </c>
      <c r="L1334" s="52">
        <f t="shared" si="41"/>
        <v>22</v>
      </c>
    </row>
    <row r="1335" spans="1:12">
      <c r="A1335" t="s">
        <v>339</v>
      </c>
      <c r="B1335" t="s">
        <v>349</v>
      </c>
      <c r="C1335" t="s">
        <v>352</v>
      </c>
      <c r="D1335" s="3" t="s">
        <v>879</v>
      </c>
      <c r="E1335" s="10">
        <v>2.5000000000000001E-2</v>
      </c>
      <c r="F1335" s="7" t="s">
        <v>179</v>
      </c>
      <c r="G1335" s="9">
        <v>1113.51</v>
      </c>
      <c r="H1335" s="9">
        <f t="shared" si="40"/>
        <v>27.83775</v>
      </c>
      <c r="I1335" t="s">
        <v>179</v>
      </c>
      <c r="J1335" s="33" t="s">
        <v>489</v>
      </c>
      <c r="K1335" s="18">
        <f>VLOOKUP(D1335,Ingredients!C:G,5,0)</f>
        <v>1066.33</v>
      </c>
      <c r="L1335" s="52">
        <f t="shared" si="41"/>
        <v>26.658249999999999</v>
      </c>
    </row>
    <row r="1336" spans="1:12">
      <c r="A1336" t="s">
        <v>339</v>
      </c>
      <c r="B1336" t="s">
        <v>349</v>
      </c>
      <c r="C1336" t="s">
        <v>352</v>
      </c>
      <c r="D1336" s="3" t="s">
        <v>896</v>
      </c>
      <c r="E1336" s="10">
        <v>0.1</v>
      </c>
      <c r="F1336" s="7" t="s">
        <v>179</v>
      </c>
      <c r="G1336" s="9">
        <v>330</v>
      </c>
      <c r="H1336" s="9">
        <f t="shared" si="40"/>
        <v>33</v>
      </c>
      <c r="I1336" t="s">
        <v>179</v>
      </c>
      <c r="J1336" s="33" t="s">
        <v>489</v>
      </c>
      <c r="K1336" s="18">
        <f>VLOOKUP(D1336,Ingredients!C:G,5,0)</f>
        <v>1650</v>
      </c>
      <c r="L1336" s="52">
        <f t="shared" si="41"/>
        <v>165</v>
      </c>
    </row>
    <row r="1337" spans="1:12">
      <c r="A1337" t="s">
        <v>366</v>
      </c>
      <c r="B1337" t="s">
        <v>349</v>
      </c>
      <c r="C1337" t="s">
        <v>350</v>
      </c>
      <c r="D1337" s="3" t="s">
        <v>833</v>
      </c>
      <c r="E1337" s="10">
        <v>1</v>
      </c>
      <c r="F1337" s="7" t="s">
        <v>179</v>
      </c>
      <c r="G1337" s="9">
        <v>1020</v>
      </c>
      <c r="H1337" s="9">
        <f t="shared" si="40"/>
        <v>1020</v>
      </c>
      <c r="I1337" t="s">
        <v>179</v>
      </c>
      <c r="J1337" s="33" t="s">
        <v>490</v>
      </c>
      <c r="K1337" s="18">
        <f>VLOOKUP(D1337,Ingredients!C:G,5,0)</f>
        <v>1000</v>
      </c>
      <c r="L1337" s="52">
        <f t="shared" si="41"/>
        <v>1000</v>
      </c>
    </row>
    <row r="1338" spans="1:12">
      <c r="A1338" t="s">
        <v>366</v>
      </c>
      <c r="B1338" t="s">
        <v>349</v>
      </c>
      <c r="C1338" t="s">
        <v>350</v>
      </c>
      <c r="D1338" s="3" t="s">
        <v>861</v>
      </c>
      <c r="E1338" s="10">
        <v>0.2</v>
      </c>
      <c r="F1338" s="7" t="s">
        <v>179</v>
      </c>
      <c r="G1338" s="9">
        <v>500</v>
      </c>
      <c r="H1338" s="9">
        <f t="shared" ref="H1338:H1403" si="42">G1338*E1338</f>
        <v>100</v>
      </c>
      <c r="I1338" t="s">
        <v>179</v>
      </c>
      <c r="J1338" s="33" t="s">
        <v>490</v>
      </c>
      <c r="K1338" s="18">
        <f>VLOOKUP(D1338,Ingredients!C:G,5,0)</f>
        <v>500</v>
      </c>
      <c r="L1338" s="52">
        <f t="shared" si="41"/>
        <v>100</v>
      </c>
    </row>
    <row r="1339" spans="1:12">
      <c r="A1339" t="s">
        <v>366</v>
      </c>
      <c r="B1339" t="s">
        <v>349</v>
      </c>
      <c r="C1339" t="s">
        <v>350</v>
      </c>
      <c r="D1339" s="3" t="s">
        <v>831</v>
      </c>
      <c r="E1339" s="10">
        <v>0.13333333333333333</v>
      </c>
      <c r="F1339" s="7" t="s">
        <v>179</v>
      </c>
      <c r="G1339" s="9">
        <v>908</v>
      </c>
      <c r="H1339" s="9">
        <f t="shared" si="42"/>
        <v>121.06666666666666</v>
      </c>
      <c r="I1339" t="s">
        <v>179</v>
      </c>
      <c r="J1339" s="33" t="s">
        <v>490</v>
      </c>
      <c r="K1339" s="18">
        <f>VLOOKUP(D1339,Ingredients!C:G,5,0)</f>
        <v>908</v>
      </c>
      <c r="L1339" s="52">
        <f t="shared" si="41"/>
        <v>121.06666666666666</v>
      </c>
    </row>
    <row r="1340" spans="1:12">
      <c r="A1340" t="s">
        <v>366</v>
      </c>
      <c r="B1340" t="s">
        <v>349</v>
      </c>
      <c r="C1340" t="s">
        <v>350</v>
      </c>
      <c r="D1340" s="3" t="s">
        <v>24</v>
      </c>
      <c r="E1340" s="10">
        <v>0.2</v>
      </c>
      <c r="F1340" s="7" t="s">
        <v>179</v>
      </c>
      <c r="G1340" s="9">
        <v>55</v>
      </c>
      <c r="H1340" s="9">
        <f t="shared" si="42"/>
        <v>11</v>
      </c>
      <c r="I1340" t="s">
        <v>179</v>
      </c>
      <c r="J1340" s="33" t="s">
        <v>490</v>
      </c>
      <c r="K1340" s="18">
        <f>VLOOKUP(D1340,Ingredients!C:G,5,0)</f>
        <v>80</v>
      </c>
      <c r="L1340" s="52">
        <f t="shared" si="41"/>
        <v>16</v>
      </c>
    </row>
    <row r="1341" spans="1:12">
      <c r="A1341" t="s">
        <v>366</v>
      </c>
      <c r="B1341" t="s">
        <v>349</v>
      </c>
      <c r="C1341" t="s">
        <v>350</v>
      </c>
      <c r="D1341" s="3" t="s">
        <v>882</v>
      </c>
      <c r="E1341" s="10">
        <v>3.3333333333333335E-3</v>
      </c>
      <c r="F1341" s="7" t="s">
        <v>179</v>
      </c>
      <c r="G1341" s="9">
        <v>1500</v>
      </c>
      <c r="H1341" s="9">
        <f t="shared" si="42"/>
        <v>5</v>
      </c>
      <c r="I1341" t="s">
        <v>179</v>
      </c>
      <c r="J1341" s="33" t="s">
        <v>490</v>
      </c>
      <c r="K1341" s="18">
        <f>VLOOKUP(D1341,Ingredients!C:G,5,0)</f>
        <v>1450</v>
      </c>
      <c r="L1341" s="52">
        <f t="shared" si="41"/>
        <v>4.8333333333333339</v>
      </c>
    </row>
    <row r="1342" spans="1:12">
      <c r="A1342" t="s">
        <v>366</v>
      </c>
      <c r="B1342" t="s">
        <v>349</v>
      </c>
      <c r="C1342" t="s">
        <v>350</v>
      </c>
      <c r="D1342" s="3" t="s">
        <v>872</v>
      </c>
      <c r="E1342" s="10">
        <v>3.3333333333333335E-3</v>
      </c>
      <c r="F1342" s="7" t="s">
        <v>179</v>
      </c>
      <c r="G1342" s="9">
        <v>2100</v>
      </c>
      <c r="H1342" s="9">
        <f t="shared" si="42"/>
        <v>7.0000000000000009</v>
      </c>
      <c r="I1342" t="s">
        <v>179</v>
      </c>
      <c r="J1342" s="33" t="s">
        <v>490</v>
      </c>
      <c r="K1342" s="18">
        <f>VLOOKUP(D1342,Ingredients!C:G,5,0)</f>
        <v>2150</v>
      </c>
      <c r="L1342" s="52">
        <f t="shared" si="41"/>
        <v>7.166666666666667</v>
      </c>
    </row>
    <row r="1343" spans="1:12">
      <c r="A1343" t="s">
        <v>366</v>
      </c>
      <c r="B1343" t="s">
        <v>349</v>
      </c>
      <c r="C1343" t="s">
        <v>350</v>
      </c>
      <c r="D1343" s="3" t="s">
        <v>832</v>
      </c>
      <c r="E1343" s="10">
        <v>3.3333333333333335E-3</v>
      </c>
      <c r="F1343" s="7" t="s">
        <v>179</v>
      </c>
      <c r="G1343" s="9">
        <v>128</v>
      </c>
      <c r="H1343" s="9">
        <f t="shared" si="42"/>
        <v>0.42666666666666669</v>
      </c>
      <c r="I1343" t="s">
        <v>179</v>
      </c>
      <c r="J1343" s="33" t="s">
        <v>490</v>
      </c>
      <c r="K1343" s="18">
        <f>VLOOKUP(D1343,Ingredients!C:G,5,0)</f>
        <v>131.19999999999999</v>
      </c>
      <c r="L1343" s="52">
        <f t="shared" si="41"/>
        <v>0.4373333333333333</v>
      </c>
    </row>
    <row r="1344" spans="1:12">
      <c r="A1344" t="s">
        <v>366</v>
      </c>
      <c r="B1344" t="s">
        <v>349</v>
      </c>
      <c r="C1344" t="s">
        <v>350</v>
      </c>
      <c r="D1344" s="3" t="s">
        <v>853</v>
      </c>
      <c r="E1344" s="10">
        <v>0.01</v>
      </c>
      <c r="F1344" s="7" t="s">
        <v>179</v>
      </c>
      <c r="G1344" s="9">
        <v>30</v>
      </c>
      <c r="H1344" s="9">
        <f t="shared" si="42"/>
        <v>0.3</v>
      </c>
      <c r="I1344" t="s">
        <v>179</v>
      </c>
      <c r="J1344" s="33" t="s">
        <v>490</v>
      </c>
      <c r="K1344" s="18">
        <f>VLOOKUP(D1344,Ingredients!C:G,5,0)</f>
        <v>55</v>
      </c>
      <c r="L1344" s="52">
        <f t="shared" si="41"/>
        <v>0.55000000000000004</v>
      </c>
    </row>
    <row r="1345" spans="1:12">
      <c r="A1345" t="s">
        <v>366</v>
      </c>
      <c r="B1345" t="s">
        <v>349</v>
      </c>
      <c r="C1345" t="s">
        <v>350</v>
      </c>
      <c r="D1345" s="3" t="s">
        <v>879</v>
      </c>
      <c r="E1345" s="10">
        <v>6.6666666666666671E-3</v>
      </c>
      <c r="F1345" s="7" t="s">
        <v>179</v>
      </c>
      <c r="G1345" s="9">
        <v>1113.51</v>
      </c>
      <c r="H1345" s="9">
        <f t="shared" si="42"/>
        <v>7.4234</v>
      </c>
      <c r="I1345" t="s">
        <v>179</v>
      </c>
      <c r="J1345" s="33" t="s">
        <v>490</v>
      </c>
      <c r="K1345" s="18">
        <f>VLOOKUP(D1345,Ingredients!C:G,5,0)</f>
        <v>1066.33</v>
      </c>
      <c r="L1345" s="52">
        <f t="shared" si="41"/>
        <v>7.1088666666666667</v>
      </c>
    </row>
    <row r="1346" spans="1:12">
      <c r="A1346" t="s">
        <v>366</v>
      </c>
      <c r="B1346" t="s">
        <v>349</v>
      </c>
      <c r="C1346" t="s">
        <v>350</v>
      </c>
      <c r="D1346" s="3" t="s">
        <v>29</v>
      </c>
      <c r="E1346" s="10">
        <v>3.3333333333333335E-3</v>
      </c>
      <c r="F1346" s="7" t="s">
        <v>179</v>
      </c>
      <c r="G1346" s="9">
        <v>60</v>
      </c>
      <c r="H1346" s="9">
        <f t="shared" si="42"/>
        <v>0.2</v>
      </c>
      <c r="I1346" t="s">
        <v>179</v>
      </c>
      <c r="J1346" s="33" t="s">
        <v>490</v>
      </c>
      <c r="K1346" s="18">
        <f>VLOOKUP(D1346,Ingredients!C:G,5,0)</f>
        <v>100</v>
      </c>
      <c r="L1346" s="52">
        <f t="shared" si="41"/>
        <v>0.33333333333333337</v>
      </c>
    </row>
    <row r="1347" spans="1:12">
      <c r="A1347" t="s">
        <v>344</v>
      </c>
      <c r="B1347" t="s">
        <v>349</v>
      </c>
      <c r="C1347" t="s">
        <v>350</v>
      </c>
      <c r="D1347" s="33" t="s">
        <v>491</v>
      </c>
      <c r="E1347" s="10">
        <v>1</v>
      </c>
      <c r="F1347" s="7" t="s">
        <v>176</v>
      </c>
      <c r="G1347" s="9">
        <v>614</v>
      </c>
      <c r="H1347" s="9">
        <f t="shared" si="42"/>
        <v>614</v>
      </c>
      <c r="I1347" t="s">
        <v>179</v>
      </c>
      <c r="J1347" s="33" t="s">
        <v>491</v>
      </c>
      <c r="K1347" s="18">
        <f>VLOOKUP(D1347,Ingredients!C:G,5,0)</f>
        <v>650</v>
      </c>
      <c r="L1347" s="52">
        <f t="shared" si="41"/>
        <v>650</v>
      </c>
    </row>
    <row r="1348" spans="1:12">
      <c r="A1348" t="s">
        <v>344</v>
      </c>
      <c r="B1348" t="s">
        <v>349</v>
      </c>
      <c r="C1348" t="s">
        <v>350</v>
      </c>
      <c r="D1348" s="3" t="s">
        <v>895</v>
      </c>
      <c r="E1348" s="10">
        <v>0.03</v>
      </c>
      <c r="F1348" s="7" t="s">
        <v>176</v>
      </c>
      <c r="G1348" s="9">
        <v>400</v>
      </c>
      <c r="H1348" s="9">
        <f t="shared" si="42"/>
        <v>12</v>
      </c>
      <c r="I1348" t="s">
        <v>179</v>
      </c>
      <c r="J1348" s="33" t="s">
        <v>491</v>
      </c>
      <c r="K1348" s="18">
        <f>VLOOKUP(D1348,Ingredients!C:G,5,0)</f>
        <v>400</v>
      </c>
      <c r="L1348" s="52">
        <f t="shared" ref="L1348:L1411" si="43">K1348*E1348</f>
        <v>12</v>
      </c>
    </row>
    <row r="1349" spans="1:12">
      <c r="A1349" t="s">
        <v>344</v>
      </c>
      <c r="B1349" t="s">
        <v>349</v>
      </c>
      <c r="C1349" t="s">
        <v>350</v>
      </c>
      <c r="D1349" s="3" t="s">
        <v>887</v>
      </c>
      <c r="E1349" s="10">
        <v>1.4999999999999999E-2</v>
      </c>
      <c r="F1349" s="7" t="s">
        <v>176</v>
      </c>
      <c r="G1349" s="9">
        <v>1600</v>
      </c>
      <c r="H1349" s="9">
        <f t="shared" si="42"/>
        <v>24</v>
      </c>
      <c r="I1349" t="s">
        <v>179</v>
      </c>
      <c r="J1349" s="33" t="s">
        <v>491</v>
      </c>
      <c r="K1349" s="18">
        <f>VLOOKUP(D1349,Ingredients!C:G,5,0)</f>
        <v>1830</v>
      </c>
      <c r="L1349" s="52">
        <f t="shared" si="43"/>
        <v>27.45</v>
      </c>
    </row>
    <row r="1350" spans="1:12">
      <c r="A1350" t="s">
        <v>344</v>
      </c>
      <c r="B1350" t="s">
        <v>349</v>
      </c>
      <c r="C1350" t="s">
        <v>350</v>
      </c>
      <c r="D1350" s="3" t="s">
        <v>55</v>
      </c>
      <c r="E1350" s="10">
        <v>4.0000000000000001E-3</v>
      </c>
      <c r="F1350" s="7" t="s">
        <v>176</v>
      </c>
      <c r="G1350" s="9">
        <v>350</v>
      </c>
      <c r="H1350" s="9">
        <f t="shared" si="42"/>
        <v>1.4000000000000001</v>
      </c>
      <c r="I1350" t="s">
        <v>179</v>
      </c>
      <c r="J1350" s="33" t="s">
        <v>491</v>
      </c>
      <c r="K1350" s="18">
        <f>VLOOKUP(D1350,Ingredients!C:G,5,0)</f>
        <v>457.875</v>
      </c>
      <c r="L1350" s="52">
        <f t="shared" si="43"/>
        <v>1.8315000000000001</v>
      </c>
    </row>
    <row r="1351" spans="1:12">
      <c r="A1351" t="s">
        <v>344</v>
      </c>
      <c r="B1351" t="s">
        <v>349</v>
      </c>
      <c r="C1351" t="s">
        <v>350</v>
      </c>
      <c r="D1351" s="3" t="s">
        <v>943</v>
      </c>
      <c r="E1351" s="10">
        <v>0.1</v>
      </c>
      <c r="F1351" s="7" t="s">
        <v>176</v>
      </c>
      <c r="G1351" s="9">
        <v>450</v>
      </c>
      <c r="H1351" s="9">
        <f t="shared" si="42"/>
        <v>45</v>
      </c>
      <c r="I1351" t="s">
        <v>179</v>
      </c>
      <c r="J1351" s="33" t="s">
        <v>491</v>
      </c>
      <c r="K1351" s="18">
        <f>VLOOKUP(D1351,Ingredients!C:G,5,0)</f>
        <v>450</v>
      </c>
      <c r="L1351" s="52">
        <f t="shared" si="43"/>
        <v>45</v>
      </c>
    </row>
    <row r="1352" spans="1:12">
      <c r="A1352" t="s">
        <v>344</v>
      </c>
      <c r="B1352" t="s">
        <v>349</v>
      </c>
      <c r="C1352" t="s">
        <v>350</v>
      </c>
      <c r="D1352" s="3" t="s">
        <v>867</v>
      </c>
      <c r="E1352" s="10">
        <v>0.03</v>
      </c>
      <c r="F1352" s="7" t="s">
        <v>176</v>
      </c>
      <c r="G1352" s="9">
        <v>900</v>
      </c>
      <c r="H1352" s="9">
        <f t="shared" si="42"/>
        <v>27</v>
      </c>
      <c r="I1352" t="s">
        <v>179</v>
      </c>
      <c r="J1352" s="33" t="s">
        <v>491</v>
      </c>
      <c r="K1352" s="18">
        <f>VLOOKUP(D1352,Ingredients!C:G,5,0)</f>
        <v>950</v>
      </c>
      <c r="L1352" s="52">
        <f t="shared" si="43"/>
        <v>28.5</v>
      </c>
    </row>
    <row r="1353" spans="1:12">
      <c r="A1353" t="s">
        <v>344</v>
      </c>
      <c r="B1353" t="s">
        <v>349</v>
      </c>
      <c r="C1353" t="s">
        <v>350</v>
      </c>
      <c r="D1353" s="3" t="s">
        <v>23</v>
      </c>
      <c r="E1353" s="10">
        <v>0.03</v>
      </c>
      <c r="F1353" s="7" t="s">
        <v>176</v>
      </c>
      <c r="G1353" s="9">
        <v>740</v>
      </c>
      <c r="H1353" s="9">
        <f t="shared" si="42"/>
        <v>22.2</v>
      </c>
      <c r="I1353" t="s">
        <v>179</v>
      </c>
      <c r="J1353" s="33" t="s">
        <v>491</v>
      </c>
      <c r="K1353" s="18">
        <f>VLOOKUP(D1353,Ingredients!C:G,5,0)</f>
        <v>780</v>
      </c>
      <c r="L1353" s="52">
        <f t="shared" si="43"/>
        <v>23.4</v>
      </c>
    </row>
    <row r="1354" spans="1:12">
      <c r="A1354" t="s">
        <v>344</v>
      </c>
      <c r="B1354" t="s">
        <v>349</v>
      </c>
      <c r="C1354" t="s">
        <v>350</v>
      </c>
      <c r="D1354" s="3" t="s">
        <v>16</v>
      </c>
      <c r="E1354" s="10">
        <v>0.03</v>
      </c>
      <c r="F1354" s="7" t="s">
        <v>176</v>
      </c>
      <c r="G1354" s="9">
        <v>270</v>
      </c>
      <c r="H1354" s="9">
        <f t="shared" si="42"/>
        <v>8.1</v>
      </c>
      <c r="I1354" t="s">
        <v>179</v>
      </c>
      <c r="J1354" s="33" t="s">
        <v>491</v>
      </c>
      <c r="K1354" s="18">
        <f>VLOOKUP(D1354,Ingredients!C:G,5,0)</f>
        <v>310</v>
      </c>
      <c r="L1354" s="52">
        <f t="shared" si="43"/>
        <v>9.2999999999999989</v>
      </c>
    </row>
    <row r="1355" spans="1:12">
      <c r="A1355" t="s">
        <v>344</v>
      </c>
      <c r="B1355" t="s">
        <v>349</v>
      </c>
      <c r="C1355" t="s">
        <v>350</v>
      </c>
      <c r="D1355" s="3" t="s">
        <v>73</v>
      </c>
      <c r="E1355" s="10">
        <v>0.1</v>
      </c>
      <c r="F1355" s="7" t="s">
        <v>176</v>
      </c>
      <c r="G1355" s="9">
        <v>305</v>
      </c>
      <c r="H1355" s="9">
        <f t="shared" si="42"/>
        <v>30.5</v>
      </c>
      <c r="I1355" t="s">
        <v>179</v>
      </c>
      <c r="J1355" s="33" t="s">
        <v>491</v>
      </c>
      <c r="K1355" s="18">
        <f>VLOOKUP(D1355,Ingredients!C:G,5,0)</f>
        <v>300</v>
      </c>
      <c r="L1355" s="52">
        <f t="shared" si="43"/>
        <v>30</v>
      </c>
    </row>
    <row r="1356" spans="1:12">
      <c r="A1356" t="s">
        <v>344</v>
      </c>
      <c r="B1356" t="s">
        <v>349</v>
      </c>
      <c r="C1356" t="s">
        <v>350</v>
      </c>
      <c r="D1356" s="3" t="s">
        <v>852</v>
      </c>
      <c r="E1356" s="10">
        <v>0.08</v>
      </c>
      <c r="F1356" s="7" t="s">
        <v>176</v>
      </c>
      <c r="G1356" s="9">
        <v>520.63</v>
      </c>
      <c r="H1356" s="9">
        <f t="shared" si="42"/>
        <v>41.650399999999998</v>
      </c>
      <c r="I1356" t="s">
        <v>179</v>
      </c>
      <c r="J1356" s="33" t="s">
        <v>491</v>
      </c>
      <c r="K1356" s="18">
        <v>550</v>
      </c>
      <c r="L1356" s="52">
        <f t="shared" si="43"/>
        <v>44</v>
      </c>
    </row>
    <row r="1357" spans="1:12">
      <c r="A1357" t="s">
        <v>344</v>
      </c>
      <c r="B1357" t="s">
        <v>349</v>
      </c>
      <c r="C1357" t="s">
        <v>350</v>
      </c>
      <c r="D1357" s="3" t="s">
        <v>943</v>
      </c>
      <c r="E1357" s="10">
        <v>0.08</v>
      </c>
      <c r="F1357" s="7" t="s">
        <v>176</v>
      </c>
      <c r="G1357" s="9">
        <v>450</v>
      </c>
      <c r="H1357" s="9">
        <f t="shared" si="42"/>
        <v>36</v>
      </c>
      <c r="I1357" t="s">
        <v>179</v>
      </c>
      <c r="J1357" s="33" t="s">
        <v>491</v>
      </c>
      <c r="K1357" s="18">
        <f>VLOOKUP(D1357,Ingredients!C:G,5,0)</f>
        <v>450</v>
      </c>
      <c r="L1357" s="52">
        <f t="shared" si="43"/>
        <v>36</v>
      </c>
    </row>
    <row r="1358" spans="1:12">
      <c r="A1358" t="s">
        <v>368</v>
      </c>
      <c r="B1358" t="s">
        <v>349</v>
      </c>
      <c r="C1358" t="s">
        <v>353</v>
      </c>
      <c r="D1358" s="3" t="s">
        <v>891</v>
      </c>
      <c r="E1358" s="10">
        <v>0.08</v>
      </c>
      <c r="F1358" s="13" t="s">
        <v>176</v>
      </c>
      <c r="G1358" s="9">
        <v>380</v>
      </c>
      <c r="H1358" s="9">
        <f t="shared" si="42"/>
        <v>30.400000000000002</v>
      </c>
      <c r="I1358" t="s">
        <v>179</v>
      </c>
      <c r="J1358" s="33" t="s">
        <v>514</v>
      </c>
      <c r="K1358" s="18">
        <f>VLOOKUP(D1358,Ingredients!C:G,5,0)</f>
        <v>800</v>
      </c>
      <c r="L1358" s="52">
        <f t="shared" si="43"/>
        <v>64</v>
      </c>
    </row>
    <row r="1359" spans="1:12">
      <c r="A1359" t="s">
        <v>368</v>
      </c>
      <c r="B1359" t="s">
        <v>349</v>
      </c>
      <c r="C1359" t="s">
        <v>353</v>
      </c>
      <c r="D1359" s="3" t="s">
        <v>892</v>
      </c>
      <c r="E1359" s="10">
        <v>0.08</v>
      </c>
      <c r="F1359" s="13" t="s">
        <v>176</v>
      </c>
      <c r="G1359" s="9">
        <v>2000</v>
      </c>
      <c r="H1359" s="9">
        <f t="shared" si="42"/>
        <v>160</v>
      </c>
      <c r="I1359" t="s">
        <v>179</v>
      </c>
      <c r="J1359" s="33" t="s">
        <v>514</v>
      </c>
      <c r="K1359" s="18">
        <f>VLOOKUP(D1359,Ingredients!C:G,5,0)</f>
        <v>2080</v>
      </c>
      <c r="L1359" s="52">
        <f t="shared" si="43"/>
        <v>166.4</v>
      </c>
    </row>
    <row r="1360" spans="1:12">
      <c r="A1360" t="s">
        <v>368</v>
      </c>
      <c r="B1360" t="s">
        <v>349</v>
      </c>
      <c r="C1360" t="s">
        <v>353</v>
      </c>
      <c r="D1360" s="3" t="s">
        <v>15</v>
      </c>
      <c r="E1360" s="10">
        <v>0.04</v>
      </c>
      <c r="F1360" s="13" t="s">
        <v>176</v>
      </c>
      <c r="G1360" s="9">
        <v>130</v>
      </c>
      <c r="H1360" s="9">
        <f t="shared" si="42"/>
        <v>5.2</v>
      </c>
      <c r="I1360" t="s">
        <v>179</v>
      </c>
      <c r="J1360" s="33" t="s">
        <v>514</v>
      </c>
      <c r="K1360" s="18">
        <f>VLOOKUP(D1360,Ingredients!C:G,5,0)</f>
        <v>90</v>
      </c>
      <c r="L1360" s="52">
        <f t="shared" si="43"/>
        <v>3.6</v>
      </c>
    </row>
    <row r="1361" spans="1:12">
      <c r="A1361" t="s">
        <v>368</v>
      </c>
      <c r="B1361" t="s">
        <v>349</v>
      </c>
      <c r="C1361" t="s">
        <v>353</v>
      </c>
      <c r="D1361" s="3" t="s">
        <v>24</v>
      </c>
      <c r="E1361" s="10">
        <v>0.28000000000000003</v>
      </c>
      <c r="F1361" s="13" t="s">
        <v>176</v>
      </c>
      <c r="G1361" s="9">
        <v>55</v>
      </c>
      <c r="H1361" s="9">
        <f t="shared" si="42"/>
        <v>15.400000000000002</v>
      </c>
      <c r="I1361" t="s">
        <v>179</v>
      </c>
      <c r="J1361" s="33" t="s">
        <v>514</v>
      </c>
      <c r="K1361" s="18">
        <f>VLOOKUP(D1361,Ingredients!C:G,5,0)</f>
        <v>80</v>
      </c>
      <c r="L1361" s="52">
        <f t="shared" si="43"/>
        <v>22.400000000000002</v>
      </c>
    </row>
    <row r="1362" spans="1:12">
      <c r="A1362" t="s">
        <v>368</v>
      </c>
      <c r="B1362" t="s">
        <v>349</v>
      </c>
      <c r="C1362" t="s">
        <v>353</v>
      </c>
      <c r="D1362" s="3" t="s">
        <v>852</v>
      </c>
      <c r="E1362" s="10">
        <v>0.32</v>
      </c>
      <c r="F1362" s="13" t="s">
        <v>177</v>
      </c>
      <c r="G1362" s="9">
        <v>520.63</v>
      </c>
      <c r="H1362" s="9">
        <f t="shared" si="42"/>
        <v>166.60159999999999</v>
      </c>
      <c r="I1362" t="s">
        <v>179</v>
      </c>
      <c r="J1362" s="33" t="s">
        <v>514</v>
      </c>
      <c r="K1362" s="18">
        <v>550</v>
      </c>
      <c r="L1362" s="52">
        <f t="shared" si="43"/>
        <v>176</v>
      </c>
    </row>
    <row r="1363" spans="1:12">
      <c r="A1363" t="s">
        <v>368</v>
      </c>
      <c r="B1363" t="s">
        <v>349</v>
      </c>
      <c r="C1363" t="s">
        <v>353</v>
      </c>
      <c r="D1363" s="3" t="s">
        <v>855</v>
      </c>
      <c r="E1363" s="10">
        <v>0.02</v>
      </c>
      <c r="F1363" s="13" t="s">
        <v>176</v>
      </c>
      <c r="G1363" s="9">
        <v>2400</v>
      </c>
      <c r="H1363" s="9">
        <f t="shared" si="42"/>
        <v>48</v>
      </c>
      <c r="I1363" t="s">
        <v>179</v>
      </c>
      <c r="J1363" s="33" t="s">
        <v>514</v>
      </c>
      <c r="K1363" s="18">
        <f>VLOOKUP(D1363,Ingredients!C:G,5,0)</f>
        <v>1600</v>
      </c>
      <c r="L1363" s="52">
        <f t="shared" si="43"/>
        <v>32</v>
      </c>
    </row>
    <row r="1364" spans="1:12">
      <c r="A1364" t="s">
        <v>368</v>
      </c>
      <c r="B1364" t="s">
        <v>349</v>
      </c>
      <c r="C1364" t="s">
        <v>353</v>
      </c>
      <c r="D1364" s="3" t="s">
        <v>853</v>
      </c>
      <c r="E1364" s="10">
        <v>0.02</v>
      </c>
      <c r="F1364" s="13" t="s">
        <v>176</v>
      </c>
      <c r="G1364" s="9">
        <v>30</v>
      </c>
      <c r="H1364" s="9">
        <f t="shared" si="42"/>
        <v>0.6</v>
      </c>
      <c r="I1364" t="s">
        <v>179</v>
      </c>
      <c r="J1364" s="33" t="s">
        <v>514</v>
      </c>
      <c r="K1364" s="18">
        <f>VLOOKUP(D1364,Ingredients!C:G,5,0)</f>
        <v>55</v>
      </c>
      <c r="L1364" s="52">
        <f t="shared" si="43"/>
        <v>1.1000000000000001</v>
      </c>
    </row>
    <row r="1365" spans="1:12">
      <c r="A1365" t="s">
        <v>368</v>
      </c>
      <c r="B1365" t="s">
        <v>349</v>
      </c>
      <c r="C1365" t="s">
        <v>353</v>
      </c>
      <c r="D1365" s="3" t="s">
        <v>837</v>
      </c>
      <c r="E1365" s="10">
        <v>1</v>
      </c>
      <c r="F1365" s="13" t="s">
        <v>176</v>
      </c>
      <c r="G1365" s="9">
        <v>1700</v>
      </c>
      <c r="H1365" s="9">
        <f t="shared" si="42"/>
        <v>1700</v>
      </c>
      <c r="I1365" t="s">
        <v>179</v>
      </c>
      <c r="J1365" s="33" t="s">
        <v>514</v>
      </c>
      <c r="K1365" s="18">
        <f>VLOOKUP(D1365,Ingredients!C:G,5,0)</f>
        <v>1800</v>
      </c>
      <c r="L1365" s="52">
        <f t="shared" si="43"/>
        <v>1800</v>
      </c>
    </row>
    <row r="1366" spans="1:12">
      <c r="A1366" t="s">
        <v>368</v>
      </c>
      <c r="B1366" t="s">
        <v>349</v>
      </c>
      <c r="C1366" t="s">
        <v>353</v>
      </c>
      <c r="D1366" s="3" t="s">
        <v>884</v>
      </c>
      <c r="E1366" s="10">
        <v>1.2</v>
      </c>
      <c r="F1366" s="13" t="s">
        <v>176</v>
      </c>
      <c r="G1366" s="9">
        <v>344</v>
      </c>
      <c r="H1366" s="9">
        <f t="shared" si="42"/>
        <v>412.8</v>
      </c>
      <c r="I1366" t="s">
        <v>179</v>
      </c>
      <c r="J1366" s="33" t="s">
        <v>514</v>
      </c>
      <c r="K1366" s="18">
        <f>VLOOKUP(D1366,Ingredients!C:G,5,0)</f>
        <v>344</v>
      </c>
      <c r="L1366" s="52">
        <f t="shared" si="43"/>
        <v>412.8</v>
      </c>
    </row>
    <row r="1367" spans="1:12">
      <c r="A1367" t="s">
        <v>369</v>
      </c>
      <c r="B1367" t="s">
        <v>358</v>
      </c>
      <c r="C1367" t="s">
        <v>361</v>
      </c>
      <c r="D1367" s="3" t="s">
        <v>370</v>
      </c>
      <c r="E1367" s="11">
        <v>0.14285714285714285</v>
      </c>
      <c r="F1367" s="7" t="s">
        <v>179</v>
      </c>
      <c r="G1367" s="9">
        <v>450</v>
      </c>
      <c r="H1367" s="9">
        <f t="shared" si="42"/>
        <v>64.285714285714278</v>
      </c>
      <c r="I1367" t="s">
        <v>485</v>
      </c>
      <c r="J1367" s="33">
        <v>0</v>
      </c>
      <c r="K1367" s="18">
        <f>VLOOKUP(D1367,Ingredients!C:G,5,0)</f>
        <v>230</v>
      </c>
      <c r="L1367" s="52">
        <f t="shared" si="43"/>
        <v>32.857142857142854</v>
      </c>
    </row>
    <row r="1368" spans="1:12">
      <c r="A1368" t="s">
        <v>369</v>
      </c>
      <c r="B1368" t="s">
        <v>358</v>
      </c>
      <c r="C1368" t="s">
        <v>361</v>
      </c>
      <c r="D1368" s="3" t="s">
        <v>830</v>
      </c>
      <c r="E1368" s="11">
        <v>3.5714285714285712E-2</v>
      </c>
      <c r="F1368" s="7" t="s">
        <v>179</v>
      </c>
      <c r="G1368" s="9">
        <v>149</v>
      </c>
      <c r="H1368" s="9">
        <f t="shared" si="42"/>
        <v>5.3214285714285712</v>
      </c>
      <c r="I1368" t="s">
        <v>485</v>
      </c>
      <c r="J1368" s="33">
        <v>0</v>
      </c>
      <c r="K1368" s="18">
        <f>VLOOKUP(D1368,Ingredients!C:G,5,0)</f>
        <v>123</v>
      </c>
      <c r="L1368" s="52">
        <f t="shared" si="43"/>
        <v>4.3928571428571423</v>
      </c>
    </row>
    <row r="1369" spans="1:12">
      <c r="A1369" t="s">
        <v>369</v>
      </c>
      <c r="B1369" t="s">
        <v>358</v>
      </c>
      <c r="C1369" t="s">
        <v>361</v>
      </c>
      <c r="D1369" s="3" t="s">
        <v>872</v>
      </c>
      <c r="E1369" s="11">
        <v>2.8571428571428574E-4</v>
      </c>
      <c r="F1369" s="7" t="s">
        <v>179</v>
      </c>
      <c r="G1369" s="9">
        <v>2100</v>
      </c>
      <c r="H1369" s="9">
        <f t="shared" si="42"/>
        <v>0.60000000000000009</v>
      </c>
      <c r="I1369" t="s">
        <v>485</v>
      </c>
      <c r="J1369" s="33">
        <v>0</v>
      </c>
      <c r="K1369" s="18">
        <f>VLOOKUP(D1369,Ingredients!C:G,5,0)</f>
        <v>2150</v>
      </c>
      <c r="L1369" s="52">
        <f t="shared" si="43"/>
        <v>0.61428571428571432</v>
      </c>
    </row>
    <row r="1370" spans="1:12">
      <c r="A1370" t="s">
        <v>369</v>
      </c>
      <c r="B1370" t="s">
        <v>358</v>
      </c>
      <c r="C1370" t="s">
        <v>361</v>
      </c>
      <c r="D1370" s="3" t="s">
        <v>882</v>
      </c>
      <c r="E1370" s="11">
        <v>2.8571428571428574E-4</v>
      </c>
      <c r="F1370" s="7" t="s">
        <v>179</v>
      </c>
      <c r="G1370" s="9">
        <v>1500</v>
      </c>
      <c r="H1370" s="9">
        <f t="shared" si="42"/>
        <v>0.4285714285714286</v>
      </c>
      <c r="I1370" t="s">
        <v>485</v>
      </c>
      <c r="J1370" s="33">
        <v>0</v>
      </c>
      <c r="K1370" s="18">
        <f>VLOOKUP(D1370,Ingredients!C:G,5,0)</f>
        <v>1450</v>
      </c>
      <c r="L1370" s="52">
        <f t="shared" si="43"/>
        <v>0.41428571428571431</v>
      </c>
    </row>
    <row r="1371" spans="1:12">
      <c r="A1371" t="s">
        <v>369</v>
      </c>
      <c r="B1371" t="s">
        <v>358</v>
      </c>
      <c r="C1371" t="s">
        <v>361</v>
      </c>
      <c r="D1371" s="3" t="s">
        <v>31</v>
      </c>
      <c r="E1371" s="11">
        <v>2.8571428571428574E-4</v>
      </c>
      <c r="F1371" s="7" t="s">
        <v>179</v>
      </c>
      <c r="G1371" s="9">
        <v>200</v>
      </c>
      <c r="H1371" s="9">
        <f t="shared" si="42"/>
        <v>5.7142857142857148E-2</v>
      </c>
      <c r="I1371" t="s">
        <v>485</v>
      </c>
      <c r="J1371" s="33">
        <v>0</v>
      </c>
      <c r="K1371" s="18">
        <f>VLOOKUP(D1371,Ingredients!C:G,5,0)</f>
        <v>350</v>
      </c>
      <c r="L1371" s="52">
        <f t="shared" si="43"/>
        <v>0.1</v>
      </c>
    </row>
    <row r="1372" spans="1:12">
      <c r="A1372" t="s">
        <v>369</v>
      </c>
      <c r="B1372" t="s">
        <v>358</v>
      </c>
      <c r="C1372" t="s">
        <v>361</v>
      </c>
      <c r="D1372" s="3" t="s">
        <v>841</v>
      </c>
      <c r="E1372" s="11">
        <v>2.0000000000000001E-4</v>
      </c>
      <c r="F1372" s="7" t="s">
        <v>179</v>
      </c>
      <c r="G1372" s="9">
        <v>50</v>
      </c>
      <c r="H1372" s="9">
        <f t="shared" si="42"/>
        <v>0.01</v>
      </c>
      <c r="I1372" t="s">
        <v>485</v>
      </c>
      <c r="J1372" s="33">
        <v>0</v>
      </c>
      <c r="K1372" s="18">
        <f>VLOOKUP(D1372,Ingredients!C:G,5,0)</f>
        <v>50</v>
      </c>
      <c r="L1372" s="52">
        <f t="shared" si="43"/>
        <v>0.01</v>
      </c>
    </row>
    <row r="1373" spans="1:12">
      <c r="A1373" t="s">
        <v>369</v>
      </c>
      <c r="B1373" t="s">
        <v>358</v>
      </c>
      <c r="C1373" t="s">
        <v>361</v>
      </c>
      <c r="D1373" s="3" t="s">
        <v>853</v>
      </c>
      <c r="E1373" s="11">
        <v>1.7142857142857143E-4</v>
      </c>
      <c r="F1373" s="7" t="s">
        <v>179</v>
      </c>
      <c r="G1373" s="9">
        <v>30</v>
      </c>
      <c r="H1373" s="9">
        <f t="shared" si="42"/>
        <v>5.1428571428571426E-3</v>
      </c>
      <c r="I1373" t="s">
        <v>485</v>
      </c>
      <c r="J1373" s="33">
        <v>0</v>
      </c>
      <c r="K1373" s="18">
        <f>VLOOKUP(D1373,Ingredients!C:G,5,0)</f>
        <v>55</v>
      </c>
      <c r="L1373" s="52">
        <f t="shared" si="43"/>
        <v>9.4285714285714285E-3</v>
      </c>
    </row>
    <row r="1374" spans="1:12">
      <c r="A1374" t="s">
        <v>369</v>
      </c>
      <c r="B1374" t="s">
        <v>358</v>
      </c>
      <c r="C1374" t="s">
        <v>361</v>
      </c>
      <c r="D1374" s="3" t="s">
        <v>901</v>
      </c>
      <c r="E1374" s="11">
        <v>0.2</v>
      </c>
      <c r="F1374" s="7" t="s">
        <v>190</v>
      </c>
      <c r="G1374" s="9">
        <v>73</v>
      </c>
      <c r="H1374" s="9">
        <f t="shared" si="42"/>
        <v>14.600000000000001</v>
      </c>
      <c r="I1374" t="s">
        <v>485</v>
      </c>
      <c r="J1374" s="33">
        <v>0</v>
      </c>
      <c r="K1374" s="18">
        <f>VLOOKUP(D1374,Ingredients!C:G,5,0)</f>
        <v>73</v>
      </c>
      <c r="L1374" s="52">
        <f t="shared" si="43"/>
        <v>14.600000000000001</v>
      </c>
    </row>
    <row r="1375" spans="1:12">
      <c r="A1375" t="s">
        <v>373</v>
      </c>
      <c r="B1375" t="s">
        <v>347</v>
      </c>
      <c r="C1375" t="s">
        <v>365</v>
      </c>
      <c r="D1375" s="3" t="s">
        <v>196</v>
      </c>
      <c r="E1375" s="14">
        <v>0.05</v>
      </c>
      <c r="F1375" s="4" t="s">
        <v>179</v>
      </c>
      <c r="G1375" s="9">
        <v>160</v>
      </c>
      <c r="H1375" s="43">
        <f t="shared" si="42"/>
        <v>8</v>
      </c>
      <c r="I1375" t="s">
        <v>486</v>
      </c>
      <c r="J1375" s="33">
        <v>0</v>
      </c>
      <c r="K1375" s="18">
        <f>VLOOKUP(D1375,Ingredients!C:G,5,0)</f>
        <v>165</v>
      </c>
      <c r="L1375" s="52">
        <f t="shared" si="43"/>
        <v>8.25</v>
      </c>
    </row>
    <row r="1376" spans="1:12">
      <c r="A1376" t="s">
        <v>373</v>
      </c>
      <c r="B1376" t="s">
        <v>347</v>
      </c>
      <c r="C1376" t="s">
        <v>365</v>
      </c>
      <c r="D1376" s="3" t="s">
        <v>189</v>
      </c>
      <c r="E1376" s="14">
        <v>0.25</v>
      </c>
      <c r="F1376" s="4" t="s">
        <v>179</v>
      </c>
      <c r="G1376" s="9">
        <v>0</v>
      </c>
      <c r="H1376" s="43">
        <f t="shared" si="42"/>
        <v>0</v>
      </c>
      <c r="I1376" t="s">
        <v>486</v>
      </c>
      <c r="J1376" s="33">
        <v>0</v>
      </c>
      <c r="K1376" s="18">
        <v>550</v>
      </c>
      <c r="L1376" s="52">
        <f t="shared" si="43"/>
        <v>137.5</v>
      </c>
    </row>
    <row r="1377" spans="1:12">
      <c r="A1377" t="s">
        <v>373</v>
      </c>
      <c r="B1377" t="s">
        <v>347</v>
      </c>
      <c r="C1377" t="s">
        <v>365</v>
      </c>
      <c r="D1377" s="3" t="s">
        <v>944</v>
      </c>
      <c r="E1377" s="14">
        <v>2.5000000000000001E-2</v>
      </c>
      <c r="F1377" s="4" t="s">
        <v>179</v>
      </c>
      <c r="G1377" s="9">
        <v>1000</v>
      </c>
      <c r="H1377" s="43">
        <f t="shared" si="42"/>
        <v>25</v>
      </c>
      <c r="I1377" t="s">
        <v>486</v>
      </c>
      <c r="J1377" s="33">
        <v>0</v>
      </c>
      <c r="K1377" s="18">
        <f>VLOOKUP(D1377,Ingredients!C:G,5,0)</f>
        <v>842</v>
      </c>
      <c r="L1377" s="52">
        <f t="shared" si="43"/>
        <v>21.05</v>
      </c>
    </row>
    <row r="1378" spans="1:12">
      <c r="A1378" t="s">
        <v>373</v>
      </c>
      <c r="B1378" t="s">
        <v>347</v>
      </c>
      <c r="C1378" t="s">
        <v>365</v>
      </c>
      <c r="D1378" s="3" t="s">
        <v>865</v>
      </c>
      <c r="E1378" s="14">
        <v>2.5000000000000001E-3</v>
      </c>
      <c r="F1378" s="4" t="s">
        <v>179</v>
      </c>
      <c r="G1378" s="9">
        <v>1400</v>
      </c>
      <c r="H1378" s="43">
        <f t="shared" si="42"/>
        <v>3.5</v>
      </c>
      <c r="I1378" t="s">
        <v>486</v>
      </c>
      <c r="J1378" s="33">
        <v>0</v>
      </c>
      <c r="K1378" s="18">
        <f>VLOOKUP(D1378,Ingredients!C:G,5,0)</f>
        <v>1400</v>
      </c>
      <c r="L1378" s="52">
        <f t="shared" si="43"/>
        <v>3.5</v>
      </c>
    </row>
    <row r="1379" spans="1:12">
      <c r="A1379" t="s">
        <v>373</v>
      </c>
      <c r="B1379" t="s">
        <v>347</v>
      </c>
      <c r="C1379" t="s">
        <v>365</v>
      </c>
      <c r="D1379" s="3" t="s">
        <v>851</v>
      </c>
      <c r="E1379" s="14">
        <v>5.0000000000000001E-3</v>
      </c>
      <c r="F1379" s="13" t="s">
        <v>176</v>
      </c>
      <c r="G1379" s="9">
        <v>177</v>
      </c>
      <c r="H1379" s="43">
        <f t="shared" si="42"/>
        <v>0.88500000000000001</v>
      </c>
      <c r="I1379" t="s">
        <v>486</v>
      </c>
      <c r="J1379" s="33">
        <v>0</v>
      </c>
      <c r="K1379" s="18">
        <f>VLOOKUP(D1379,Ingredients!C:G,5,0)</f>
        <v>920</v>
      </c>
      <c r="L1379" s="52">
        <f t="shared" si="43"/>
        <v>4.6000000000000005</v>
      </c>
    </row>
    <row r="1380" spans="1:12">
      <c r="A1380" t="s">
        <v>373</v>
      </c>
      <c r="B1380" t="s">
        <v>347</v>
      </c>
      <c r="C1380" t="s">
        <v>365</v>
      </c>
      <c r="D1380" s="3" t="s">
        <v>945</v>
      </c>
      <c r="E1380" s="14">
        <v>2E-3</v>
      </c>
      <c r="F1380" s="4" t="s">
        <v>376</v>
      </c>
      <c r="G1380" s="9">
        <v>1450</v>
      </c>
      <c r="H1380" s="43">
        <f t="shared" si="42"/>
        <v>2.9</v>
      </c>
      <c r="I1380" t="s">
        <v>486</v>
      </c>
      <c r="J1380" s="33">
        <v>0</v>
      </c>
      <c r="K1380" s="18">
        <f>VLOOKUP(D1380,Ingredients!C:G,5,0)</f>
        <v>1450</v>
      </c>
      <c r="L1380" s="52">
        <f t="shared" si="43"/>
        <v>2.9</v>
      </c>
    </row>
    <row r="1381" spans="1:12">
      <c r="A1381" t="s">
        <v>373</v>
      </c>
      <c r="B1381" t="s">
        <v>347</v>
      </c>
      <c r="C1381" t="s">
        <v>365</v>
      </c>
      <c r="D1381" s="3" t="s">
        <v>853</v>
      </c>
      <c r="E1381" s="14">
        <v>5.0000000000000001E-3</v>
      </c>
      <c r="F1381" s="4" t="s">
        <v>179</v>
      </c>
      <c r="G1381" s="9">
        <v>30</v>
      </c>
      <c r="H1381" s="43">
        <f t="shared" si="42"/>
        <v>0.15</v>
      </c>
      <c r="I1381" t="s">
        <v>486</v>
      </c>
      <c r="J1381" s="33">
        <v>0</v>
      </c>
      <c r="K1381" s="18">
        <f>VLOOKUP(D1381,Ingredients!C:G,5,0)</f>
        <v>55</v>
      </c>
      <c r="L1381" s="52">
        <f t="shared" si="43"/>
        <v>0.27500000000000002</v>
      </c>
    </row>
    <row r="1382" spans="1:12">
      <c r="A1382" t="s">
        <v>373</v>
      </c>
      <c r="B1382" t="s">
        <v>347</v>
      </c>
      <c r="C1382" t="s">
        <v>365</v>
      </c>
      <c r="D1382" s="3" t="s">
        <v>15</v>
      </c>
      <c r="E1382" s="14">
        <v>2.5000000000000001E-2</v>
      </c>
      <c r="F1382" s="4" t="s">
        <v>179</v>
      </c>
      <c r="G1382" s="9">
        <v>130</v>
      </c>
      <c r="H1382" s="43">
        <f t="shared" si="42"/>
        <v>3.25</v>
      </c>
      <c r="I1382" t="s">
        <v>486</v>
      </c>
      <c r="J1382" s="33">
        <v>0</v>
      </c>
      <c r="K1382" s="18">
        <f>VLOOKUP(D1382,Ingredients!C:G,5,0)</f>
        <v>90</v>
      </c>
      <c r="L1382" s="52">
        <f t="shared" si="43"/>
        <v>2.25</v>
      </c>
    </row>
    <row r="1383" spans="1:12">
      <c r="A1383" t="s">
        <v>373</v>
      </c>
      <c r="B1383" t="s">
        <v>347</v>
      </c>
      <c r="C1383" t="s">
        <v>365</v>
      </c>
      <c r="D1383" s="3" t="s">
        <v>831</v>
      </c>
      <c r="E1383" s="14">
        <v>2.5000000000000001E-2</v>
      </c>
      <c r="F1383" s="4" t="s">
        <v>179</v>
      </c>
      <c r="G1383" s="9">
        <v>908</v>
      </c>
      <c r="H1383" s="43">
        <f t="shared" si="42"/>
        <v>22.700000000000003</v>
      </c>
      <c r="I1383" t="s">
        <v>486</v>
      </c>
      <c r="J1383" s="33">
        <v>0</v>
      </c>
      <c r="K1383" s="18">
        <f>VLOOKUP(D1383,Ingredients!C:G,5,0)</f>
        <v>908</v>
      </c>
      <c r="L1383" s="52">
        <f t="shared" si="43"/>
        <v>22.700000000000003</v>
      </c>
    </row>
    <row r="1384" spans="1:12">
      <c r="A1384" t="s">
        <v>373</v>
      </c>
      <c r="B1384" t="s">
        <v>347</v>
      </c>
      <c r="C1384" t="s">
        <v>365</v>
      </c>
      <c r="D1384" s="3" t="s">
        <v>95</v>
      </c>
      <c r="E1384" s="14">
        <v>7.4999999999999997E-3</v>
      </c>
      <c r="F1384" s="4" t="s">
        <v>179</v>
      </c>
      <c r="G1384" s="9">
        <v>140</v>
      </c>
      <c r="H1384" s="43">
        <f t="shared" si="42"/>
        <v>1.05</v>
      </c>
      <c r="I1384" t="s">
        <v>486</v>
      </c>
      <c r="J1384" s="33">
        <v>0</v>
      </c>
      <c r="K1384" s="18">
        <f>VLOOKUP(D1384,Ingredients!C:G,5,0)</f>
        <v>90</v>
      </c>
      <c r="L1384" s="52">
        <f t="shared" si="43"/>
        <v>0.67499999999999993</v>
      </c>
    </row>
    <row r="1385" spans="1:12">
      <c r="A1385" t="s">
        <v>373</v>
      </c>
      <c r="B1385" t="s">
        <v>347</v>
      </c>
      <c r="C1385" t="s">
        <v>365</v>
      </c>
      <c r="D1385" s="3" t="s">
        <v>24</v>
      </c>
      <c r="E1385" s="14">
        <v>0.1</v>
      </c>
      <c r="F1385" s="4" t="s">
        <v>179</v>
      </c>
      <c r="G1385" s="9">
        <v>55</v>
      </c>
      <c r="H1385" s="43">
        <f t="shared" si="42"/>
        <v>5.5</v>
      </c>
      <c r="I1385" t="s">
        <v>486</v>
      </c>
      <c r="J1385" s="33">
        <v>0</v>
      </c>
      <c r="K1385" s="18">
        <f>VLOOKUP(D1385,Ingredients!C:G,5,0)</f>
        <v>80</v>
      </c>
      <c r="L1385" s="52">
        <f t="shared" si="43"/>
        <v>8</v>
      </c>
    </row>
    <row r="1386" spans="1:12">
      <c r="A1386" t="s">
        <v>373</v>
      </c>
      <c r="B1386" t="s">
        <v>347</v>
      </c>
      <c r="C1386" t="s">
        <v>365</v>
      </c>
      <c r="D1386" s="3" t="s">
        <v>377</v>
      </c>
      <c r="E1386" s="14">
        <v>2.5000000000000001E-2</v>
      </c>
      <c r="F1386" s="4" t="s">
        <v>179</v>
      </c>
      <c r="G1386" s="9">
        <v>40</v>
      </c>
      <c r="H1386" s="43">
        <f t="shared" si="42"/>
        <v>1</v>
      </c>
      <c r="I1386" t="s">
        <v>486</v>
      </c>
      <c r="J1386" s="33">
        <v>0</v>
      </c>
      <c r="K1386" s="18">
        <f>VLOOKUP(D1386,Ingredients!C:G,5,0)</f>
        <v>50</v>
      </c>
      <c r="L1386" s="52">
        <f t="shared" si="43"/>
        <v>1.25</v>
      </c>
    </row>
    <row r="1387" spans="1:12">
      <c r="A1387" t="s">
        <v>378</v>
      </c>
      <c r="B1387" t="s">
        <v>362</v>
      </c>
      <c r="C1387" t="s">
        <v>354</v>
      </c>
      <c r="D1387" s="3" t="s">
        <v>14</v>
      </c>
      <c r="E1387" s="14">
        <v>0.91891891891891886</v>
      </c>
      <c r="F1387" s="4" t="s">
        <v>179</v>
      </c>
      <c r="G1387" s="9">
        <v>120</v>
      </c>
      <c r="H1387" s="9">
        <f t="shared" si="42"/>
        <v>110.27027027027026</v>
      </c>
      <c r="I1387" t="s">
        <v>179</v>
      </c>
      <c r="J1387" s="33">
        <v>0</v>
      </c>
      <c r="K1387" s="18">
        <f>VLOOKUP(D1387,Ingredients!C:G,5,0)</f>
        <v>60</v>
      </c>
      <c r="L1387" s="52">
        <f t="shared" si="43"/>
        <v>55.13513513513513</v>
      </c>
    </row>
    <row r="1388" spans="1:12">
      <c r="A1388" t="s">
        <v>378</v>
      </c>
      <c r="B1388" t="s">
        <v>362</v>
      </c>
      <c r="C1388" t="s">
        <v>354</v>
      </c>
      <c r="D1388" s="3" t="s">
        <v>24</v>
      </c>
      <c r="E1388" s="14">
        <v>0.22972972972972971</v>
      </c>
      <c r="F1388" s="4" t="s">
        <v>179</v>
      </c>
      <c r="G1388" s="9">
        <v>55</v>
      </c>
      <c r="H1388" s="9">
        <f t="shared" si="42"/>
        <v>12.635135135135135</v>
      </c>
      <c r="I1388" t="s">
        <v>179</v>
      </c>
      <c r="J1388" s="33">
        <v>0</v>
      </c>
      <c r="K1388" s="18">
        <f>VLOOKUP(D1388,Ingredients!C:G,5,0)</f>
        <v>80</v>
      </c>
      <c r="L1388" s="52">
        <f t="shared" si="43"/>
        <v>18.378378378378379</v>
      </c>
    </row>
    <row r="1389" spans="1:12">
      <c r="A1389" t="s">
        <v>378</v>
      </c>
      <c r="B1389" t="s">
        <v>362</v>
      </c>
      <c r="C1389" t="s">
        <v>354</v>
      </c>
      <c r="D1389" s="3" t="s">
        <v>877</v>
      </c>
      <c r="E1389" s="14">
        <v>0.34459459459459457</v>
      </c>
      <c r="F1389" s="4" t="s">
        <v>179</v>
      </c>
      <c r="G1389" s="9">
        <v>1750</v>
      </c>
      <c r="H1389" s="9">
        <f t="shared" si="42"/>
        <v>603.04054054054052</v>
      </c>
      <c r="I1389" t="s">
        <v>179</v>
      </c>
      <c r="J1389" s="33">
        <v>0</v>
      </c>
      <c r="K1389" s="18">
        <f>VLOOKUP(D1389,Ingredients!C:G,5,0)</f>
        <v>776</v>
      </c>
      <c r="L1389" s="52">
        <f t="shared" si="43"/>
        <v>267.40540540540536</v>
      </c>
    </row>
    <row r="1390" spans="1:12">
      <c r="A1390" t="s">
        <v>378</v>
      </c>
      <c r="B1390" t="s">
        <v>362</v>
      </c>
      <c r="C1390" t="s">
        <v>354</v>
      </c>
      <c r="D1390" s="3" t="s">
        <v>28</v>
      </c>
      <c r="E1390" s="14">
        <v>0.16</v>
      </c>
      <c r="F1390" s="4" t="s">
        <v>179</v>
      </c>
      <c r="G1390" s="9">
        <v>85</v>
      </c>
      <c r="H1390" s="9">
        <f t="shared" si="42"/>
        <v>13.6</v>
      </c>
      <c r="I1390" t="s">
        <v>179</v>
      </c>
      <c r="J1390" s="33">
        <v>0</v>
      </c>
      <c r="K1390" s="18">
        <f>VLOOKUP(D1390,Ingredients!C:G,5,0)</f>
        <v>70</v>
      </c>
      <c r="L1390" s="52">
        <f t="shared" si="43"/>
        <v>11.200000000000001</v>
      </c>
    </row>
    <row r="1391" spans="1:12">
      <c r="A1391" t="s">
        <v>378</v>
      </c>
      <c r="B1391" t="s">
        <v>362</v>
      </c>
      <c r="C1391" t="s">
        <v>354</v>
      </c>
      <c r="D1391" s="3" t="s">
        <v>262</v>
      </c>
      <c r="E1391" s="14">
        <v>4.5945945945945948E-2</v>
      </c>
      <c r="F1391" s="4" t="s">
        <v>179</v>
      </c>
      <c r="G1391" s="9">
        <v>300</v>
      </c>
      <c r="H1391" s="9">
        <f t="shared" si="42"/>
        <v>13.783783783783784</v>
      </c>
      <c r="I1391" t="s">
        <v>179</v>
      </c>
      <c r="J1391" s="33">
        <v>0</v>
      </c>
      <c r="K1391" s="18">
        <f>VLOOKUP(D1391,Ingredients!C:G,5,0)</f>
        <v>100</v>
      </c>
      <c r="L1391" s="52">
        <f t="shared" si="43"/>
        <v>4.5945945945945947</v>
      </c>
    </row>
    <row r="1392" spans="1:12">
      <c r="A1392" t="s">
        <v>378</v>
      </c>
      <c r="B1392" t="s">
        <v>362</v>
      </c>
      <c r="C1392" t="s">
        <v>354</v>
      </c>
      <c r="D1392" s="3" t="s">
        <v>186</v>
      </c>
      <c r="E1392" s="14">
        <v>2.2972972972972974E-2</v>
      </c>
      <c r="F1392" s="4" t="s">
        <v>179</v>
      </c>
      <c r="G1392" s="9">
        <v>1500</v>
      </c>
      <c r="H1392" s="9">
        <f t="shared" si="42"/>
        <v>34.45945945945946</v>
      </c>
      <c r="I1392" t="s">
        <v>179</v>
      </c>
      <c r="J1392" s="33">
        <v>0</v>
      </c>
      <c r="K1392" s="18">
        <f>VLOOKUP(D1392,Ingredients!C:G,5,0)</f>
        <v>1400</v>
      </c>
      <c r="L1392" s="52">
        <f t="shared" si="43"/>
        <v>32.162162162162161</v>
      </c>
    </row>
    <row r="1393" spans="1:12">
      <c r="A1393" t="s">
        <v>378</v>
      </c>
      <c r="B1393" t="s">
        <v>362</v>
      </c>
      <c r="C1393" t="s">
        <v>354</v>
      </c>
      <c r="D1393" s="3" t="s">
        <v>852</v>
      </c>
      <c r="E1393" s="14">
        <v>9.189189189189189E-3</v>
      </c>
      <c r="F1393" s="4" t="s">
        <v>179</v>
      </c>
      <c r="G1393" s="9">
        <v>520.63</v>
      </c>
      <c r="H1393" s="9">
        <f t="shared" si="42"/>
        <v>4.7841675675675672</v>
      </c>
      <c r="I1393" t="s">
        <v>179</v>
      </c>
      <c r="J1393" s="33">
        <v>0</v>
      </c>
      <c r="K1393" s="18">
        <v>550</v>
      </c>
      <c r="L1393" s="52">
        <f t="shared" si="43"/>
        <v>5.0540540540540544</v>
      </c>
    </row>
    <row r="1394" spans="1:12">
      <c r="A1394" t="s">
        <v>379</v>
      </c>
      <c r="B1394" t="s">
        <v>362</v>
      </c>
      <c r="C1394" t="s">
        <v>354</v>
      </c>
      <c r="D1394" s="3" t="s">
        <v>906</v>
      </c>
      <c r="E1394" s="14">
        <v>0.57692307692307698</v>
      </c>
      <c r="F1394" s="4" t="s">
        <v>179</v>
      </c>
      <c r="G1394" s="9">
        <v>700</v>
      </c>
      <c r="H1394" s="9">
        <f t="shared" si="42"/>
        <v>403.84615384615387</v>
      </c>
      <c r="I1394" t="s">
        <v>179</v>
      </c>
      <c r="J1394" s="33">
        <v>0</v>
      </c>
      <c r="K1394" s="18">
        <f>VLOOKUP(D1394,Ingredients!C:G,5,0)</f>
        <v>750</v>
      </c>
      <c r="L1394" s="52">
        <f t="shared" si="43"/>
        <v>432.69230769230774</v>
      </c>
    </row>
    <row r="1395" spans="1:12">
      <c r="A1395" t="s">
        <v>379</v>
      </c>
      <c r="B1395" t="s">
        <v>362</v>
      </c>
      <c r="C1395" t="s">
        <v>354</v>
      </c>
      <c r="D1395" s="3" t="s">
        <v>975</v>
      </c>
      <c r="E1395" s="14">
        <v>0.23076923076923078</v>
      </c>
      <c r="F1395" s="4" t="s">
        <v>179</v>
      </c>
      <c r="G1395" s="9">
        <v>142.85</v>
      </c>
      <c r="H1395" s="9">
        <f t="shared" si="42"/>
        <v>32.965384615384615</v>
      </c>
      <c r="I1395" t="s">
        <v>179</v>
      </c>
      <c r="J1395" s="33">
        <v>0</v>
      </c>
      <c r="K1395" s="18">
        <f>VLOOKUP(D1395,Ingredients!C:G,5,0)</f>
        <v>142.85</v>
      </c>
      <c r="L1395" s="52">
        <f t="shared" si="43"/>
        <v>32.965384615384615</v>
      </c>
    </row>
    <row r="1396" spans="1:12">
      <c r="A1396" t="s">
        <v>379</v>
      </c>
      <c r="B1396" t="s">
        <v>362</v>
      </c>
      <c r="C1396" t="s">
        <v>354</v>
      </c>
      <c r="D1396" s="3" t="s">
        <v>14</v>
      </c>
      <c r="E1396" s="14">
        <v>0.19230769230769232</v>
      </c>
      <c r="F1396" s="4" t="s">
        <v>179</v>
      </c>
      <c r="G1396" s="9">
        <v>120</v>
      </c>
      <c r="H1396" s="9">
        <f t="shared" si="42"/>
        <v>23.076923076923077</v>
      </c>
      <c r="I1396" t="s">
        <v>179</v>
      </c>
      <c r="J1396" s="33">
        <v>0</v>
      </c>
      <c r="K1396" s="18">
        <f>VLOOKUP(D1396,Ingredients!C:G,5,0)</f>
        <v>60</v>
      </c>
      <c r="L1396" s="52">
        <f t="shared" si="43"/>
        <v>11.538461538461538</v>
      </c>
    </row>
    <row r="1397" spans="1:12">
      <c r="A1397" t="s">
        <v>379</v>
      </c>
      <c r="B1397" t="s">
        <v>362</v>
      </c>
      <c r="C1397" t="s">
        <v>354</v>
      </c>
      <c r="D1397" s="3" t="s">
        <v>15</v>
      </c>
      <c r="E1397" s="14">
        <v>0.19230769230769232</v>
      </c>
      <c r="F1397" s="4" t="s">
        <v>179</v>
      </c>
      <c r="G1397" s="9">
        <v>130</v>
      </c>
      <c r="H1397" s="9">
        <f t="shared" si="42"/>
        <v>25</v>
      </c>
      <c r="I1397" t="s">
        <v>179</v>
      </c>
      <c r="J1397" s="33">
        <v>0</v>
      </c>
      <c r="K1397" s="18">
        <f>VLOOKUP(D1397,Ingredients!C:G,5,0)</f>
        <v>90</v>
      </c>
      <c r="L1397" s="52">
        <f t="shared" si="43"/>
        <v>17.30769230769231</v>
      </c>
    </row>
    <row r="1398" spans="1:12">
      <c r="A1398" t="s">
        <v>379</v>
      </c>
      <c r="B1398" t="s">
        <v>362</v>
      </c>
      <c r="C1398" t="s">
        <v>354</v>
      </c>
      <c r="D1398" s="3" t="s">
        <v>946</v>
      </c>
      <c r="E1398" s="14">
        <v>0.11538461538461539</v>
      </c>
      <c r="F1398" s="4" t="s">
        <v>179</v>
      </c>
      <c r="G1398" s="9">
        <v>525</v>
      </c>
      <c r="H1398" s="9">
        <f t="shared" si="42"/>
        <v>60.57692307692308</v>
      </c>
      <c r="I1398" t="s">
        <v>179</v>
      </c>
      <c r="J1398" s="33">
        <v>0</v>
      </c>
      <c r="K1398" s="18">
        <f>VLOOKUP(D1398,Ingredients!C:G,5,0)</f>
        <v>430</v>
      </c>
      <c r="L1398" s="52">
        <f t="shared" si="43"/>
        <v>49.61538461538462</v>
      </c>
    </row>
    <row r="1399" spans="1:12">
      <c r="A1399" t="s">
        <v>379</v>
      </c>
      <c r="B1399" t="s">
        <v>362</v>
      </c>
      <c r="C1399" t="s">
        <v>354</v>
      </c>
      <c r="D1399" s="3" t="s">
        <v>260</v>
      </c>
      <c r="E1399" s="14">
        <v>0.19230769230769232</v>
      </c>
      <c r="F1399" s="4" t="s">
        <v>179</v>
      </c>
      <c r="G1399" s="9">
        <v>400</v>
      </c>
      <c r="H1399" s="9">
        <f t="shared" si="42"/>
        <v>76.923076923076934</v>
      </c>
      <c r="I1399" t="s">
        <v>179</v>
      </c>
      <c r="J1399" s="33">
        <v>0</v>
      </c>
      <c r="K1399" s="18">
        <f>VLOOKUP(D1399,Ingredients!C:G,5,0)</f>
        <v>370</v>
      </c>
      <c r="L1399" s="52">
        <f t="shared" si="43"/>
        <v>71.15384615384616</v>
      </c>
    </row>
    <row r="1400" spans="1:12">
      <c r="A1400" t="s">
        <v>379</v>
      </c>
      <c r="B1400" t="s">
        <v>362</v>
      </c>
      <c r="C1400" t="s">
        <v>354</v>
      </c>
      <c r="D1400" s="3" t="s">
        <v>310</v>
      </c>
      <c r="E1400" s="14">
        <v>1.9230769230769232E-2</v>
      </c>
      <c r="F1400" s="4" t="s">
        <v>179</v>
      </c>
      <c r="G1400" s="9">
        <v>425</v>
      </c>
      <c r="H1400" s="9">
        <f t="shared" si="42"/>
        <v>8.1730769230769234</v>
      </c>
      <c r="I1400" t="s">
        <v>179</v>
      </c>
      <c r="J1400" s="33">
        <v>0</v>
      </c>
      <c r="K1400" s="18">
        <f>VLOOKUP(D1400,Ingredients!C:G,5,0)</f>
        <v>850</v>
      </c>
      <c r="L1400" s="52">
        <f t="shared" si="43"/>
        <v>16.346153846153847</v>
      </c>
    </row>
    <row r="1401" spans="1:12">
      <c r="A1401" t="s">
        <v>379</v>
      </c>
      <c r="B1401" t="s">
        <v>362</v>
      </c>
      <c r="C1401" t="s">
        <v>354</v>
      </c>
      <c r="D1401" s="3" t="s">
        <v>852</v>
      </c>
      <c r="E1401" s="14">
        <v>7.6923076923076927E-3</v>
      </c>
      <c r="F1401" s="4" t="s">
        <v>179</v>
      </c>
      <c r="G1401" s="9">
        <v>520.63</v>
      </c>
      <c r="H1401" s="9">
        <f t="shared" si="42"/>
        <v>4.0048461538461542</v>
      </c>
      <c r="I1401" t="s">
        <v>179</v>
      </c>
      <c r="J1401" s="33">
        <v>0</v>
      </c>
      <c r="K1401" s="18">
        <v>550</v>
      </c>
      <c r="L1401" s="52">
        <f t="shared" si="43"/>
        <v>4.2307692307692308</v>
      </c>
    </row>
    <row r="1402" spans="1:12">
      <c r="A1402" t="s">
        <v>382</v>
      </c>
      <c r="B1402" t="s">
        <v>362</v>
      </c>
      <c r="C1402" t="s">
        <v>354</v>
      </c>
      <c r="D1402" s="3" t="s">
        <v>975</v>
      </c>
      <c r="E1402" s="14">
        <v>0.3</v>
      </c>
      <c r="F1402" s="4" t="s">
        <v>179</v>
      </c>
      <c r="G1402" s="9">
        <v>142.85</v>
      </c>
      <c r="H1402" s="9">
        <f t="shared" si="42"/>
        <v>42.854999999999997</v>
      </c>
      <c r="I1402" t="s">
        <v>179</v>
      </c>
      <c r="J1402" s="33">
        <v>0</v>
      </c>
      <c r="K1402" s="18">
        <f>VLOOKUP(D1402,Ingredients!C:G,5,0)</f>
        <v>142.85</v>
      </c>
      <c r="L1402" s="52">
        <f t="shared" si="43"/>
        <v>42.854999999999997</v>
      </c>
    </row>
    <row r="1403" spans="1:12">
      <c r="A1403" t="s">
        <v>382</v>
      </c>
      <c r="B1403" t="s">
        <v>362</v>
      </c>
      <c r="C1403" t="s">
        <v>354</v>
      </c>
      <c r="D1403" s="3" t="s">
        <v>906</v>
      </c>
      <c r="E1403" s="14">
        <v>0.22499999999999998</v>
      </c>
      <c r="F1403" s="4" t="s">
        <v>179</v>
      </c>
      <c r="G1403" s="9">
        <v>700</v>
      </c>
      <c r="H1403" s="9">
        <f t="shared" si="42"/>
        <v>157.49999999999997</v>
      </c>
      <c r="I1403" t="s">
        <v>179</v>
      </c>
      <c r="J1403" s="33">
        <v>0</v>
      </c>
      <c r="K1403" s="18">
        <f>VLOOKUP(D1403,Ingredients!C:G,5,0)</f>
        <v>750</v>
      </c>
      <c r="L1403" s="52">
        <f t="shared" si="43"/>
        <v>168.74999999999997</v>
      </c>
    </row>
    <row r="1404" spans="1:12">
      <c r="A1404" t="s">
        <v>382</v>
      </c>
      <c r="B1404" t="s">
        <v>362</v>
      </c>
      <c r="C1404" t="s">
        <v>354</v>
      </c>
      <c r="D1404" s="3" t="s">
        <v>94</v>
      </c>
      <c r="E1404" s="14">
        <v>0.75</v>
      </c>
      <c r="F1404" s="4" t="s">
        <v>179</v>
      </c>
      <c r="G1404" s="9">
        <v>90</v>
      </c>
      <c r="H1404" s="9">
        <f t="shared" ref="H1404:H1467" si="44">G1404*E1404</f>
        <v>67.5</v>
      </c>
      <c r="I1404" t="s">
        <v>179</v>
      </c>
      <c r="J1404" s="33">
        <v>0</v>
      </c>
      <c r="K1404" s="18">
        <f>VLOOKUP(D1404,Ingredients!C:G,5,0)</f>
        <v>40</v>
      </c>
      <c r="L1404" s="52">
        <f t="shared" si="43"/>
        <v>30</v>
      </c>
    </row>
    <row r="1405" spans="1:12">
      <c r="A1405" t="s">
        <v>382</v>
      </c>
      <c r="B1405" t="s">
        <v>362</v>
      </c>
      <c r="C1405" t="s">
        <v>354</v>
      </c>
      <c r="D1405" s="3" t="s">
        <v>888</v>
      </c>
      <c r="E1405" s="14">
        <v>0.3</v>
      </c>
      <c r="F1405" s="4" t="s">
        <v>179</v>
      </c>
      <c r="G1405" s="9">
        <v>580</v>
      </c>
      <c r="H1405" s="9">
        <f t="shared" si="44"/>
        <v>174</v>
      </c>
      <c r="I1405" t="s">
        <v>179</v>
      </c>
      <c r="J1405" s="33">
        <v>0</v>
      </c>
      <c r="K1405" s="18">
        <f>VLOOKUP(D1405,Ingredients!C:G,5,0)</f>
        <v>580</v>
      </c>
      <c r="L1405" s="52">
        <f t="shared" si="43"/>
        <v>174</v>
      </c>
    </row>
    <row r="1406" spans="1:12">
      <c r="A1406" t="s">
        <v>261</v>
      </c>
      <c r="B1406" t="s">
        <v>362</v>
      </c>
      <c r="C1406" t="s">
        <v>354</v>
      </c>
      <c r="D1406" s="3" t="s">
        <v>896</v>
      </c>
      <c r="E1406" s="14">
        <v>0.4</v>
      </c>
      <c r="F1406" s="4" t="s">
        <v>263</v>
      </c>
      <c r="G1406" s="9">
        <v>330</v>
      </c>
      <c r="H1406" s="9">
        <f t="shared" si="44"/>
        <v>132</v>
      </c>
      <c r="I1406" t="s">
        <v>179</v>
      </c>
      <c r="J1406" s="33">
        <v>0</v>
      </c>
      <c r="K1406" s="18">
        <f>VLOOKUP(D1406,Ingredients!C:G,5,0)</f>
        <v>1650</v>
      </c>
      <c r="L1406" s="52">
        <f t="shared" si="43"/>
        <v>660</v>
      </c>
    </row>
    <row r="1407" spans="1:12">
      <c r="A1407" t="s">
        <v>261</v>
      </c>
      <c r="B1407" t="s">
        <v>362</v>
      </c>
      <c r="C1407" t="s">
        <v>354</v>
      </c>
      <c r="D1407" s="3" t="s">
        <v>24</v>
      </c>
      <c r="E1407" s="14">
        <v>0.2</v>
      </c>
      <c r="F1407" s="4" t="s">
        <v>179</v>
      </c>
      <c r="G1407" s="9">
        <v>55</v>
      </c>
      <c r="H1407" s="9">
        <f t="shared" si="44"/>
        <v>11</v>
      </c>
      <c r="I1407" t="s">
        <v>179</v>
      </c>
      <c r="J1407" s="33">
        <v>0</v>
      </c>
      <c r="K1407" s="18">
        <f>VLOOKUP(D1407,Ingredients!C:G,5,0)</f>
        <v>80</v>
      </c>
      <c r="L1407" s="52">
        <f t="shared" si="43"/>
        <v>16</v>
      </c>
    </row>
    <row r="1408" spans="1:12">
      <c r="A1408" t="s">
        <v>261</v>
      </c>
      <c r="B1408" t="s">
        <v>362</v>
      </c>
      <c r="C1408" t="s">
        <v>354</v>
      </c>
      <c r="D1408" s="3" t="s">
        <v>14</v>
      </c>
      <c r="E1408" s="14">
        <v>0.2</v>
      </c>
      <c r="F1408" s="4" t="s">
        <v>179</v>
      </c>
      <c r="G1408" s="9">
        <v>120</v>
      </c>
      <c r="H1408" s="9">
        <f t="shared" si="44"/>
        <v>24</v>
      </c>
      <c r="I1408" t="s">
        <v>179</v>
      </c>
      <c r="J1408" s="33">
        <v>0</v>
      </c>
      <c r="K1408" s="18">
        <f>VLOOKUP(D1408,Ingredients!C:G,5,0)</f>
        <v>60</v>
      </c>
      <c r="L1408" s="52">
        <f t="shared" si="43"/>
        <v>12</v>
      </c>
    </row>
    <row r="1409" spans="1:12">
      <c r="A1409" t="s">
        <v>261</v>
      </c>
      <c r="B1409" t="s">
        <v>362</v>
      </c>
      <c r="C1409" t="s">
        <v>354</v>
      </c>
      <c r="D1409" s="3" t="s">
        <v>262</v>
      </c>
      <c r="E1409" s="14">
        <v>0.1</v>
      </c>
      <c r="F1409" s="4" t="s">
        <v>179</v>
      </c>
      <c r="G1409" s="9">
        <v>300</v>
      </c>
      <c r="H1409" s="9">
        <f t="shared" si="44"/>
        <v>30</v>
      </c>
      <c r="I1409" t="s">
        <v>179</v>
      </c>
      <c r="J1409" s="33">
        <v>0</v>
      </c>
      <c r="K1409" s="18">
        <f>VLOOKUP(D1409,Ingredients!C:G,5,0)</f>
        <v>100</v>
      </c>
      <c r="L1409" s="52">
        <f t="shared" si="43"/>
        <v>10</v>
      </c>
    </row>
    <row r="1410" spans="1:12">
      <c r="A1410" t="s">
        <v>261</v>
      </c>
      <c r="B1410" t="s">
        <v>362</v>
      </c>
      <c r="C1410" t="s">
        <v>354</v>
      </c>
      <c r="D1410" s="3" t="s">
        <v>889</v>
      </c>
      <c r="E1410" s="14">
        <v>0.05</v>
      </c>
      <c r="F1410" s="4" t="s">
        <v>179</v>
      </c>
      <c r="G1410" s="9">
        <v>1648.3235294117644</v>
      </c>
      <c r="H1410" s="9">
        <f t="shared" si="44"/>
        <v>82.416176470588226</v>
      </c>
      <c r="I1410" t="s">
        <v>179</v>
      </c>
      <c r="J1410" s="33">
        <v>0</v>
      </c>
      <c r="K1410" s="18">
        <f>VLOOKUP(D1410,Ingredients!C:F,3,0)</f>
        <v>560.42999999999995</v>
      </c>
      <c r="L1410" s="52">
        <f t="shared" si="43"/>
        <v>28.0215</v>
      </c>
    </row>
    <row r="1411" spans="1:12">
      <c r="A1411" t="s">
        <v>261</v>
      </c>
      <c r="B1411" t="s">
        <v>362</v>
      </c>
      <c r="C1411" t="s">
        <v>354</v>
      </c>
      <c r="D1411" s="3" t="s">
        <v>323</v>
      </c>
      <c r="E1411" s="14">
        <v>5.0000000000000001E-3</v>
      </c>
      <c r="F1411" s="4" t="s">
        <v>179</v>
      </c>
      <c r="G1411" s="9">
        <v>5000</v>
      </c>
      <c r="H1411" s="9">
        <f t="shared" si="44"/>
        <v>25</v>
      </c>
      <c r="I1411" t="s">
        <v>179</v>
      </c>
      <c r="J1411" s="33">
        <v>0</v>
      </c>
      <c r="K1411" s="18">
        <f>VLOOKUP(D1411,Ingredients!C:G,5,0)</f>
        <v>5000</v>
      </c>
      <c r="L1411" s="52">
        <f t="shared" si="43"/>
        <v>25</v>
      </c>
    </row>
    <row r="1412" spans="1:12">
      <c r="A1412" t="s">
        <v>261</v>
      </c>
      <c r="B1412" t="s">
        <v>362</v>
      </c>
      <c r="C1412" t="s">
        <v>354</v>
      </c>
      <c r="D1412" s="3" t="s">
        <v>95</v>
      </c>
      <c r="E1412" s="14">
        <v>0.2</v>
      </c>
      <c r="F1412" s="4" t="s">
        <v>179</v>
      </c>
      <c r="G1412" s="9">
        <v>140</v>
      </c>
      <c r="H1412" s="9">
        <f t="shared" si="44"/>
        <v>28</v>
      </c>
      <c r="I1412" t="s">
        <v>179</v>
      </c>
      <c r="J1412" s="33">
        <v>0</v>
      </c>
      <c r="K1412" s="18">
        <f>VLOOKUP(D1412,Ingredients!C:G,5,0)</f>
        <v>90</v>
      </c>
      <c r="L1412" s="52">
        <f t="shared" ref="L1412:L1475" si="45">K1412*E1412</f>
        <v>18</v>
      </c>
    </row>
    <row r="1413" spans="1:12">
      <c r="A1413" t="s">
        <v>261</v>
      </c>
      <c r="B1413" t="s">
        <v>362</v>
      </c>
      <c r="C1413" t="s">
        <v>354</v>
      </c>
      <c r="D1413" s="3" t="s">
        <v>28</v>
      </c>
      <c r="E1413" s="14">
        <v>0.2</v>
      </c>
      <c r="F1413" s="4" t="s">
        <v>179</v>
      </c>
      <c r="G1413" s="9">
        <v>85</v>
      </c>
      <c r="H1413" s="9">
        <f t="shared" si="44"/>
        <v>17</v>
      </c>
      <c r="I1413" t="s">
        <v>179</v>
      </c>
      <c r="J1413" s="33">
        <v>0</v>
      </c>
      <c r="K1413" s="18">
        <f>VLOOKUP(D1413,Ingredients!C:G,5,0)</f>
        <v>70</v>
      </c>
      <c r="L1413" s="52">
        <f t="shared" si="45"/>
        <v>14</v>
      </c>
    </row>
    <row r="1414" spans="1:12">
      <c r="A1414" t="s">
        <v>261</v>
      </c>
      <c r="B1414" t="s">
        <v>362</v>
      </c>
      <c r="C1414" t="s">
        <v>354</v>
      </c>
      <c r="D1414" s="3" t="s">
        <v>186</v>
      </c>
      <c r="E1414" s="14">
        <v>0.05</v>
      </c>
      <c r="F1414" s="4" t="s">
        <v>179</v>
      </c>
      <c r="G1414" s="9">
        <v>1500</v>
      </c>
      <c r="H1414" s="9">
        <f t="shared" si="44"/>
        <v>75</v>
      </c>
      <c r="I1414" t="s">
        <v>179</v>
      </c>
      <c r="J1414" s="33">
        <v>0</v>
      </c>
      <c r="K1414" s="18">
        <f>VLOOKUP(D1414,Ingredients!C:G,5,0)</f>
        <v>1400</v>
      </c>
      <c r="L1414" s="52">
        <f t="shared" si="45"/>
        <v>70</v>
      </c>
    </row>
    <row r="1415" spans="1:12">
      <c r="A1415" t="s">
        <v>261</v>
      </c>
      <c r="B1415" t="s">
        <v>362</v>
      </c>
      <c r="C1415" t="s">
        <v>354</v>
      </c>
      <c r="D1415" s="3" t="s">
        <v>852</v>
      </c>
      <c r="E1415" s="14">
        <v>0.01</v>
      </c>
      <c r="F1415" s="4" t="s">
        <v>179</v>
      </c>
      <c r="G1415" s="9">
        <v>520.63</v>
      </c>
      <c r="H1415" s="9">
        <f t="shared" si="44"/>
        <v>5.2062999999999997</v>
      </c>
      <c r="I1415" t="s">
        <v>179</v>
      </c>
      <c r="J1415" s="33">
        <v>0</v>
      </c>
      <c r="K1415" s="18">
        <v>550</v>
      </c>
      <c r="L1415" s="52">
        <f t="shared" si="45"/>
        <v>5.5</v>
      </c>
    </row>
    <row r="1416" spans="1:12">
      <c r="A1416" t="s">
        <v>383</v>
      </c>
      <c r="B1416" t="s">
        <v>345</v>
      </c>
      <c r="C1416" t="s">
        <v>383</v>
      </c>
      <c r="D1416" s="3" t="s">
        <v>14</v>
      </c>
      <c r="E1416" s="14">
        <v>0.35</v>
      </c>
      <c r="F1416" s="4" t="s">
        <v>179</v>
      </c>
      <c r="G1416" s="9">
        <v>120</v>
      </c>
      <c r="H1416" s="9">
        <f t="shared" si="44"/>
        <v>42</v>
      </c>
      <c r="I1416" t="s">
        <v>486</v>
      </c>
      <c r="J1416" s="33">
        <v>0</v>
      </c>
      <c r="K1416" s="18">
        <f>VLOOKUP(D1416,Ingredients!C:G,5,0)</f>
        <v>60</v>
      </c>
      <c r="L1416" s="52">
        <f t="shared" si="45"/>
        <v>21</v>
      </c>
    </row>
    <row r="1417" spans="1:12">
      <c r="A1417" t="s">
        <v>383</v>
      </c>
      <c r="B1417" t="s">
        <v>345</v>
      </c>
      <c r="C1417" t="s">
        <v>383</v>
      </c>
      <c r="D1417" s="3" t="s">
        <v>28</v>
      </c>
      <c r="E1417" s="14">
        <v>0.4</v>
      </c>
      <c r="F1417" s="4" t="s">
        <v>179</v>
      </c>
      <c r="G1417" s="9">
        <v>85</v>
      </c>
      <c r="H1417" s="9">
        <f t="shared" si="44"/>
        <v>34</v>
      </c>
      <c r="I1417" t="s">
        <v>486</v>
      </c>
      <c r="J1417" s="33">
        <v>0</v>
      </c>
      <c r="K1417" s="18">
        <f>VLOOKUP(D1417,Ingredients!C:G,5,0)</f>
        <v>70</v>
      </c>
      <c r="L1417" s="52">
        <f t="shared" si="45"/>
        <v>28</v>
      </c>
    </row>
    <row r="1418" spans="1:12">
      <c r="A1418" t="s">
        <v>383</v>
      </c>
      <c r="B1418" t="s">
        <v>345</v>
      </c>
      <c r="C1418" t="s">
        <v>383</v>
      </c>
      <c r="D1418" s="3" t="s">
        <v>24</v>
      </c>
      <c r="E1418" s="14">
        <v>0.3</v>
      </c>
      <c r="F1418" s="4" t="s">
        <v>179</v>
      </c>
      <c r="G1418" s="9">
        <v>55</v>
      </c>
      <c r="H1418" s="9">
        <f t="shared" si="44"/>
        <v>16.5</v>
      </c>
      <c r="I1418" t="s">
        <v>486</v>
      </c>
      <c r="J1418" s="33">
        <v>0</v>
      </c>
      <c r="K1418" s="18">
        <f>VLOOKUP(D1418,Ingredients!C:G,5,0)</f>
        <v>80</v>
      </c>
      <c r="L1418" s="52">
        <f t="shared" si="45"/>
        <v>24</v>
      </c>
    </row>
    <row r="1419" spans="1:12">
      <c r="A1419" t="s">
        <v>383</v>
      </c>
      <c r="B1419" t="s">
        <v>345</v>
      </c>
      <c r="C1419" t="s">
        <v>383</v>
      </c>
      <c r="D1419" s="3" t="s">
        <v>73</v>
      </c>
      <c r="E1419" s="14">
        <v>0.75</v>
      </c>
      <c r="F1419" s="4" t="s">
        <v>179</v>
      </c>
      <c r="G1419" s="9">
        <v>305</v>
      </c>
      <c r="H1419" s="9">
        <f t="shared" si="44"/>
        <v>228.75</v>
      </c>
      <c r="I1419" t="s">
        <v>486</v>
      </c>
      <c r="J1419" s="33">
        <v>0</v>
      </c>
      <c r="K1419" s="18">
        <f>VLOOKUP(D1419,Ingredients!C:G,5,0)</f>
        <v>300</v>
      </c>
      <c r="L1419" s="52">
        <f t="shared" si="45"/>
        <v>225</v>
      </c>
    </row>
    <row r="1420" spans="1:12">
      <c r="A1420" t="s">
        <v>383</v>
      </c>
      <c r="B1420" t="s">
        <v>345</v>
      </c>
      <c r="C1420" t="s">
        <v>383</v>
      </c>
      <c r="D1420" s="3" t="s">
        <v>855</v>
      </c>
      <c r="E1420" s="14">
        <v>0.03</v>
      </c>
      <c r="F1420" s="4" t="s">
        <v>179</v>
      </c>
      <c r="G1420" s="9">
        <v>2400</v>
      </c>
      <c r="H1420" s="9">
        <f t="shared" si="44"/>
        <v>72</v>
      </c>
      <c r="I1420" t="s">
        <v>486</v>
      </c>
      <c r="J1420" s="33">
        <v>0</v>
      </c>
      <c r="K1420" s="18">
        <f>VLOOKUP(D1420,Ingredients!C:G,5,0)</f>
        <v>1600</v>
      </c>
      <c r="L1420" s="52">
        <f t="shared" si="45"/>
        <v>48</v>
      </c>
    </row>
    <row r="1421" spans="1:12">
      <c r="A1421" t="s">
        <v>383</v>
      </c>
      <c r="B1421" t="s">
        <v>345</v>
      </c>
      <c r="C1421" t="s">
        <v>383</v>
      </c>
      <c r="D1421" s="3" t="s">
        <v>882</v>
      </c>
      <c r="E1421" s="14">
        <v>2.5000000000000001E-2</v>
      </c>
      <c r="F1421" s="4" t="s">
        <v>179</v>
      </c>
      <c r="G1421" s="9">
        <v>1500</v>
      </c>
      <c r="H1421" s="9">
        <f t="shared" si="44"/>
        <v>37.5</v>
      </c>
      <c r="I1421" t="s">
        <v>486</v>
      </c>
      <c r="J1421" s="33">
        <v>0</v>
      </c>
      <c r="K1421" s="18">
        <f>VLOOKUP(D1421,Ingredients!C:G,5,0)</f>
        <v>1450</v>
      </c>
      <c r="L1421" s="52">
        <f t="shared" si="45"/>
        <v>36.25</v>
      </c>
    </row>
    <row r="1422" spans="1:12">
      <c r="A1422" t="s">
        <v>383</v>
      </c>
      <c r="B1422" t="s">
        <v>345</v>
      </c>
      <c r="C1422" t="s">
        <v>383</v>
      </c>
      <c r="D1422" s="3" t="s">
        <v>35</v>
      </c>
      <c r="E1422" s="14">
        <v>1</v>
      </c>
      <c r="F1422" s="4" t="s">
        <v>252</v>
      </c>
      <c r="G1422" s="9">
        <v>13</v>
      </c>
      <c r="H1422" s="9">
        <f t="shared" si="44"/>
        <v>13</v>
      </c>
      <c r="I1422" t="s">
        <v>486</v>
      </c>
      <c r="J1422" s="33">
        <v>0</v>
      </c>
      <c r="K1422" s="18">
        <f>VLOOKUP(D1422,Ingredients!C:G,5,0)</f>
        <v>15</v>
      </c>
      <c r="L1422" s="52">
        <f t="shared" si="45"/>
        <v>15</v>
      </c>
    </row>
    <row r="1423" spans="1:12">
      <c r="A1423" t="s">
        <v>384</v>
      </c>
      <c r="B1423" t="s">
        <v>362</v>
      </c>
      <c r="C1423" t="s">
        <v>354</v>
      </c>
      <c r="D1423" s="3" t="s">
        <v>15</v>
      </c>
      <c r="E1423" s="14">
        <v>0.26785714285714285</v>
      </c>
      <c r="F1423" s="4" t="s">
        <v>179</v>
      </c>
      <c r="G1423" s="9">
        <v>130</v>
      </c>
      <c r="H1423" s="9">
        <f t="shared" si="44"/>
        <v>34.821428571428569</v>
      </c>
      <c r="I1423" t="s">
        <v>179</v>
      </c>
      <c r="J1423" s="33">
        <v>0</v>
      </c>
      <c r="K1423" s="18">
        <f>VLOOKUP(D1423,Ingredients!C:G,5,0)</f>
        <v>90</v>
      </c>
      <c r="L1423" s="52">
        <f t="shared" si="45"/>
        <v>24.107142857142858</v>
      </c>
    </row>
    <row r="1424" spans="1:12">
      <c r="A1424" t="s">
        <v>384</v>
      </c>
      <c r="B1424" t="s">
        <v>362</v>
      </c>
      <c r="C1424" t="s">
        <v>354</v>
      </c>
      <c r="D1424" s="3" t="s">
        <v>94</v>
      </c>
      <c r="E1424" s="14">
        <v>1.0714285714285714</v>
      </c>
      <c r="F1424" s="4" t="s">
        <v>179</v>
      </c>
      <c r="G1424" s="9">
        <v>90</v>
      </c>
      <c r="H1424" s="9">
        <f t="shared" si="44"/>
        <v>96.428571428571431</v>
      </c>
      <c r="I1424" t="s">
        <v>179</v>
      </c>
      <c r="J1424" s="33">
        <v>0</v>
      </c>
      <c r="K1424" s="18">
        <f>VLOOKUP(D1424,Ingredients!C:G,5,0)</f>
        <v>40</v>
      </c>
      <c r="L1424" s="52">
        <f t="shared" si="45"/>
        <v>42.857142857142854</v>
      </c>
    </row>
    <row r="1425" spans="1:12">
      <c r="A1425" t="s">
        <v>384</v>
      </c>
      <c r="B1425" t="s">
        <v>362</v>
      </c>
      <c r="C1425" t="s">
        <v>354</v>
      </c>
      <c r="D1425" s="3" t="s">
        <v>888</v>
      </c>
      <c r="E1425" s="14">
        <v>5.3571428571428575E-2</v>
      </c>
      <c r="F1425" s="4" t="s">
        <v>179</v>
      </c>
      <c r="G1425" s="9">
        <v>580</v>
      </c>
      <c r="H1425" s="9">
        <f t="shared" si="44"/>
        <v>31.071428571428573</v>
      </c>
      <c r="I1425" t="s">
        <v>179</v>
      </c>
      <c r="J1425" s="33">
        <v>0</v>
      </c>
      <c r="K1425" s="18">
        <f>VLOOKUP(D1425,Ingredients!C:G,5,0)</f>
        <v>580</v>
      </c>
      <c r="L1425" s="52">
        <f t="shared" si="45"/>
        <v>31.071428571428573</v>
      </c>
    </row>
    <row r="1426" spans="1:12">
      <c r="A1426" t="s">
        <v>384</v>
      </c>
      <c r="B1426" t="s">
        <v>362</v>
      </c>
      <c r="C1426" t="s">
        <v>354</v>
      </c>
      <c r="D1426" s="3" t="s">
        <v>889</v>
      </c>
      <c r="E1426" s="14">
        <v>2.6785714285714288E-2</v>
      </c>
      <c r="F1426" s="4" t="s">
        <v>179</v>
      </c>
      <c r="G1426" s="9">
        <v>1648.3235294117644</v>
      </c>
      <c r="H1426" s="9">
        <f t="shared" si="44"/>
        <v>44.151523109243691</v>
      </c>
      <c r="I1426" t="s">
        <v>179</v>
      </c>
      <c r="J1426" s="33">
        <v>0</v>
      </c>
      <c r="K1426" s="18">
        <f>VLOOKUP(D1426,Ingredients!C:F,3,0)</f>
        <v>560.42999999999995</v>
      </c>
      <c r="L1426" s="52">
        <f t="shared" si="45"/>
        <v>15.011517857142858</v>
      </c>
    </row>
    <row r="1427" spans="1:12">
      <c r="A1427" t="s">
        <v>384</v>
      </c>
      <c r="B1427" t="s">
        <v>362</v>
      </c>
      <c r="C1427" t="s">
        <v>354</v>
      </c>
      <c r="D1427" s="3" t="s">
        <v>863</v>
      </c>
      <c r="E1427" s="14">
        <v>2.6785714285714288E-2</v>
      </c>
      <c r="F1427" s="4" t="s">
        <v>179</v>
      </c>
      <c r="G1427" s="9">
        <v>675</v>
      </c>
      <c r="H1427" s="9">
        <f t="shared" si="44"/>
        <v>18.080357142857146</v>
      </c>
      <c r="I1427" t="s">
        <v>179</v>
      </c>
      <c r="J1427" s="33">
        <v>0</v>
      </c>
      <c r="K1427" s="18">
        <f>VLOOKUP(D1427,Ingredients!C:G,5,0)</f>
        <v>675</v>
      </c>
      <c r="L1427" s="52">
        <f t="shared" si="45"/>
        <v>18.080357142857146</v>
      </c>
    </row>
    <row r="1428" spans="1:12">
      <c r="A1428" t="s">
        <v>384</v>
      </c>
      <c r="B1428" t="s">
        <v>362</v>
      </c>
      <c r="C1428" t="s">
        <v>354</v>
      </c>
      <c r="D1428" s="3" t="s">
        <v>834</v>
      </c>
      <c r="E1428" s="14">
        <v>3.7500000000000006E-2</v>
      </c>
      <c r="F1428" s="4" t="s">
        <v>179</v>
      </c>
      <c r="G1428" s="9">
        <v>515</v>
      </c>
      <c r="H1428" s="9">
        <f t="shared" si="44"/>
        <v>19.312500000000004</v>
      </c>
      <c r="I1428" t="s">
        <v>179</v>
      </c>
      <c r="J1428" s="33">
        <v>0</v>
      </c>
      <c r="K1428" s="18">
        <f>VLOOKUP(D1428,Ingredients!C:G,5,0)</f>
        <v>540</v>
      </c>
      <c r="L1428" s="52">
        <f t="shared" si="45"/>
        <v>20.250000000000004</v>
      </c>
    </row>
    <row r="1429" spans="1:12">
      <c r="A1429" t="s">
        <v>384</v>
      </c>
      <c r="B1429" t="s">
        <v>362</v>
      </c>
      <c r="C1429" t="s">
        <v>354</v>
      </c>
      <c r="D1429" s="3" t="s">
        <v>186</v>
      </c>
      <c r="E1429" s="14">
        <v>2.1428571428571429E-2</v>
      </c>
      <c r="F1429" s="4" t="s">
        <v>179</v>
      </c>
      <c r="G1429" s="9">
        <v>1500</v>
      </c>
      <c r="H1429" s="9">
        <f t="shared" si="44"/>
        <v>32.142857142857146</v>
      </c>
      <c r="I1429" t="s">
        <v>179</v>
      </c>
      <c r="J1429" s="33">
        <v>0</v>
      </c>
      <c r="K1429" s="18">
        <f>VLOOKUP(D1429,Ingredients!C:G,5,0)</f>
        <v>1400</v>
      </c>
      <c r="L1429" s="52">
        <f t="shared" si="45"/>
        <v>30</v>
      </c>
    </row>
    <row r="1430" spans="1:12">
      <c r="A1430" t="s">
        <v>385</v>
      </c>
      <c r="B1430" t="s">
        <v>345</v>
      </c>
      <c r="C1430" t="s">
        <v>345</v>
      </c>
      <c r="D1430" s="3" t="s">
        <v>273</v>
      </c>
      <c r="E1430" s="14">
        <v>1.0152284263959392</v>
      </c>
      <c r="F1430" s="4" t="s">
        <v>179</v>
      </c>
      <c r="G1430" s="9">
        <v>175</v>
      </c>
      <c r="H1430" s="9">
        <f t="shared" si="44"/>
        <v>177.66497461928938</v>
      </c>
      <c r="I1430" t="s">
        <v>486</v>
      </c>
      <c r="J1430" s="33">
        <v>0</v>
      </c>
      <c r="K1430" s="18">
        <f>VLOOKUP(D1430,Ingredients!C:G,5,0)</f>
        <v>200</v>
      </c>
      <c r="L1430" s="52">
        <f t="shared" si="45"/>
        <v>203.04568527918784</v>
      </c>
    </row>
    <row r="1431" spans="1:12">
      <c r="A1431" t="s">
        <v>385</v>
      </c>
      <c r="B1431" t="s">
        <v>345</v>
      </c>
      <c r="C1431" t="s">
        <v>345</v>
      </c>
      <c r="D1431" s="3" t="s">
        <v>830</v>
      </c>
      <c r="E1431" s="14">
        <v>0.50761421319796962</v>
      </c>
      <c r="F1431" s="4" t="s">
        <v>179</v>
      </c>
      <c r="G1431" s="9">
        <v>149</v>
      </c>
      <c r="H1431" s="9">
        <f t="shared" si="44"/>
        <v>75.634517766497467</v>
      </c>
      <c r="I1431" t="s">
        <v>486</v>
      </c>
      <c r="J1431" s="33">
        <v>0</v>
      </c>
      <c r="K1431" s="18">
        <f>VLOOKUP(D1431,Ingredients!C:G,5,0)</f>
        <v>123</v>
      </c>
      <c r="L1431" s="52">
        <f t="shared" si="45"/>
        <v>62.436548223350265</v>
      </c>
    </row>
    <row r="1432" spans="1:12">
      <c r="A1432" t="s">
        <v>385</v>
      </c>
      <c r="B1432" t="s">
        <v>345</v>
      </c>
      <c r="C1432" t="s">
        <v>345</v>
      </c>
      <c r="D1432" s="3" t="s">
        <v>849</v>
      </c>
      <c r="E1432" s="14">
        <v>1.269035532994924E-2</v>
      </c>
      <c r="F1432" s="4" t="s">
        <v>179</v>
      </c>
      <c r="G1432" s="9">
        <v>1000</v>
      </c>
      <c r="H1432" s="9">
        <f t="shared" si="44"/>
        <v>12.69035532994924</v>
      </c>
      <c r="I1432" t="s">
        <v>486</v>
      </c>
      <c r="J1432" s="33">
        <v>0</v>
      </c>
      <c r="K1432" s="18">
        <f>VLOOKUP(D1432,Ingredients!C:G,5,0)</f>
        <v>950</v>
      </c>
      <c r="L1432" s="52">
        <f t="shared" si="45"/>
        <v>12.055837563451778</v>
      </c>
    </row>
    <row r="1433" spans="1:12">
      <c r="A1433" t="s">
        <v>385</v>
      </c>
      <c r="B1433" t="s">
        <v>345</v>
      </c>
      <c r="C1433" t="s">
        <v>345</v>
      </c>
      <c r="D1433" s="3" t="s">
        <v>901</v>
      </c>
      <c r="E1433" s="14">
        <v>0.96446700507614225</v>
      </c>
      <c r="F1433" s="4" t="s">
        <v>179</v>
      </c>
      <c r="G1433" s="9">
        <v>73</v>
      </c>
      <c r="H1433" s="9">
        <f t="shared" si="44"/>
        <v>70.406091370558386</v>
      </c>
      <c r="I1433" t="s">
        <v>486</v>
      </c>
      <c r="J1433" s="33">
        <v>0</v>
      </c>
      <c r="K1433" s="18">
        <f>VLOOKUP(D1433,Ingredients!C:G,5,0)</f>
        <v>73</v>
      </c>
      <c r="L1433" s="52">
        <f t="shared" si="45"/>
        <v>70.406091370558386</v>
      </c>
    </row>
    <row r="1434" spans="1:12">
      <c r="A1434" t="s">
        <v>386</v>
      </c>
      <c r="B1434" t="s">
        <v>345</v>
      </c>
      <c r="C1434" t="s">
        <v>345</v>
      </c>
      <c r="D1434" s="3" t="s">
        <v>874</v>
      </c>
      <c r="E1434" s="14">
        <v>1</v>
      </c>
      <c r="F1434" s="4" t="s">
        <v>190</v>
      </c>
      <c r="G1434" s="9">
        <v>110</v>
      </c>
      <c r="H1434" s="9">
        <f t="shared" si="44"/>
        <v>110</v>
      </c>
      <c r="I1434" t="s">
        <v>486</v>
      </c>
      <c r="J1434" s="33">
        <v>0</v>
      </c>
      <c r="K1434" s="18">
        <f>VLOOKUP(D1434,Ingredients!C:G,5,0)</f>
        <v>179</v>
      </c>
      <c r="L1434" s="52">
        <f t="shared" si="45"/>
        <v>179</v>
      </c>
    </row>
    <row r="1435" spans="1:12">
      <c r="A1435" t="s">
        <v>386</v>
      </c>
      <c r="B1435" t="s">
        <v>345</v>
      </c>
      <c r="C1435" t="s">
        <v>345</v>
      </c>
      <c r="D1435" s="3" t="s">
        <v>35</v>
      </c>
      <c r="E1435" s="14">
        <v>4</v>
      </c>
      <c r="F1435" s="4" t="s">
        <v>252</v>
      </c>
      <c r="G1435" s="9">
        <v>13</v>
      </c>
      <c r="H1435" s="9">
        <f t="shared" si="44"/>
        <v>52</v>
      </c>
      <c r="I1435" t="s">
        <v>486</v>
      </c>
      <c r="J1435" s="33">
        <v>0</v>
      </c>
      <c r="K1435" s="18">
        <f>VLOOKUP(D1435,Ingredients!C:G,5,0)</f>
        <v>15</v>
      </c>
      <c r="L1435" s="52">
        <f t="shared" si="45"/>
        <v>60</v>
      </c>
    </row>
    <row r="1436" spans="1:12">
      <c r="A1436" t="s">
        <v>386</v>
      </c>
      <c r="B1436" t="s">
        <v>345</v>
      </c>
      <c r="C1436" t="s">
        <v>345</v>
      </c>
      <c r="D1436" s="3" t="s">
        <v>7</v>
      </c>
      <c r="E1436" s="14">
        <v>4</v>
      </c>
      <c r="F1436" s="4" t="s">
        <v>252</v>
      </c>
      <c r="G1436" s="9">
        <v>8</v>
      </c>
      <c r="H1436" s="9">
        <f t="shared" si="44"/>
        <v>32</v>
      </c>
      <c r="I1436" t="s">
        <v>486</v>
      </c>
      <c r="J1436" s="33">
        <v>0</v>
      </c>
      <c r="K1436" s="18">
        <f>VLOOKUP(D1436,Ingredients!C:G,5,0)</f>
        <v>6</v>
      </c>
      <c r="L1436" s="52">
        <f t="shared" si="45"/>
        <v>24</v>
      </c>
    </row>
    <row r="1437" spans="1:12">
      <c r="A1437" t="s">
        <v>386</v>
      </c>
      <c r="B1437" t="s">
        <v>345</v>
      </c>
      <c r="C1437" t="s">
        <v>345</v>
      </c>
      <c r="D1437" s="3" t="s">
        <v>29</v>
      </c>
      <c r="E1437" s="14">
        <v>0.3</v>
      </c>
      <c r="F1437" s="4" t="s">
        <v>179</v>
      </c>
      <c r="G1437" s="9">
        <v>60</v>
      </c>
      <c r="H1437" s="9">
        <f t="shared" si="44"/>
        <v>18</v>
      </c>
      <c r="I1437" t="s">
        <v>486</v>
      </c>
      <c r="J1437" s="33">
        <v>0</v>
      </c>
      <c r="K1437" s="18">
        <f>VLOOKUP(D1437,Ingredients!C:G,5,0)</f>
        <v>100</v>
      </c>
      <c r="L1437" s="52">
        <f t="shared" si="45"/>
        <v>30</v>
      </c>
    </row>
    <row r="1438" spans="1:12">
      <c r="A1438" t="s">
        <v>386</v>
      </c>
      <c r="B1438" t="s">
        <v>345</v>
      </c>
      <c r="C1438" t="s">
        <v>345</v>
      </c>
      <c r="D1438" s="3" t="s">
        <v>857</v>
      </c>
      <c r="E1438" s="14">
        <v>0.1</v>
      </c>
      <c r="F1438" s="4" t="s">
        <v>179</v>
      </c>
      <c r="G1438" s="9">
        <v>520</v>
      </c>
      <c r="H1438" s="9">
        <f t="shared" si="44"/>
        <v>52</v>
      </c>
      <c r="I1438" t="s">
        <v>486</v>
      </c>
      <c r="J1438" s="33">
        <v>0</v>
      </c>
      <c r="K1438" s="18">
        <f>VLOOKUP(D1438,Ingredients!C:G,5,0)</f>
        <v>880</v>
      </c>
      <c r="L1438" s="52">
        <f t="shared" si="45"/>
        <v>88</v>
      </c>
    </row>
    <row r="1439" spans="1:12">
      <c r="A1439" t="s">
        <v>386</v>
      </c>
      <c r="B1439" t="s">
        <v>345</v>
      </c>
      <c r="C1439" t="s">
        <v>345</v>
      </c>
      <c r="D1439" s="3" t="s">
        <v>16</v>
      </c>
      <c r="E1439" s="14">
        <v>0.15</v>
      </c>
      <c r="F1439" s="4" t="s">
        <v>179</v>
      </c>
      <c r="G1439" s="9">
        <v>270</v>
      </c>
      <c r="H1439" s="9">
        <f t="shared" si="44"/>
        <v>40.5</v>
      </c>
      <c r="I1439" t="s">
        <v>486</v>
      </c>
      <c r="J1439" s="33">
        <v>0</v>
      </c>
      <c r="K1439" s="18">
        <f>VLOOKUP(D1439,Ingredients!C:G,5,0)</f>
        <v>310</v>
      </c>
      <c r="L1439" s="52">
        <f t="shared" si="45"/>
        <v>46.5</v>
      </c>
    </row>
    <row r="1440" spans="1:12">
      <c r="A1440" t="s">
        <v>387</v>
      </c>
      <c r="B1440" t="s">
        <v>345</v>
      </c>
      <c r="C1440" t="s">
        <v>345</v>
      </c>
      <c r="D1440" s="3" t="s">
        <v>876</v>
      </c>
      <c r="E1440" s="14">
        <v>0.4</v>
      </c>
      <c r="F1440" s="4" t="s">
        <v>179</v>
      </c>
      <c r="G1440" s="9">
        <v>270</v>
      </c>
      <c r="H1440" s="9">
        <f t="shared" si="44"/>
        <v>108</v>
      </c>
      <c r="I1440" t="s">
        <v>486</v>
      </c>
      <c r="J1440" s="33">
        <v>0</v>
      </c>
      <c r="K1440" s="18">
        <f>VLOOKUP(D1440,Ingredients!C:G,5,0)</f>
        <v>290</v>
      </c>
      <c r="L1440" s="52">
        <f t="shared" si="45"/>
        <v>116</v>
      </c>
    </row>
    <row r="1441" spans="1:12">
      <c r="A1441" t="s">
        <v>387</v>
      </c>
      <c r="B1441" t="s">
        <v>345</v>
      </c>
      <c r="C1441" t="s">
        <v>345</v>
      </c>
      <c r="D1441" s="3" t="s">
        <v>855</v>
      </c>
      <c r="E1441" s="14">
        <v>2.5000000000000001E-2</v>
      </c>
      <c r="F1441" s="4" t="s">
        <v>179</v>
      </c>
      <c r="G1441" s="9">
        <v>2400</v>
      </c>
      <c r="H1441" s="9">
        <f t="shared" si="44"/>
        <v>60</v>
      </c>
      <c r="I1441" t="s">
        <v>486</v>
      </c>
      <c r="J1441" s="33">
        <v>0</v>
      </c>
      <c r="K1441" s="18">
        <f>VLOOKUP(D1441,Ingredients!C:G,5,0)</f>
        <v>1600</v>
      </c>
      <c r="L1441" s="52">
        <f t="shared" si="45"/>
        <v>40</v>
      </c>
    </row>
    <row r="1442" spans="1:12">
      <c r="A1442" t="s">
        <v>387</v>
      </c>
      <c r="B1442" t="s">
        <v>345</v>
      </c>
      <c r="C1442" t="s">
        <v>345</v>
      </c>
      <c r="D1442" s="3" t="s">
        <v>830</v>
      </c>
      <c r="E1442" s="14">
        <v>0.1</v>
      </c>
      <c r="F1442" s="4" t="s">
        <v>179</v>
      </c>
      <c r="G1442" s="9">
        <v>149</v>
      </c>
      <c r="H1442" s="9">
        <f t="shared" si="44"/>
        <v>14.9</v>
      </c>
      <c r="I1442" t="s">
        <v>486</v>
      </c>
      <c r="J1442" s="33">
        <v>0</v>
      </c>
      <c r="K1442" s="18">
        <f>VLOOKUP(D1442,Ingredients!C:G,5,0)</f>
        <v>123</v>
      </c>
      <c r="L1442" s="52">
        <f t="shared" si="45"/>
        <v>12.3</v>
      </c>
    </row>
    <row r="1443" spans="1:12">
      <c r="A1443" t="s">
        <v>387</v>
      </c>
      <c r="B1443" t="s">
        <v>345</v>
      </c>
      <c r="C1443" t="s">
        <v>345</v>
      </c>
      <c r="D1443" s="3" t="s">
        <v>849</v>
      </c>
      <c r="E1443" s="14">
        <v>0.05</v>
      </c>
      <c r="F1443" s="4" t="s">
        <v>179</v>
      </c>
      <c r="G1443" s="9">
        <v>1000</v>
      </c>
      <c r="H1443" s="9">
        <f t="shared" si="44"/>
        <v>50</v>
      </c>
      <c r="I1443" t="s">
        <v>486</v>
      </c>
      <c r="J1443" s="33">
        <v>0</v>
      </c>
      <c r="K1443" s="18">
        <f>VLOOKUP(D1443,Ingredients!C:G,5,0)</f>
        <v>950</v>
      </c>
      <c r="L1443" s="52">
        <f t="shared" si="45"/>
        <v>47.5</v>
      </c>
    </row>
    <row r="1444" spans="1:12">
      <c r="A1444" t="s">
        <v>387</v>
      </c>
      <c r="B1444" t="s">
        <v>345</v>
      </c>
      <c r="C1444" t="s">
        <v>345</v>
      </c>
      <c r="D1444" s="3" t="s">
        <v>386</v>
      </c>
      <c r="E1444" s="14">
        <v>0.25</v>
      </c>
      <c r="F1444" s="4" t="s">
        <v>179</v>
      </c>
      <c r="G1444" s="9">
        <v>485.5</v>
      </c>
      <c r="H1444" s="9">
        <f t="shared" si="44"/>
        <v>121.375</v>
      </c>
      <c r="I1444" t="s">
        <v>486</v>
      </c>
      <c r="J1444" s="33">
        <v>0</v>
      </c>
      <c r="K1444" s="18">
        <f>VLOOKUP(D1444,Ingredients!C:G,5,0)</f>
        <v>485.5</v>
      </c>
      <c r="L1444" s="52">
        <f t="shared" si="45"/>
        <v>121.375</v>
      </c>
    </row>
    <row r="1445" spans="1:12">
      <c r="A1445" t="s">
        <v>388</v>
      </c>
      <c r="B1445" t="s">
        <v>358</v>
      </c>
      <c r="C1445" t="s">
        <v>987</v>
      </c>
      <c r="D1445" s="3" t="s">
        <v>947</v>
      </c>
      <c r="E1445" s="4">
        <v>1</v>
      </c>
      <c r="F1445" s="4" t="s">
        <v>250</v>
      </c>
      <c r="G1445" s="9">
        <v>50</v>
      </c>
      <c r="H1445" s="9">
        <f t="shared" si="44"/>
        <v>50</v>
      </c>
      <c r="I1445" t="s">
        <v>300</v>
      </c>
      <c r="J1445" s="33">
        <v>0</v>
      </c>
      <c r="K1445" s="18">
        <f>VLOOKUP(D1445,Ingredients!C:G,5,0)</f>
        <v>50</v>
      </c>
      <c r="L1445" s="52">
        <f t="shared" si="45"/>
        <v>50</v>
      </c>
    </row>
    <row r="1446" spans="1:12">
      <c r="A1446" t="s">
        <v>389</v>
      </c>
      <c r="B1446" t="s">
        <v>358</v>
      </c>
      <c r="C1446" t="s">
        <v>988</v>
      </c>
      <c r="D1446" s="3" t="s">
        <v>948</v>
      </c>
      <c r="E1446" s="4">
        <v>1</v>
      </c>
      <c r="F1446" s="4" t="s">
        <v>300</v>
      </c>
      <c r="G1446" s="9">
        <v>422</v>
      </c>
      <c r="H1446" s="9">
        <f t="shared" si="44"/>
        <v>422</v>
      </c>
      <c r="I1446" t="s">
        <v>300</v>
      </c>
      <c r="J1446" s="33">
        <v>0</v>
      </c>
      <c r="K1446" s="18">
        <f>VLOOKUP(D1446,Ingredients!C:G,5,0)</f>
        <v>35</v>
      </c>
      <c r="L1446" s="52">
        <f t="shared" si="45"/>
        <v>35</v>
      </c>
    </row>
    <row r="1447" spans="1:12">
      <c r="A1447" t="s">
        <v>392</v>
      </c>
      <c r="B1447" t="s">
        <v>358</v>
      </c>
      <c r="C1447" t="s">
        <v>988</v>
      </c>
      <c r="D1447" s="3" t="s">
        <v>949</v>
      </c>
      <c r="E1447" s="4">
        <v>1</v>
      </c>
      <c r="F1447" s="4" t="s">
        <v>391</v>
      </c>
      <c r="G1447" s="9">
        <v>454</v>
      </c>
      <c r="H1447" s="9">
        <f t="shared" si="44"/>
        <v>454</v>
      </c>
      <c r="I1447" t="s">
        <v>391</v>
      </c>
      <c r="J1447" s="33">
        <v>0</v>
      </c>
      <c r="K1447" s="18">
        <f>VLOOKUP(D1447,Ingredients!C:G,5,0)</f>
        <v>394</v>
      </c>
      <c r="L1447" s="52">
        <f t="shared" si="45"/>
        <v>394</v>
      </c>
    </row>
    <row r="1448" spans="1:12">
      <c r="A1448" t="s">
        <v>394</v>
      </c>
      <c r="B1448" t="s">
        <v>358</v>
      </c>
      <c r="C1448" t="s">
        <v>361</v>
      </c>
      <c r="D1448" s="3" t="s">
        <v>273</v>
      </c>
      <c r="E1448" s="11">
        <v>0.14299999999999999</v>
      </c>
      <c r="F1448" s="7" t="s">
        <v>179</v>
      </c>
      <c r="G1448" s="9">
        <v>175</v>
      </c>
      <c r="H1448" s="9">
        <f t="shared" si="44"/>
        <v>25.024999999999999</v>
      </c>
      <c r="I1448" t="s">
        <v>485</v>
      </c>
      <c r="J1448" s="33">
        <v>0</v>
      </c>
      <c r="K1448" s="18">
        <f>VLOOKUP(D1448,Ingredients!C:G,5,0)</f>
        <v>200</v>
      </c>
      <c r="L1448" s="52">
        <f t="shared" si="45"/>
        <v>28.599999999999998</v>
      </c>
    </row>
    <row r="1449" spans="1:12">
      <c r="A1449" t="s">
        <v>394</v>
      </c>
      <c r="B1449" t="s">
        <v>358</v>
      </c>
      <c r="C1449" t="s">
        <v>361</v>
      </c>
      <c r="D1449" s="3" t="s">
        <v>830</v>
      </c>
      <c r="E1449" s="11">
        <v>3.5714285714285712E-2</v>
      </c>
      <c r="F1449" s="7" t="s">
        <v>179</v>
      </c>
      <c r="G1449" s="9">
        <v>149</v>
      </c>
      <c r="H1449" s="9">
        <f t="shared" si="44"/>
        <v>5.3214285714285712</v>
      </c>
      <c r="I1449" t="s">
        <v>485</v>
      </c>
      <c r="J1449" s="33">
        <v>0</v>
      </c>
      <c r="K1449" s="18">
        <f>VLOOKUP(D1449,Ingredients!C:G,5,0)</f>
        <v>123</v>
      </c>
      <c r="L1449" s="52">
        <f t="shared" si="45"/>
        <v>4.3928571428571423</v>
      </c>
    </row>
    <row r="1450" spans="1:12">
      <c r="A1450" t="s">
        <v>394</v>
      </c>
      <c r="B1450" t="s">
        <v>358</v>
      </c>
      <c r="C1450" t="s">
        <v>361</v>
      </c>
      <c r="D1450" s="3" t="s">
        <v>872</v>
      </c>
      <c r="E1450" s="11">
        <v>2.8571428571428574E-4</v>
      </c>
      <c r="F1450" s="7" t="s">
        <v>179</v>
      </c>
      <c r="G1450" s="9">
        <v>2100</v>
      </c>
      <c r="H1450" s="9">
        <f t="shared" si="44"/>
        <v>0.60000000000000009</v>
      </c>
      <c r="I1450" t="s">
        <v>485</v>
      </c>
      <c r="J1450" s="33">
        <v>0</v>
      </c>
      <c r="K1450" s="18">
        <f>VLOOKUP(D1450,Ingredients!C:G,5,0)</f>
        <v>2150</v>
      </c>
      <c r="L1450" s="52">
        <f t="shared" si="45"/>
        <v>0.61428571428571432</v>
      </c>
    </row>
    <row r="1451" spans="1:12">
      <c r="A1451" t="s">
        <v>394</v>
      </c>
      <c r="B1451" t="s">
        <v>358</v>
      </c>
      <c r="C1451" t="s">
        <v>361</v>
      </c>
      <c r="D1451" s="3" t="s">
        <v>882</v>
      </c>
      <c r="E1451" s="11">
        <v>2.8571428571428574E-4</v>
      </c>
      <c r="F1451" s="7" t="s">
        <v>179</v>
      </c>
      <c r="G1451" s="9">
        <v>1500</v>
      </c>
      <c r="H1451" s="9">
        <f t="shared" si="44"/>
        <v>0.4285714285714286</v>
      </c>
      <c r="I1451" t="s">
        <v>485</v>
      </c>
      <c r="J1451" s="33">
        <v>0</v>
      </c>
      <c r="K1451" s="18">
        <f>VLOOKUP(D1451,Ingredients!C:G,5,0)</f>
        <v>1450</v>
      </c>
      <c r="L1451" s="52">
        <f t="shared" si="45"/>
        <v>0.41428571428571431</v>
      </c>
    </row>
    <row r="1452" spans="1:12">
      <c r="A1452" t="s">
        <v>394</v>
      </c>
      <c r="B1452" t="s">
        <v>358</v>
      </c>
      <c r="C1452" t="s">
        <v>361</v>
      </c>
      <c r="D1452" s="3" t="s">
        <v>31</v>
      </c>
      <c r="E1452" s="11">
        <v>2.8571428571428574E-4</v>
      </c>
      <c r="F1452" s="7" t="s">
        <v>179</v>
      </c>
      <c r="G1452" s="9">
        <v>200</v>
      </c>
      <c r="H1452" s="9">
        <f t="shared" si="44"/>
        <v>5.7142857142857148E-2</v>
      </c>
      <c r="I1452" t="s">
        <v>485</v>
      </c>
      <c r="J1452" s="33">
        <v>0</v>
      </c>
      <c r="K1452" s="18">
        <f>VLOOKUP(D1452,Ingredients!C:G,5,0)</f>
        <v>350</v>
      </c>
      <c r="L1452" s="52">
        <f t="shared" si="45"/>
        <v>0.1</v>
      </c>
    </row>
    <row r="1453" spans="1:12">
      <c r="A1453" t="s">
        <v>394</v>
      </c>
      <c r="B1453" t="s">
        <v>358</v>
      </c>
      <c r="C1453" t="s">
        <v>361</v>
      </c>
      <c r="D1453" s="3" t="s">
        <v>841</v>
      </c>
      <c r="E1453" s="11">
        <v>2.0000000000000001E-4</v>
      </c>
      <c r="F1453" s="7" t="s">
        <v>179</v>
      </c>
      <c r="G1453" s="9">
        <v>50</v>
      </c>
      <c r="H1453" s="9">
        <f t="shared" si="44"/>
        <v>0.01</v>
      </c>
      <c r="I1453" t="s">
        <v>485</v>
      </c>
      <c r="J1453" s="33">
        <v>0</v>
      </c>
      <c r="K1453" s="18">
        <f>VLOOKUP(D1453,Ingredients!C:G,5,0)</f>
        <v>50</v>
      </c>
      <c r="L1453" s="52">
        <f t="shared" si="45"/>
        <v>0.01</v>
      </c>
    </row>
    <row r="1454" spans="1:12">
      <c r="A1454" t="s">
        <v>394</v>
      </c>
      <c r="B1454" t="s">
        <v>358</v>
      </c>
      <c r="C1454" t="s">
        <v>361</v>
      </c>
      <c r="D1454" s="3" t="s">
        <v>853</v>
      </c>
      <c r="E1454" s="11">
        <v>1.7142857142857143E-4</v>
      </c>
      <c r="F1454" s="7" t="s">
        <v>179</v>
      </c>
      <c r="G1454" s="9">
        <v>30</v>
      </c>
      <c r="H1454" s="9">
        <f t="shared" si="44"/>
        <v>5.1428571428571426E-3</v>
      </c>
      <c r="I1454" t="s">
        <v>485</v>
      </c>
      <c r="J1454" s="33">
        <v>0</v>
      </c>
      <c r="K1454" s="18">
        <f>VLOOKUP(D1454,Ingredients!C:G,5,0)</f>
        <v>55</v>
      </c>
      <c r="L1454" s="52">
        <f t="shared" si="45"/>
        <v>9.4285714285714285E-3</v>
      </c>
    </row>
    <row r="1455" spans="1:12">
      <c r="A1455" t="s">
        <v>394</v>
      </c>
      <c r="B1455" t="s">
        <v>358</v>
      </c>
      <c r="C1455" t="s">
        <v>361</v>
      </c>
      <c r="D1455" s="3" t="s">
        <v>901</v>
      </c>
      <c r="E1455" s="11">
        <v>0.2</v>
      </c>
      <c r="F1455" s="7" t="s">
        <v>190</v>
      </c>
      <c r="G1455" s="9">
        <v>73</v>
      </c>
      <c r="H1455" s="9">
        <f t="shared" si="44"/>
        <v>14.600000000000001</v>
      </c>
      <c r="I1455" t="s">
        <v>485</v>
      </c>
      <c r="J1455" s="33">
        <v>0</v>
      </c>
      <c r="K1455" s="18">
        <f>VLOOKUP(D1455,Ingredients!C:G,5,0)</f>
        <v>73</v>
      </c>
      <c r="L1455" s="52">
        <f t="shared" si="45"/>
        <v>14.600000000000001</v>
      </c>
    </row>
    <row r="1456" spans="1:12">
      <c r="A1456" t="s">
        <v>395</v>
      </c>
      <c r="B1456" t="s">
        <v>358</v>
      </c>
      <c r="C1456" t="s">
        <v>989</v>
      </c>
      <c r="D1456" s="3" t="s">
        <v>950</v>
      </c>
      <c r="E1456" s="4">
        <v>1</v>
      </c>
      <c r="F1456" s="4" t="s">
        <v>253</v>
      </c>
      <c r="G1456" s="9">
        <v>6</v>
      </c>
      <c r="H1456" s="9">
        <f t="shared" si="44"/>
        <v>6</v>
      </c>
      <c r="I1456" t="s">
        <v>484</v>
      </c>
      <c r="J1456" s="33">
        <v>0</v>
      </c>
      <c r="K1456" s="18">
        <f>VLOOKUP(D1456,Ingredients!C:G,5,0)</f>
        <v>6</v>
      </c>
      <c r="L1456" s="52">
        <f t="shared" si="45"/>
        <v>6</v>
      </c>
    </row>
    <row r="1457" spans="1:12">
      <c r="A1457" t="s">
        <v>395</v>
      </c>
      <c r="B1457" t="s">
        <v>358</v>
      </c>
      <c r="C1457" t="s">
        <v>989</v>
      </c>
      <c r="D1457" s="3" t="s">
        <v>901</v>
      </c>
      <c r="E1457" s="4">
        <v>0.1</v>
      </c>
      <c r="F1457" s="4" t="s">
        <v>190</v>
      </c>
      <c r="G1457" s="9">
        <v>73</v>
      </c>
      <c r="H1457" s="9">
        <f t="shared" si="44"/>
        <v>7.3000000000000007</v>
      </c>
      <c r="I1457" t="s">
        <v>484</v>
      </c>
      <c r="J1457" s="33">
        <v>0</v>
      </c>
      <c r="K1457" s="18">
        <f>VLOOKUP(D1457,Ingredients!C:G,5,0)</f>
        <v>73</v>
      </c>
      <c r="L1457" s="52">
        <f t="shared" si="45"/>
        <v>7.3000000000000007</v>
      </c>
    </row>
    <row r="1458" spans="1:12">
      <c r="A1458" t="s">
        <v>395</v>
      </c>
      <c r="B1458" t="s">
        <v>358</v>
      </c>
      <c r="C1458" t="s">
        <v>989</v>
      </c>
      <c r="D1458" s="3" t="s">
        <v>830</v>
      </c>
      <c r="E1458" s="11">
        <v>0.03</v>
      </c>
      <c r="F1458" s="4" t="s">
        <v>376</v>
      </c>
      <c r="G1458" s="9">
        <v>149</v>
      </c>
      <c r="H1458" s="9">
        <f t="shared" si="44"/>
        <v>4.47</v>
      </c>
      <c r="I1458" t="s">
        <v>484</v>
      </c>
      <c r="J1458" s="33">
        <v>0</v>
      </c>
      <c r="K1458" s="18">
        <f>VLOOKUP(D1458,Ingredients!C:G,5,0)</f>
        <v>123</v>
      </c>
      <c r="L1458" s="52">
        <f t="shared" si="45"/>
        <v>3.69</v>
      </c>
    </row>
    <row r="1459" spans="1:12">
      <c r="A1459" t="s">
        <v>395</v>
      </c>
      <c r="B1459" t="s">
        <v>358</v>
      </c>
      <c r="C1459" t="s">
        <v>989</v>
      </c>
      <c r="D1459" s="3" t="s">
        <v>951</v>
      </c>
      <c r="E1459" s="4">
        <v>2.5000000000000001E-2</v>
      </c>
      <c r="F1459" s="4" t="s">
        <v>376</v>
      </c>
      <c r="G1459" s="9">
        <v>520.83000000000004</v>
      </c>
      <c r="H1459" s="9">
        <f t="shared" si="44"/>
        <v>13.020750000000001</v>
      </c>
      <c r="I1459" t="s">
        <v>484</v>
      </c>
      <c r="J1459" s="33">
        <v>0</v>
      </c>
      <c r="K1459" s="18">
        <f>VLOOKUP(D1459,Ingredients!C:G,5,0)</f>
        <v>520.83000000000004</v>
      </c>
      <c r="L1459" s="52">
        <f t="shared" si="45"/>
        <v>13.020750000000001</v>
      </c>
    </row>
    <row r="1460" spans="1:12">
      <c r="A1460" t="s">
        <v>398</v>
      </c>
      <c r="B1460" t="s">
        <v>358</v>
      </c>
      <c r="C1460" t="s">
        <v>989</v>
      </c>
      <c r="D1460" s="3" t="s">
        <v>904</v>
      </c>
      <c r="E1460" s="4">
        <v>1.2500000000000001E-2</v>
      </c>
      <c r="F1460" s="4" t="s">
        <v>179</v>
      </c>
      <c r="G1460" s="9">
        <v>1260</v>
      </c>
      <c r="H1460" s="9">
        <f t="shared" si="44"/>
        <v>15.75</v>
      </c>
      <c r="I1460" t="s">
        <v>484</v>
      </c>
      <c r="J1460" s="33">
        <v>0</v>
      </c>
      <c r="K1460" s="18">
        <f>VLOOKUP(D1460,Ingredients!C:G,5,0)</f>
        <v>1280</v>
      </c>
      <c r="L1460" s="52">
        <f t="shared" si="45"/>
        <v>16</v>
      </c>
    </row>
    <row r="1461" spans="1:12">
      <c r="A1461" t="s">
        <v>398</v>
      </c>
      <c r="B1461" t="s">
        <v>358</v>
      </c>
      <c r="C1461" t="s">
        <v>989</v>
      </c>
      <c r="D1461" s="3" t="s">
        <v>952</v>
      </c>
      <c r="E1461" s="4">
        <v>0.01</v>
      </c>
      <c r="F1461" s="4" t="s">
        <v>179</v>
      </c>
      <c r="G1461" s="9">
        <v>12500</v>
      </c>
      <c r="H1461" s="9">
        <f t="shared" si="44"/>
        <v>125</v>
      </c>
      <c r="I1461" t="s">
        <v>484</v>
      </c>
      <c r="J1461" s="33">
        <v>0</v>
      </c>
      <c r="K1461" s="18">
        <v>6600</v>
      </c>
      <c r="L1461" s="52">
        <f t="shared" si="45"/>
        <v>66</v>
      </c>
    </row>
    <row r="1462" spans="1:12">
      <c r="A1462" t="s">
        <v>398</v>
      </c>
      <c r="B1462" t="s">
        <v>358</v>
      </c>
      <c r="C1462" t="s">
        <v>989</v>
      </c>
      <c r="D1462" s="3" t="s">
        <v>830</v>
      </c>
      <c r="E1462" s="11">
        <v>0.03</v>
      </c>
      <c r="F1462" s="4" t="s">
        <v>253</v>
      </c>
      <c r="G1462" s="9">
        <v>149</v>
      </c>
      <c r="H1462" s="9">
        <f t="shared" si="44"/>
        <v>4.47</v>
      </c>
      <c r="I1462" t="s">
        <v>484</v>
      </c>
      <c r="J1462" s="33">
        <v>0</v>
      </c>
      <c r="K1462" s="18">
        <f>VLOOKUP(D1462,Ingredients!C:G,5,0)</f>
        <v>123</v>
      </c>
      <c r="L1462" s="52">
        <f t="shared" si="45"/>
        <v>3.69</v>
      </c>
    </row>
    <row r="1463" spans="1:12">
      <c r="A1463" t="s">
        <v>398</v>
      </c>
      <c r="B1463" t="s">
        <v>358</v>
      </c>
      <c r="C1463" t="s">
        <v>989</v>
      </c>
      <c r="D1463" s="3" t="s">
        <v>951</v>
      </c>
      <c r="E1463" s="4">
        <v>2.5000000000000001E-2</v>
      </c>
      <c r="F1463" s="4" t="s">
        <v>253</v>
      </c>
      <c r="G1463" s="9">
        <v>520.83000000000004</v>
      </c>
      <c r="H1463" s="9">
        <f t="shared" si="44"/>
        <v>13.020750000000001</v>
      </c>
      <c r="I1463" t="s">
        <v>484</v>
      </c>
      <c r="J1463" s="33">
        <v>0</v>
      </c>
      <c r="K1463" s="18">
        <f>VLOOKUP(D1463,Ingredients!C:G,5,0)</f>
        <v>520.83000000000004</v>
      </c>
      <c r="L1463" s="52">
        <f t="shared" si="45"/>
        <v>13.020750000000001</v>
      </c>
    </row>
    <row r="1464" spans="1:12">
      <c r="A1464" t="s">
        <v>401</v>
      </c>
      <c r="B1464" t="s">
        <v>349</v>
      </c>
      <c r="C1464" t="s">
        <v>454</v>
      </c>
      <c r="D1464" s="3" t="s">
        <v>831</v>
      </c>
      <c r="E1464" s="10">
        <v>0.4</v>
      </c>
      <c r="F1464" s="4" t="s">
        <v>176</v>
      </c>
      <c r="G1464" s="9">
        <v>908</v>
      </c>
      <c r="H1464" s="9">
        <f t="shared" si="44"/>
        <v>363.20000000000005</v>
      </c>
      <c r="I1464" t="s">
        <v>179</v>
      </c>
      <c r="J1464" s="33" t="s">
        <v>489</v>
      </c>
      <c r="K1464" s="18">
        <f>VLOOKUP(D1464,Ingredients!C:G,5,0)</f>
        <v>908</v>
      </c>
      <c r="L1464" s="52">
        <f t="shared" si="45"/>
        <v>363.20000000000005</v>
      </c>
    </row>
    <row r="1465" spans="1:12">
      <c r="A1465" t="s">
        <v>401</v>
      </c>
      <c r="B1465" t="s">
        <v>349</v>
      </c>
      <c r="C1465" t="s">
        <v>454</v>
      </c>
      <c r="D1465" s="3" t="s">
        <v>953</v>
      </c>
      <c r="E1465">
        <v>1</v>
      </c>
      <c r="F1465" s="4" t="s">
        <v>263</v>
      </c>
      <c r="G1465" s="9">
        <v>156.25</v>
      </c>
      <c r="H1465" s="9">
        <f t="shared" si="44"/>
        <v>156.25</v>
      </c>
      <c r="I1465" t="s">
        <v>179</v>
      </c>
      <c r="J1465" s="33" t="s">
        <v>489</v>
      </c>
      <c r="K1465" s="18">
        <f>VLOOKUP(D1465,Ingredients!C:G,5,0)</f>
        <v>141.66</v>
      </c>
      <c r="L1465" s="52">
        <f t="shared" si="45"/>
        <v>141.66</v>
      </c>
    </row>
    <row r="1466" spans="1:12">
      <c r="A1466" t="s">
        <v>401</v>
      </c>
      <c r="B1466" t="s">
        <v>349</v>
      </c>
      <c r="C1466" t="s">
        <v>454</v>
      </c>
      <c r="D1466" s="3" t="s">
        <v>15</v>
      </c>
      <c r="E1466">
        <v>0.25</v>
      </c>
      <c r="F1466" s="4" t="s">
        <v>176</v>
      </c>
      <c r="G1466" s="9">
        <v>130</v>
      </c>
      <c r="H1466" s="9">
        <f t="shared" si="44"/>
        <v>32.5</v>
      </c>
      <c r="I1466" t="s">
        <v>179</v>
      </c>
      <c r="J1466" s="33" t="s">
        <v>489</v>
      </c>
      <c r="K1466" s="18">
        <f>VLOOKUP(D1466,Ingredients!C:G,5,0)</f>
        <v>90</v>
      </c>
      <c r="L1466" s="52">
        <f t="shared" si="45"/>
        <v>22.5</v>
      </c>
    </row>
    <row r="1467" spans="1:12">
      <c r="A1467" t="s">
        <v>401</v>
      </c>
      <c r="B1467" t="s">
        <v>349</v>
      </c>
      <c r="C1467" t="s">
        <v>454</v>
      </c>
      <c r="D1467" s="3" t="s">
        <v>94</v>
      </c>
      <c r="E1467">
        <v>0.5</v>
      </c>
      <c r="F1467" s="4" t="s">
        <v>176</v>
      </c>
      <c r="G1467" s="9">
        <v>90</v>
      </c>
      <c r="H1467" s="9">
        <f t="shared" si="44"/>
        <v>45</v>
      </c>
      <c r="I1467" t="s">
        <v>179</v>
      </c>
      <c r="J1467" s="33" t="s">
        <v>489</v>
      </c>
      <c r="K1467" s="18">
        <f>VLOOKUP(D1467,Ingredients!C:G,5,0)</f>
        <v>40</v>
      </c>
      <c r="L1467" s="52">
        <f t="shared" si="45"/>
        <v>20</v>
      </c>
    </row>
    <row r="1468" spans="1:12">
      <c r="A1468" t="s">
        <v>401</v>
      </c>
      <c r="B1468" t="s">
        <v>349</v>
      </c>
      <c r="C1468" t="s">
        <v>454</v>
      </c>
      <c r="D1468" s="3" t="s">
        <v>95</v>
      </c>
      <c r="E1468">
        <v>0.125</v>
      </c>
      <c r="F1468" s="4" t="s">
        <v>176</v>
      </c>
      <c r="G1468" s="9">
        <v>140</v>
      </c>
      <c r="H1468" s="9">
        <f t="shared" ref="H1468:H1531" si="46">G1468*E1468</f>
        <v>17.5</v>
      </c>
      <c r="I1468" t="s">
        <v>179</v>
      </c>
      <c r="J1468" s="33" t="s">
        <v>489</v>
      </c>
      <c r="K1468" s="18">
        <f>VLOOKUP(D1468,Ingredients!C:G,5,0)</f>
        <v>90</v>
      </c>
      <c r="L1468" s="52">
        <f t="shared" si="45"/>
        <v>11.25</v>
      </c>
    </row>
    <row r="1469" spans="1:12">
      <c r="A1469" t="s">
        <v>401</v>
      </c>
      <c r="B1469" t="s">
        <v>349</v>
      </c>
      <c r="C1469" t="s">
        <v>454</v>
      </c>
      <c r="D1469" s="3" t="s">
        <v>853</v>
      </c>
      <c r="E1469">
        <v>0.05</v>
      </c>
      <c r="F1469" s="4" t="s">
        <v>176</v>
      </c>
      <c r="G1469" s="9">
        <v>30</v>
      </c>
      <c r="H1469" s="9">
        <f t="shared" si="46"/>
        <v>1.5</v>
      </c>
      <c r="I1469" t="s">
        <v>179</v>
      </c>
      <c r="J1469" s="33" t="s">
        <v>489</v>
      </c>
      <c r="K1469" s="18">
        <f>VLOOKUP(D1469,Ingredients!C:G,5,0)</f>
        <v>55</v>
      </c>
      <c r="L1469" s="52">
        <f t="shared" si="45"/>
        <v>2.75</v>
      </c>
    </row>
    <row r="1470" spans="1:12">
      <c r="A1470" t="s">
        <v>401</v>
      </c>
      <c r="B1470" t="s">
        <v>349</v>
      </c>
      <c r="C1470" t="s">
        <v>454</v>
      </c>
      <c r="D1470" s="3" t="s">
        <v>883</v>
      </c>
      <c r="E1470">
        <v>0.125</v>
      </c>
      <c r="F1470" s="4" t="s">
        <v>176</v>
      </c>
      <c r="G1470" s="9">
        <v>950</v>
      </c>
      <c r="H1470" s="9">
        <f t="shared" si="46"/>
        <v>118.75</v>
      </c>
      <c r="I1470" t="s">
        <v>179</v>
      </c>
      <c r="J1470" s="33" t="s">
        <v>489</v>
      </c>
      <c r="K1470" s="18">
        <f>VLOOKUP(D1470,Ingredients!C:G,5,0)</f>
        <v>313</v>
      </c>
      <c r="L1470" s="52">
        <f t="shared" si="45"/>
        <v>39.125</v>
      </c>
    </row>
    <row r="1471" spans="1:12">
      <c r="A1471" t="s">
        <v>401</v>
      </c>
      <c r="B1471" t="s">
        <v>349</v>
      </c>
      <c r="C1471" t="s">
        <v>454</v>
      </c>
      <c r="D1471" s="3" t="s">
        <v>879</v>
      </c>
      <c r="E1471">
        <v>0.05</v>
      </c>
      <c r="F1471" s="4" t="s">
        <v>176</v>
      </c>
      <c r="G1471" s="9">
        <v>1113.51</v>
      </c>
      <c r="H1471" s="9">
        <f t="shared" si="46"/>
        <v>55.6755</v>
      </c>
      <c r="I1471" t="s">
        <v>179</v>
      </c>
      <c r="J1471" s="33" t="s">
        <v>489</v>
      </c>
      <c r="K1471" s="18">
        <f>VLOOKUP(D1471,Ingredients!C:G,5,0)</f>
        <v>1066.33</v>
      </c>
      <c r="L1471" s="52">
        <f t="shared" si="45"/>
        <v>53.316499999999998</v>
      </c>
    </row>
    <row r="1472" spans="1:12">
      <c r="A1472" t="s">
        <v>403</v>
      </c>
      <c r="B1472" t="s">
        <v>356</v>
      </c>
      <c r="C1472" t="s">
        <v>999</v>
      </c>
      <c r="D1472" s="3" t="s">
        <v>913</v>
      </c>
      <c r="E1472" s="14">
        <v>6.666666666666667</v>
      </c>
      <c r="F1472" s="4" t="s">
        <v>190</v>
      </c>
      <c r="G1472" s="9">
        <v>229.16666666666666</v>
      </c>
      <c r="H1472" s="9">
        <f t="shared" si="46"/>
        <v>1527.7777777777778</v>
      </c>
      <c r="I1472" t="s">
        <v>520</v>
      </c>
      <c r="J1472" s="33">
        <v>0</v>
      </c>
      <c r="K1472" s="18">
        <f>VLOOKUP(D1472,Ingredients!C:F,3,0)</f>
        <v>343.75</v>
      </c>
      <c r="L1472" s="52">
        <f t="shared" si="45"/>
        <v>2291.666666666667</v>
      </c>
    </row>
    <row r="1473" spans="1:12">
      <c r="A1473" t="s">
        <v>403</v>
      </c>
      <c r="B1473" t="s">
        <v>356</v>
      </c>
      <c r="C1473" t="s">
        <v>999</v>
      </c>
      <c r="D1473" s="3" t="s">
        <v>830</v>
      </c>
      <c r="E1473" s="14">
        <v>1.3333333333333333</v>
      </c>
      <c r="F1473" s="4" t="s">
        <v>179</v>
      </c>
      <c r="G1473" s="9">
        <v>149</v>
      </c>
      <c r="H1473" s="9">
        <f t="shared" si="46"/>
        <v>198.66666666666666</v>
      </c>
      <c r="I1473" t="s">
        <v>520</v>
      </c>
      <c r="J1473" s="33">
        <v>0</v>
      </c>
      <c r="K1473" s="18">
        <f>VLOOKUP(D1473,Ingredients!C:G,5,0)</f>
        <v>123</v>
      </c>
      <c r="L1473" s="52">
        <f t="shared" si="45"/>
        <v>164</v>
      </c>
    </row>
    <row r="1474" spans="1:12">
      <c r="A1474" t="s">
        <v>403</v>
      </c>
      <c r="B1474" t="s">
        <v>356</v>
      </c>
      <c r="C1474" t="s">
        <v>999</v>
      </c>
      <c r="D1474" s="3" t="s">
        <v>851</v>
      </c>
      <c r="E1474" s="14">
        <v>0.33333333333333331</v>
      </c>
      <c r="F1474" s="13" t="s">
        <v>176</v>
      </c>
      <c r="G1474" s="9">
        <v>177</v>
      </c>
      <c r="H1474" s="9">
        <f t="shared" si="46"/>
        <v>59</v>
      </c>
      <c r="I1474" t="s">
        <v>520</v>
      </c>
      <c r="J1474" s="33">
        <v>0</v>
      </c>
      <c r="K1474" s="18">
        <f>VLOOKUP(D1474,Ingredients!C:G,5,0)</f>
        <v>920</v>
      </c>
      <c r="L1474" s="52">
        <f t="shared" si="45"/>
        <v>306.66666666666663</v>
      </c>
    </row>
    <row r="1475" spans="1:12">
      <c r="A1475" t="s">
        <v>403</v>
      </c>
      <c r="B1475" t="s">
        <v>356</v>
      </c>
      <c r="C1475" t="s">
        <v>999</v>
      </c>
      <c r="D1475" s="3" t="s">
        <v>904</v>
      </c>
      <c r="E1475" s="14">
        <v>4.9999999999999996E-2</v>
      </c>
      <c r="F1475" s="4" t="s">
        <v>179</v>
      </c>
      <c r="G1475" s="9">
        <v>1260</v>
      </c>
      <c r="H1475" s="9">
        <f t="shared" si="46"/>
        <v>62.999999999999993</v>
      </c>
      <c r="I1475" t="s">
        <v>520</v>
      </c>
      <c r="J1475" s="33">
        <v>0</v>
      </c>
      <c r="K1475" s="18">
        <f>VLOOKUP(D1475,Ingredients!C:G,5,0)</f>
        <v>1280</v>
      </c>
      <c r="L1475" s="52">
        <f t="shared" si="45"/>
        <v>63.999999999999993</v>
      </c>
    </row>
    <row r="1476" spans="1:12">
      <c r="A1476" t="s">
        <v>403</v>
      </c>
      <c r="B1476" t="s">
        <v>356</v>
      </c>
      <c r="C1476" t="s">
        <v>999</v>
      </c>
      <c r="D1476" s="3" t="s">
        <v>898</v>
      </c>
      <c r="E1476" s="14">
        <v>1.6666666666666666E-2</v>
      </c>
      <c r="F1476" s="4" t="s">
        <v>179</v>
      </c>
      <c r="G1476" s="9">
        <v>290</v>
      </c>
      <c r="H1476" s="9">
        <f t="shared" si="46"/>
        <v>4.833333333333333</v>
      </c>
      <c r="I1476" t="s">
        <v>520</v>
      </c>
      <c r="J1476" s="33">
        <v>0</v>
      </c>
      <c r="K1476" s="18">
        <f>VLOOKUP(D1476,Ingredients!C:G,5,0)</f>
        <v>290</v>
      </c>
      <c r="L1476" s="52">
        <f t="shared" ref="L1476:L1539" si="47">K1476*E1476</f>
        <v>4.833333333333333</v>
      </c>
    </row>
    <row r="1477" spans="1:12">
      <c r="A1477" t="s">
        <v>404</v>
      </c>
      <c r="B1477" t="s">
        <v>349</v>
      </c>
      <c r="C1477" t="s">
        <v>352</v>
      </c>
      <c r="D1477" s="3" t="s">
        <v>492</v>
      </c>
      <c r="E1477" s="11">
        <v>1</v>
      </c>
      <c r="F1477" s="7" t="s">
        <v>181</v>
      </c>
      <c r="G1477" s="9">
        <v>1890.54</v>
      </c>
      <c r="H1477" s="9">
        <f t="shared" si="46"/>
        <v>1890.54</v>
      </c>
      <c r="I1477" t="s">
        <v>179</v>
      </c>
      <c r="J1477" s="33" t="s">
        <v>492</v>
      </c>
      <c r="K1477" s="18">
        <f>VLOOKUP(D1477,Ingredients!C:G,5,0)</f>
        <v>1462.18</v>
      </c>
      <c r="L1477" s="52">
        <f t="shared" si="47"/>
        <v>1462.18</v>
      </c>
    </row>
    <row r="1478" spans="1:12">
      <c r="A1478" t="s">
        <v>404</v>
      </c>
      <c r="B1478" t="s">
        <v>349</v>
      </c>
      <c r="C1478" t="s">
        <v>352</v>
      </c>
      <c r="D1478" s="3" t="s">
        <v>835</v>
      </c>
      <c r="E1478" s="11">
        <v>0.05</v>
      </c>
      <c r="F1478" s="7" t="s">
        <v>181</v>
      </c>
      <c r="G1478" s="9">
        <v>389.34</v>
      </c>
      <c r="H1478" s="9">
        <f t="shared" si="46"/>
        <v>19.466999999999999</v>
      </c>
      <c r="I1478" t="s">
        <v>179</v>
      </c>
      <c r="J1478" s="33" t="s">
        <v>492</v>
      </c>
      <c r="K1478" s="18">
        <f>VLOOKUP(D1478,Ingredients!C:G,5,0)</f>
        <v>394.63</v>
      </c>
      <c r="L1478" s="52">
        <f t="shared" si="47"/>
        <v>19.7315</v>
      </c>
    </row>
    <row r="1479" spans="1:12">
      <c r="A1479" t="s">
        <v>404</v>
      </c>
      <c r="B1479" t="s">
        <v>349</v>
      </c>
      <c r="C1479" t="s">
        <v>352</v>
      </c>
      <c r="D1479" s="3" t="s">
        <v>854</v>
      </c>
      <c r="E1479" s="11">
        <v>1</v>
      </c>
      <c r="F1479" s="13" t="s">
        <v>173</v>
      </c>
      <c r="G1479" s="9">
        <v>24.64</v>
      </c>
      <c r="H1479" s="9">
        <f t="shared" si="46"/>
        <v>24.64</v>
      </c>
      <c r="I1479" t="s">
        <v>179</v>
      </c>
      <c r="J1479" s="33" t="s">
        <v>492</v>
      </c>
      <c r="K1479" s="18">
        <f>VLOOKUP(D1479,Ingredients!C:G,5,0)</f>
        <v>20.059999999999999</v>
      </c>
      <c r="L1479" s="52">
        <f t="shared" si="47"/>
        <v>20.059999999999999</v>
      </c>
    </row>
    <row r="1480" spans="1:12">
      <c r="A1480" t="s">
        <v>404</v>
      </c>
      <c r="B1480" t="s">
        <v>349</v>
      </c>
      <c r="C1480" t="s">
        <v>352</v>
      </c>
      <c r="D1480" s="3" t="s">
        <v>879</v>
      </c>
      <c r="E1480" s="11">
        <v>1.2500000000000001E-2</v>
      </c>
      <c r="F1480" s="7" t="s">
        <v>181</v>
      </c>
      <c r="G1480" s="9">
        <v>1113.51</v>
      </c>
      <c r="H1480" s="9">
        <f t="shared" si="46"/>
        <v>13.918875</v>
      </c>
      <c r="I1480" t="s">
        <v>179</v>
      </c>
      <c r="J1480" s="33" t="s">
        <v>492</v>
      </c>
      <c r="K1480" s="18">
        <f>VLOOKUP(D1480,Ingredients!C:G,5,0)</f>
        <v>1066.33</v>
      </c>
      <c r="L1480" s="52">
        <f t="shared" si="47"/>
        <v>13.329124999999999</v>
      </c>
    </row>
    <row r="1481" spans="1:12">
      <c r="A1481" t="s">
        <v>404</v>
      </c>
      <c r="B1481" t="s">
        <v>349</v>
      </c>
      <c r="C1481" t="s">
        <v>352</v>
      </c>
      <c r="D1481" s="3" t="s">
        <v>872</v>
      </c>
      <c r="E1481" s="11">
        <v>1.2500000000000001E-2</v>
      </c>
      <c r="F1481" s="7" t="s">
        <v>181</v>
      </c>
      <c r="G1481" s="9">
        <v>2100</v>
      </c>
      <c r="H1481" s="9">
        <f t="shared" si="46"/>
        <v>26.25</v>
      </c>
      <c r="I1481" t="s">
        <v>179</v>
      </c>
      <c r="J1481" s="33" t="s">
        <v>492</v>
      </c>
      <c r="K1481" s="18">
        <f>VLOOKUP(D1481,Ingredients!C:G,5,0)</f>
        <v>2150</v>
      </c>
      <c r="L1481" s="52">
        <f t="shared" si="47"/>
        <v>26.875</v>
      </c>
    </row>
    <row r="1482" spans="1:12">
      <c r="A1482" t="s">
        <v>404</v>
      </c>
      <c r="B1482" t="s">
        <v>349</v>
      </c>
      <c r="C1482" t="s">
        <v>352</v>
      </c>
      <c r="D1482" s="3" t="s">
        <v>853</v>
      </c>
      <c r="E1482" s="11">
        <v>7.4999999999999997E-3</v>
      </c>
      <c r="F1482" s="7" t="s">
        <v>181</v>
      </c>
      <c r="G1482" s="9">
        <v>30</v>
      </c>
      <c r="H1482" s="9">
        <f t="shared" si="46"/>
        <v>0.22499999999999998</v>
      </c>
      <c r="I1482" t="s">
        <v>179</v>
      </c>
      <c r="J1482" s="33" t="s">
        <v>492</v>
      </c>
      <c r="K1482" s="18">
        <f>VLOOKUP(D1482,Ingredients!C:G,5,0)</f>
        <v>55</v>
      </c>
      <c r="L1482" s="52">
        <f t="shared" si="47"/>
        <v>0.41249999999999998</v>
      </c>
    </row>
    <row r="1483" spans="1:12">
      <c r="A1483" t="s">
        <v>404</v>
      </c>
      <c r="B1483" t="s">
        <v>349</v>
      </c>
      <c r="C1483" t="s">
        <v>352</v>
      </c>
      <c r="D1483" s="3" t="s">
        <v>856</v>
      </c>
      <c r="E1483" s="11">
        <v>1.2500000000000001E-2</v>
      </c>
      <c r="F1483" s="7" t="s">
        <v>181</v>
      </c>
      <c r="G1483" s="9">
        <v>850</v>
      </c>
      <c r="H1483" s="9">
        <f t="shared" si="46"/>
        <v>10.625</v>
      </c>
      <c r="I1483" t="s">
        <v>179</v>
      </c>
      <c r="J1483" s="33" t="s">
        <v>492</v>
      </c>
      <c r="K1483" s="18">
        <f>VLOOKUP(D1483,Ingredients!C:G,5,0)</f>
        <v>980</v>
      </c>
      <c r="L1483" s="52">
        <f t="shared" si="47"/>
        <v>12.25</v>
      </c>
    </row>
    <row r="1484" spans="1:12">
      <c r="A1484" t="s">
        <v>404</v>
      </c>
      <c r="B1484" t="s">
        <v>349</v>
      </c>
      <c r="C1484" t="s">
        <v>352</v>
      </c>
      <c r="D1484" s="3" t="s">
        <v>852</v>
      </c>
      <c r="E1484" s="11">
        <v>6.25E-2</v>
      </c>
      <c r="F1484" s="7" t="s">
        <v>181</v>
      </c>
      <c r="G1484" s="9">
        <v>520.63</v>
      </c>
      <c r="H1484" s="9">
        <f t="shared" si="46"/>
        <v>32.539375</v>
      </c>
      <c r="I1484" t="s">
        <v>179</v>
      </c>
      <c r="J1484" s="33" t="s">
        <v>492</v>
      </c>
      <c r="K1484" s="18">
        <v>550</v>
      </c>
      <c r="L1484" s="52">
        <f t="shared" si="47"/>
        <v>34.375</v>
      </c>
    </row>
    <row r="1485" spans="1:12">
      <c r="A1485" t="s">
        <v>404</v>
      </c>
      <c r="B1485" t="s">
        <v>349</v>
      </c>
      <c r="C1485" t="s">
        <v>352</v>
      </c>
      <c r="D1485" s="3" t="s">
        <v>23</v>
      </c>
      <c r="E1485" s="11">
        <v>5.0000000000000001E-3</v>
      </c>
      <c r="F1485" s="7" t="s">
        <v>181</v>
      </c>
      <c r="G1485" s="9">
        <v>740</v>
      </c>
      <c r="H1485" s="9">
        <f t="shared" si="46"/>
        <v>3.7</v>
      </c>
      <c r="I1485" t="s">
        <v>179</v>
      </c>
      <c r="J1485" s="33" t="s">
        <v>492</v>
      </c>
      <c r="K1485" s="18">
        <f>VLOOKUP(D1485,Ingredients!C:G,5,0)</f>
        <v>780</v>
      </c>
      <c r="L1485" s="52">
        <f t="shared" si="47"/>
        <v>3.9</v>
      </c>
    </row>
    <row r="1486" spans="1:12">
      <c r="A1486" t="s">
        <v>404</v>
      </c>
      <c r="B1486" t="s">
        <v>349</v>
      </c>
      <c r="C1486" t="s">
        <v>352</v>
      </c>
      <c r="D1486" s="3" t="s">
        <v>16</v>
      </c>
      <c r="E1486" s="11">
        <v>5.0000000000000001E-3</v>
      </c>
      <c r="F1486" s="7" t="s">
        <v>181</v>
      </c>
      <c r="G1486" s="9">
        <v>270</v>
      </c>
      <c r="H1486" s="9">
        <f t="shared" si="46"/>
        <v>1.35</v>
      </c>
      <c r="I1486" t="s">
        <v>179</v>
      </c>
      <c r="J1486" s="33" t="s">
        <v>492</v>
      </c>
      <c r="K1486" s="18">
        <f>VLOOKUP(D1486,Ingredients!C:G,5,0)</f>
        <v>310</v>
      </c>
      <c r="L1486" s="52">
        <f t="shared" si="47"/>
        <v>1.55</v>
      </c>
    </row>
    <row r="1487" spans="1:12">
      <c r="A1487" t="s">
        <v>404</v>
      </c>
      <c r="B1487" t="s">
        <v>349</v>
      </c>
      <c r="C1487" t="s">
        <v>352</v>
      </c>
      <c r="D1487" s="3" t="s">
        <v>835</v>
      </c>
      <c r="E1487" s="11">
        <v>1.2500000000000001E-2</v>
      </c>
      <c r="F1487" s="7" t="s">
        <v>181</v>
      </c>
      <c r="G1487" s="9">
        <v>389.34</v>
      </c>
      <c r="H1487" s="9">
        <f t="shared" si="46"/>
        <v>4.8667499999999997</v>
      </c>
      <c r="I1487" t="s">
        <v>179</v>
      </c>
      <c r="J1487" s="33" t="s">
        <v>492</v>
      </c>
      <c r="K1487" s="18">
        <f>VLOOKUP(D1487,Ingredients!C:G,5,0)</f>
        <v>394.63</v>
      </c>
      <c r="L1487" s="52">
        <f t="shared" si="47"/>
        <v>4.9328750000000001</v>
      </c>
    </row>
    <row r="1488" spans="1:12">
      <c r="A1488" t="s">
        <v>404</v>
      </c>
      <c r="B1488" t="s">
        <v>349</v>
      </c>
      <c r="C1488" t="s">
        <v>352</v>
      </c>
      <c r="D1488" s="3" t="s">
        <v>189</v>
      </c>
      <c r="E1488" s="11">
        <v>0.5</v>
      </c>
      <c r="F1488" s="7" t="s">
        <v>190</v>
      </c>
      <c r="G1488" s="9">
        <v>0</v>
      </c>
      <c r="H1488" s="9">
        <f t="shared" si="46"/>
        <v>0</v>
      </c>
      <c r="I1488" t="s">
        <v>179</v>
      </c>
      <c r="J1488" s="33" t="s">
        <v>492</v>
      </c>
      <c r="K1488" s="18">
        <v>550</v>
      </c>
      <c r="L1488" s="52">
        <f t="shared" si="47"/>
        <v>275</v>
      </c>
    </row>
    <row r="1489" spans="1:12">
      <c r="A1489" t="s">
        <v>404</v>
      </c>
      <c r="B1489" t="s">
        <v>349</v>
      </c>
      <c r="C1489" t="s">
        <v>352</v>
      </c>
      <c r="D1489" s="3" t="s">
        <v>872</v>
      </c>
      <c r="E1489" s="11">
        <v>1.2500000000000001E-2</v>
      </c>
      <c r="F1489" s="7" t="s">
        <v>179</v>
      </c>
      <c r="G1489" s="9">
        <v>2100</v>
      </c>
      <c r="H1489" s="9">
        <f t="shared" si="46"/>
        <v>26.25</v>
      </c>
      <c r="I1489" t="s">
        <v>179</v>
      </c>
      <c r="J1489" s="33" t="s">
        <v>492</v>
      </c>
      <c r="K1489" s="18">
        <f>VLOOKUP(D1489,Ingredients!C:G,5,0)</f>
        <v>2150</v>
      </c>
      <c r="L1489" s="52">
        <f t="shared" si="47"/>
        <v>26.875</v>
      </c>
    </row>
    <row r="1490" spans="1:12">
      <c r="A1490" t="s">
        <v>404</v>
      </c>
      <c r="B1490" t="s">
        <v>349</v>
      </c>
      <c r="C1490" t="s">
        <v>352</v>
      </c>
      <c r="D1490" s="3" t="s">
        <v>856</v>
      </c>
      <c r="E1490" s="11">
        <v>1.2500000000000001E-2</v>
      </c>
      <c r="F1490" s="7" t="s">
        <v>179</v>
      </c>
      <c r="G1490" s="9">
        <v>850</v>
      </c>
      <c r="H1490" s="9">
        <f t="shared" si="46"/>
        <v>10.625</v>
      </c>
      <c r="I1490" t="s">
        <v>179</v>
      </c>
      <c r="J1490" s="33" t="s">
        <v>492</v>
      </c>
      <c r="K1490" s="18">
        <f>VLOOKUP(D1490,Ingredients!C:G,5,0)</f>
        <v>980</v>
      </c>
      <c r="L1490" s="52">
        <f t="shared" si="47"/>
        <v>12.25</v>
      </c>
    </row>
    <row r="1491" spans="1:12">
      <c r="A1491" t="s">
        <v>404</v>
      </c>
      <c r="B1491" t="s">
        <v>349</v>
      </c>
      <c r="C1491" t="s">
        <v>352</v>
      </c>
      <c r="D1491" s="3" t="s">
        <v>853</v>
      </c>
      <c r="E1491" s="11">
        <v>7.4999999999999997E-3</v>
      </c>
      <c r="F1491" s="7" t="s">
        <v>179</v>
      </c>
      <c r="G1491" s="9">
        <v>30</v>
      </c>
      <c r="H1491" s="9">
        <f t="shared" si="46"/>
        <v>0.22499999999999998</v>
      </c>
      <c r="I1491" t="s">
        <v>179</v>
      </c>
      <c r="J1491" s="33" t="s">
        <v>492</v>
      </c>
      <c r="K1491" s="18">
        <f>VLOOKUP(D1491,Ingredients!C:G,5,0)</f>
        <v>55</v>
      </c>
      <c r="L1491" s="52">
        <f t="shared" si="47"/>
        <v>0.41249999999999998</v>
      </c>
    </row>
    <row r="1492" spans="1:12">
      <c r="A1492" t="s">
        <v>404</v>
      </c>
      <c r="B1492" t="s">
        <v>349</v>
      </c>
      <c r="C1492" t="s">
        <v>352</v>
      </c>
      <c r="D1492" s="3" t="s">
        <v>879</v>
      </c>
      <c r="E1492" s="11">
        <v>1.2500000000000001E-2</v>
      </c>
      <c r="F1492" s="7" t="s">
        <v>181</v>
      </c>
      <c r="G1492" s="9">
        <v>1113.51</v>
      </c>
      <c r="H1492" s="9">
        <f t="shared" si="46"/>
        <v>13.918875</v>
      </c>
      <c r="I1492" t="s">
        <v>179</v>
      </c>
      <c r="J1492" s="33" t="s">
        <v>492</v>
      </c>
      <c r="K1492" s="18">
        <f>VLOOKUP(D1492,Ingredients!C:G,5,0)</f>
        <v>1066.33</v>
      </c>
      <c r="L1492" s="52">
        <f t="shared" si="47"/>
        <v>13.329124999999999</v>
      </c>
    </row>
    <row r="1493" spans="1:12">
      <c r="A1493" t="s">
        <v>404</v>
      </c>
      <c r="B1493" t="s">
        <v>349</v>
      </c>
      <c r="C1493" t="s">
        <v>352</v>
      </c>
      <c r="D1493" s="3" t="s">
        <v>24</v>
      </c>
      <c r="E1493" s="11">
        <v>2.5000000000000001E-2</v>
      </c>
      <c r="F1493" s="7" t="s">
        <v>181</v>
      </c>
      <c r="G1493" s="9">
        <v>55</v>
      </c>
      <c r="H1493" s="9">
        <f t="shared" si="46"/>
        <v>1.375</v>
      </c>
      <c r="I1493" t="s">
        <v>179</v>
      </c>
      <c r="J1493" s="33" t="s">
        <v>492</v>
      </c>
      <c r="K1493" s="18">
        <f>VLOOKUP(D1493,Ingredients!C:G,5,0)</f>
        <v>80</v>
      </c>
      <c r="L1493" s="52">
        <f t="shared" si="47"/>
        <v>2</v>
      </c>
    </row>
    <row r="1494" spans="1:12">
      <c r="A1494" t="s">
        <v>404</v>
      </c>
      <c r="B1494" t="s">
        <v>349</v>
      </c>
      <c r="C1494" t="s">
        <v>352</v>
      </c>
      <c r="D1494" s="3" t="s">
        <v>95</v>
      </c>
      <c r="E1494" s="11">
        <v>2.5000000000000001E-2</v>
      </c>
      <c r="F1494" s="7" t="s">
        <v>181</v>
      </c>
      <c r="G1494" s="9">
        <v>140</v>
      </c>
      <c r="H1494" s="9">
        <f t="shared" si="46"/>
        <v>3.5</v>
      </c>
      <c r="I1494" t="s">
        <v>179</v>
      </c>
      <c r="J1494" s="33" t="s">
        <v>492</v>
      </c>
      <c r="K1494" s="18">
        <f>VLOOKUP(D1494,Ingredients!C:G,5,0)</f>
        <v>90</v>
      </c>
      <c r="L1494" s="52">
        <f t="shared" si="47"/>
        <v>2.25</v>
      </c>
    </row>
    <row r="1495" spans="1:12">
      <c r="A1495" t="s">
        <v>406</v>
      </c>
      <c r="B1495" t="s">
        <v>355</v>
      </c>
      <c r="C1495" t="s">
        <v>406</v>
      </c>
      <c r="D1495" s="3" t="s">
        <v>903</v>
      </c>
      <c r="E1495" s="14">
        <v>0.05</v>
      </c>
      <c r="F1495" s="4" t="s">
        <v>176</v>
      </c>
      <c r="G1495" s="9">
        <v>153.97999999999999</v>
      </c>
      <c r="H1495" s="9">
        <f t="shared" si="46"/>
        <v>7.6989999999999998</v>
      </c>
      <c r="I1495" t="s">
        <v>250</v>
      </c>
      <c r="J1495" s="33">
        <v>0</v>
      </c>
      <c r="K1495" s="18">
        <f>VLOOKUP(D1495,Ingredients!C:G,5,0)</f>
        <v>152</v>
      </c>
      <c r="L1495" s="52">
        <f t="shared" si="47"/>
        <v>7.6000000000000005</v>
      </c>
    </row>
    <row r="1496" spans="1:12">
      <c r="A1496" t="s">
        <v>406</v>
      </c>
      <c r="B1496" t="s">
        <v>355</v>
      </c>
      <c r="C1496" t="s">
        <v>406</v>
      </c>
      <c r="D1496" s="3" t="s">
        <v>852</v>
      </c>
      <c r="E1496" s="14">
        <v>6.0000000000000001E-3</v>
      </c>
      <c r="F1496" s="4" t="s">
        <v>176</v>
      </c>
      <c r="G1496" s="9">
        <v>520.63</v>
      </c>
      <c r="H1496" s="9">
        <f t="shared" si="46"/>
        <v>3.12378</v>
      </c>
      <c r="I1496" t="s">
        <v>250</v>
      </c>
      <c r="J1496" s="33">
        <v>0</v>
      </c>
      <c r="K1496" s="18">
        <v>550</v>
      </c>
      <c r="L1496" s="52">
        <f t="shared" si="47"/>
        <v>3.3000000000000003</v>
      </c>
    </row>
    <row r="1497" spans="1:12">
      <c r="A1497" t="s">
        <v>406</v>
      </c>
      <c r="B1497" t="s">
        <v>355</v>
      </c>
      <c r="C1497" t="s">
        <v>406</v>
      </c>
      <c r="D1497" s="3" t="s">
        <v>852</v>
      </c>
      <c r="E1497" s="14">
        <v>1.4999999999999999E-2</v>
      </c>
      <c r="F1497" s="4" t="s">
        <v>176</v>
      </c>
      <c r="G1497" s="9">
        <v>520.63</v>
      </c>
      <c r="H1497" s="9">
        <f t="shared" si="46"/>
        <v>7.80945</v>
      </c>
      <c r="I1497" t="s">
        <v>250</v>
      </c>
      <c r="J1497" s="33">
        <v>0</v>
      </c>
      <c r="K1497" s="18">
        <v>550</v>
      </c>
      <c r="L1497" s="52">
        <f t="shared" si="47"/>
        <v>8.25</v>
      </c>
    </row>
    <row r="1498" spans="1:12">
      <c r="A1498" t="s">
        <v>406</v>
      </c>
      <c r="B1498" t="s">
        <v>355</v>
      </c>
      <c r="C1498" t="s">
        <v>406</v>
      </c>
      <c r="D1498" s="3" t="s">
        <v>853</v>
      </c>
      <c r="E1498" s="14">
        <v>4.0000000000000002E-4</v>
      </c>
      <c r="F1498" s="4" t="s">
        <v>176</v>
      </c>
      <c r="G1498" s="9">
        <v>30</v>
      </c>
      <c r="H1498" s="9">
        <f t="shared" si="46"/>
        <v>1.2E-2</v>
      </c>
      <c r="I1498" t="s">
        <v>250</v>
      </c>
      <c r="J1498" s="33">
        <v>0</v>
      </c>
      <c r="K1498" s="18">
        <f>VLOOKUP(D1498,Ingredients!C:G,5,0)</f>
        <v>55</v>
      </c>
      <c r="L1498" s="52">
        <f t="shared" si="47"/>
        <v>2.2000000000000002E-2</v>
      </c>
    </row>
    <row r="1499" spans="1:12">
      <c r="A1499" t="s">
        <v>407</v>
      </c>
      <c r="B1499" t="s">
        <v>355</v>
      </c>
      <c r="C1499" t="s">
        <v>407</v>
      </c>
      <c r="D1499" s="3" t="s">
        <v>866</v>
      </c>
      <c r="E1499" s="14">
        <v>2.4E-2</v>
      </c>
      <c r="F1499" s="4" t="s">
        <v>176</v>
      </c>
      <c r="G1499" s="9">
        <v>153.97999999999999</v>
      </c>
      <c r="H1499" s="9">
        <f t="shared" si="46"/>
        <v>3.6955199999999997</v>
      </c>
      <c r="I1499" t="s">
        <v>250</v>
      </c>
      <c r="J1499" s="33">
        <v>0</v>
      </c>
      <c r="K1499" s="18">
        <f>VLOOKUP(D1499,Ingredients!C:G,5,0)</f>
        <v>142.13999999999999</v>
      </c>
      <c r="L1499" s="52">
        <f t="shared" si="47"/>
        <v>3.4113599999999997</v>
      </c>
    </row>
    <row r="1500" spans="1:12">
      <c r="A1500" t="s">
        <v>407</v>
      </c>
      <c r="B1500" t="s">
        <v>355</v>
      </c>
      <c r="C1500" t="s">
        <v>407</v>
      </c>
      <c r="D1500" s="3" t="s">
        <v>852</v>
      </c>
      <c r="E1500" s="14">
        <v>1.6E-2</v>
      </c>
      <c r="F1500" s="4" t="s">
        <v>176</v>
      </c>
      <c r="G1500" s="9">
        <v>520.63</v>
      </c>
      <c r="H1500" s="9">
        <f t="shared" si="46"/>
        <v>8.3300800000000006</v>
      </c>
      <c r="I1500" t="s">
        <v>250</v>
      </c>
      <c r="J1500" s="33">
        <v>0</v>
      </c>
      <c r="K1500" s="18">
        <v>550</v>
      </c>
      <c r="L1500" s="52">
        <f t="shared" si="47"/>
        <v>8.8000000000000007</v>
      </c>
    </row>
    <row r="1501" spans="1:12">
      <c r="A1501" t="s">
        <v>407</v>
      </c>
      <c r="B1501" t="s">
        <v>355</v>
      </c>
      <c r="C1501" t="s">
        <v>407</v>
      </c>
      <c r="D1501" s="3" t="s">
        <v>852</v>
      </c>
      <c r="E1501" s="14">
        <v>2E-3</v>
      </c>
      <c r="F1501" s="4" t="s">
        <v>176</v>
      </c>
      <c r="G1501" s="9">
        <v>520.63</v>
      </c>
      <c r="H1501" s="9">
        <f t="shared" si="46"/>
        <v>1.0412600000000001</v>
      </c>
      <c r="I1501" t="s">
        <v>250</v>
      </c>
      <c r="J1501" s="33">
        <v>0</v>
      </c>
      <c r="K1501" s="18">
        <v>550</v>
      </c>
      <c r="L1501" s="52">
        <f t="shared" si="47"/>
        <v>1.1000000000000001</v>
      </c>
    </row>
    <row r="1502" spans="1:12">
      <c r="A1502" t="s">
        <v>407</v>
      </c>
      <c r="B1502" t="s">
        <v>355</v>
      </c>
      <c r="C1502" t="s">
        <v>407</v>
      </c>
      <c r="D1502" s="3" t="s">
        <v>935</v>
      </c>
      <c r="E1502" s="14">
        <v>1E-3</v>
      </c>
      <c r="F1502" s="4" t="s">
        <v>176</v>
      </c>
      <c r="G1502" s="9">
        <v>230</v>
      </c>
      <c r="H1502" s="9">
        <f t="shared" si="46"/>
        <v>0.23</v>
      </c>
      <c r="I1502" t="s">
        <v>250</v>
      </c>
      <c r="J1502" s="33">
        <v>0</v>
      </c>
      <c r="K1502" s="18">
        <f>VLOOKUP(D1502,Ingredients!C:G,5,0)</f>
        <v>210</v>
      </c>
      <c r="L1502" s="52">
        <f t="shared" si="47"/>
        <v>0.21</v>
      </c>
    </row>
    <row r="1503" spans="1:12">
      <c r="A1503" t="s">
        <v>407</v>
      </c>
      <c r="B1503" t="s">
        <v>355</v>
      </c>
      <c r="C1503" t="s">
        <v>407</v>
      </c>
      <c r="D1503" s="3" t="s">
        <v>849</v>
      </c>
      <c r="E1503" s="14">
        <v>1E-4</v>
      </c>
      <c r="F1503" s="4" t="s">
        <v>176</v>
      </c>
      <c r="G1503" s="9">
        <v>1000</v>
      </c>
      <c r="H1503" s="9">
        <f t="shared" si="46"/>
        <v>0.1</v>
      </c>
      <c r="I1503" t="s">
        <v>250</v>
      </c>
      <c r="J1503" s="33">
        <v>0</v>
      </c>
      <c r="K1503" s="18">
        <f>VLOOKUP(D1503,Ingredients!C:G,5,0)</f>
        <v>950</v>
      </c>
      <c r="L1503" s="52">
        <f t="shared" si="47"/>
        <v>9.5000000000000001E-2</v>
      </c>
    </row>
    <row r="1504" spans="1:12">
      <c r="A1504" t="s">
        <v>407</v>
      </c>
      <c r="B1504" t="s">
        <v>355</v>
      </c>
      <c r="C1504" t="s">
        <v>407</v>
      </c>
      <c r="D1504" s="3" t="s">
        <v>887</v>
      </c>
      <c r="E1504" s="14">
        <v>1E-4</v>
      </c>
      <c r="F1504" s="4" t="s">
        <v>176</v>
      </c>
      <c r="G1504" s="9">
        <v>1600</v>
      </c>
      <c r="H1504" s="9">
        <f t="shared" si="46"/>
        <v>0.16</v>
      </c>
      <c r="I1504" t="s">
        <v>250</v>
      </c>
      <c r="J1504" s="33">
        <v>0</v>
      </c>
      <c r="K1504" s="18">
        <f>VLOOKUP(D1504,Ingredients!C:G,5,0)</f>
        <v>1830</v>
      </c>
      <c r="L1504" s="52">
        <f t="shared" si="47"/>
        <v>0.183</v>
      </c>
    </row>
    <row r="1505" spans="1:12">
      <c r="A1505" t="s">
        <v>407</v>
      </c>
      <c r="B1505" t="s">
        <v>355</v>
      </c>
      <c r="C1505" t="s">
        <v>407</v>
      </c>
      <c r="D1505" s="3" t="s">
        <v>853</v>
      </c>
      <c r="E1505" s="14">
        <v>4.0000000000000002E-4</v>
      </c>
      <c r="F1505" s="4" t="s">
        <v>176</v>
      </c>
      <c r="G1505" s="9">
        <v>30</v>
      </c>
      <c r="H1505" s="9">
        <f t="shared" si="46"/>
        <v>1.2E-2</v>
      </c>
      <c r="I1505" t="s">
        <v>250</v>
      </c>
      <c r="J1505" s="33">
        <v>0</v>
      </c>
      <c r="K1505" s="18">
        <f>VLOOKUP(D1505,Ingredients!C:G,5,0)</f>
        <v>55</v>
      </c>
      <c r="L1505" s="52">
        <f t="shared" si="47"/>
        <v>2.2000000000000002E-2</v>
      </c>
    </row>
    <row r="1506" spans="1:12">
      <c r="A1506" t="s">
        <v>407</v>
      </c>
      <c r="B1506" t="s">
        <v>355</v>
      </c>
      <c r="C1506" t="s">
        <v>407</v>
      </c>
      <c r="D1506" s="3" t="s">
        <v>55</v>
      </c>
      <c r="E1506" s="14">
        <v>1E-4</v>
      </c>
      <c r="F1506" s="4" t="s">
        <v>176</v>
      </c>
      <c r="G1506" s="9">
        <v>350</v>
      </c>
      <c r="H1506" s="9">
        <f t="shared" si="46"/>
        <v>3.5000000000000003E-2</v>
      </c>
      <c r="I1506" t="s">
        <v>250</v>
      </c>
      <c r="J1506" s="33">
        <v>0</v>
      </c>
      <c r="K1506" s="18">
        <f>VLOOKUP(D1506,Ingredients!C:G,5,0)</f>
        <v>457.875</v>
      </c>
      <c r="L1506" s="52">
        <f t="shared" si="47"/>
        <v>4.5787500000000002E-2</v>
      </c>
    </row>
    <row r="1507" spans="1:12">
      <c r="A1507" t="s">
        <v>532</v>
      </c>
      <c r="B1507" t="s">
        <v>346</v>
      </c>
      <c r="C1507" t="s">
        <v>993</v>
      </c>
      <c r="D1507" s="3" t="s">
        <v>935</v>
      </c>
      <c r="E1507" s="14">
        <v>1</v>
      </c>
      <c r="F1507" s="4" t="s">
        <v>176</v>
      </c>
      <c r="G1507" s="9">
        <v>230</v>
      </c>
      <c r="H1507" s="9">
        <f t="shared" si="46"/>
        <v>230</v>
      </c>
      <c r="I1507" t="s">
        <v>179</v>
      </c>
      <c r="J1507" s="33">
        <v>0</v>
      </c>
      <c r="K1507" s="18">
        <f>VLOOKUP(D1507,Ingredients!C:G,5,0)</f>
        <v>210</v>
      </c>
      <c r="L1507" s="52">
        <f t="shared" si="47"/>
        <v>210</v>
      </c>
    </row>
    <row r="1508" spans="1:12">
      <c r="A1508" t="s">
        <v>532</v>
      </c>
      <c r="B1508" t="s">
        <v>346</v>
      </c>
      <c r="C1508" t="s">
        <v>993</v>
      </c>
      <c r="D1508" s="3" t="s">
        <v>852</v>
      </c>
      <c r="E1508" s="14">
        <v>0.16666666666666666</v>
      </c>
      <c r="F1508" s="4" t="s">
        <v>176</v>
      </c>
      <c r="G1508" s="9">
        <v>520.63</v>
      </c>
      <c r="H1508" s="9">
        <f t="shared" si="46"/>
        <v>86.771666666666661</v>
      </c>
      <c r="I1508" t="s">
        <v>179</v>
      </c>
      <c r="J1508" s="33">
        <v>0</v>
      </c>
      <c r="K1508" s="18">
        <v>550</v>
      </c>
      <c r="L1508" s="52">
        <f t="shared" si="47"/>
        <v>91.666666666666657</v>
      </c>
    </row>
    <row r="1509" spans="1:12">
      <c r="A1509" t="s">
        <v>532</v>
      </c>
      <c r="B1509" t="s">
        <v>346</v>
      </c>
      <c r="C1509" t="s">
        <v>993</v>
      </c>
      <c r="D1509" s="3" t="s">
        <v>24</v>
      </c>
      <c r="E1509" s="14">
        <v>0.16666666666666666</v>
      </c>
      <c r="F1509" s="4" t="s">
        <v>176</v>
      </c>
      <c r="G1509" s="9">
        <v>55</v>
      </c>
      <c r="H1509" s="9">
        <f t="shared" si="46"/>
        <v>9.1666666666666661</v>
      </c>
      <c r="I1509" t="s">
        <v>179</v>
      </c>
      <c r="J1509" s="33">
        <v>0</v>
      </c>
      <c r="K1509" s="18">
        <f>VLOOKUP(D1509,Ingredients!C:G,5,0)</f>
        <v>80</v>
      </c>
      <c r="L1509" s="52">
        <f t="shared" si="47"/>
        <v>13.333333333333332</v>
      </c>
    </row>
    <row r="1510" spans="1:12">
      <c r="A1510" t="s">
        <v>532</v>
      </c>
      <c r="B1510" t="s">
        <v>346</v>
      </c>
      <c r="C1510" t="s">
        <v>993</v>
      </c>
      <c r="D1510" s="3" t="s">
        <v>28</v>
      </c>
      <c r="E1510" s="14">
        <v>0.5</v>
      </c>
      <c r="F1510" s="4" t="s">
        <v>176</v>
      </c>
      <c r="G1510" s="9">
        <v>85</v>
      </c>
      <c r="H1510" s="9">
        <f t="shared" si="46"/>
        <v>42.5</v>
      </c>
      <c r="I1510" t="s">
        <v>179</v>
      </c>
      <c r="J1510" s="33">
        <v>0</v>
      </c>
      <c r="K1510" s="18">
        <f>VLOOKUP(D1510,Ingredients!C:G,5,0)</f>
        <v>70</v>
      </c>
      <c r="L1510" s="52">
        <f t="shared" si="47"/>
        <v>35</v>
      </c>
    </row>
    <row r="1511" spans="1:12">
      <c r="A1511" t="s">
        <v>532</v>
      </c>
      <c r="B1511" t="s">
        <v>346</v>
      </c>
      <c r="C1511" t="s">
        <v>993</v>
      </c>
      <c r="D1511" s="3" t="s">
        <v>23</v>
      </c>
      <c r="E1511" s="14">
        <v>3.3333333333333333E-2</v>
      </c>
      <c r="F1511" s="4" t="s">
        <v>179</v>
      </c>
      <c r="G1511" s="9">
        <v>740</v>
      </c>
      <c r="H1511" s="9">
        <f t="shared" si="46"/>
        <v>24.666666666666668</v>
      </c>
      <c r="I1511" t="s">
        <v>179</v>
      </c>
      <c r="J1511" s="33">
        <v>0</v>
      </c>
      <c r="K1511" s="18">
        <f>VLOOKUP(D1511,Ingredients!C:G,5,0)</f>
        <v>780</v>
      </c>
      <c r="L1511" s="52">
        <f t="shared" si="47"/>
        <v>26</v>
      </c>
    </row>
    <row r="1512" spans="1:12">
      <c r="A1512" t="s">
        <v>532</v>
      </c>
      <c r="B1512" t="s">
        <v>346</v>
      </c>
      <c r="C1512" t="s">
        <v>993</v>
      </c>
      <c r="D1512" s="3" t="s">
        <v>867</v>
      </c>
      <c r="E1512" s="14">
        <v>6.6666666666666671E-3</v>
      </c>
      <c r="F1512" s="4" t="s">
        <v>179</v>
      </c>
      <c r="G1512" s="9">
        <v>900</v>
      </c>
      <c r="H1512" s="9">
        <f t="shared" si="46"/>
        <v>6</v>
      </c>
      <c r="I1512" t="s">
        <v>179</v>
      </c>
      <c r="J1512" s="33">
        <v>0</v>
      </c>
      <c r="K1512" s="18">
        <f>VLOOKUP(D1512,Ingredients!C:G,5,0)</f>
        <v>950</v>
      </c>
      <c r="L1512" s="52">
        <f t="shared" si="47"/>
        <v>6.3333333333333339</v>
      </c>
    </row>
    <row r="1513" spans="1:12">
      <c r="A1513" t="s">
        <v>532</v>
      </c>
      <c r="B1513" t="s">
        <v>346</v>
      </c>
      <c r="C1513" t="s">
        <v>993</v>
      </c>
      <c r="D1513" s="3" t="s">
        <v>853</v>
      </c>
      <c r="E1513" s="14">
        <v>6.6666666666666671E-3</v>
      </c>
      <c r="F1513" s="4" t="s">
        <v>179</v>
      </c>
      <c r="G1513" s="9">
        <v>30</v>
      </c>
      <c r="H1513" s="9">
        <f t="shared" si="46"/>
        <v>0.2</v>
      </c>
      <c r="I1513" t="s">
        <v>179</v>
      </c>
      <c r="J1513" s="33">
        <v>0</v>
      </c>
      <c r="K1513" s="18">
        <f>VLOOKUP(D1513,Ingredients!C:G,5,0)</f>
        <v>55</v>
      </c>
      <c r="L1513" s="52">
        <f t="shared" si="47"/>
        <v>0.3666666666666667</v>
      </c>
    </row>
    <row r="1514" spans="1:12">
      <c r="A1514" t="s">
        <v>532</v>
      </c>
      <c r="B1514" t="s">
        <v>346</v>
      </c>
      <c r="C1514" t="s">
        <v>993</v>
      </c>
      <c r="D1514" s="3" t="s">
        <v>880</v>
      </c>
      <c r="E1514" s="14">
        <v>6.6666666666666671E-3</v>
      </c>
      <c r="F1514" s="4" t="s">
        <v>179</v>
      </c>
      <c r="G1514" s="9">
        <v>650</v>
      </c>
      <c r="H1514" s="9">
        <f t="shared" si="46"/>
        <v>4.3333333333333339</v>
      </c>
      <c r="I1514" t="s">
        <v>179</v>
      </c>
      <c r="J1514" s="33">
        <v>0</v>
      </c>
      <c r="K1514" s="18">
        <f>VLOOKUP(D1514,Ingredients!C:G,5,0)</f>
        <v>520</v>
      </c>
      <c r="L1514" s="52">
        <f t="shared" si="47"/>
        <v>3.4666666666666668</v>
      </c>
    </row>
    <row r="1515" spans="1:12">
      <c r="A1515" t="s">
        <v>532</v>
      </c>
      <c r="B1515" t="s">
        <v>346</v>
      </c>
      <c r="C1515" t="s">
        <v>993</v>
      </c>
      <c r="D1515" s="3" t="s">
        <v>855</v>
      </c>
      <c r="E1515" s="14">
        <v>6.6666666666666671E-3</v>
      </c>
      <c r="F1515" s="4" t="s">
        <v>179</v>
      </c>
      <c r="G1515" s="9">
        <v>2400</v>
      </c>
      <c r="H1515" s="9">
        <f t="shared" si="46"/>
        <v>16</v>
      </c>
      <c r="I1515" t="s">
        <v>179</v>
      </c>
      <c r="J1515" s="33">
        <v>0</v>
      </c>
      <c r="K1515" s="18">
        <f>VLOOKUP(D1515,Ingredients!C:G,5,0)</f>
        <v>1600</v>
      </c>
      <c r="L1515" s="52">
        <f t="shared" si="47"/>
        <v>10.666666666666668</v>
      </c>
    </row>
    <row r="1516" spans="1:12">
      <c r="A1516" t="s">
        <v>532</v>
      </c>
      <c r="B1516" t="s">
        <v>346</v>
      </c>
      <c r="C1516" t="s">
        <v>993</v>
      </c>
      <c r="D1516" s="3" t="s">
        <v>887</v>
      </c>
      <c r="E1516" s="14">
        <v>6.6666666666666671E-3</v>
      </c>
      <c r="F1516" s="4" t="s">
        <v>179</v>
      </c>
      <c r="G1516" s="9">
        <v>1600</v>
      </c>
      <c r="H1516" s="9">
        <f t="shared" si="46"/>
        <v>10.666666666666668</v>
      </c>
      <c r="I1516" t="s">
        <v>179</v>
      </c>
      <c r="J1516" s="33">
        <v>0</v>
      </c>
      <c r="K1516" s="18">
        <f>VLOOKUP(D1516,Ingredients!C:G,5,0)</f>
        <v>1830</v>
      </c>
      <c r="L1516" s="52">
        <f t="shared" si="47"/>
        <v>12.200000000000001</v>
      </c>
    </row>
    <row r="1517" spans="1:12">
      <c r="A1517" t="s">
        <v>532</v>
      </c>
      <c r="B1517" t="s">
        <v>346</v>
      </c>
      <c r="C1517" t="s">
        <v>993</v>
      </c>
      <c r="D1517" s="3" t="s">
        <v>895</v>
      </c>
      <c r="E1517" s="14">
        <v>6.6666666666666671E-3</v>
      </c>
      <c r="F1517" s="4" t="s">
        <v>179</v>
      </c>
      <c r="G1517" s="9">
        <v>400</v>
      </c>
      <c r="H1517" s="9">
        <f t="shared" si="46"/>
        <v>2.666666666666667</v>
      </c>
      <c r="I1517" t="s">
        <v>179</v>
      </c>
      <c r="J1517" s="33">
        <v>0</v>
      </c>
      <c r="K1517" s="18">
        <f>VLOOKUP(D1517,Ingredients!C:G,5,0)</f>
        <v>400</v>
      </c>
      <c r="L1517" s="52">
        <f t="shared" si="47"/>
        <v>2.666666666666667</v>
      </c>
    </row>
    <row r="1518" spans="1:12">
      <c r="A1518" t="s">
        <v>532</v>
      </c>
      <c r="B1518" t="s">
        <v>346</v>
      </c>
      <c r="C1518" t="s">
        <v>993</v>
      </c>
      <c r="D1518" s="3" t="s">
        <v>35</v>
      </c>
      <c r="E1518" s="14">
        <v>0.33333333333333331</v>
      </c>
      <c r="F1518" s="4" t="s">
        <v>408</v>
      </c>
      <c r="G1518" s="9">
        <v>13</v>
      </c>
      <c r="H1518" s="9">
        <f t="shared" si="46"/>
        <v>4.333333333333333</v>
      </c>
      <c r="I1518" t="s">
        <v>179</v>
      </c>
      <c r="J1518" s="33">
        <v>0</v>
      </c>
      <c r="K1518" s="18">
        <f>VLOOKUP(D1518,Ingredients!C:G,5,0)</f>
        <v>15</v>
      </c>
      <c r="L1518" s="52">
        <f t="shared" si="47"/>
        <v>5</v>
      </c>
    </row>
    <row r="1519" spans="1:12">
      <c r="A1519" t="s">
        <v>532</v>
      </c>
      <c r="B1519" t="s">
        <v>346</v>
      </c>
      <c r="C1519" t="s">
        <v>993</v>
      </c>
      <c r="D1519" s="3" t="s">
        <v>29</v>
      </c>
      <c r="E1519" s="14">
        <v>4.1666666666666664E-2</v>
      </c>
      <c r="F1519" s="4" t="s">
        <v>179</v>
      </c>
      <c r="G1519" s="9">
        <v>60</v>
      </c>
      <c r="H1519" s="9">
        <f t="shared" si="46"/>
        <v>2.5</v>
      </c>
      <c r="I1519" t="s">
        <v>179</v>
      </c>
      <c r="J1519" s="33">
        <v>0</v>
      </c>
      <c r="K1519" s="18">
        <f>VLOOKUP(D1519,Ingredients!C:G,5,0)</f>
        <v>100</v>
      </c>
      <c r="L1519" s="52">
        <f t="shared" si="47"/>
        <v>4.1666666666666661</v>
      </c>
    </row>
    <row r="1520" spans="1:12">
      <c r="A1520" t="s">
        <v>409</v>
      </c>
      <c r="B1520" t="s">
        <v>346</v>
      </c>
      <c r="C1520" t="s">
        <v>993</v>
      </c>
      <c r="D1520" s="3" t="s">
        <v>946</v>
      </c>
      <c r="E1520" s="14">
        <v>1</v>
      </c>
      <c r="F1520" s="4" t="s">
        <v>176</v>
      </c>
      <c r="G1520" s="9">
        <v>525</v>
      </c>
      <c r="H1520" s="9">
        <f t="shared" si="46"/>
        <v>525</v>
      </c>
      <c r="I1520" t="s">
        <v>179</v>
      </c>
      <c r="J1520" s="33">
        <v>0</v>
      </c>
      <c r="K1520" s="18">
        <f>VLOOKUP(D1520,Ingredients!C:G,5,0)</f>
        <v>430</v>
      </c>
      <c r="L1520" s="52">
        <f t="shared" si="47"/>
        <v>430</v>
      </c>
    </row>
    <row r="1521" spans="1:12">
      <c r="A1521" t="s">
        <v>409</v>
      </c>
      <c r="B1521" t="s">
        <v>346</v>
      </c>
      <c r="C1521" t="s">
        <v>993</v>
      </c>
      <c r="D1521" s="3" t="s">
        <v>852</v>
      </c>
      <c r="E1521" s="14">
        <v>0.16666666666666666</v>
      </c>
      <c r="F1521" s="4" t="s">
        <v>176</v>
      </c>
      <c r="G1521" s="9">
        <v>520.63</v>
      </c>
      <c r="H1521" s="9">
        <f t="shared" si="46"/>
        <v>86.771666666666661</v>
      </c>
      <c r="I1521" t="s">
        <v>179</v>
      </c>
      <c r="J1521" s="33">
        <v>0</v>
      </c>
      <c r="K1521" s="18">
        <v>550</v>
      </c>
      <c r="L1521" s="52">
        <f t="shared" si="47"/>
        <v>91.666666666666657</v>
      </c>
    </row>
    <row r="1522" spans="1:12">
      <c r="A1522" t="s">
        <v>409</v>
      </c>
      <c r="B1522" t="s">
        <v>346</v>
      </c>
      <c r="C1522" t="s">
        <v>993</v>
      </c>
      <c r="D1522" s="3" t="s">
        <v>24</v>
      </c>
      <c r="E1522" s="14">
        <v>0.16666666666666666</v>
      </c>
      <c r="F1522" s="4" t="s">
        <v>176</v>
      </c>
      <c r="G1522" s="9">
        <v>55</v>
      </c>
      <c r="H1522" s="9">
        <f t="shared" si="46"/>
        <v>9.1666666666666661</v>
      </c>
      <c r="I1522" t="s">
        <v>179</v>
      </c>
      <c r="J1522" s="33">
        <v>0</v>
      </c>
      <c r="K1522" s="18">
        <f>VLOOKUP(D1522,Ingredients!C:G,5,0)</f>
        <v>80</v>
      </c>
      <c r="L1522" s="52">
        <f t="shared" si="47"/>
        <v>13.333333333333332</v>
      </c>
    </row>
    <row r="1523" spans="1:12">
      <c r="A1523" t="s">
        <v>409</v>
      </c>
      <c r="B1523" t="s">
        <v>346</v>
      </c>
      <c r="C1523" t="s">
        <v>993</v>
      </c>
      <c r="D1523" s="3" t="s">
        <v>28</v>
      </c>
      <c r="E1523" s="14">
        <v>1</v>
      </c>
      <c r="F1523" s="4" t="s">
        <v>176</v>
      </c>
      <c r="G1523" s="9">
        <v>85</v>
      </c>
      <c r="H1523" s="9">
        <f t="shared" si="46"/>
        <v>85</v>
      </c>
      <c r="I1523" t="s">
        <v>179</v>
      </c>
      <c r="J1523" s="33">
        <v>0</v>
      </c>
      <c r="K1523" s="18">
        <f>VLOOKUP(D1523,Ingredients!C:G,5,0)</f>
        <v>70</v>
      </c>
      <c r="L1523" s="52">
        <f t="shared" si="47"/>
        <v>70</v>
      </c>
    </row>
    <row r="1524" spans="1:12">
      <c r="A1524" t="s">
        <v>409</v>
      </c>
      <c r="B1524" t="s">
        <v>346</v>
      </c>
      <c r="C1524" t="s">
        <v>993</v>
      </c>
      <c r="D1524" s="3" t="s">
        <v>23</v>
      </c>
      <c r="E1524" s="14">
        <v>3.3333333333333333E-2</v>
      </c>
      <c r="F1524" s="4" t="s">
        <v>179</v>
      </c>
      <c r="G1524" s="9">
        <v>740</v>
      </c>
      <c r="H1524" s="9">
        <f t="shared" si="46"/>
        <v>24.666666666666668</v>
      </c>
      <c r="I1524" t="s">
        <v>179</v>
      </c>
      <c r="J1524" s="33">
        <v>0</v>
      </c>
      <c r="K1524" s="18">
        <f>VLOOKUP(D1524,Ingredients!C:G,5,0)</f>
        <v>780</v>
      </c>
      <c r="L1524" s="52">
        <f t="shared" si="47"/>
        <v>26</v>
      </c>
    </row>
    <row r="1525" spans="1:12">
      <c r="A1525" t="s">
        <v>409</v>
      </c>
      <c r="B1525" t="s">
        <v>346</v>
      </c>
      <c r="C1525" t="s">
        <v>993</v>
      </c>
      <c r="D1525" s="3" t="s">
        <v>867</v>
      </c>
      <c r="E1525" s="14">
        <v>6.6666666666666671E-3</v>
      </c>
      <c r="F1525" s="4" t="s">
        <v>179</v>
      </c>
      <c r="G1525" s="9">
        <v>900</v>
      </c>
      <c r="H1525" s="9">
        <f t="shared" si="46"/>
        <v>6</v>
      </c>
      <c r="I1525" t="s">
        <v>179</v>
      </c>
      <c r="J1525" s="33">
        <v>0</v>
      </c>
      <c r="K1525" s="18">
        <f>VLOOKUP(D1525,Ingredients!C:G,5,0)</f>
        <v>950</v>
      </c>
      <c r="L1525" s="52">
        <f t="shared" si="47"/>
        <v>6.3333333333333339</v>
      </c>
    </row>
    <row r="1526" spans="1:12">
      <c r="A1526" t="s">
        <v>409</v>
      </c>
      <c r="B1526" t="s">
        <v>346</v>
      </c>
      <c r="C1526" t="s">
        <v>993</v>
      </c>
      <c r="D1526" s="3" t="s">
        <v>853</v>
      </c>
      <c r="E1526" s="14">
        <v>6.6666666666666671E-3</v>
      </c>
      <c r="F1526" s="4" t="s">
        <v>179</v>
      </c>
      <c r="G1526" s="9">
        <v>30</v>
      </c>
      <c r="H1526" s="9">
        <f t="shared" si="46"/>
        <v>0.2</v>
      </c>
      <c r="I1526" t="s">
        <v>179</v>
      </c>
      <c r="J1526" s="33">
        <v>0</v>
      </c>
      <c r="K1526" s="18">
        <f>VLOOKUP(D1526,Ingredients!C:G,5,0)</f>
        <v>55</v>
      </c>
      <c r="L1526" s="52">
        <f t="shared" si="47"/>
        <v>0.3666666666666667</v>
      </c>
    </row>
    <row r="1527" spans="1:12">
      <c r="A1527" t="s">
        <v>409</v>
      </c>
      <c r="B1527" t="s">
        <v>346</v>
      </c>
      <c r="C1527" t="s">
        <v>993</v>
      </c>
      <c r="D1527" s="3" t="s">
        <v>880</v>
      </c>
      <c r="E1527" s="14">
        <v>6.6666666666666671E-3</v>
      </c>
      <c r="F1527" s="4" t="s">
        <v>179</v>
      </c>
      <c r="G1527" s="9">
        <v>650</v>
      </c>
      <c r="H1527" s="9">
        <f t="shared" si="46"/>
        <v>4.3333333333333339</v>
      </c>
      <c r="I1527" t="s">
        <v>179</v>
      </c>
      <c r="J1527" s="33">
        <v>0</v>
      </c>
      <c r="K1527" s="18">
        <f>VLOOKUP(D1527,Ingredients!C:G,5,0)</f>
        <v>520</v>
      </c>
      <c r="L1527" s="52">
        <f t="shared" si="47"/>
        <v>3.4666666666666668</v>
      </c>
    </row>
    <row r="1528" spans="1:12">
      <c r="A1528" t="s">
        <v>409</v>
      </c>
      <c r="B1528" t="s">
        <v>346</v>
      </c>
      <c r="C1528" t="s">
        <v>993</v>
      </c>
      <c r="D1528" s="3" t="s">
        <v>855</v>
      </c>
      <c r="E1528" s="14">
        <v>6.6666666666666671E-3</v>
      </c>
      <c r="F1528" s="4" t="s">
        <v>179</v>
      </c>
      <c r="G1528" s="9">
        <v>2400</v>
      </c>
      <c r="H1528" s="9">
        <f t="shared" si="46"/>
        <v>16</v>
      </c>
      <c r="I1528" t="s">
        <v>179</v>
      </c>
      <c r="J1528" s="33">
        <v>0</v>
      </c>
      <c r="K1528" s="18">
        <f>VLOOKUP(D1528,Ingredients!C:G,5,0)</f>
        <v>1600</v>
      </c>
      <c r="L1528" s="52">
        <f t="shared" si="47"/>
        <v>10.666666666666668</v>
      </c>
    </row>
    <row r="1529" spans="1:12">
      <c r="A1529" t="s">
        <v>409</v>
      </c>
      <c r="B1529" t="s">
        <v>346</v>
      </c>
      <c r="C1529" t="s">
        <v>993</v>
      </c>
      <c r="D1529" s="3" t="s">
        <v>887</v>
      </c>
      <c r="E1529" s="14">
        <v>6.6666666666666671E-3</v>
      </c>
      <c r="F1529" s="4" t="s">
        <v>179</v>
      </c>
      <c r="G1529" s="9">
        <v>1600</v>
      </c>
      <c r="H1529" s="9">
        <f t="shared" si="46"/>
        <v>10.666666666666668</v>
      </c>
      <c r="I1529" t="s">
        <v>179</v>
      </c>
      <c r="J1529" s="33">
        <v>0</v>
      </c>
      <c r="K1529" s="18">
        <f>VLOOKUP(D1529,Ingredients!C:G,5,0)</f>
        <v>1830</v>
      </c>
      <c r="L1529" s="52">
        <f t="shared" si="47"/>
        <v>12.200000000000001</v>
      </c>
    </row>
    <row r="1530" spans="1:12">
      <c r="A1530" t="s">
        <v>409</v>
      </c>
      <c r="B1530" t="s">
        <v>346</v>
      </c>
      <c r="C1530" t="s">
        <v>993</v>
      </c>
      <c r="D1530" s="3" t="s">
        <v>895</v>
      </c>
      <c r="E1530" s="14">
        <v>6.6666666666666671E-3</v>
      </c>
      <c r="F1530" s="4" t="s">
        <v>179</v>
      </c>
      <c r="G1530" s="9">
        <v>400</v>
      </c>
      <c r="H1530" s="9">
        <f t="shared" si="46"/>
        <v>2.666666666666667</v>
      </c>
      <c r="I1530" t="s">
        <v>179</v>
      </c>
      <c r="J1530" s="33">
        <v>0</v>
      </c>
      <c r="K1530" s="18">
        <f>VLOOKUP(D1530,Ingredients!C:G,5,0)</f>
        <v>400</v>
      </c>
      <c r="L1530" s="52">
        <f t="shared" si="47"/>
        <v>2.666666666666667</v>
      </c>
    </row>
    <row r="1531" spans="1:12">
      <c r="A1531" t="s">
        <v>409</v>
      </c>
      <c r="B1531" t="s">
        <v>346</v>
      </c>
      <c r="C1531" t="s">
        <v>993</v>
      </c>
      <c r="D1531" s="3" t="s">
        <v>35</v>
      </c>
      <c r="E1531" s="14">
        <v>0.33333333333333331</v>
      </c>
      <c r="F1531" s="4" t="s">
        <v>179</v>
      </c>
      <c r="G1531" s="9">
        <v>13</v>
      </c>
      <c r="H1531" s="9">
        <f t="shared" si="46"/>
        <v>4.333333333333333</v>
      </c>
      <c r="I1531" t="s">
        <v>179</v>
      </c>
      <c r="J1531" s="33">
        <v>0</v>
      </c>
      <c r="K1531" s="18">
        <f>VLOOKUP(D1531,Ingredients!C:G,5,0)</f>
        <v>15</v>
      </c>
      <c r="L1531" s="52">
        <f t="shared" si="47"/>
        <v>5</v>
      </c>
    </row>
    <row r="1532" spans="1:12">
      <c r="A1532" t="s">
        <v>409</v>
      </c>
      <c r="B1532" t="s">
        <v>346</v>
      </c>
      <c r="C1532" t="s">
        <v>993</v>
      </c>
      <c r="D1532" s="3" t="s">
        <v>29</v>
      </c>
      <c r="E1532" s="14">
        <v>4.1666666666666664E-2</v>
      </c>
      <c r="F1532" s="4" t="s">
        <v>179</v>
      </c>
      <c r="G1532" s="9">
        <v>60</v>
      </c>
      <c r="H1532" s="9">
        <f t="shared" ref="H1532:H1597" si="48">G1532*E1532</f>
        <v>2.5</v>
      </c>
      <c r="I1532" t="s">
        <v>179</v>
      </c>
      <c r="J1532" s="33">
        <v>0</v>
      </c>
      <c r="K1532" s="18">
        <f>VLOOKUP(D1532,Ingredients!C:G,5,0)</f>
        <v>100</v>
      </c>
      <c r="L1532" s="52">
        <f t="shared" si="47"/>
        <v>4.1666666666666661</v>
      </c>
    </row>
    <row r="1533" spans="1:12">
      <c r="A1533" t="s">
        <v>410</v>
      </c>
      <c r="B1533" t="s">
        <v>349</v>
      </c>
      <c r="C1533" t="s">
        <v>351</v>
      </c>
      <c r="D1533" s="3" t="s">
        <v>867</v>
      </c>
      <c r="E1533" s="14">
        <v>1.3333333333333334E-2</v>
      </c>
      <c r="F1533" s="4" t="s">
        <v>176</v>
      </c>
      <c r="G1533" s="9">
        <v>900</v>
      </c>
      <c r="H1533" s="9">
        <f t="shared" si="48"/>
        <v>12</v>
      </c>
      <c r="I1533" t="s">
        <v>179</v>
      </c>
      <c r="J1533" s="33" t="s">
        <v>490</v>
      </c>
      <c r="K1533" s="18">
        <f>VLOOKUP(D1533,Ingredients!C:G,5,0)</f>
        <v>950</v>
      </c>
      <c r="L1533" s="52">
        <f t="shared" si="47"/>
        <v>12.666666666666668</v>
      </c>
    </row>
    <row r="1534" spans="1:12">
      <c r="A1534" t="s">
        <v>410</v>
      </c>
      <c r="B1534" t="s">
        <v>349</v>
      </c>
      <c r="C1534" t="s">
        <v>351</v>
      </c>
      <c r="D1534" s="3" t="s">
        <v>932</v>
      </c>
      <c r="E1534" s="14">
        <v>6.6666666666666671E-3</v>
      </c>
      <c r="F1534" s="4" t="s">
        <v>179</v>
      </c>
      <c r="G1534" s="9">
        <v>2848.84</v>
      </c>
      <c r="H1534" s="9">
        <f t="shared" si="48"/>
        <v>18.992266666666669</v>
      </c>
      <c r="I1534" t="s">
        <v>179</v>
      </c>
      <c r="J1534" s="33" t="s">
        <v>490</v>
      </c>
      <c r="K1534" s="18">
        <f>VLOOKUP(D1534,Ingredients!C:G,5,0)</f>
        <v>2643.68</v>
      </c>
      <c r="L1534" s="52">
        <f t="shared" si="47"/>
        <v>17.624533333333332</v>
      </c>
    </row>
    <row r="1535" spans="1:12">
      <c r="A1535" t="s">
        <v>410</v>
      </c>
      <c r="B1535" t="s">
        <v>349</v>
      </c>
      <c r="C1535" t="s">
        <v>351</v>
      </c>
      <c r="D1535" s="3" t="s">
        <v>859</v>
      </c>
      <c r="E1535" s="14">
        <v>2.666666666666667E-3</v>
      </c>
      <c r="F1535" s="4" t="s">
        <v>179</v>
      </c>
      <c r="G1535" s="9">
        <v>650</v>
      </c>
      <c r="H1535" s="9">
        <f t="shared" si="48"/>
        <v>1.7333333333333336</v>
      </c>
      <c r="I1535" t="s">
        <v>179</v>
      </c>
      <c r="J1535" s="33" t="s">
        <v>490</v>
      </c>
      <c r="K1535" s="18">
        <f>VLOOKUP(D1535,Ingredients!C:G,5,0)</f>
        <v>700</v>
      </c>
      <c r="L1535" s="52">
        <f t="shared" si="47"/>
        <v>1.8666666666666669</v>
      </c>
    </row>
    <row r="1536" spans="1:12">
      <c r="A1536" t="s">
        <v>410</v>
      </c>
      <c r="B1536" t="s">
        <v>349</v>
      </c>
      <c r="C1536" t="s">
        <v>351</v>
      </c>
      <c r="D1536" s="3" t="s">
        <v>887</v>
      </c>
      <c r="E1536" s="14">
        <v>6.6666666666666671E-3</v>
      </c>
      <c r="F1536" s="4" t="s">
        <v>179</v>
      </c>
      <c r="G1536" s="9">
        <v>1600</v>
      </c>
      <c r="H1536" s="9">
        <f t="shared" si="48"/>
        <v>10.666666666666668</v>
      </c>
      <c r="I1536" t="s">
        <v>179</v>
      </c>
      <c r="J1536" s="33" t="s">
        <v>490</v>
      </c>
      <c r="K1536" s="18">
        <f>VLOOKUP(D1536,Ingredients!C:G,5,0)</f>
        <v>1830</v>
      </c>
      <c r="L1536" s="52">
        <f t="shared" si="47"/>
        <v>12.200000000000001</v>
      </c>
    </row>
    <row r="1537" spans="1:12">
      <c r="A1537" t="s">
        <v>410</v>
      </c>
      <c r="B1537" t="s">
        <v>349</v>
      </c>
      <c r="C1537" t="s">
        <v>351</v>
      </c>
      <c r="D1537" s="3" t="s">
        <v>853</v>
      </c>
      <c r="E1537" s="14">
        <v>2.6666666666666668E-2</v>
      </c>
      <c r="F1537" s="4" t="s">
        <v>314</v>
      </c>
      <c r="G1537" s="9">
        <v>30</v>
      </c>
      <c r="H1537" s="9">
        <f t="shared" si="48"/>
        <v>0.8</v>
      </c>
      <c r="I1537" t="s">
        <v>179</v>
      </c>
      <c r="J1537" s="33" t="s">
        <v>490</v>
      </c>
      <c r="K1537" s="18">
        <f>VLOOKUP(D1537,Ingredients!C:G,5,0)</f>
        <v>55</v>
      </c>
      <c r="L1537" s="52">
        <f t="shared" si="47"/>
        <v>1.4666666666666668</v>
      </c>
    </row>
    <row r="1538" spans="1:12">
      <c r="A1538" t="s">
        <v>410</v>
      </c>
      <c r="B1538" t="s">
        <v>349</v>
      </c>
      <c r="C1538" t="s">
        <v>351</v>
      </c>
      <c r="D1538" s="3" t="s">
        <v>23</v>
      </c>
      <c r="E1538" s="14">
        <v>6.6666666666666666E-2</v>
      </c>
      <c r="F1538" s="4" t="s">
        <v>176</v>
      </c>
      <c r="G1538" s="9">
        <v>740</v>
      </c>
      <c r="H1538" s="9">
        <f t="shared" si="48"/>
        <v>49.333333333333336</v>
      </c>
      <c r="I1538" t="s">
        <v>179</v>
      </c>
      <c r="J1538" s="33" t="s">
        <v>490</v>
      </c>
      <c r="K1538" s="18">
        <f>VLOOKUP(D1538,Ingredients!C:G,5,0)</f>
        <v>780</v>
      </c>
      <c r="L1538" s="52">
        <f t="shared" si="47"/>
        <v>52</v>
      </c>
    </row>
    <row r="1539" spans="1:12">
      <c r="A1539" t="s">
        <v>410</v>
      </c>
      <c r="B1539" t="s">
        <v>349</v>
      </c>
      <c r="C1539" t="s">
        <v>351</v>
      </c>
      <c r="D1539" s="3" t="s">
        <v>933</v>
      </c>
      <c r="E1539" s="14">
        <v>0.53333333333333333</v>
      </c>
      <c r="F1539" s="4" t="s">
        <v>176</v>
      </c>
      <c r="G1539" s="9">
        <v>250</v>
      </c>
      <c r="H1539" s="9">
        <f t="shared" si="48"/>
        <v>133.33333333333334</v>
      </c>
      <c r="I1539" t="s">
        <v>179</v>
      </c>
      <c r="J1539" s="33" t="s">
        <v>490</v>
      </c>
      <c r="K1539" s="18">
        <f>VLOOKUP(D1539,Ingredients!C:G,5,0)</f>
        <v>265</v>
      </c>
      <c r="L1539" s="52">
        <f t="shared" si="47"/>
        <v>141.33333333333334</v>
      </c>
    </row>
    <row r="1540" spans="1:12">
      <c r="A1540" t="s">
        <v>410</v>
      </c>
      <c r="B1540" t="s">
        <v>349</v>
      </c>
      <c r="C1540" t="s">
        <v>351</v>
      </c>
      <c r="D1540" s="3" t="s">
        <v>29</v>
      </c>
      <c r="E1540" s="14">
        <v>0.04</v>
      </c>
      <c r="F1540" s="4" t="s">
        <v>176</v>
      </c>
      <c r="G1540" s="9">
        <v>60</v>
      </c>
      <c r="H1540" s="9">
        <f t="shared" si="48"/>
        <v>2.4</v>
      </c>
      <c r="I1540" t="s">
        <v>179</v>
      </c>
      <c r="J1540" s="33" t="s">
        <v>490</v>
      </c>
      <c r="K1540" s="18">
        <f>VLOOKUP(D1540,Ingredients!C:G,5,0)</f>
        <v>100</v>
      </c>
      <c r="L1540" s="52">
        <f t="shared" ref="L1540:L1603" si="49">K1540*E1540</f>
        <v>4</v>
      </c>
    </row>
    <row r="1541" spans="1:12">
      <c r="A1541" t="s">
        <v>410</v>
      </c>
      <c r="B1541" t="s">
        <v>349</v>
      </c>
      <c r="C1541" t="s">
        <v>351</v>
      </c>
      <c r="D1541" s="3" t="s">
        <v>24</v>
      </c>
      <c r="E1541" s="14">
        <v>0.10666666666666667</v>
      </c>
      <c r="F1541" s="4" t="s">
        <v>176</v>
      </c>
      <c r="G1541" s="9">
        <v>55</v>
      </c>
      <c r="H1541" s="9">
        <f t="shared" si="48"/>
        <v>5.8666666666666671</v>
      </c>
      <c r="I1541" t="s">
        <v>179</v>
      </c>
      <c r="J1541" s="33" t="s">
        <v>490</v>
      </c>
      <c r="K1541" s="18">
        <f>VLOOKUP(D1541,Ingredients!C:G,5,0)</f>
        <v>80</v>
      </c>
      <c r="L1541" s="52">
        <f t="shared" si="49"/>
        <v>8.5333333333333332</v>
      </c>
    </row>
    <row r="1542" spans="1:12">
      <c r="A1542" t="s">
        <v>410</v>
      </c>
      <c r="B1542" t="s">
        <v>349</v>
      </c>
      <c r="C1542" t="s">
        <v>351</v>
      </c>
      <c r="D1542" s="3" t="s">
        <v>927</v>
      </c>
      <c r="E1542" s="14">
        <v>2.6666666666666668E-2</v>
      </c>
      <c r="F1542" s="4" t="s">
        <v>176</v>
      </c>
      <c r="G1542" s="9">
        <v>600</v>
      </c>
      <c r="H1542" s="9">
        <f t="shared" si="48"/>
        <v>16</v>
      </c>
      <c r="I1542" t="s">
        <v>179</v>
      </c>
      <c r="J1542" s="33" t="s">
        <v>490</v>
      </c>
      <c r="K1542" s="18">
        <f>VLOOKUP(D1542,Ingredients!C:G,5,0)</f>
        <v>600</v>
      </c>
      <c r="L1542" s="52">
        <f t="shared" si="49"/>
        <v>16</v>
      </c>
    </row>
    <row r="1543" spans="1:12">
      <c r="A1543" t="s">
        <v>410</v>
      </c>
      <c r="B1543" t="s">
        <v>349</v>
      </c>
      <c r="C1543" t="s">
        <v>351</v>
      </c>
      <c r="D1543" s="3" t="s">
        <v>35</v>
      </c>
      <c r="E1543" s="14">
        <v>0.08</v>
      </c>
      <c r="F1543" s="4" t="s">
        <v>408</v>
      </c>
      <c r="G1543" s="9">
        <v>13</v>
      </c>
      <c r="H1543" s="9">
        <f t="shared" si="48"/>
        <v>1.04</v>
      </c>
      <c r="I1543" t="s">
        <v>179</v>
      </c>
      <c r="J1543" s="33" t="s">
        <v>490</v>
      </c>
      <c r="K1543" s="18">
        <f>VLOOKUP(D1543,Ingredients!C:G,5,0)</f>
        <v>15</v>
      </c>
      <c r="L1543" s="52">
        <f t="shared" si="49"/>
        <v>1.2</v>
      </c>
    </row>
    <row r="1544" spans="1:12">
      <c r="A1544" t="s">
        <v>410</v>
      </c>
      <c r="B1544" t="s">
        <v>349</v>
      </c>
      <c r="C1544" t="s">
        <v>351</v>
      </c>
      <c r="D1544" s="3" t="s">
        <v>35</v>
      </c>
      <c r="E1544" s="14">
        <v>0.08</v>
      </c>
      <c r="F1544" s="4" t="s">
        <v>408</v>
      </c>
      <c r="G1544" s="9">
        <v>13</v>
      </c>
      <c r="H1544" s="9">
        <f t="shared" si="48"/>
        <v>1.04</v>
      </c>
      <c r="I1544" t="s">
        <v>179</v>
      </c>
      <c r="J1544" s="33" t="s">
        <v>490</v>
      </c>
      <c r="K1544" s="18">
        <f>VLOOKUP(D1544,Ingredients!C:G,5,0)</f>
        <v>15</v>
      </c>
      <c r="L1544" s="52">
        <f t="shared" si="49"/>
        <v>1.2</v>
      </c>
    </row>
    <row r="1545" spans="1:12">
      <c r="A1545" t="s">
        <v>410</v>
      </c>
      <c r="B1545" t="s">
        <v>349</v>
      </c>
      <c r="C1545" t="s">
        <v>351</v>
      </c>
      <c r="D1545" s="3" t="s">
        <v>861</v>
      </c>
      <c r="E1545" s="14">
        <v>0.2</v>
      </c>
      <c r="F1545" s="4" t="s">
        <v>176</v>
      </c>
      <c r="G1545" s="9">
        <v>500</v>
      </c>
      <c r="H1545" s="9">
        <f t="shared" si="48"/>
        <v>100</v>
      </c>
      <c r="I1545" t="s">
        <v>179</v>
      </c>
      <c r="J1545" s="33" t="s">
        <v>490</v>
      </c>
      <c r="K1545" s="18">
        <f>VLOOKUP(D1545,Ingredients!C:G,5,0)</f>
        <v>500</v>
      </c>
      <c r="L1545" s="52">
        <f t="shared" si="49"/>
        <v>100</v>
      </c>
    </row>
    <row r="1546" spans="1:12">
      <c r="A1546" t="s">
        <v>410</v>
      </c>
      <c r="B1546" t="s">
        <v>349</v>
      </c>
      <c r="C1546" t="s">
        <v>351</v>
      </c>
      <c r="D1546" s="3" t="s">
        <v>876</v>
      </c>
      <c r="E1546" s="14">
        <v>1.3333333333333334E-2</v>
      </c>
      <c r="F1546" s="4" t="s">
        <v>176</v>
      </c>
      <c r="G1546" s="9">
        <v>270</v>
      </c>
      <c r="H1546" s="9">
        <f t="shared" si="48"/>
        <v>3.6</v>
      </c>
      <c r="I1546" t="s">
        <v>179</v>
      </c>
      <c r="J1546" s="33" t="s">
        <v>490</v>
      </c>
      <c r="K1546" s="18">
        <f>VLOOKUP(D1546,Ingredients!C:G,5,0)</f>
        <v>290</v>
      </c>
      <c r="L1546" s="52">
        <f t="shared" si="49"/>
        <v>3.8666666666666667</v>
      </c>
    </row>
    <row r="1547" spans="1:12">
      <c r="A1547" t="s">
        <v>410</v>
      </c>
      <c r="B1547" t="s">
        <v>349</v>
      </c>
      <c r="C1547" t="s">
        <v>351</v>
      </c>
      <c r="D1547" s="3" t="s">
        <v>833</v>
      </c>
      <c r="E1547" s="14">
        <v>1</v>
      </c>
      <c r="F1547" s="4" t="s">
        <v>176</v>
      </c>
      <c r="G1547" s="9">
        <v>1020</v>
      </c>
      <c r="H1547" s="9">
        <f t="shared" si="48"/>
        <v>1020</v>
      </c>
      <c r="I1547" t="s">
        <v>179</v>
      </c>
      <c r="J1547" s="33" t="s">
        <v>490</v>
      </c>
      <c r="K1547" s="18">
        <f>VLOOKUP(D1547,Ingredients!C:G,5,0)</f>
        <v>1000</v>
      </c>
      <c r="L1547" s="52">
        <f t="shared" si="49"/>
        <v>1000</v>
      </c>
    </row>
    <row r="1548" spans="1:12">
      <c r="A1548" t="s">
        <v>410</v>
      </c>
      <c r="B1548" t="s">
        <v>349</v>
      </c>
      <c r="C1548" t="s">
        <v>351</v>
      </c>
      <c r="D1548" s="3" t="s">
        <v>805</v>
      </c>
      <c r="E1548" s="14">
        <v>5.3333333333333337E-2</v>
      </c>
      <c r="F1548" s="4" t="s">
        <v>176</v>
      </c>
      <c r="G1548" s="9">
        <v>200</v>
      </c>
      <c r="H1548" s="9">
        <f t="shared" si="48"/>
        <v>10.666666666666668</v>
      </c>
      <c r="I1548" t="s">
        <v>179</v>
      </c>
      <c r="J1548" s="33" t="s">
        <v>490</v>
      </c>
      <c r="K1548" s="18">
        <f>VLOOKUP(D1548,Ingredients!C:G,5,0)</f>
        <v>50</v>
      </c>
      <c r="L1548" s="52">
        <f t="shared" si="49"/>
        <v>2.666666666666667</v>
      </c>
    </row>
    <row r="1549" spans="1:12">
      <c r="A1549" t="s">
        <v>410</v>
      </c>
      <c r="B1549" t="s">
        <v>349</v>
      </c>
      <c r="C1549" t="s">
        <v>351</v>
      </c>
      <c r="D1549" s="3" t="s">
        <v>462</v>
      </c>
      <c r="E1549" s="14">
        <v>1.3333333333333334E-2</v>
      </c>
      <c r="F1549" s="4" t="s">
        <v>176</v>
      </c>
      <c r="G1549" s="9">
        <v>480</v>
      </c>
      <c r="H1549" s="9">
        <f t="shared" si="48"/>
        <v>6.4</v>
      </c>
      <c r="I1549" t="s">
        <v>179</v>
      </c>
      <c r="J1549" s="33" t="s">
        <v>490</v>
      </c>
      <c r="K1549" s="18">
        <f>VLOOKUP(D1549,Ingredients!C:G,5,0)</f>
        <v>480</v>
      </c>
      <c r="L1549" s="52">
        <f t="shared" si="49"/>
        <v>6.4</v>
      </c>
    </row>
    <row r="1550" spans="1:12">
      <c r="A1550" t="s">
        <v>410</v>
      </c>
      <c r="B1550" t="s">
        <v>349</v>
      </c>
      <c r="C1550" t="s">
        <v>351</v>
      </c>
      <c r="D1550" s="3" t="s">
        <v>477</v>
      </c>
      <c r="E1550" s="14">
        <v>6.6666666666666671E-3</v>
      </c>
      <c r="F1550" s="4" t="s">
        <v>176</v>
      </c>
      <c r="G1550" s="9">
        <v>1100</v>
      </c>
      <c r="H1550" s="9">
        <f t="shared" si="48"/>
        <v>7.3333333333333339</v>
      </c>
      <c r="I1550" t="s">
        <v>179</v>
      </c>
      <c r="J1550" s="33" t="s">
        <v>490</v>
      </c>
      <c r="K1550" s="18">
        <f>VLOOKUP(D1550,Ingredients!C:G,5,0)</f>
        <v>1100</v>
      </c>
      <c r="L1550" s="52">
        <f t="shared" si="49"/>
        <v>7.3333333333333339</v>
      </c>
    </row>
    <row r="1551" spans="1:12">
      <c r="A1551" t="s">
        <v>410</v>
      </c>
      <c r="B1551" t="s">
        <v>349</v>
      </c>
      <c r="C1551" t="s">
        <v>351</v>
      </c>
      <c r="D1551" s="3" t="s">
        <v>925</v>
      </c>
      <c r="E1551" s="14">
        <v>6.6666666666666671E-3</v>
      </c>
      <c r="F1551" s="4" t="s">
        <v>176</v>
      </c>
      <c r="G1551" s="9">
        <v>1150</v>
      </c>
      <c r="H1551" s="9">
        <f t="shared" si="48"/>
        <v>7.666666666666667</v>
      </c>
      <c r="I1551" t="s">
        <v>179</v>
      </c>
      <c r="J1551" s="33" t="s">
        <v>490</v>
      </c>
      <c r="K1551" s="18">
        <f>VLOOKUP(D1551,Ingredients!C:G,5,0)</f>
        <v>1100</v>
      </c>
      <c r="L1551" s="52">
        <f t="shared" si="49"/>
        <v>7.3333333333333339</v>
      </c>
    </row>
    <row r="1552" spans="1:12">
      <c r="A1552" t="s">
        <v>410</v>
      </c>
      <c r="B1552" t="s">
        <v>349</v>
      </c>
      <c r="C1552" t="s">
        <v>351</v>
      </c>
      <c r="D1552" s="3" t="s">
        <v>852</v>
      </c>
      <c r="E1552" s="14">
        <v>5.3333333333333337E-2</v>
      </c>
      <c r="F1552" s="4" t="s">
        <v>176</v>
      </c>
      <c r="G1552" s="9">
        <v>520.63</v>
      </c>
      <c r="H1552" s="9">
        <f t="shared" si="48"/>
        <v>27.766933333333334</v>
      </c>
      <c r="I1552" t="s">
        <v>179</v>
      </c>
      <c r="J1552" s="33" t="s">
        <v>490</v>
      </c>
      <c r="K1552" s="18">
        <v>550</v>
      </c>
      <c r="L1552" s="52">
        <f t="shared" si="49"/>
        <v>29.333333333333336</v>
      </c>
    </row>
    <row r="1553" spans="1:12">
      <c r="A1553" t="s">
        <v>411</v>
      </c>
      <c r="B1553" t="s">
        <v>356</v>
      </c>
      <c r="C1553" t="s">
        <v>356</v>
      </c>
      <c r="D1553" s="3" t="s">
        <v>830</v>
      </c>
      <c r="E1553" s="14">
        <v>0.2</v>
      </c>
      <c r="F1553" s="4" t="s">
        <v>176</v>
      </c>
      <c r="G1553" s="9">
        <v>149</v>
      </c>
      <c r="H1553" s="9">
        <f t="shared" si="48"/>
        <v>29.8</v>
      </c>
      <c r="I1553" t="s">
        <v>179</v>
      </c>
      <c r="J1553" s="33">
        <v>0</v>
      </c>
      <c r="K1553" s="18">
        <f>VLOOKUP(D1553,Ingredients!C:G,5,0)</f>
        <v>123</v>
      </c>
      <c r="L1553" s="52">
        <f t="shared" si="49"/>
        <v>24.6</v>
      </c>
    </row>
    <row r="1554" spans="1:12">
      <c r="A1554" t="s">
        <v>411</v>
      </c>
      <c r="B1554" t="s">
        <v>356</v>
      </c>
      <c r="C1554" t="s">
        <v>356</v>
      </c>
      <c r="D1554" s="3" t="s">
        <v>835</v>
      </c>
      <c r="E1554" s="14">
        <v>6.6666666666666666E-2</v>
      </c>
      <c r="F1554" s="4" t="s">
        <v>314</v>
      </c>
      <c r="G1554" s="9">
        <v>389.34</v>
      </c>
      <c r="H1554" s="9">
        <f t="shared" si="48"/>
        <v>25.956</v>
      </c>
      <c r="I1554" t="s">
        <v>179</v>
      </c>
      <c r="J1554" s="33">
        <v>0</v>
      </c>
      <c r="K1554" s="18">
        <f>VLOOKUP(D1554,Ingredients!C:G,5,0)</f>
        <v>394.63</v>
      </c>
      <c r="L1554" s="52">
        <f t="shared" si="49"/>
        <v>26.308666666666667</v>
      </c>
    </row>
    <row r="1555" spans="1:12">
      <c r="A1555" t="s">
        <v>411</v>
      </c>
      <c r="B1555" t="s">
        <v>356</v>
      </c>
      <c r="C1555" t="s">
        <v>356</v>
      </c>
      <c r="D1555" s="3" t="s">
        <v>475</v>
      </c>
      <c r="E1555" s="14">
        <v>0.1</v>
      </c>
      <c r="F1555" s="4" t="s">
        <v>176</v>
      </c>
      <c r="G1555" s="9">
        <v>200</v>
      </c>
      <c r="H1555" s="9">
        <f t="shared" si="48"/>
        <v>20</v>
      </c>
      <c r="I1555" t="s">
        <v>179</v>
      </c>
      <c r="J1555" s="33">
        <v>0</v>
      </c>
      <c r="K1555" s="18">
        <f>VLOOKUP(D1555,Ingredients!C:G,5,0)</f>
        <v>180</v>
      </c>
      <c r="L1555" s="52">
        <f t="shared" si="49"/>
        <v>18</v>
      </c>
    </row>
    <row r="1556" spans="1:12">
      <c r="A1556" t="s">
        <v>411</v>
      </c>
      <c r="B1556" t="s">
        <v>356</v>
      </c>
      <c r="C1556" t="s">
        <v>356</v>
      </c>
      <c r="D1556" s="3" t="s">
        <v>851</v>
      </c>
      <c r="E1556" s="14">
        <v>0.16666666666666669</v>
      </c>
      <c r="F1556" s="13" t="s">
        <v>176</v>
      </c>
      <c r="G1556" s="9">
        <v>177</v>
      </c>
      <c r="H1556" s="9">
        <f t="shared" si="48"/>
        <v>29.500000000000004</v>
      </c>
      <c r="I1556" t="s">
        <v>179</v>
      </c>
      <c r="J1556" s="33">
        <v>0</v>
      </c>
      <c r="K1556" s="18">
        <f>VLOOKUP(D1556,Ingredients!C:G,5,0)</f>
        <v>920</v>
      </c>
      <c r="L1556" s="52">
        <f t="shared" si="49"/>
        <v>153.33333333333334</v>
      </c>
    </row>
    <row r="1557" spans="1:12">
      <c r="A1557" t="s">
        <v>411</v>
      </c>
      <c r="B1557" t="s">
        <v>356</v>
      </c>
      <c r="C1557" t="s">
        <v>356</v>
      </c>
      <c r="D1557" s="3" t="s">
        <v>916</v>
      </c>
      <c r="E1557" s="14">
        <v>1.6666666666666668E-3</v>
      </c>
      <c r="F1557" s="4" t="s">
        <v>179</v>
      </c>
      <c r="G1557" s="9">
        <v>6500</v>
      </c>
      <c r="H1557" s="9">
        <f t="shared" si="48"/>
        <v>10.833333333333334</v>
      </c>
      <c r="I1557" t="s">
        <v>179</v>
      </c>
      <c r="J1557" s="33">
        <v>0</v>
      </c>
      <c r="K1557" s="18">
        <f>VLOOKUP(D1557,Ingredients!C:G,5,0)</f>
        <v>6200</v>
      </c>
      <c r="L1557" s="52">
        <f t="shared" si="49"/>
        <v>10.333333333333334</v>
      </c>
    </row>
    <row r="1558" spans="1:12">
      <c r="A1558" t="s">
        <v>411</v>
      </c>
      <c r="B1558" t="s">
        <v>356</v>
      </c>
      <c r="C1558" t="s">
        <v>356</v>
      </c>
      <c r="D1558" s="3" t="s">
        <v>892</v>
      </c>
      <c r="E1558" s="14">
        <v>1.6666666666666668E-3</v>
      </c>
      <c r="F1558" s="4" t="s">
        <v>179</v>
      </c>
      <c r="G1558" s="9">
        <v>2000</v>
      </c>
      <c r="H1558" s="9">
        <f t="shared" si="48"/>
        <v>3.3333333333333335</v>
      </c>
      <c r="I1558" t="s">
        <v>179</v>
      </c>
      <c r="J1558" s="33">
        <v>0</v>
      </c>
      <c r="K1558" s="18">
        <f>VLOOKUP(D1558,Ingredients!C:G,5,0)</f>
        <v>2080</v>
      </c>
      <c r="L1558" s="52">
        <f t="shared" si="49"/>
        <v>3.4666666666666668</v>
      </c>
    </row>
    <row r="1559" spans="1:12">
      <c r="A1559" t="s">
        <v>411</v>
      </c>
      <c r="B1559" t="s">
        <v>356</v>
      </c>
      <c r="C1559" t="s">
        <v>356</v>
      </c>
      <c r="D1559" s="3" t="s">
        <v>915</v>
      </c>
      <c r="E1559" s="14">
        <v>8.3333333333333339E-4</v>
      </c>
      <c r="F1559" s="4" t="s">
        <v>179</v>
      </c>
      <c r="G1559" s="9">
        <v>5000</v>
      </c>
      <c r="H1559" s="9">
        <f t="shared" si="48"/>
        <v>4.166666666666667</v>
      </c>
      <c r="I1559" t="s">
        <v>179</v>
      </c>
      <c r="J1559" s="33">
        <v>0</v>
      </c>
      <c r="K1559" s="18">
        <f>VLOOKUP(D1559,Ingredients!C:G,5,0)</f>
        <v>3200</v>
      </c>
      <c r="L1559" s="52">
        <f t="shared" si="49"/>
        <v>2.666666666666667</v>
      </c>
    </row>
    <row r="1560" spans="1:12">
      <c r="A1560" t="s">
        <v>411</v>
      </c>
      <c r="B1560" t="s">
        <v>356</v>
      </c>
      <c r="C1560" t="s">
        <v>356</v>
      </c>
      <c r="D1560" s="3" t="s">
        <v>913</v>
      </c>
      <c r="E1560" s="14">
        <v>1</v>
      </c>
      <c r="F1560" s="4" t="s">
        <v>176</v>
      </c>
      <c r="G1560" s="9">
        <v>229.16666666666666</v>
      </c>
      <c r="H1560" s="9">
        <f t="shared" si="48"/>
        <v>229.16666666666666</v>
      </c>
      <c r="I1560" t="s">
        <v>179</v>
      </c>
      <c r="J1560" s="33">
        <v>0</v>
      </c>
      <c r="K1560" s="18">
        <f>VLOOKUP(D1560,Ingredients!C:F,3,0)</f>
        <v>343.75</v>
      </c>
      <c r="L1560" s="52">
        <f t="shared" si="49"/>
        <v>343.75</v>
      </c>
    </row>
    <row r="1561" spans="1:12">
      <c r="A1561" t="s">
        <v>411</v>
      </c>
      <c r="B1561" t="s">
        <v>356</v>
      </c>
      <c r="C1561" t="s">
        <v>356</v>
      </c>
      <c r="D1561" s="3" t="s">
        <v>917</v>
      </c>
      <c r="E1561" s="14">
        <v>0.16666666666666669</v>
      </c>
      <c r="F1561" s="4" t="s">
        <v>176</v>
      </c>
      <c r="G1561" s="9">
        <v>800</v>
      </c>
      <c r="H1561" s="9">
        <f t="shared" si="48"/>
        <v>133.33333333333334</v>
      </c>
      <c r="I1561" t="s">
        <v>179</v>
      </c>
      <c r="J1561" s="33">
        <v>0</v>
      </c>
      <c r="K1561" s="18">
        <f>VLOOKUP(D1561,Ingredients!C:G,5,0)</f>
        <v>550</v>
      </c>
      <c r="L1561" s="52">
        <f t="shared" si="49"/>
        <v>91.666666666666671</v>
      </c>
    </row>
    <row r="1562" spans="1:12">
      <c r="A1562" t="s">
        <v>411</v>
      </c>
      <c r="B1562" t="s">
        <v>356</v>
      </c>
      <c r="C1562" t="s">
        <v>356</v>
      </c>
      <c r="D1562" s="3" t="s">
        <v>467</v>
      </c>
      <c r="E1562" s="14">
        <v>3.3333333333333333E-2</v>
      </c>
      <c r="F1562" s="4" t="s">
        <v>412</v>
      </c>
      <c r="G1562" s="9">
        <v>900</v>
      </c>
      <c r="H1562" s="9">
        <f t="shared" si="48"/>
        <v>30</v>
      </c>
      <c r="I1562" t="s">
        <v>179</v>
      </c>
      <c r="J1562" s="33">
        <v>0</v>
      </c>
      <c r="K1562" s="18">
        <f>VLOOKUP(D1562,Ingredients!C:G,5,0)</f>
        <v>900</v>
      </c>
      <c r="L1562" s="52">
        <f t="shared" si="49"/>
        <v>30</v>
      </c>
    </row>
    <row r="1563" spans="1:12">
      <c r="A1563" t="s">
        <v>411</v>
      </c>
      <c r="B1563" t="s">
        <v>356</v>
      </c>
      <c r="C1563" t="s">
        <v>356</v>
      </c>
      <c r="D1563" s="3" t="s">
        <v>473</v>
      </c>
      <c r="E1563" s="14">
        <v>0.25</v>
      </c>
      <c r="F1563" s="4" t="s">
        <v>176</v>
      </c>
      <c r="G1563" s="9">
        <v>1300</v>
      </c>
      <c r="H1563" s="9">
        <f t="shared" si="48"/>
        <v>325</v>
      </c>
      <c r="I1563" t="s">
        <v>179</v>
      </c>
      <c r="J1563" s="33">
        <v>0</v>
      </c>
      <c r="K1563" s="18">
        <f>VLOOKUP(D1563,Ingredients!C:G,5,0)</f>
        <v>1900</v>
      </c>
      <c r="L1563" s="52">
        <f t="shared" si="49"/>
        <v>475</v>
      </c>
    </row>
    <row r="1564" spans="1:12">
      <c r="A1564" t="s">
        <v>413</v>
      </c>
      <c r="B1564" t="s">
        <v>346</v>
      </c>
      <c r="C1564" t="s">
        <v>993</v>
      </c>
      <c r="D1564" s="3" t="s">
        <v>922</v>
      </c>
      <c r="E1564" s="14">
        <v>1</v>
      </c>
      <c r="F1564" s="4" t="s">
        <v>176</v>
      </c>
      <c r="G1564" s="9">
        <v>300</v>
      </c>
      <c r="H1564" s="9">
        <f t="shared" si="48"/>
        <v>300</v>
      </c>
      <c r="I1564" t="s">
        <v>179</v>
      </c>
      <c r="J1564" s="33">
        <v>0</v>
      </c>
      <c r="K1564" s="18">
        <f>VLOOKUP(D1564,Ingredients!C:G,5,0)</f>
        <v>315</v>
      </c>
      <c r="L1564" s="52">
        <f t="shared" si="49"/>
        <v>315</v>
      </c>
    </row>
    <row r="1565" spans="1:12">
      <c r="A1565" t="s">
        <v>413</v>
      </c>
      <c r="B1565" t="s">
        <v>346</v>
      </c>
      <c r="C1565" t="s">
        <v>993</v>
      </c>
      <c r="D1565" s="3" t="s">
        <v>852</v>
      </c>
      <c r="E1565" s="14">
        <v>0.16666666666666666</v>
      </c>
      <c r="F1565" s="4" t="s">
        <v>176</v>
      </c>
      <c r="G1565" s="9">
        <v>520.63</v>
      </c>
      <c r="H1565" s="9">
        <f t="shared" si="48"/>
        <v>86.771666666666661</v>
      </c>
      <c r="I1565" t="s">
        <v>179</v>
      </c>
      <c r="J1565" s="33">
        <v>0</v>
      </c>
      <c r="K1565" s="18">
        <v>550</v>
      </c>
      <c r="L1565" s="52">
        <f t="shared" si="49"/>
        <v>91.666666666666657</v>
      </c>
    </row>
    <row r="1566" spans="1:12">
      <c r="A1566" t="s">
        <v>413</v>
      </c>
      <c r="B1566" t="s">
        <v>346</v>
      </c>
      <c r="C1566" t="s">
        <v>993</v>
      </c>
      <c r="D1566" s="3" t="s">
        <v>864</v>
      </c>
      <c r="E1566" s="14">
        <v>6.6666666666666671E-3</v>
      </c>
      <c r="F1566" s="4" t="s">
        <v>179</v>
      </c>
      <c r="G1566" s="9">
        <v>1400</v>
      </c>
      <c r="H1566" s="9">
        <f t="shared" si="48"/>
        <v>9.3333333333333339</v>
      </c>
      <c r="I1566" t="s">
        <v>179</v>
      </c>
      <c r="J1566" s="33">
        <v>0</v>
      </c>
      <c r="K1566" s="18">
        <f>VLOOKUP(D1566,Ingredients!C:G,5,0)</f>
        <v>1400</v>
      </c>
      <c r="L1566" s="52">
        <f t="shared" si="49"/>
        <v>9.3333333333333339</v>
      </c>
    </row>
    <row r="1567" spans="1:12">
      <c r="A1567" t="s">
        <v>413</v>
      </c>
      <c r="B1567" t="s">
        <v>346</v>
      </c>
      <c r="C1567" t="s">
        <v>993</v>
      </c>
      <c r="D1567" s="3" t="s">
        <v>853</v>
      </c>
      <c r="E1567" s="14">
        <v>6.6666666666666671E-3</v>
      </c>
      <c r="F1567" s="4" t="s">
        <v>179</v>
      </c>
      <c r="G1567" s="9">
        <v>30</v>
      </c>
      <c r="H1567" s="9">
        <f t="shared" si="48"/>
        <v>0.2</v>
      </c>
      <c r="I1567" t="s">
        <v>179</v>
      </c>
      <c r="J1567" s="33">
        <v>0</v>
      </c>
      <c r="K1567" s="18">
        <f>VLOOKUP(D1567,Ingredients!C:G,5,0)</f>
        <v>55</v>
      </c>
      <c r="L1567" s="52">
        <f t="shared" si="49"/>
        <v>0.3666666666666667</v>
      </c>
    </row>
    <row r="1568" spans="1:12">
      <c r="A1568" t="s">
        <v>413</v>
      </c>
      <c r="B1568" t="s">
        <v>346</v>
      </c>
      <c r="C1568" t="s">
        <v>993</v>
      </c>
      <c r="D1568" s="3" t="s">
        <v>879</v>
      </c>
      <c r="E1568" s="14">
        <v>6.6666666666666671E-3</v>
      </c>
      <c r="F1568" s="4" t="s">
        <v>179</v>
      </c>
      <c r="G1568" s="9">
        <v>1113.51</v>
      </c>
      <c r="H1568" s="9">
        <f t="shared" si="48"/>
        <v>7.4234</v>
      </c>
      <c r="I1568" t="s">
        <v>179</v>
      </c>
      <c r="J1568" s="33">
        <v>0</v>
      </c>
      <c r="K1568" s="18">
        <f>VLOOKUP(D1568,Ingredients!C:G,5,0)</f>
        <v>1066.33</v>
      </c>
      <c r="L1568" s="52">
        <f t="shared" si="49"/>
        <v>7.1088666666666667</v>
      </c>
    </row>
    <row r="1569" spans="1:12">
      <c r="A1569" t="s">
        <v>413</v>
      </c>
      <c r="B1569" t="s">
        <v>346</v>
      </c>
      <c r="C1569" t="s">
        <v>993</v>
      </c>
      <c r="D1569" s="3" t="s">
        <v>855</v>
      </c>
      <c r="E1569" s="14">
        <v>6.6666666666666671E-3</v>
      </c>
      <c r="F1569" s="4" t="s">
        <v>179</v>
      </c>
      <c r="G1569" s="9">
        <v>2400</v>
      </c>
      <c r="H1569" s="9">
        <f t="shared" si="48"/>
        <v>16</v>
      </c>
      <c r="I1569" t="s">
        <v>179</v>
      </c>
      <c r="J1569" s="33">
        <v>0</v>
      </c>
      <c r="K1569" s="18">
        <f>VLOOKUP(D1569,Ingredients!C:G,5,0)</f>
        <v>1600</v>
      </c>
      <c r="L1569" s="52">
        <f t="shared" si="49"/>
        <v>10.666666666666668</v>
      </c>
    </row>
    <row r="1570" spans="1:12">
      <c r="A1570" t="s">
        <v>413</v>
      </c>
      <c r="B1570" t="s">
        <v>346</v>
      </c>
      <c r="C1570" t="s">
        <v>993</v>
      </c>
      <c r="D1570" s="3" t="s">
        <v>880</v>
      </c>
      <c r="E1570" s="14">
        <v>6.6666666666666671E-3</v>
      </c>
      <c r="F1570" s="4" t="s">
        <v>179</v>
      </c>
      <c r="G1570" s="9">
        <v>650</v>
      </c>
      <c r="H1570" s="9">
        <f t="shared" si="48"/>
        <v>4.3333333333333339</v>
      </c>
      <c r="I1570" t="s">
        <v>179</v>
      </c>
      <c r="J1570" s="33">
        <v>0</v>
      </c>
      <c r="K1570" s="18">
        <f>VLOOKUP(D1570,Ingredients!C:G,5,0)</f>
        <v>520</v>
      </c>
      <c r="L1570" s="52">
        <f t="shared" si="49"/>
        <v>3.4666666666666668</v>
      </c>
    </row>
    <row r="1571" spans="1:12">
      <c r="A1571" t="s">
        <v>413</v>
      </c>
      <c r="B1571" t="s">
        <v>346</v>
      </c>
      <c r="C1571" t="s">
        <v>993</v>
      </c>
      <c r="D1571" s="3" t="s">
        <v>23</v>
      </c>
      <c r="E1571" s="14">
        <v>1.2E-2</v>
      </c>
      <c r="F1571" s="4" t="s">
        <v>179</v>
      </c>
      <c r="G1571" s="9">
        <v>740</v>
      </c>
      <c r="H1571" s="9">
        <f t="shared" si="48"/>
        <v>8.8800000000000008</v>
      </c>
      <c r="I1571" t="s">
        <v>179</v>
      </c>
      <c r="J1571" s="33">
        <v>0</v>
      </c>
      <c r="K1571" s="18">
        <f>VLOOKUP(D1571,Ingredients!C:G,5,0)</f>
        <v>780</v>
      </c>
      <c r="L1571" s="52">
        <f t="shared" si="49"/>
        <v>9.36</v>
      </c>
    </row>
    <row r="1572" spans="1:12">
      <c r="A1572" t="s">
        <v>413</v>
      </c>
      <c r="B1572" t="s">
        <v>346</v>
      </c>
      <c r="C1572" t="s">
        <v>993</v>
      </c>
      <c r="D1572" s="3" t="s">
        <v>16</v>
      </c>
      <c r="E1572" s="14">
        <v>1.2E-2</v>
      </c>
      <c r="F1572" s="4" t="s">
        <v>179</v>
      </c>
      <c r="G1572" s="9">
        <v>270</v>
      </c>
      <c r="H1572" s="9">
        <f t="shared" si="48"/>
        <v>3.24</v>
      </c>
      <c r="I1572" t="s">
        <v>179</v>
      </c>
      <c r="J1572" s="33">
        <v>0</v>
      </c>
      <c r="K1572" s="18">
        <f>VLOOKUP(D1572,Ingredients!C:G,5,0)</f>
        <v>310</v>
      </c>
      <c r="L1572" s="52">
        <f t="shared" si="49"/>
        <v>3.72</v>
      </c>
    </row>
    <row r="1573" spans="1:12">
      <c r="A1573" t="s">
        <v>413</v>
      </c>
      <c r="B1573" t="s">
        <v>346</v>
      </c>
      <c r="C1573" t="s">
        <v>993</v>
      </c>
      <c r="D1573" s="3" t="s">
        <v>24</v>
      </c>
      <c r="E1573" s="14">
        <v>0.16666666666666666</v>
      </c>
      <c r="F1573" s="4" t="s">
        <v>176</v>
      </c>
      <c r="G1573" s="9">
        <v>55</v>
      </c>
      <c r="H1573" s="9">
        <f t="shared" si="48"/>
        <v>9.1666666666666661</v>
      </c>
      <c r="I1573" t="s">
        <v>179</v>
      </c>
      <c r="J1573" s="33">
        <v>0</v>
      </c>
      <c r="K1573" s="18">
        <f>VLOOKUP(D1573,Ingredients!C:G,5,0)</f>
        <v>80</v>
      </c>
      <c r="L1573" s="52">
        <f t="shared" si="49"/>
        <v>13.333333333333332</v>
      </c>
    </row>
    <row r="1574" spans="1:12">
      <c r="A1574" t="s">
        <v>592</v>
      </c>
      <c r="B1574" t="s">
        <v>349</v>
      </c>
      <c r="C1574" t="s">
        <v>350</v>
      </c>
      <c r="D1574" s="3" t="s">
        <v>831</v>
      </c>
      <c r="E1574" s="14">
        <v>1</v>
      </c>
      <c r="F1574" s="4" t="s">
        <v>179</v>
      </c>
      <c r="G1574" s="9">
        <v>908</v>
      </c>
      <c r="H1574" s="9">
        <f t="shared" si="48"/>
        <v>908</v>
      </c>
      <c r="I1574" t="s">
        <v>179</v>
      </c>
      <c r="J1574" s="33" t="s">
        <v>489</v>
      </c>
      <c r="K1574" s="18">
        <f>VLOOKUP(D1574,Ingredients!C:G,5,0)</f>
        <v>908</v>
      </c>
      <c r="L1574" s="52">
        <f t="shared" si="49"/>
        <v>908</v>
      </c>
    </row>
    <row r="1575" spans="1:12">
      <c r="A1575" t="s">
        <v>592</v>
      </c>
      <c r="B1575" t="s">
        <v>349</v>
      </c>
      <c r="C1575" t="s">
        <v>350</v>
      </c>
      <c r="D1575" s="3" t="s">
        <v>872</v>
      </c>
      <c r="E1575" s="14">
        <v>5.333333333333334E-3</v>
      </c>
      <c r="F1575" s="4" t="s">
        <v>179</v>
      </c>
      <c r="G1575" s="9">
        <v>2100</v>
      </c>
      <c r="H1575" s="9">
        <f t="shared" si="48"/>
        <v>11.200000000000001</v>
      </c>
      <c r="I1575" t="s">
        <v>179</v>
      </c>
      <c r="J1575" s="33" t="s">
        <v>489</v>
      </c>
      <c r="K1575" s="18">
        <f>VLOOKUP(D1575,Ingredients!C:G,5,0)</f>
        <v>2150</v>
      </c>
      <c r="L1575" s="52">
        <f t="shared" si="49"/>
        <v>11.466666666666669</v>
      </c>
    </row>
    <row r="1576" spans="1:12">
      <c r="A1576" t="s">
        <v>592</v>
      </c>
      <c r="B1576" t="s">
        <v>349</v>
      </c>
      <c r="C1576" t="s">
        <v>350</v>
      </c>
      <c r="D1576" s="3" t="s">
        <v>871</v>
      </c>
      <c r="E1576" s="14">
        <v>1.3333333333333334E-2</v>
      </c>
      <c r="F1576" s="4" t="s">
        <v>414</v>
      </c>
      <c r="G1576" s="9">
        <v>612.03499999999997</v>
      </c>
      <c r="H1576" s="9">
        <f t="shared" si="48"/>
        <v>8.1604666666666663</v>
      </c>
      <c r="I1576" t="s">
        <v>179</v>
      </c>
      <c r="J1576" s="33" t="s">
        <v>489</v>
      </c>
      <c r="K1576" s="18">
        <f>VLOOKUP(D1576,Ingredients!C:F,3,0)</f>
        <v>1500</v>
      </c>
      <c r="L1576" s="52">
        <f t="shared" si="49"/>
        <v>20</v>
      </c>
    </row>
    <row r="1577" spans="1:12">
      <c r="A1577" t="s">
        <v>592</v>
      </c>
      <c r="B1577" t="s">
        <v>349</v>
      </c>
      <c r="C1577" t="s">
        <v>350</v>
      </c>
      <c r="D1577" s="3" t="s">
        <v>851</v>
      </c>
      <c r="E1577" s="14">
        <v>0.26666666666666666</v>
      </c>
      <c r="F1577" s="13" t="s">
        <v>176</v>
      </c>
      <c r="G1577" s="9">
        <v>177</v>
      </c>
      <c r="H1577" s="9">
        <f t="shared" si="48"/>
        <v>47.2</v>
      </c>
      <c r="I1577" t="s">
        <v>179</v>
      </c>
      <c r="J1577" s="33" t="s">
        <v>489</v>
      </c>
      <c r="K1577" s="18">
        <f>VLOOKUP(D1577,Ingredients!C:G,5,0)</f>
        <v>920</v>
      </c>
      <c r="L1577" s="52">
        <f t="shared" si="49"/>
        <v>245.33333333333334</v>
      </c>
    </row>
    <row r="1578" spans="1:12">
      <c r="A1578" t="s">
        <v>592</v>
      </c>
      <c r="B1578" t="s">
        <v>349</v>
      </c>
      <c r="C1578" t="s">
        <v>350</v>
      </c>
      <c r="D1578" s="3" t="s">
        <v>853</v>
      </c>
      <c r="E1578" s="14">
        <v>1.3333333333333334E-2</v>
      </c>
      <c r="F1578" s="4" t="s">
        <v>314</v>
      </c>
      <c r="G1578" s="9">
        <v>30</v>
      </c>
      <c r="H1578" s="9">
        <f t="shared" si="48"/>
        <v>0.4</v>
      </c>
      <c r="I1578" t="s">
        <v>179</v>
      </c>
      <c r="J1578" s="33" t="s">
        <v>489</v>
      </c>
      <c r="K1578" s="18">
        <f>VLOOKUP(D1578,Ingredients!C:G,5,0)</f>
        <v>55</v>
      </c>
      <c r="L1578" s="52">
        <f t="shared" si="49"/>
        <v>0.73333333333333339</v>
      </c>
    </row>
    <row r="1579" spans="1:12">
      <c r="A1579" t="s">
        <v>592</v>
      </c>
      <c r="B1579" t="s">
        <v>349</v>
      </c>
      <c r="C1579" t="s">
        <v>350</v>
      </c>
      <c r="D1579" s="3" t="s">
        <v>874</v>
      </c>
      <c r="E1579" s="14">
        <v>1.3333333333333334E-2</v>
      </c>
      <c r="F1579" s="4" t="s">
        <v>415</v>
      </c>
      <c r="G1579" s="9">
        <v>110</v>
      </c>
      <c r="H1579" s="9">
        <f t="shared" si="48"/>
        <v>1.4666666666666668</v>
      </c>
      <c r="I1579" t="s">
        <v>179</v>
      </c>
      <c r="J1579" s="33" t="s">
        <v>489</v>
      </c>
      <c r="K1579" s="18">
        <f>VLOOKUP(D1579,Ingredients!C:G,5,0)</f>
        <v>179</v>
      </c>
      <c r="L1579" s="52">
        <f t="shared" si="49"/>
        <v>2.3866666666666667</v>
      </c>
    </row>
    <row r="1580" spans="1:12">
      <c r="A1580" t="s">
        <v>592</v>
      </c>
      <c r="B1580" t="s">
        <v>349</v>
      </c>
      <c r="C1580" t="s">
        <v>350</v>
      </c>
      <c r="D1580" s="3" t="s">
        <v>73</v>
      </c>
      <c r="E1580" s="14">
        <v>0.02</v>
      </c>
      <c r="F1580" s="4" t="s">
        <v>176</v>
      </c>
      <c r="G1580" s="9">
        <v>305</v>
      </c>
      <c r="H1580" s="9">
        <f t="shared" si="48"/>
        <v>6.1000000000000005</v>
      </c>
      <c r="I1580" t="s">
        <v>179</v>
      </c>
      <c r="J1580" s="33" t="s">
        <v>489</v>
      </c>
      <c r="K1580" s="18">
        <f>VLOOKUP(D1580,Ingredients!C:G,5,0)</f>
        <v>300</v>
      </c>
      <c r="L1580" s="52">
        <f t="shared" si="49"/>
        <v>6</v>
      </c>
    </row>
    <row r="1581" spans="1:12">
      <c r="A1581" t="s">
        <v>592</v>
      </c>
      <c r="B1581" t="s">
        <v>349</v>
      </c>
      <c r="C1581" t="s">
        <v>350</v>
      </c>
      <c r="D1581" s="3" t="s">
        <v>805</v>
      </c>
      <c r="E1581" s="14">
        <v>0.04</v>
      </c>
      <c r="F1581" s="4" t="s">
        <v>176</v>
      </c>
      <c r="G1581" s="9">
        <v>200</v>
      </c>
      <c r="H1581" s="9">
        <f t="shared" si="48"/>
        <v>8</v>
      </c>
      <c r="I1581" t="s">
        <v>179</v>
      </c>
      <c r="J1581" s="33" t="s">
        <v>489</v>
      </c>
      <c r="K1581" s="18">
        <f>VLOOKUP(D1581,Ingredients!C:G,5,0)</f>
        <v>50</v>
      </c>
      <c r="L1581" s="52">
        <f t="shared" si="49"/>
        <v>2</v>
      </c>
    </row>
    <row r="1582" spans="1:12">
      <c r="A1582" t="s">
        <v>592</v>
      </c>
      <c r="B1582" t="s">
        <v>349</v>
      </c>
      <c r="C1582" t="s">
        <v>350</v>
      </c>
      <c r="D1582" s="3" t="s">
        <v>852</v>
      </c>
      <c r="E1582" s="14">
        <v>2.6666666666666668E-2</v>
      </c>
      <c r="F1582" s="4" t="s">
        <v>176</v>
      </c>
      <c r="G1582" s="9">
        <v>520.63</v>
      </c>
      <c r="H1582" s="9">
        <f t="shared" si="48"/>
        <v>13.883466666666667</v>
      </c>
      <c r="I1582" t="s">
        <v>179</v>
      </c>
      <c r="J1582" s="33" t="s">
        <v>489</v>
      </c>
      <c r="K1582" s="18">
        <v>550</v>
      </c>
      <c r="L1582" s="52">
        <f t="shared" si="49"/>
        <v>14.666666666666668</v>
      </c>
    </row>
    <row r="1583" spans="1:12">
      <c r="A1583" t="s">
        <v>592</v>
      </c>
      <c r="B1583" t="s">
        <v>349</v>
      </c>
      <c r="C1583" t="s">
        <v>350</v>
      </c>
      <c r="D1583" s="3" t="s">
        <v>23</v>
      </c>
      <c r="E1583" s="14">
        <v>0.02</v>
      </c>
      <c r="F1583" s="4" t="s">
        <v>176</v>
      </c>
      <c r="G1583" s="9">
        <v>740</v>
      </c>
      <c r="H1583" s="9">
        <f t="shared" si="48"/>
        <v>14.8</v>
      </c>
      <c r="I1583" t="s">
        <v>179</v>
      </c>
      <c r="J1583" s="33" t="s">
        <v>489</v>
      </c>
      <c r="K1583" s="18">
        <f>VLOOKUP(D1583,Ingredients!C:G,5,0)</f>
        <v>780</v>
      </c>
      <c r="L1583" s="52">
        <f t="shared" si="49"/>
        <v>15.6</v>
      </c>
    </row>
    <row r="1584" spans="1:12">
      <c r="A1584" t="s">
        <v>592</v>
      </c>
      <c r="B1584" t="s">
        <v>349</v>
      </c>
      <c r="C1584" t="s">
        <v>350</v>
      </c>
      <c r="D1584" s="3" t="s">
        <v>16</v>
      </c>
      <c r="E1584" s="14">
        <v>1.3333333333333334E-2</v>
      </c>
      <c r="F1584" s="4" t="s">
        <v>176</v>
      </c>
      <c r="G1584" s="9">
        <v>270</v>
      </c>
      <c r="H1584" s="9">
        <f t="shared" si="48"/>
        <v>3.6</v>
      </c>
      <c r="I1584" t="s">
        <v>179</v>
      </c>
      <c r="J1584" s="33" t="s">
        <v>489</v>
      </c>
      <c r="K1584" s="18">
        <f>VLOOKUP(D1584,Ingredients!C:G,5,0)</f>
        <v>310</v>
      </c>
      <c r="L1584" s="52">
        <f t="shared" si="49"/>
        <v>4.1333333333333337</v>
      </c>
    </row>
    <row r="1585" spans="1:12">
      <c r="A1585" t="s">
        <v>592</v>
      </c>
      <c r="B1585" t="s">
        <v>349</v>
      </c>
      <c r="C1585" t="s">
        <v>350</v>
      </c>
      <c r="D1585" s="3" t="s">
        <v>50</v>
      </c>
      <c r="E1585" s="14">
        <v>0.04</v>
      </c>
      <c r="F1585" s="4" t="s">
        <v>176</v>
      </c>
      <c r="G1585" s="9">
        <v>120</v>
      </c>
      <c r="H1585" s="9">
        <f t="shared" si="48"/>
        <v>4.8</v>
      </c>
      <c r="I1585" t="s">
        <v>179</v>
      </c>
      <c r="J1585" s="33" t="s">
        <v>489</v>
      </c>
      <c r="K1585" s="18">
        <f>VLOOKUP(D1585,Ingredients!C:G,5,0)</f>
        <v>120</v>
      </c>
      <c r="L1585" s="52">
        <f t="shared" si="49"/>
        <v>4.8</v>
      </c>
    </row>
    <row r="1586" spans="1:12">
      <c r="A1586" t="s">
        <v>592</v>
      </c>
      <c r="B1586" t="s">
        <v>349</v>
      </c>
      <c r="C1586" t="s">
        <v>350</v>
      </c>
      <c r="D1586" s="3" t="s">
        <v>29</v>
      </c>
      <c r="E1586" s="14">
        <v>1.3333333333333334E-2</v>
      </c>
      <c r="F1586" s="4" t="s">
        <v>176</v>
      </c>
      <c r="G1586" s="9">
        <v>60</v>
      </c>
      <c r="H1586" s="9">
        <f t="shared" si="48"/>
        <v>0.8</v>
      </c>
      <c r="I1586" t="s">
        <v>179</v>
      </c>
      <c r="J1586" s="33" t="s">
        <v>489</v>
      </c>
      <c r="K1586" s="18">
        <f>VLOOKUP(D1586,Ingredients!C:G,5,0)</f>
        <v>100</v>
      </c>
      <c r="L1586" s="52">
        <f t="shared" si="49"/>
        <v>1.3333333333333335</v>
      </c>
    </row>
    <row r="1587" spans="1:12">
      <c r="A1587" t="s">
        <v>592</v>
      </c>
      <c r="B1587" t="s">
        <v>349</v>
      </c>
      <c r="C1587" t="s">
        <v>350</v>
      </c>
      <c r="D1587" s="3" t="s">
        <v>933</v>
      </c>
      <c r="E1587" s="14">
        <v>0.53333333333333333</v>
      </c>
      <c r="F1587" s="4" t="s">
        <v>176</v>
      </c>
      <c r="G1587" s="9">
        <v>250</v>
      </c>
      <c r="H1587" s="9">
        <f t="shared" si="48"/>
        <v>133.33333333333334</v>
      </c>
      <c r="I1587" t="s">
        <v>179</v>
      </c>
      <c r="J1587" s="33" t="s">
        <v>489</v>
      </c>
      <c r="K1587" s="18">
        <f>VLOOKUP(D1587,Ingredients!C:G,5,0)</f>
        <v>265</v>
      </c>
      <c r="L1587" s="52">
        <f t="shared" si="49"/>
        <v>141.33333333333334</v>
      </c>
    </row>
    <row r="1588" spans="1:12">
      <c r="A1588" t="s">
        <v>592</v>
      </c>
      <c r="B1588" t="s">
        <v>349</v>
      </c>
      <c r="C1588" t="s">
        <v>350</v>
      </c>
      <c r="D1588" s="3" t="s">
        <v>28</v>
      </c>
      <c r="E1588" s="14">
        <v>0.08</v>
      </c>
      <c r="F1588" s="4" t="s">
        <v>176</v>
      </c>
      <c r="G1588" s="9">
        <v>85</v>
      </c>
      <c r="H1588" s="9">
        <f t="shared" si="48"/>
        <v>6.8</v>
      </c>
      <c r="I1588" t="s">
        <v>179</v>
      </c>
      <c r="J1588" s="33" t="s">
        <v>489</v>
      </c>
      <c r="K1588" s="18">
        <f>VLOOKUP(D1588,Ingredients!C:G,5,0)</f>
        <v>70</v>
      </c>
      <c r="L1588" s="52">
        <f t="shared" si="49"/>
        <v>5.6000000000000005</v>
      </c>
    </row>
    <row r="1589" spans="1:12">
      <c r="A1589" t="s">
        <v>592</v>
      </c>
      <c r="B1589" t="s">
        <v>349</v>
      </c>
      <c r="C1589" t="s">
        <v>350</v>
      </c>
      <c r="D1589" s="3" t="s">
        <v>29</v>
      </c>
      <c r="E1589" s="14">
        <v>1.3333333333333334E-2</v>
      </c>
      <c r="F1589" s="4" t="s">
        <v>176</v>
      </c>
      <c r="G1589" s="9">
        <v>60</v>
      </c>
      <c r="H1589" s="9">
        <f t="shared" si="48"/>
        <v>0.8</v>
      </c>
      <c r="I1589" t="s">
        <v>179</v>
      </c>
      <c r="J1589" s="33" t="s">
        <v>489</v>
      </c>
      <c r="K1589" s="18">
        <f>VLOOKUP(D1589,Ingredients!C:G,5,0)</f>
        <v>100</v>
      </c>
      <c r="L1589" s="52">
        <f t="shared" si="49"/>
        <v>1.3333333333333335</v>
      </c>
    </row>
    <row r="1590" spans="1:12">
      <c r="A1590" t="s">
        <v>592</v>
      </c>
      <c r="B1590" t="s">
        <v>349</v>
      </c>
      <c r="C1590" t="s">
        <v>350</v>
      </c>
      <c r="D1590" s="3" t="s">
        <v>24</v>
      </c>
      <c r="E1590" s="14">
        <v>1.3333333333333334E-2</v>
      </c>
      <c r="F1590" s="4" t="s">
        <v>176</v>
      </c>
      <c r="G1590" s="9">
        <v>55</v>
      </c>
      <c r="H1590" s="9">
        <f t="shared" si="48"/>
        <v>0.73333333333333339</v>
      </c>
      <c r="I1590" t="s">
        <v>179</v>
      </c>
      <c r="J1590" s="33" t="s">
        <v>489</v>
      </c>
      <c r="K1590" s="18">
        <f>VLOOKUP(D1590,Ingredients!C:G,5,0)</f>
        <v>80</v>
      </c>
      <c r="L1590" s="52">
        <f t="shared" si="49"/>
        <v>1.0666666666666667</v>
      </c>
    </row>
    <row r="1591" spans="1:12">
      <c r="A1591" t="s">
        <v>416</v>
      </c>
      <c r="B1591" t="s">
        <v>349</v>
      </c>
      <c r="C1591" t="s">
        <v>353</v>
      </c>
      <c r="D1591" s="3" t="s">
        <v>837</v>
      </c>
      <c r="E1591" s="14">
        <v>1</v>
      </c>
      <c r="F1591" s="4" t="s">
        <v>176</v>
      </c>
      <c r="G1591" s="9">
        <v>1700</v>
      </c>
      <c r="H1591" s="9">
        <f t="shared" si="48"/>
        <v>1700</v>
      </c>
      <c r="I1591" t="s">
        <v>179</v>
      </c>
      <c r="J1591" s="33" t="s">
        <v>514</v>
      </c>
      <c r="K1591" s="18">
        <f>VLOOKUP(D1591,Ingredients!C:G,5,0)</f>
        <v>1800</v>
      </c>
      <c r="L1591" s="52">
        <f t="shared" si="49"/>
        <v>1800</v>
      </c>
    </row>
    <row r="1592" spans="1:12">
      <c r="A1592" t="s">
        <v>416</v>
      </c>
      <c r="B1592" t="s">
        <v>349</v>
      </c>
      <c r="C1592" t="s">
        <v>353</v>
      </c>
      <c r="D1592" s="3" t="s">
        <v>884</v>
      </c>
      <c r="E1592" s="14">
        <v>1</v>
      </c>
      <c r="F1592" s="4" t="s">
        <v>176</v>
      </c>
      <c r="G1592" s="9">
        <v>344</v>
      </c>
      <c r="H1592" s="9">
        <f t="shared" si="48"/>
        <v>344</v>
      </c>
      <c r="I1592" t="s">
        <v>179</v>
      </c>
      <c r="J1592" s="33" t="s">
        <v>514</v>
      </c>
      <c r="K1592" s="18">
        <f>VLOOKUP(D1592,Ingredients!C:G,5,0)</f>
        <v>344</v>
      </c>
      <c r="L1592" s="52">
        <f t="shared" si="49"/>
        <v>344</v>
      </c>
    </row>
    <row r="1593" spans="1:12">
      <c r="A1593" t="s">
        <v>416</v>
      </c>
      <c r="B1593" t="s">
        <v>349</v>
      </c>
      <c r="C1593" t="s">
        <v>353</v>
      </c>
      <c r="D1593" s="3" t="s">
        <v>852</v>
      </c>
      <c r="E1593" s="14">
        <v>0.2</v>
      </c>
      <c r="F1593" s="4" t="s">
        <v>176</v>
      </c>
      <c r="G1593" s="9">
        <v>520.63</v>
      </c>
      <c r="H1593" s="9">
        <f t="shared" si="48"/>
        <v>104.126</v>
      </c>
      <c r="I1593" t="s">
        <v>179</v>
      </c>
      <c r="J1593" s="33" t="s">
        <v>514</v>
      </c>
      <c r="K1593" s="18">
        <v>550</v>
      </c>
      <c r="L1593" s="52">
        <f t="shared" si="49"/>
        <v>110</v>
      </c>
    </row>
    <row r="1594" spans="1:12">
      <c r="A1594" t="s">
        <v>416</v>
      </c>
      <c r="B1594" t="s">
        <v>349</v>
      </c>
      <c r="C1594" t="s">
        <v>353</v>
      </c>
      <c r="D1594" s="3" t="s">
        <v>855</v>
      </c>
      <c r="E1594" s="14">
        <v>0.01</v>
      </c>
      <c r="F1594" s="4" t="s">
        <v>179</v>
      </c>
      <c r="G1594" s="9">
        <v>2400</v>
      </c>
      <c r="H1594" s="9">
        <f t="shared" si="48"/>
        <v>24</v>
      </c>
      <c r="I1594" t="s">
        <v>179</v>
      </c>
      <c r="J1594" s="33" t="s">
        <v>514</v>
      </c>
      <c r="K1594" s="18">
        <f>VLOOKUP(D1594,Ingredients!C:G,5,0)</f>
        <v>1600</v>
      </c>
      <c r="L1594" s="52">
        <f t="shared" si="49"/>
        <v>16</v>
      </c>
    </row>
    <row r="1595" spans="1:12">
      <c r="A1595" t="s">
        <v>416</v>
      </c>
      <c r="B1595" t="s">
        <v>349</v>
      </c>
      <c r="C1595" t="s">
        <v>353</v>
      </c>
      <c r="D1595" s="3" t="s">
        <v>887</v>
      </c>
      <c r="E1595" s="14">
        <v>5.0000000000000001E-3</v>
      </c>
      <c r="F1595" s="4" t="s">
        <v>179</v>
      </c>
      <c r="G1595" s="9">
        <v>1600</v>
      </c>
      <c r="H1595" s="9">
        <f t="shared" si="48"/>
        <v>8</v>
      </c>
      <c r="I1595" t="s">
        <v>179</v>
      </c>
      <c r="J1595" s="33" t="s">
        <v>514</v>
      </c>
      <c r="K1595" s="18">
        <f>VLOOKUP(D1595,Ingredients!C:G,5,0)</f>
        <v>1830</v>
      </c>
      <c r="L1595" s="52">
        <f t="shared" si="49"/>
        <v>9.15</v>
      </c>
    </row>
    <row r="1596" spans="1:12">
      <c r="A1596" t="s">
        <v>416</v>
      </c>
      <c r="B1596" t="s">
        <v>349</v>
      </c>
      <c r="C1596" t="s">
        <v>353</v>
      </c>
      <c r="D1596" s="3" t="s">
        <v>867</v>
      </c>
      <c r="E1596" s="14">
        <v>2.5000000000000001E-3</v>
      </c>
      <c r="F1596" s="4" t="s">
        <v>179</v>
      </c>
      <c r="G1596" s="9">
        <v>900</v>
      </c>
      <c r="H1596" s="9">
        <f t="shared" si="48"/>
        <v>2.25</v>
      </c>
      <c r="I1596" t="s">
        <v>179</v>
      </c>
      <c r="J1596" s="33" t="s">
        <v>514</v>
      </c>
      <c r="K1596" s="18">
        <f>VLOOKUP(D1596,Ingredients!C:G,5,0)</f>
        <v>950</v>
      </c>
      <c r="L1596" s="52">
        <f t="shared" si="49"/>
        <v>2.375</v>
      </c>
    </row>
    <row r="1597" spans="1:12">
      <c r="A1597" t="s">
        <v>416</v>
      </c>
      <c r="B1597" t="s">
        <v>349</v>
      </c>
      <c r="C1597" t="s">
        <v>353</v>
      </c>
      <c r="D1597" s="3" t="s">
        <v>860</v>
      </c>
      <c r="E1597" s="14">
        <v>2.5000000000000001E-3</v>
      </c>
      <c r="F1597" s="4" t="s">
        <v>179</v>
      </c>
      <c r="G1597" s="9">
        <v>2000</v>
      </c>
      <c r="H1597" s="9">
        <f t="shared" si="48"/>
        <v>5</v>
      </c>
      <c r="I1597" t="s">
        <v>179</v>
      </c>
      <c r="J1597" s="33" t="s">
        <v>514</v>
      </c>
      <c r="K1597" s="18">
        <f>VLOOKUP(D1597,Ingredients!C:G,5,0)</f>
        <v>1900</v>
      </c>
      <c r="L1597" s="52">
        <f t="shared" si="49"/>
        <v>4.75</v>
      </c>
    </row>
    <row r="1598" spans="1:12">
      <c r="A1598" t="s">
        <v>416</v>
      </c>
      <c r="B1598" t="s">
        <v>349</v>
      </c>
      <c r="C1598" t="s">
        <v>353</v>
      </c>
      <c r="D1598" s="3" t="s">
        <v>879</v>
      </c>
      <c r="E1598" s="14">
        <v>2.5000000000000001E-3</v>
      </c>
      <c r="F1598" s="4" t="s">
        <v>179</v>
      </c>
      <c r="G1598" s="9">
        <v>1113.51</v>
      </c>
      <c r="H1598" s="9">
        <f t="shared" ref="H1598:H1661" si="50">G1598*E1598</f>
        <v>2.7837749999999999</v>
      </c>
      <c r="I1598" t="s">
        <v>179</v>
      </c>
      <c r="J1598" s="33" t="s">
        <v>514</v>
      </c>
      <c r="K1598" s="18">
        <f>VLOOKUP(D1598,Ingredients!C:G,5,0)</f>
        <v>1066.33</v>
      </c>
      <c r="L1598" s="52">
        <f t="shared" si="49"/>
        <v>2.6658249999999999</v>
      </c>
    </row>
    <row r="1599" spans="1:12">
      <c r="A1599" t="s">
        <v>416</v>
      </c>
      <c r="B1599" t="s">
        <v>349</v>
      </c>
      <c r="C1599" t="s">
        <v>353</v>
      </c>
      <c r="D1599" s="3" t="s">
        <v>853</v>
      </c>
      <c r="E1599" s="14">
        <v>0.05</v>
      </c>
      <c r="F1599" s="4" t="s">
        <v>179</v>
      </c>
      <c r="G1599" s="9">
        <v>30</v>
      </c>
      <c r="H1599" s="9">
        <f t="shared" si="50"/>
        <v>1.5</v>
      </c>
      <c r="I1599" t="s">
        <v>179</v>
      </c>
      <c r="J1599" s="33" t="s">
        <v>514</v>
      </c>
      <c r="K1599" s="18">
        <f>VLOOKUP(D1599,Ingredients!C:G,5,0)</f>
        <v>55</v>
      </c>
      <c r="L1599" s="52">
        <f t="shared" si="49"/>
        <v>2.75</v>
      </c>
    </row>
    <row r="1600" spans="1:12">
      <c r="A1600" t="s">
        <v>416</v>
      </c>
      <c r="B1600" t="s">
        <v>349</v>
      </c>
      <c r="C1600" t="s">
        <v>353</v>
      </c>
      <c r="D1600" s="3" t="s">
        <v>927</v>
      </c>
      <c r="E1600" s="14">
        <v>0.05</v>
      </c>
      <c r="F1600" s="4" t="s">
        <v>179</v>
      </c>
      <c r="G1600" s="9">
        <v>600</v>
      </c>
      <c r="H1600" s="9">
        <f t="shared" si="50"/>
        <v>30</v>
      </c>
      <c r="I1600" t="s">
        <v>179</v>
      </c>
      <c r="J1600" s="33" t="s">
        <v>514</v>
      </c>
      <c r="K1600" s="18">
        <f>VLOOKUP(D1600,Ingredients!C:G,5,0)</f>
        <v>600</v>
      </c>
      <c r="L1600" s="52">
        <f t="shared" si="49"/>
        <v>30</v>
      </c>
    </row>
    <row r="1601" spans="1:12">
      <c r="A1601" t="s">
        <v>416</v>
      </c>
      <c r="B1601" t="s">
        <v>349</v>
      </c>
      <c r="C1601" t="s">
        <v>353</v>
      </c>
      <c r="D1601" s="3" t="s">
        <v>24</v>
      </c>
      <c r="E1601" s="14">
        <v>0.05</v>
      </c>
      <c r="F1601" s="4" t="s">
        <v>179</v>
      </c>
      <c r="G1601" s="9">
        <v>55</v>
      </c>
      <c r="H1601" s="9">
        <f t="shared" si="50"/>
        <v>2.75</v>
      </c>
      <c r="I1601" t="s">
        <v>179</v>
      </c>
      <c r="J1601" s="33" t="s">
        <v>514</v>
      </c>
      <c r="K1601" s="18">
        <f>VLOOKUP(D1601,Ingredients!C:G,5,0)</f>
        <v>80</v>
      </c>
      <c r="L1601" s="52">
        <f t="shared" si="49"/>
        <v>4</v>
      </c>
    </row>
    <row r="1602" spans="1:12">
      <c r="A1602" t="s">
        <v>416</v>
      </c>
      <c r="B1602" t="s">
        <v>349</v>
      </c>
      <c r="C1602" t="s">
        <v>353</v>
      </c>
      <c r="D1602" s="3" t="s">
        <v>15</v>
      </c>
      <c r="E1602" s="14">
        <v>2.5000000000000001E-2</v>
      </c>
      <c r="F1602" s="4" t="s">
        <v>179</v>
      </c>
      <c r="G1602" s="9">
        <v>130</v>
      </c>
      <c r="H1602" s="9">
        <f t="shared" si="50"/>
        <v>3.25</v>
      </c>
      <c r="I1602" t="s">
        <v>179</v>
      </c>
      <c r="J1602" s="33" t="s">
        <v>514</v>
      </c>
      <c r="K1602" s="18">
        <f>VLOOKUP(D1602,Ingredients!C:G,5,0)</f>
        <v>90</v>
      </c>
      <c r="L1602" s="52">
        <f t="shared" si="49"/>
        <v>2.25</v>
      </c>
    </row>
    <row r="1603" spans="1:12">
      <c r="A1603" t="s">
        <v>416</v>
      </c>
      <c r="B1603" t="s">
        <v>349</v>
      </c>
      <c r="C1603" t="s">
        <v>353</v>
      </c>
      <c r="D1603" s="3" t="s">
        <v>924</v>
      </c>
      <c r="E1603" s="14">
        <v>2.5000000000000001E-2</v>
      </c>
      <c r="F1603" s="4" t="s">
        <v>179</v>
      </c>
      <c r="G1603" s="9">
        <v>850</v>
      </c>
      <c r="H1603" s="9">
        <f t="shared" si="50"/>
        <v>21.25</v>
      </c>
      <c r="I1603" t="s">
        <v>179</v>
      </c>
      <c r="J1603" s="33" t="s">
        <v>514</v>
      </c>
      <c r="K1603" s="18">
        <f>VLOOKUP(D1603,Ingredients!C:G,5,0)</f>
        <v>720</v>
      </c>
      <c r="L1603" s="52">
        <f t="shared" si="49"/>
        <v>18</v>
      </c>
    </row>
    <row r="1604" spans="1:12">
      <c r="A1604" t="s">
        <v>417</v>
      </c>
      <c r="B1604" t="s">
        <v>349</v>
      </c>
      <c r="C1604" t="s">
        <v>352</v>
      </c>
      <c r="D1604" s="3" t="s">
        <v>837</v>
      </c>
      <c r="E1604" s="14">
        <v>1</v>
      </c>
      <c r="F1604" s="4" t="s">
        <v>176</v>
      </c>
      <c r="G1604" s="9">
        <v>1700</v>
      </c>
      <c r="H1604" s="9">
        <f t="shared" si="50"/>
        <v>1700</v>
      </c>
      <c r="I1604" t="s">
        <v>179</v>
      </c>
      <c r="J1604" s="33" t="s">
        <v>514</v>
      </c>
      <c r="K1604" s="18">
        <f>VLOOKUP(D1604,Ingredients!C:G,5,0)</f>
        <v>1800</v>
      </c>
      <c r="L1604" s="52">
        <f t="shared" ref="L1604:L1667" si="51">K1604*E1604</f>
        <v>1800</v>
      </c>
    </row>
    <row r="1605" spans="1:12">
      <c r="A1605" t="s">
        <v>417</v>
      </c>
      <c r="B1605" t="s">
        <v>349</v>
      </c>
      <c r="C1605" t="s">
        <v>352</v>
      </c>
      <c r="D1605" s="3" t="s">
        <v>852</v>
      </c>
      <c r="E1605" s="14">
        <v>0.2</v>
      </c>
      <c r="F1605" s="4" t="s">
        <v>176</v>
      </c>
      <c r="G1605" s="9">
        <v>520.63</v>
      </c>
      <c r="H1605" s="9">
        <f t="shared" si="50"/>
        <v>104.126</v>
      </c>
      <c r="I1605" t="s">
        <v>179</v>
      </c>
      <c r="J1605" s="33" t="s">
        <v>514</v>
      </c>
      <c r="K1605" s="18">
        <v>550</v>
      </c>
      <c r="L1605" s="52">
        <f t="shared" si="51"/>
        <v>110</v>
      </c>
    </row>
    <row r="1606" spans="1:12">
      <c r="A1606" t="s">
        <v>417</v>
      </c>
      <c r="B1606" t="s">
        <v>349</v>
      </c>
      <c r="C1606" t="s">
        <v>352</v>
      </c>
      <c r="D1606" s="3" t="s">
        <v>867</v>
      </c>
      <c r="E1606" s="14">
        <v>1.0999999999999999E-2</v>
      </c>
      <c r="F1606" s="4" t="s">
        <v>179</v>
      </c>
      <c r="G1606" s="9">
        <v>900</v>
      </c>
      <c r="H1606" s="9">
        <f t="shared" si="50"/>
        <v>9.8999999999999986</v>
      </c>
      <c r="I1606" t="s">
        <v>179</v>
      </c>
      <c r="J1606" s="33" t="s">
        <v>514</v>
      </c>
      <c r="K1606" s="18">
        <f>VLOOKUP(D1606,Ingredients!C:G,5,0)</f>
        <v>950</v>
      </c>
      <c r="L1606" s="52">
        <f t="shared" si="51"/>
        <v>10.45</v>
      </c>
    </row>
    <row r="1607" spans="1:12">
      <c r="A1607" t="s">
        <v>417</v>
      </c>
      <c r="B1607" t="s">
        <v>349</v>
      </c>
      <c r="C1607" t="s">
        <v>352</v>
      </c>
      <c r="D1607" s="3" t="s">
        <v>853</v>
      </c>
      <c r="E1607" s="14">
        <v>5.0000000000000001E-3</v>
      </c>
      <c r="F1607" s="4" t="s">
        <v>179</v>
      </c>
      <c r="G1607" s="9">
        <v>30</v>
      </c>
      <c r="H1607" s="9">
        <f t="shared" si="50"/>
        <v>0.15</v>
      </c>
      <c r="I1607" t="s">
        <v>179</v>
      </c>
      <c r="J1607" s="33" t="s">
        <v>514</v>
      </c>
      <c r="K1607" s="18">
        <f>VLOOKUP(D1607,Ingredients!C:G,5,0)</f>
        <v>55</v>
      </c>
      <c r="L1607" s="52">
        <f t="shared" si="51"/>
        <v>0.27500000000000002</v>
      </c>
    </row>
    <row r="1608" spans="1:12">
      <c r="A1608" t="s">
        <v>417</v>
      </c>
      <c r="B1608" t="s">
        <v>349</v>
      </c>
      <c r="C1608" t="s">
        <v>352</v>
      </c>
      <c r="D1608" s="3" t="s">
        <v>880</v>
      </c>
      <c r="E1608" s="14">
        <v>2E-3</v>
      </c>
      <c r="F1608" s="4" t="s">
        <v>179</v>
      </c>
      <c r="G1608" s="9">
        <v>650</v>
      </c>
      <c r="H1608" s="9">
        <f t="shared" si="50"/>
        <v>1.3</v>
      </c>
      <c r="I1608" t="s">
        <v>179</v>
      </c>
      <c r="J1608" s="33" t="s">
        <v>514</v>
      </c>
      <c r="K1608" s="18">
        <f>VLOOKUP(D1608,Ingredients!C:G,5,0)</f>
        <v>520</v>
      </c>
      <c r="L1608" s="52">
        <f t="shared" si="51"/>
        <v>1.04</v>
      </c>
    </row>
    <row r="1609" spans="1:12">
      <c r="A1609" t="s">
        <v>417</v>
      </c>
      <c r="B1609" t="s">
        <v>349</v>
      </c>
      <c r="C1609" t="s">
        <v>352</v>
      </c>
      <c r="D1609" s="3" t="s">
        <v>895</v>
      </c>
      <c r="E1609" s="14">
        <v>3.0000000000000001E-3</v>
      </c>
      <c r="F1609" s="4" t="s">
        <v>315</v>
      </c>
      <c r="G1609" s="9">
        <v>400</v>
      </c>
      <c r="H1609" s="9">
        <f t="shared" si="50"/>
        <v>1.2</v>
      </c>
      <c r="I1609" t="s">
        <v>179</v>
      </c>
      <c r="J1609" s="33" t="s">
        <v>514</v>
      </c>
      <c r="K1609" s="18">
        <f>VLOOKUP(D1609,Ingredients!C:G,5,0)</f>
        <v>400</v>
      </c>
      <c r="L1609" s="52">
        <f t="shared" si="51"/>
        <v>1.2</v>
      </c>
    </row>
    <row r="1610" spans="1:12">
      <c r="A1610" t="s">
        <v>417</v>
      </c>
      <c r="B1610" t="s">
        <v>349</v>
      </c>
      <c r="C1610" t="s">
        <v>352</v>
      </c>
      <c r="D1610" s="3" t="s">
        <v>860</v>
      </c>
      <c r="E1610" s="14">
        <v>2E-3</v>
      </c>
      <c r="F1610" s="4" t="s">
        <v>179</v>
      </c>
      <c r="G1610" s="9">
        <v>2000</v>
      </c>
      <c r="H1610" s="9">
        <f t="shared" si="50"/>
        <v>4</v>
      </c>
      <c r="I1610" t="s">
        <v>179</v>
      </c>
      <c r="J1610" s="33" t="s">
        <v>514</v>
      </c>
      <c r="K1610" s="18">
        <f>VLOOKUP(D1610,Ingredients!C:G,5,0)</f>
        <v>1900</v>
      </c>
      <c r="L1610" s="52">
        <f t="shared" si="51"/>
        <v>3.8000000000000003</v>
      </c>
    </row>
    <row r="1611" spans="1:12">
      <c r="A1611" t="s">
        <v>417</v>
      </c>
      <c r="B1611" t="s">
        <v>349</v>
      </c>
      <c r="C1611" t="s">
        <v>352</v>
      </c>
      <c r="D1611" s="3" t="s">
        <v>955</v>
      </c>
      <c r="E1611" s="14">
        <v>1E-3</v>
      </c>
      <c r="F1611" s="4" t="s">
        <v>179</v>
      </c>
      <c r="G1611" s="9">
        <v>3600</v>
      </c>
      <c r="H1611" s="9">
        <f t="shared" si="50"/>
        <v>3.6</v>
      </c>
      <c r="I1611" t="s">
        <v>179</v>
      </c>
      <c r="J1611" s="33" t="s">
        <v>514</v>
      </c>
      <c r="K1611" s="18">
        <f>VLOOKUP(D1611,Ingredients!C:G,5,0)</f>
        <v>3400</v>
      </c>
      <c r="L1611" s="52">
        <f t="shared" si="51"/>
        <v>3.4</v>
      </c>
    </row>
    <row r="1612" spans="1:12">
      <c r="A1612" t="s">
        <v>417</v>
      </c>
      <c r="B1612" t="s">
        <v>349</v>
      </c>
      <c r="C1612" t="s">
        <v>352</v>
      </c>
      <c r="D1612" s="3" t="s">
        <v>928</v>
      </c>
      <c r="E1612" s="14">
        <v>1E-3</v>
      </c>
      <c r="F1612" s="4" t="s">
        <v>179</v>
      </c>
      <c r="G1612" s="9">
        <v>850</v>
      </c>
      <c r="H1612" s="9">
        <f t="shared" si="50"/>
        <v>0.85</v>
      </c>
      <c r="I1612" t="s">
        <v>179</v>
      </c>
      <c r="J1612" s="33" t="s">
        <v>514</v>
      </c>
      <c r="K1612" s="18">
        <f>VLOOKUP(D1612,Ingredients!C:G,5,0)</f>
        <v>900</v>
      </c>
      <c r="L1612" s="52">
        <f t="shared" si="51"/>
        <v>0.9</v>
      </c>
    </row>
    <row r="1613" spans="1:12">
      <c r="A1613" t="s">
        <v>417</v>
      </c>
      <c r="B1613" t="s">
        <v>349</v>
      </c>
      <c r="C1613" t="s">
        <v>352</v>
      </c>
      <c r="D1613" s="3" t="s">
        <v>864</v>
      </c>
      <c r="E1613" s="14">
        <v>3.0000000000000001E-3</v>
      </c>
      <c r="F1613" s="4" t="s">
        <v>179</v>
      </c>
      <c r="G1613" s="9">
        <v>1400</v>
      </c>
      <c r="H1613" s="9">
        <f t="shared" si="50"/>
        <v>4.2</v>
      </c>
      <c r="I1613" t="s">
        <v>179</v>
      </c>
      <c r="J1613" s="33" t="s">
        <v>514</v>
      </c>
      <c r="K1613" s="18">
        <f>VLOOKUP(D1613,Ingredients!C:G,5,0)</f>
        <v>1400</v>
      </c>
      <c r="L1613" s="52">
        <f t="shared" si="51"/>
        <v>4.2</v>
      </c>
    </row>
    <row r="1614" spans="1:12">
      <c r="A1614" t="s">
        <v>417</v>
      </c>
      <c r="B1614" t="s">
        <v>349</v>
      </c>
      <c r="C1614" t="s">
        <v>352</v>
      </c>
      <c r="D1614" s="3" t="s">
        <v>935</v>
      </c>
      <c r="E1614" s="14">
        <v>0.5</v>
      </c>
      <c r="F1614" s="4" t="s">
        <v>176</v>
      </c>
      <c r="G1614" s="9">
        <v>230</v>
      </c>
      <c r="H1614" s="9">
        <f t="shared" si="50"/>
        <v>115</v>
      </c>
      <c r="I1614" t="s">
        <v>179</v>
      </c>
      <c r="J1614" s="33" t="s">
        <v>514</v>
      </c>
      <c r="K1614" s="18">
        <f>VLOOKUP(D1614,Ingredients!C:G,5,0)</f>
        <v>210</v>
      </c>
      <c r="L1614" s="52">
        <f t="shared" si="51"/>
        <v>105</v>
      </c>
    </row>
    <row r="1615" spans="1:12">
      <c r="A1615" t="s">
        <v>417</v>
      </c>
      <c r="B1615" t="s">
        <v>349</v>
      </c>
      <c r="C1615" t="s">
        <v>352</v>
      </c>
      <c r="D1615" s="3" t="s">
        <v>23</v>
      </c>
      <c r="E1615" s="14">
        <v>5.0000000000000001E-3</v>
      </c>
      <c r="F1615" s="4" t="s">
        <v>179</v>
      </c>
      <c r="G1615" s="9">
        <v>740</v>
      </c>
      <c r="H1615" s="9">
        <f t="shared" si="50"/>
        <v>3.7</v>
      </c>
      <c r="I1615" t="s">
        <v>179</v>
      </c>
      <c r="J1615" s="33" t="s">
        <v>514</v>
      </c>
      <c r="K1615" s="18">
        <f>VLOOKUP(D1615,Ingredients!C:G,5,0)</f>
        <v>780</v>
      </c>
      <c r="L1615" s="52">
        <f t="shared" si="51"/>
        <v>3.9</v>
      </c>
    </row>
    <row r="1616" spans="1:12">
      <c r="A1616" t="s">
        <v>417</v>
      </c>
      <c r="B1616" t="s">
        <v>349</v>
      </c>
      <c r="C1616" t="s">
        <v>352</v>
      </c>
      <c r="D1616" s="3" t="s">
        <v>24</v>
      </c>
      <c r="E1616" s="14">
        <v>0.2</v>
      </c>
      <c r="F1616" s="4" t="s">
        <v>176</v>
      </c>
      <c r="G1616" s="9">
        <v>55</v>
      </c>
      <c r="H1616" s="9">
        <f t="shared" si="50"/>
        <v>11</v>
      </c>
      <c r="I1616" t="s">
        <v>179</v>
      </c>
      <c r="J1616" s="33" t="s">
        <v>514</v>
      </c>
      <c r="K1616" s="18">
        <f>VLOOKUP(D1616,Ingredients!C:G,5,0)</f>
        <v>80</v>
      </c>
      <c r="L1616" s="52">
        <f t="shared" si="51"/>
        <v>16</v>
      </c>
    </row>
    <row r="1617" spans="1:12">
      <c r="A1617" t="s">
        <v>417</v>
      </c>
      <c r="B1617" t="s">
        <v>349</v>
      </c>
      <c r="C1617" t="s">
        <v>352</v>
      </c>
      <c r="D1617" s="3" t="s">
        <v>28</v>
      </c>
      <c r="E1617" s="14">
        <v>0.25</v>
      </c>
      <c r="F1617" s="4" t="s">
        <v>176</v>
      </c>
      <c r="G1617" s="9">
        <v>85</v>
      </c>
      <c r="H1617" s="9">
        <f t="shared" si="50"/>
        <v>21.25</v>
      </c>
      <c r="I1617" t="s">
        <v>179</v>
      </c>
      <c r="J1617" s="33" t="s">
        <v>514</v>
      </c>
      <c r="K1617" s="18">
        <f>VLOOKUP(D1617,Ingredients!C:G,5,0)</f>
        <v>70</v>
      </c>
      <c r="L1617" s="52">
        <f t="shared" si="51"/>
        <v>17.5</v>
      </c>
    </row>
    <row r="1618" spans="1:12">
      <c r="A1618" t="s">
        <v>418</v>
      </c>
      <c r="B1618" t="s">
        <v>349</v>
      </c>
      <c r="C1618" t="s">
        <v>352</v>
      </c>
      <c r="D1618" s="3" t="s">
        <v>833</v>
      </c>
      <c r="E1618" s="14">
        <v>1</v>
      </c>
      <c r="F1618" s="4" t="s">
        <v>176</v>
      </c>
      <c r="G1618" s="9">
        <v>1020</v>
      </c>
      <c r="H1618" s="9">
        <f t="shared" si="50"/>
        <v>1020</v>
      </c>
      <c r="I1618" t="s">
        <v>179</v>
      </c>
      <c r="J1618" s="33" t="s">
        <v>490</v>
      </c>
      <c r="K1618" s="18">
        <f>VLOOKUP(D1618,Ingredients!C:G,5,0)</f>
        <v>1000</v>
      </c>
      <c r="L1618" s="52">
        <f t="shared" si="51"/>
        <v>1000</v>
      </c>
    </row>
    <row r="1619" spans="1:12">
      <c r="A1619" t="s">
        <v>418</v>
      </c>
      <c r="B1619" t="s">
        <v>349</v>
      </c>
      <c r="C1619" t="s">
        <v>352</v>
      </c>
      <c r="D1619" s="3" t="s">
        <v>852</v>
      </c>
      <c r="E1619" s="14">
        <v>0.2</v>
      </c>
      <c r="F1619" s="4" t="s">
        <v>176</v>
      </c>
      <c r="G1619" s="9">
        <v>520.63</v>
      </c>
      <c r="H1619" s="9">
        <f t="shared" si="50"/>
        <v>104.126</v>
      </c>
      <c r="I1619" t="s">
        <v>179</v>
      </c>
      <c r="J1619" s="33" t="s">
        <v>490</v>
      </c>
      <c r="K1619" s="18">
        <v>550</v>
      </c>
      <c r="L1619" s="52">
        <f t="shared" si="51"/>
        <v>110</v>
      </c>
    </row>
    <row r="1620" spans="1:12">
      <c r="A1620" t="s">
        <v>418</v>
      </c>
      <c r="B1620" t="s">
        <v>349</v>
      </c>
      <c r="C1620" t="s">
        <v>352</v>
      </c>
      <c r="D1620" s="3" t="s">
        <v>867</v>
      </c>
      <c r="E1620" s="14">
        <v>0.01</v>
      </c>
      <c r="F1620" s="4" t="s">
        <v>179</v>
      </c>
      <c r="G1620" s="9">
        <v>900</v>
      </c>
      <c r="H1620" s="9">
        <f t="shared" si="50"/>
        <v>9</v>
      </c>
      <c r="I1620" t="s">
        <v>179</v>
      </c>
      <c r="J1620" s="33" t="s">
        <v>490</v>
      </c>
      <c r="K1620" s="18">
        <f>VLOOKUP(D1620,Ingredients!C:G,5,0)</f>
        <v>950</v>
      </c>
      <c r="L1620" s="52">
        <f t="shared" si="51"/>
        <v>9.5</v>
      </c>
    </row>
    <row r="1621" spans="1:12">
      <c r="A1621" t="s">
        <v>418</v>
      </c>
      <c r="B1621" t="s">
        <v>349</v>
      </c>
      <c r="C1621" t="s">
        <v>352</v>
      </c>
      <c r="D1621" s="3" t="s">
        <v>853</v>
      </c>
      <c r="E1621" s="14">
        <v>4.0000000000000001E-3</v>
      </c>
      <c r="F1621" s="4" t="s">
        <v>179</v>
      </c>
      <c r="G1621" s="9">
        <v>30</v>
      </c>
      <c r="H1621" s="9">
        <f t="shared" si="50"/>
        <v>0.12</v>
      </c>
      <c r="I1621" t="s">
        <v>179</v>
      </c>
      <c r="J1621" s="33" t="s">
        <v>490</v>
      </c>
      <c r="K1621" s="18">
        <f>VLOOKUP(D1621,Ingredients!C:G,5,0)</f>
        <v>55</v>
      </c>
      <c r="L1621" s="52">
        <f t="shared" si="51"/>
        <v>0.22</v>
      </c>
    </row>
    <row r="1622" spans="1:12">
      <c r="A1622" t="s">
        <v>418</v>
      </c>
      <c r="B1622" t="s">
        <v>349</v>
      </c>
      <c r="C1622" t="s">
        <v>352</v>
      </c>
      <c r="D1622" s="3" t="s">
        <v>880</v>
      </c>
      <c r="E1622" s="14">
        <v>2E-3</v>
      </c>
      <c r="F1622" s="4" t="s">
        <v>179</v>
      </c>
      <c r="G1622" s="9">
        <v>650</v>
      </c>
      <c r="H1622" s="9">
        <f t="shared" si="50"/>
        <v>1.3</v>
      </c>
      <c r="I1622" t="s">
        <v>179</v>
      </c>
      <c r="J1622" s="33" t="s">
        <v>490</v>
      </c>
      <c r="K1622" s="18">
        <f>VLOOKUP(D1622,Ingredients!C:G,5,0)</f>
        <v>520</v>
      </c>
      <c r="L1622" s="52">
        <f t="shared" si="51"/>
        <v>1.04</v>
      </c>
    </row>
    <row r="1623" spans="1:12">
      <c r="A1623" t="s">
        <v>418</v>
      </c>
      <c r="B1623" t="s">
        <v>349</v>
      </c>
      <c r="C1623" t="s">
        <v>352</v>
      </c>
      <c r="D1623" s="3" t="s">
        <v>23</v>
      </c>
      <c r="E1623" s="14">
        <v>4.0000000000000001E-3</v>
      </c>
      <c r="F1623" s="4" t="s">
        <v>179</v>
      </c>
      <c r="G1623" s="9">
        <v>740</v>
      </c>
      <c r="H1623" s="9">
        <f t="shared" si="50"/>
        <v>2.96</v>
      </c>
      <c r="I1623" t="s">
        <v>179</v>
      </c>
      <c r="J1623" s="33" t="s">
        <v>490</v>
      </c>
      <c r="K1623" s="18">
        <f>VLOOKUP(D1623,Ingredients!C:G,5,0)</f>
        <v>780</v>
      </c>
      <c r="L1623" s="52">
        <f t="shared" si="51"/>
        <v>3.12</v>
      </c>
    </row>
    <row r="1624" spans="1:12">
      <c r="A1624" t="s">
        <v>418</v>
      </c>
      <c r="B1624" t="s">
        <v>349</v>
      </c>
      <c r="C1624" t="s">
        <v>352</v>
      </c>
      <c r="D1624" s="3" t="s">
        <v>860</v>
      </c>
      <c r="E1624" s="14">
        <v>2E-3</v>
      </c>
      <c r="F1624" s="4" t="s">
        <v>179</v>
      </c>
      <c r="G1624" s="9">
        <v>2000</v>
      </c>
      <c r="H1624" s="9">
        <f t="shared" si="50"/>
        <v>4</v>
      </c>
      <c r="I1624" t="s">
        <v>179</v>
      </c>
      <c r="J1624" s="33" t="s">
        <v>490</v>
      </c>
      <c r="K1624" s="18">
        <f>VLOOKUP(D1624,Ingredients!C:G,5,0)</f>
        <v>1900</v>
      </c>
      <c r="L1624" s="52">
        <f t="shared" si="51"/>
        <v>3.8000000000000003</v>
      </c>
    </row>
    <row r="1625" spans="1:12">
      <c r="A1625" t="s">
        <v>418</v>
      </c>
      <c r="B1625" t="s">
        <v>349</v>
      </c>
      <c r="C1625" t="s">
        <v>352</v>
      </c>
      <c r="D1625" s="3" t="s">
        <v>73</v>
      </c>
      <c r="E1625" s="14">
        <v>0.1</v>
      </c>
      <c r="F1625" s="4" t="s">
        <v>176</v>
      </c>
      <c r="G1625" s="9">
        <v>305</v>
      </c>
      <c r="H1625" s="9">
        <f t="shared" si="50"/>
        <v>30.5</v>
      </c>
      <c r="I1625" t="s">
        <v>179</v>
      </c>
      <c r="J1625" s="33" t="s">
        <v>490</v>
      </c>
      <c r="K1625" s="18">
        <f>VLOOKUP(D1625,Ingredients!C:G,5,0)</f>
        <v>300</v>
      </c>
      <c r="L1625" s="52">
        <f t="shared" si="51"/>
        <v>30</v>
      </c>
    </row>
    <row r="1626" spans="1:12">
      <c r="A1626" t="s">
        <v>418</v>
      </c>
      <c r="B1626" t="s">
        <v>349</v>
      </c>
      <c r="C1626" t="s">
        <v>352</v>
      </c>
      <c r="D1626" s="3" t="s">
        <v>915</v>
      </c>
      <c r="E1626" s="14">
        <v>1E-3</v>
      </c>
      <c r="F1626" s="4" t="s">
        <v>179</v>
      </c>
      <c r="G1626" s="9">
        <v>5000</v>
      </c>
      <c r="H1626" s="9">
        <f t="shared" si="50"/>
        <v>5</v>
      </c>
      <c r="I1626" t="s">
        <v>179</v>
      </c>
      <c r="J1626" s="33" t="s">
        <v>490</v>
      </c>
      <c r="K1626" s="18">
        <f>VLOOKUP(D1626,Ingredients!C:G,5,0)</f>
        <v>3200</v>
      </c>
      <c r="L1626" s="52">
        <f t="shared" si="51"/>
        <v>3.2</v>
      </c>
    </row>
    <row r="1627" spans="1:12">
      <c r="A1627" t="s">
        <v>418</v>
      </c>
      <c r="B1627" t="s">
        <v>349</v>
      </c>
      <c r="C1627" t="s">
        <v>352</v>
      </c>
      <c r="D1627" s="3" t="s">
        <v>955</v>
      </c>
      <c r="E1627" s="14">
        <v>1E-3</v>
      </c>
      <c r="F1627" s="4" t="s">
        <v>179</v>
      </c>
      <c r="G1627" s="9">
        <v>3600</v>
      </c>
      <c r="H1627" s="9">
        <f t="shared" si="50"/>
        <v>3.6</v>
      </c>
      <c r="I1627" t="s">
        <v>179</v>
      </c>
      <c r="J1627" s="33" t="s">
        <v>490</v>
      </c>
      <c r="K1627" s="18">
        <f>VLOOKUP(D1627,Ingredients!C:G,5,0)</f>
        <v>3400</v>
      </c>
      <c r="L1627" s="52">
        <f t="shared" si="51"/>
        <v>3.4</v>
      </c>
    </row>
    <row r="1628" spans="1:12">
      <c r="A1628" t="s">
        <v>418</v>
      </c>
      <c r="B1628" t="s">
        <v>349</v>
      </c>
      <c r="C1628" t="s">
        <v>352</v>
      </c>
      <c r="D1628" s="3" t="s">
        <v>864</v>
      </c>
      <c r="E1628" s="14">
        <v>1E-3</v>
      </c>
      <c r="F1628" s="4" t="s">
        <v>179</v>
      </c>
      <c r="G1628" s="9">
        <v>1400</v>
      </c>
      <c r="H1628" s="9">
        <f t="shared" si="50"/>
        <v>1.4000000000000001</v>
      </c>
      <c r="I1628" t="s">
        <v>179</v>
      </c>
      <c r="J1628" s="33" t="s">
        <v>490</v>
      </c>
      <c r="K1628" s="18">
        <f>VLOOKUP(D1628,Ingredients!C:G,5,0)</f>
        <v>1400</v>
      </c>
      <c r="L1628" s="52">
        <f t="shared" si="51"/>
        <v>1.4000000000000001</v>
      </c>
    </row>
    <row r="1629" spans="1:12">
      <c r="A1629" t="s">
        <v>418</v>
      </c>
      <c r="B1629" t="s">
        <v>349</v>
      </c>
      <c r="C1629" t="s">
        <v>352</v>
      </c>
      <c r="D1629" s="3" t="s">
        <v>887</v>
      </c>
      <c r="E1629" s="14">
        <v>2E-3</v>
      </c>
      <c r="F1629" s="4" t="s">
        <v>179</v>
      </c>
      <c r="G1629" s="9">
        <v>1600</v>
      </c>
      <c r="H1629" s="9">
        <f t="shared" si="50"/>
        <v>3.2</v>
      </c>
      <c r="I1629" t="s">
        <v>179</v>
      </c>
      <c r="J1629" s="33" t="s">
        <v>490</v>
      </c>
      <c r="K1629" s="18">
        <f>VLOOKUP(D1629,Ingredients!C:G,5,0)</f>
        <v>1830</v>
      </c>
      <c r="L1629" s="52">
        <f t="shared" si="51"/>
        <v>3.66</v>
      </c>
    </row>
    <row r="1630" spans="1:12">
      <c r="A1630" t="s">
        <v>418</v>
      </c>
      <c r="B1630" t="s">
        <v>349</v>
      </c>
      <c r="C1630" t="s">
        <v>352</v>
      </c>
      <c r="D1630" s="3" t="s">
        <v>895</v>
      </c>
      <c r="E1630" s="14">
        <v>3.0000000000000001E-3</v>
      </c>
      <c r="F1630" s="4" t="s">
        <v>179</v>
      </c>
      <c r="G1630" s="9">
        <v>400</v>
      </c>
      <c r="H1630" s="9">
        <f t="shared" si="50"/>
        <v>1.2</v>
      </c>
      <c r="I1630" t="s">
        <v>179</v>
      </c>
      <c r="J1630" s="33" t="s">
        <v>490</v>
      </c>
      <c r="K1630" s="18">
        <f>VLOOKUP(D1630,Ingredients!C:G,5,0)</f>
        <v>400</v>
      </c>
      <c r="L1630" s="52">
        <f t="shared" si="51"/>
        <v>1.2</v>
      </c>
    </row>
    <row r="1631" spans="1:12">
      <c r="A1631" t="s">
        <v>418</v>
      </c>
      <c r="B1631" t="s">
        <v>349</v>
      </c>
      <c r="C1631" t="s">
        <v>352</v>
      </c>
      <c r="D1631" s="3" t="s">
        <v>462</v>
      </c>
      <c r="E1631" s="14">
        <v>0.1</v>
      </c>
      <c r="F1631" s="4" t="s">
        <v>176</v>
      </c>
      <c r="G1631" s="9">
        <v>480</v>
      </c>
      <c r="H1631" s="9">
        <f t="shared" si="50"/>
        <v>48</v>
      </c>
      <c r="I1631" t="s">
        <v>179</v>
      </c>
      <c r="J1631" s="33" t="s">
        <v>490</v>
      </c>
      <c r="K1631" s="18">
        <f>VLOOKUP(D1631,Ingredients!C:G,5,0)</f>
        <v>480</v>
      </c>
      <c r="L1631" s="52">
        <f t="shared" si="51"/>
        <v>48</v>
      </c>
    </row>
    <row r="1632" spans="1:12">
      <c r="A1632" t="s">
        <v>418</v>
      </c>
      <c r="B1632" t="s">
        <v>349</v>
      </c>
      <c r="C1632" t="s">
        <v>352</v>
      </c>
      <c r="D1632" s="3" t="s">
        <v>29</v>
      </c>
      <c r="E1632" s="14">
        <v>0.01</v>
      </c>
      <c r="F1632" s="4" t="s">
        <v>179</v>
      </c>
      <c r="G1632" s="9">
        <v>60</v>
      </c>
      <c r="H1632" s="9">
        <f t="shared" si="50"/>
        <v>0.6</v>
      </c>
      <c r="I1632" t="s">
        <v>179</v>
      </c>
      <c r="J1632" s="33" t="s">
        <v>490</v>
      </c>
      <c r="K1632" s="18">
        <f>VLOOKUP(D1632,Ingredients!C:G,5,0)</f>
        <v>100</v>
      </c>
      <c r="L1632" s="52">
        <f t="shared" si="51"/>
        <v>1</v>
      </c>
    </row>
    <row r="1633" spans="1:12">
      <c r="A1633" t="s">
        <v>418</v>
      </c>
      <c r="B1633" t="s">
        <v>349</v>
      </c>
      <c r="C1633" t="s">
        <v>352</v>
      </c>
      <c r="D1633" s="3" t="s">
        <v>24</v>
      </c>
      <c r="E1633" s="14">
        <v>0.15</v>
      </c>
      <c r="F1633" s="4" t="s">
        <v>176</v>
      </c>
      <c r="G1633" s="9">
        <v>55</v>
      </c>
      <c r="H1633" s="9">
        <f t="shared" si="50"/>
        <v>8.25</v>
      </c>
      <c r="I1633" t="s">
        <v>179</v>
      </c>
      <c r="J1633" s="33" t="s">
        <v>490</v>
      </c>
      <c r="K1633" s="18">
        <f>VLOOKUP(D1633,Ingredients!C:G,5,0)</f>
        <v>80</v>
      </c>
      <c r="L1633" s="52">
        <f t="shared" si="51"/>
        <v>12</v>
      </c>
    </row>
    <row r="1634" spans="1:12">
      <c r="A1634" t="s">
        <v>418</v>
      </c>
      <c r="B1634" t="s">
        <v>349</v>
      </c>
      <c r="C1634" t="s">
        <v>352</v>
      </c>
      <c r="D1634" s="3" t="s">
        <v>28</v>
      </c>
      <c r="E1634" s="14">
        <v>0.15</v>
      </c>
      <c r="F1634" s="4" t="s">
        <v>176</v>
      </c>
      <c r="G1634" s="9">
        <v>85</v>
      </c>
      <c r="H1634" s="9">
        <f t="shared" si="50"/>
        <v>12.75</v>
      </c>
      <c r="I1634" t="s">
        <v>179</v>
      </c>
      <c r="J1634" s="33" t="s">
        <v>490</v>
      </c>
      <c r="K1634" s="18">
        <f>VLOOKUP(D1634,Ingredients!C:G,5,0)</f>
        <v>70</v>
      </c>
      <c r="L1634" s="52">
        <f t="shared" si="51"/>
        <v>10.5</v>
      </c>
    </row>
    <row r="1635" spans="1:12">
      <c r="A1635" t="s">
        <v>419</v>
      </c>
      <c r="B1635" t="s">
        <v>349</v>
      </c>
      <c r="C1635" t="s">
        <v>352</v>
      </c>
      <c r="D1635" s="33" t="s">
        <v>491</v>
      </c>
      <c r="E1635" s="14">
        <v>1</v>
      </c>
      <c r="F1635" s="4" t="s">
        <v>176</v>
      </c>
      <c r="G1635" s="9">
        <v>614</v>
      </c>
      <c r="H1635" s="9">
        <f t="shared" si="50"/>
        <v>614</v>
      </c>
      <c r="I1635" t="s">
        <v>179</v>
      </c>
      <c r="J1635" s="33" t="s">
        <v>491</v>
      </c>
      <c r="K1635" s="18">
        <f>VLOOKUP(D1635,Ingredients!C:G,5,0)</f>
        <v>650</v>
      </c>
      <c r="L1635" s="52">
        <f t="shared" si="51"/>
        <v>650</v>
      </c>
    </row>
    <row r="1636" spans="1:12">
      <c r="A1636" t="s">
        <v>419</v>
      </c>
      <c r="B1636" t="s">
        <v>349</v>
      </c>
      <c r="C1636" t="s">
        <v>352</v>
      </c>
      <c r="D1636" s="3" t="s">
        <v>852</v>
      </c>
      <c r="E1636" s="14">
        <v>0.15</v>
      </c>
      <c r="F1636" s="4" t="s">
        <v>176</v>
      </c>
      <c r="G1636" s="9">
        <v>520.63</v>
      </c>
      <c r="H1636" s="9">
        <f t="shared" si="50"/>
        <v>78.094499999999996</v>
      </c>
      <c r="I1636" t="s">
        <v>179</v>
      </c>
      <c r="J1636" s="33" t="s">
        <v>491</v>
      </c>
      <c r="K1636" s="18">
        <v>550</v>
      </c>
      <c r="L1636" s="52">
        <f t="shared" si="51"/>
        <v>82.5</v>
      </c>
    </row>
    <row r="1637" spans="1:12">
      <c r="A1637" t="s">
        <v>419</v>
      </c>
      <c r="B1637" t="s">
        <v>349</v>
      </c>
      <c r="C1637" t="s">
        <v>352</v>
      </c>
      <c r="D1637" s="3" t="s">
        <v>24</v>
      </c>
      <c r="E1637" s="14">
        <v>0.2</v>
      </c>
      <c r="F1637" s="4" t="s">
        <v>176</v>
      </c>
      <c r="G1637" s="9">
        <v>55</v>
      </c>
      <c r="H1637" s="9">
        <f t="shared" si="50"/>
        <v>11</v>
      </c>
      <c r="I1637" t="s">
        <v>179</v>
      </c>
      <c r="J1637" s="33" t="s">
        <v>491</v>
      </c>
      <c r="K1637" s="18">
        <f>VLOOKUP(D1637,Ingredients!C:G,5,0)</f>
        <v>80</v>
      </c>
      <c r="L1637" s="52">
        <f t="shared" si="51"/>
        <v>16</v>
      </c>
    </row>
    <row r="1638" spans="1:12">
      <c r="A1638" t="s">
        <v>419</v>
      </c>
      <c r="B1638" t="s">
        <v>349</v>
      </c>
      <c r="C1638" t="s">
        <v>352</v>
      </c>
      <c r="D1638" s="3" t="s">
        <v>28</v>
      </c>
      <c r="E1638" s="14">
        <v>0.2</v>
      </c>
      <c r="F1638" s="4" t="s">
        <v>176</v>
      </c>
      <c r="G1638" s="9">
        <v>85</v>
      </c>
      <c r="H1638" s="9">
        <f t="shared" si="50"/>
        <v>17</v>
      </c>
      <c r="I1638" t="s">
        <v>179</v>
      </c>
      <c r="J1638" s="33" t="s">
        <v>491</v>
      </c>
      <c r="K1638" s="18">
        <f>VLOOKUP(D1638,Ingredients!C:G,5,0)</f>
        <v>70</v>
      </c>
      <c r="L1638" s="52">
        <f t="shared" si="51"/>
        <v>14</v>
      </c>
    </row>
    <row r="1639" spans="1:12">
      <c r="A1639" t="s">
        <v>419</v>
      </c>
      <c r="B1639" t="s">
        <v>349</v>
      </c>
      <c r="C1639" t="s">
        <v>352</v>
      </c>
      <c r="D1639" s="3" t="s">
        <v>23</v>
      </c>
      <c r="E1639" s="14">
        <v>0.01</v>
      </c>
      <c r="F1639" s="4" t="s">
        <v>179</v>
      </c>
      <c r="G1639" s="9">
        <v>740</v>
      </c>
      <c r="H1639" s="9">
        <f t="shared" si="50"/>
        <v>7.4</v>
      </c>
      <c r="I1639" t="s">
        <v>179</v>
      </c>
      <c r="J1639" s="33" t="s">
        <v>491</v>
      </c>
      <c r="K1639" s="18">
        <f>VLOOKUP(D1639,Ingredients!C:G,5,0)</f>
        <v>780</v>
      </c>
      <c r="L1639" s="52">
        <f t="shared" si="51"/>
        <v>7.8</v>
      </c>
    </row>
    <row r="1640" spans="1:12">
      <c r="A1640" t="s">
        <v>419</v>
      </c>
      <c r="B1640" t="s">
        <v>349</v>
      </c>
      <c r="C1640" t="s">
        <v>352</v>
      </c>
      <c r="D1640" s="3" t="s">
        <v>853</v>
      </c>
      <c r="E1640" s="14">
        <v>5.0000000000000001E-3</v>
      </c>
      <c r="F1640" s="4" t="s">
        <v>179</v>
      </c>
      <c r="G1640" s="9">
        <v>30</v>
      </c>
      <c r="H1640" s="9">
        <f t="shared" si="50"/>
        <v>0.15</v>
      </c>
      <c r="I1640" t="s">
        <v>179</v>
      </c>
      <c r="J1640" s="33" t="s">
        <v>491</v>
      </c>
      <c r="K1640" s="18">
        <f>VLOOKUP(D1640,Ingredients!C:G,5,0)</f>
        <v>55</v>
      </c>
      <c r="L1640" s="52">
        <f t="shared" si="51"/>
        <v>0.27500000000000002</v>
      </c>
    </row>
    <row r="1641" spans="1:12">
      <c r="A1641" t="s">
        <v>419</v>
      </c>
      <c r="B1641" t="s">
        <v>349</v>
      </c>
      <c r="C1641" t="s">
        <v>352</v>
      </c>
      <c r="D1641" s="3" t="s">
        <v>867</v>
      </c>
      <c r="E1641" s="14">
        <v>5.0000000000000001E-3</v>
      </c>
      <c r="F1641" s="4" t="s">
        <v>179</v>
      </c>
      <c r="G1641" s="9">
        <v>900</v>
      </c>
      <c r="H1641" s="9">
        <f t="shared" si="50"/>
        <v>4.5</v>
      </c>
      <c r="I1641" t="s">
        <v>179</v>
      </c>
      <c r="J1641" s="33" t="s">
        <v>491</v>
      </c>
      <c r="K1641" s="18">
        <f>VLOOKUP(D1641,Ingredients!C:G,5,0)</f>
        <v>950</v>
      </c>
      <c r="L1641" s="52">
        <f t="shared" si="51"/>
        <v>4.75</v>
      </c>
    </row>
    <row r="1642" spans="1:12">
      <c r="A1642" t="s">
        <v>419</v>
      </c>
      <c r="B1642" t="s">
        <v>349</v>
      </c>
      <c r="C1642" t="s">
        <v>352</v>
      </c>
      <c r="D1642" s="3" t="s">
        <v>880</v>
      </c>
      <c r="E1642" s="14">
        <v>2.5000000000000001E-3</v>
      </c>
      <c r="F1642" s="4" t="s">
        <v>179</v>
      </c>
      <c r="G1642" s="9">
        <v>650</v>
      </c>
      <c r="H1642" s="9">
        <f t="shared" si="50"/>
        <v>1.625</v>
      </c>
      <c r="I1642" t="s">
        <v>179</v>
      </c>
      <c r="J1642" s="33" t="s">
        <v>491</v>
      </c>
      <c r="K1642" s="18">
        <f>VLOOKUP(D1642,Ingredients!C:G,5,0)</f>
        <v>520</v>
      </c>
      <c r="L1642" s="52">
        <f t="shared" si="51"/>
        <v>1.3</v>
      </c>
    </row>
    <row r="1643" spans="1:12">
      <c r="A1643" t="s">
        <v>419</v>
      </c>
      <c r="B1643" t="s">
        <v>349</v>
      </c>
      <c r="C1643" t="s">
        <v>352</v>
      </c>
      <c r="D1643" s="3" t="s">
        <v>895</v>
      </c>
      <c r="E1643" s="14">
        <v>5.0000000000000001E-3</v>
      </c>
      <c r="F1643" s="4" t="s">
        <v>179</v>
      </c>
      <c r="G1643" s="9">
        <v>400</v>
      </c>
      <c r="H1643" s="9">
        <f t="shared" si="50"/>
        <v>2</v>
      </c>
      <c r="I1643" t="s">
        <v>179</v>
      </c>
      <c r="J1643" s="33" t="s">
        <v>491</v>
      </c>
      <c r="K1643" s="18">
        <f>VLOOKUP(D1643,Ingredients!C:G,5,0)</f>
        <v>400</v>
      </c>
      <c r="L1643" s="52">
        <f t="shared" si="51"/>
        <v>2</v>
      </c>
    </row>
    <row r="1644" spans="1:12">
      <c r="A1644" t="s">
        <v>419</v>
      </c>
      <c r="B1644" t="s">
        <v>349</v>
      </c>
      <c r="C1644" t="s">
        <v>352</v>
      </c>
      <c r="D1644" s="3" t="s">
        <v>860</v>
      </c>
      <c r="E1644" s="14">
        <v>5.0000000000000001E-3</v>
      </c>
      <c r="F1644" s="4" t="s">
        <v>179</v>
      </c>
      <c r="G1644" s="9">
        <v>2000</v>
      </c>
      <c r="H1644" s="9">
        <f t="shared" si="50"/>
        <v>10</v>
      </c>
      <c r="I1644" t="s">
        <v>179</v>
      </c>
      <c r="J1644" s="33" t="s">
        <v>491</v>
      </c>
      <c r="K1644" s="18">
        <f>VLOOKUP(D1644,Ingredients!C:G,5,0)</f>
        <v>1900</v>
      </c>
      <c r="L1644" s="52">
        <f t="shared" si="51"/>
        <v>9.5</v>
      </c>
    </row>
    <row r="1645" spans="1:12">
      <c r="A1645" t="s">
        <v>419</v>
      </c>
      <c r="B1645" t="s">
        <v>349</v>
      </c>
      <c r="C1645" t="s">
        <v>352</v>
      </c>
      <c r="D1645" s="3" t="s">
        <v>29</v>
      </c>
      <c r="E1645" s="14">
        <v>0.02</v>
      </c>
      <c r="F1645" s="4" t="s">
        <v>179</v>
      </c>
      <c r="G1645" s="9">
        <v>60</v>
      </c>
      <c r="H1645" s="9">
        <f t="shared" si="50"/>
        <v>1.2</v>
      </c>
      <c r="I1645" t="s">
        <v>179</v>
      </c>
      <c r="J1645" s="33" t="s">
        <v>491</v>
      </c>
      <c r="K1645" s="18">
        <f>VLOOKUP(D1645,Ingredients!C:G,5,0)</f>
        <v>100</v>
      </c>
      <c r="L1645" s="52">
        <f t="shared" si="51"/>
        <v>2</v>
      </c>
    </row>
    <row r="1646" spans="1:12">
      <c r="A1646" t="s">
        <v>419</v>
      </c>
      <c r="B1646" t="s">
        <v>349</v>
      </c>
      <c r="C1646" t="s">
        <v>352</v>
      </c>
      <c r="D1646" s="3" t="s">
        <v>35</v>
      </c>
      <c r="E1646" s="14">
        <v>0.2</v>
      </c>
      <c r="F1646" s="4" t="s">
        <v>408</v>
      </c>
      <c r="G1646" s="9">
        <v>13</v>
      </c>
      <c r="H1646" s="9">
        <f t="shared" si="50"/>
        <v>2.6</v>
      </c>
      <c r="I1646" t="s">
        <v>179</v>
      </c>
      <c r="J1646" s="33" t="s">
        <v>491</v>
      </c>
      <c r="K1646" s="18">
        <f>VLOOKUP(D1646,Ingredients!C:G,5,0)</f>
        <v>15</v>
      </c>
      <c r="L1646" s="52">
        <f t="shared" si="51"/>
        <v>3</v>
      </c>
    </row>
    <row r="1647" spans="1:12">
      <c r="A1647" t="s">
        <v>420</v>
      </c>
      <c r="B1647" t="s">
        <v>349</v>
      </c>
      <c r="C1647" t="s">
        <v>351</v>
      </c>
      <c r="D1647" s="3" t="s">
        <v>894</v>
      </c>
      <c r="E1647" s="14">
        <v>1</v>
      </c>
      <c r="F1647" s="4" t="s">
        <v>176</v>
      </c>
      <c r="G1647" s="9">
        <v>1620</v>
      </c>
      <c r="H1647" s="9">
        <f t="shared" si="50"/>
        <v>1620</v>
      </c>
      <c r="I1647" t="s">
        <v>179</v>
      </c>
      <c r="J1647" s="3" t="s">
        <v>894</v>
      </c>
      <c r="K1647" s="18">
        <f>VLOOKUP(D1647,Ingredients!C:G,5,0)</f>
        <v>1800</v>
      </c>
      <c r="L1647" s="52">
        <f t="shared" si="51"/>
        <v>1800</v>
      </c>
    </row>
    <row r="1648" spans="1:12">
      <c r="A1648" t="s">
        <v>420</v>
      </c>
      <c r="B1648" t="s">
        <v>349</v>
      </c>
      <c r="C1648" t="s">
        <v>351</v>
      </c>
      <c r="D1648" s="3" t="s">
        <v>852</v>
      </c>
      <c r="E1648" s="14">
        <v>0.15</v>
      </c>
      <c r="F1648" s="4" t="s">
        <v>176</v>
      </c>
      <c r="G1648" s="9">
        <v>520.63</v>
      </c>
      <c r="H1648" s="9">
        <f t="shared" si="50"/>
        <v>78.094499999999996</v>
      </c>
      <c r="I1648" t="s">
        <v>179</v>
      </c>
      <c r="J1648" s="3" t="s">
        <v>894</v>
      </c>
      <c r="K1648" s="18">
        <v>550</v>
      </c>
      <c r="L1648" s="52">
        <f t="shared" si="51"/>
        <v>82.5</v>
      </c>
    </row>
    <row r="1649" spans="1:12">
      <c r="A1649" t="s">
        <v>420</v>
      </c>
      <c r="B1649" t="s">
        <v>349</v>
      </c>
      <c r="C1649" t="s">
        <v>351</v>
      </c>
      <c r="D1649" s="3" t="s">
        <v>867</v>
      </c>
      <c r="E1649" s="14">
        <v>0.08</v>
      </c>
      <c r="F1649" s="4" t="s">
        <v>179</v>
      </c>
      <c r="G1649" s="9">
        <v>900</v>
      </c>
      <c r="H1649" s="9">
        <f t="shared" si="50"/>
        <v>72</v>
      </c>
      <c r="I1649" t="s">
        <v>179</v>
      </c>
      <c r="J1649" s="3" t="s">
        <v>894</v>
      </c>
      <c r="K1649" s="18">
        <f>VLOOKUP(D1649,Ingredients!C:G,5,0)</f>
        <v>950</v>
      </c>
      <c r="L1649" s="52">
        <f t="shared" si="51"/>
        <v>76</v>
      </c>
    </row>
    <row r="1650" spans="1:12">
      <c r="A1650" t="s">
        <v>420</v>
      </c>
      <c r="B1650" t="s">
        <v>349</v>
      </c>
      <c r="C1650" t="s">
        <v>351</v>
      </c>
      <c r="D1650" s="3" t="s">
        <v>887</v>
      </c>
      <c r="E1650" s="14">
        <v>0.04</v>
      </c>
      <c r="F1650" s="4" t="s">
        <v>179</v>
      </c>
      <c r="G1650" s="9">
        <v>1600</v>
      </c>
      <c r="H1650" s="9">
        <f t="shared" si="50"/>
        <v>64</v>
      </c>
      <c r="I1650" t="s">
        <v>179</v>
      </c>
      <c r="J1650" s="3" t="s">
        <v>894</v>
      </c>
      <c r="K1650" s="18">
        <f>VLOOKUP(D1650,Ingredients!C:G,5,0)</f>
        <v>1830</v>
      </c>
      <c r="L1650" s="52">
        <f t="shared" si="51"/>
        <v>73.2</v>
      </c>
    </row>
    <row r="1651" spans="1:12">
      <c r="A1651" t="s">
        <v>420</v>
      </c>
      <c r="B1651" t="s">
        <v>349</v>
      </c>
      <c r="C1651" t="s">
        <v>351</v>
      </c>
      <c r="D1651" s="3" t="s">
        <v>880</v>
      </c>
      <c r="E1651" s="14">
        <v>0.02</v>
      </c>
      <c r="F1651" s="4" t="s">
        <v>179</v>
      </c>
      <c r="G1651" s="9">
        <v>650</v>
      </c>
      <c r="H1651" s="9">
        <f t="shared" si="50"/>
        <v>13</v>
      </c>
      <c r="I1651" t="s">
        <v>179</v>
      </c>
      <c r="J1651" s="3" t="s">
        <v>894</v>
      </c>
      <c r="K1651" s="18">
        <f>VLOOKUP(D1651,Ingredients!C:G,5,0)</f>
        <v>520</v>
      </c>
      <c r="L1651" s="52">
        <f t="shared" si="51"/>
        <v>10.4</v>
      </c>
    </row>
    <row r="1652" spans="1:12">
      <c r="A1652" t="s">
        <v>420</v>
      </c>
      <c r="B1652" t="s">
        <v>349</v>
      </c>
      <c r="C1652" t="s">
        <v>351</v>
      </c>
      <c r="D1652" s="3" t="s">
        <v>73</v>
      </c>
      <c r="E1652" s="14">
        <v>0.1</v>
      </c>
      <c r="F1652" s="4" t="s">
        <v>176</v>
      </c>
      <c r="G1652" s="9">
        <v>305</v>
      </c>
      <c r="H1652" s="9">
        <f t="shared" si="50"/>
        <v>30.5</v>
      </c>
      <c r="I1652" t="s">
        <v>179</v>
      </c>
      <c r="J1652" s="3" t="s">
        <v>894</v>
      </c>
      <c r="K1652" s="18">
        <f>VLOOKUP(D1652,Ingredients!C:G,5,0)</f>
        <v>300</v>
      </c>
      <c r="L1652" s="52">
        <f t="shared" si="51"/>
        <v>30</v>
      </c>
    </row>
    <row r="1653" spans="1:12">
      <c r="A1653" t="s">
        <v>420</v>
      </c>
      <c r="B1653" t="s">
        <v>349</v>
      </c>
      <c r="C1653" t="s">
        <v>351</v>
      </c>
      <c r="D1653" s="3" t="s">
        <v>853</v>
      </c>
      <c r="E1653" s="14">
        <v>0.1</v>
      </c>
      <c r="F1653" s="4" t="s">
        <v>315</v>
      </c>
      <c r="G1653" s="9">
        <v>30</v>
      </c>
      <c r="H1653" s="9">
        <f t="shared" si="50"/>
        <v>3</v>
      </c>
      <c r="I1653" t="s">
        <v>179</v>
      </c>
      <c r="J1653" s="3" t="s">
        <v>894</v>
      </c>
      <c r="K1653" s="18">
        <f>VLOOKUP(D1653,Ingredients!C:G,5,0)</f>
        <v>55</v>
      </c>
      <c r="L1653" s="52">
        <f t="shared" si="51"/>
        <v>5.5</v>
      </c>
    </row>
    <row r="1654" spans="1:12">
      <c r="A1654" t="s">
        <v>420</v>
      </c>
      <c r="B1654" t="s">
        <v>349</v>
      </c>
      <c r="C1654" t="s">
        <v>351</v>
      </c>
      <c r="D1654" s="3" t="s">
        <v>895</v>
      </c>
      <c r="E1654" s="14">
        <v>0.02</v>
      </c>
      <c r="F1654" s="4" t="s">
        <v>179</v>
      </c>
      <c r="G1654" s="9">
        <v>400</v>
      </c>
      <c r="H1654" s="9">
        <f t="shared" si="50"/>
        <v>8</v>
      </c>
      <c r="I1654" t="s">
        <v>179</v>
      </c>
      <c r="J1654" s="3" t="s">
        <v>894</v>
      </c>
      <c r="K1654" s="18">
        <f>VLOOKUP(D1654,Ingredients!C:G,5,0)</f>
        <v>400</v>
      </c>
      <c r="L1654" s="52">
        <f t="shared" si="51"/>
        <v>8</v>
      </c>
    </row>
    <row r="1655" spans="1:12">
      <c r="A1655" t="s">
        <v>420</v>
      </c>
      <c r="B1655" t="s">
        <v>349</v>
      </c>
      <c r="C1655" t="s">
        <v>351</v>
      </c>
      <c r="D1655" s="3" t="s">
        <v>23</v>
      </c>
      <c r="E1655" s="14">
        <v>0.02</v>
      </c>
      <c r="F1655" s="4" t="s">
        <v>179</v>
      </c>
      <c r="G1655" s="9">
        <v>740</v>
      </c>
      <c r="H1655" s="9">
        <f t="shared" si="50"/>
        <v>14.8</v>
      </c>
      <c r="I1655" t="s">
        <v>179</v>
      </c>
      <c r="J1655" s="3" t="s">
        <v>894</v>
      </c>
      <c r="K1655" s="18">
        <f>VLOOKUP(D1655,Ingredients!C:G,5,0)</f>
        <v>780</v>
      </c>
      <c r="L1655" s="52">
        <f t="shared" si="51"/>
        <v>15.6</v>
      </c>
    </row>
    <row r="1656" spans="1:12">
      <c r="A1656" t="s">
        <v>420</v>
      </c>
      <c r="B1656" t="s">
        <v>349</v>
      </c>
      <c r="C1656" t="s">
        <v>351</v>
      </c>
      <c r="D1656" s="3" t="s">
        <v>16</v>
      </c>
      <c r="E1656" s="14">
        <v>0.02</v>
      </c>
      <c r="F1656" s="4" t="s">
        <v>179</v>
      </c>
      <c r="G1656" s="9">
        <v>270</v>
      </c>
      <c r="H1656" s="9">
        <f t="shared" si="50"/>
        <v>5.4</v>
      </c>
      <c r="I1656" t="s">
        <v>179</v>
      </c>
      <c r="J1656" s="3" t="s">
        <v>894</v>
      </c>
      <c r="K1656" s="18">
        <f>VLOOKUP(D1656,Ingredients!C:G,5,0)</f>
        <v>310</v>
      </c>
      <c r="L1656" s="52">
        <f t="shared" si="51"/>
        <v>6.2</v>
      </c>
    </row>
    <row r="1657" spans="1:12">
      <c r="A1657" t="s">
        <v>420</v>
      </c>
      <c r="B1657" t="s">
        <v>349</v>
      </c>
      <c r="C1657" t="s">
        <v>351</v>
      </c>
      <c r="D1657" s="3" t="s">
        <v>29</v>
      </c>
      <c r="E1657" s="14">
        <v>0.1</v>
      </c>
      <c r="F1657" s="4" t="s">
        <v>179</v>
      </c>
      <c r="G1657" s="9">
        <v>60</v>
      </c>
      <c r="H1657" s="9">
        <f t="shared" si="50"/>
        <v>6</v>
      </c>
      <c r="I1657" t="s">
        <v>179</v>
      </c>
      <c r="J1657" s="3" t="s">
        <v>894</v>
      </c>
      <c r="K1657" s="18">
        <f>VLOOKUP(D1657,Ingredients!C:G,5,0)</f>
        <v>100</v>
      </c>
      <c r="L1657" s="52">
        <f t="shared" si="51"/>
        <v>10</v>
      </c>
    </row>
    <row r="1658" spans="1:12">
      <c r="A1658" t="s">
        <v>420</v>
      </c>
      <c r="B1658" t="s">
        <v>349</v>
      </c>
      <c r="C1658" t="s">
        <v>351</v>
      </c>
      <c r="D1658" s="3" t="s">
        <v>923</v>
      </c>
      <c r="E1658" s="14">
        <v>0.04</v>
      </c>
      <c r="F1658" s="4" t="s">
        <v>179</v>
      </c>
      <c r="G1658" s="9">
        <v>100</v>
      </c>
      <c r="H1658" s="9">
        <f t="shared" si="50"/>
        <v>4</v>
      </c>
      <c r="I1658" t="s">
        <v>179</v>
      </c>
      <c r="J1658" s="3" t="s">
        <v>894</v>
      </c>
      <c r="K1658" s="18">
        <f>VLOOKUP(D1658,Ingredients!C:G,5,0)</f>
        <v>1000</v>
      </c>
      <c r="L1658" s="52">
        <f t="shared" si="51"/>
        <v>40</v>
      </c>
    </row>
    <row r="1659" spans="1:12">
      <c r="A1659" t="s">
        <v>420</v>
      </c>
      <c r="B1659" t="s">
        <v>349</v>
      </c>
      <c r="C1659" t="s">
        <v>351</v>
      </c>
      <c r="D1659" s="3" t="s">
        <v>50</v>
      </c>
      <c r="E1659" s="14">
        <v>0.1</v>
      </c>
      <c r="F1659" s="4" t="s">
        <v>176</v>
      </c>
      <c r="G1659" s="9">
        <v>120</v>
      </c>
      <c r="H1659" s="9">
        <f t="shared" si="50"/>
        <v>12</v>
      </c>
      <c r="I1659" t="s">
        <v>179</v>
      </c>
      <c r="J1659" s="3" t="s">
        <v>894</v>
      </c>
      <c r="K1659" s="18">
        <f>VLOOKUP(D1659,Ingredients!C:G,5,0)</f>
        <v>120</v>
      </c>
      <c r="L1659" s="52">
        <f t="shared" si="51"/>
        <v>12</v>
      </c>
    </row>
    <row r="1660" spans="1:12">
      <c r="A1660" t="s">
        <v>421</v>
      </c>
      <c r="B1660" t="s">
        <v>346</v>
      </c>
      <c r="C1660" t="s">
        <v>454</v>
      </c>
      <c r="D1660" s="3" t="s">
        <v>171</v>
      </c>
      <c r="E1660" s="14">
        <v>1</v>
      </c>
      <c r="F1660" s="4" t="s">
        <v>176</v>
      </c>
      <c r="G1660" s="9">
        <v>65</v>
      </c>
      <c r="H1660" s="9">
        <f t="shared" si="50"/>
        <v>65</v>
      </c>
      <c r="I1660" t="s">
        <v>179</v>
      </c>
      <c r="J1660" s="33">
        <v>0</v>
      </c>
      <c r="K1660" s="18">
        <f>VLOOKUP(D1660,Ingredients!C:G,5,0)</f>
        <v>80</v>
      </c>
      <c r="L1660" s="52">
        <f t="shared" si="51"/>
        <v>80</v>
      </c>
    </row>
    <row r="1661" spans="1:12">
      <c r="A1661" t="s">
        <v>421</v>
      </c>
      <c r="B1661" t="s">
        <v>346</v>
      </c>
      <c r="C1661" t="s">
        <v>454</v>
      </c>
      <c r="D1661" s="3" t="s">
        <v>852</v>
      </c>
      <c r="E1661" s="14">
        <v>0.05</v>
      </c>
      <c r="F1661" s="4" t="s">
        <v>176</v>
      </c>
      <c r="G1661" s="9">
        <v>520.63</v>
      </c>
      <c r="H1661" s="9">
        <f t="shared" si="50"/>
        <v>26.031500000000001</v>
      </c>
      <c r="I1661" t="s">
        <v>179</v>
      </c>
      <c r="J1661" s="33">
        <v>0</v>
      </c>
      <c r="K1661" s="18">
        <v>550</v>
      </c>
      <c r="L1661" s="52">
        <f t="shared" si="51"/>
        <v>27.5</v>
      </c>
    </row>
    <row r="1662" spans="1:12">
      <c r="A1662" t="s">
        <v>421</v>
      </c>
      <c r="B1662" t="s">
        <v>346</v>
      </c>
      <c r="C1662" t="s">
        <v>454</v>
      </c>
      <c r="D1662" s="3" t="s">
        <v>24</v>
      </c>
      <c r="E1662" s="14">
        <v>0.05</v>
      </c>
      <c r="F1662" s="4" t="s">
        <v>176</v>
      </c>
      <c r="G1662" s="9">
        <v>55</v>
      </c>
      <c r="H1662" s="9">
        <f t="shared" ref="H1662:H1725" si="52">G1662*E1662</f>
        <v>2.75</v>
      </c>
      <c r="I1662" t="s">
        <v>179</v>
      </c>
      <c r="J1662" s="33">
        <v>0</v>
      </c>
      <c r="K1662" s="18">
        <f>VLOOKUP(D1662,Ingredients!C:G,5,0)</f>
        <v>80</v>
      </c>
      <c r="L1662" s="52">
        <f t="shared" si="51"/>
        <v>4</v>
      </c>
    </row>
    <row r="1663" spans="1:12">
      <c r="A1663" t="s">
        <v>421</v>
      </c>
      <c r="B1663" t="s">
        <v>346</v>
      </c>
      <c r="C1663" t="s">
        <v>454</v>
      </c>
      <c r="D1663" s="3" t="s">
        <v>28</v>
      </c>
      <c r="E1663" s="14">
        <v>0.3</v>
      </c>
      <c r="F1663" s="4" t="s">
        <v>176</v>
      </c>
      <c r="G1663" s="9">
        <v>85</v>
      </c>
      <c r="H1663" s="9">
        <f t="shared" si="52"/>
        <v>25.5</v>
      </c>
      <c r="I1663" t="s">
        <v>179</v>
      </c>
      <c r="J1663" s="33">
        <v>0</v>
      </c>
      <c r="K1663" s="18">
        <f>VLOOKUP(D1663,Ingredients!C:G,5,0)</f>
        <v>70</v>
      </c>
      <c r="L1663" s="52">
        <f t="shared" si="51"/>
        <v>21</v>
      </c>
    </row>
    <row r="1664" spans="1:12">
      <c r="A1664" t="s">
        <v>421</v>
      </c>
      <c r="B1664" t="s">
        <v>346</v>
      </c>
      <c r="C1664" t="s">
        <v>454</v>
      </c>
      <c r="D1664" s="3" t="s">
        <v>23</v>
      </c>
      <c r="E1664" s="14">
        <v>0.01</v>
      </c>
      <c r="F1664" s="4" t="s">
        <v>179</v>
      </c>
      <c r="G1664" s="9">
        <v>740</v>
      </c>
      <c r="H1664" s="9">
        <f t="shared" si="52"/>
        <v>7.4</v>
      </c>
      <c r="I1664" t="s">
        <v>179</v>
      </c>
      <c r="J1664" s="33">
        <v>0</v>
      </c>
      <c r="K1664" s="18">
        <f>VLOOKUP(D1664,Ingredients!C:G,5,0)</f>
        <v>780</v>
      </c>
      <c r="L1664" s="52">
        <f t="shared" si="51"/>
        <v>7.8</v>
      </c>
    </row>
    <row r="1665" spans="1:12">
      <c r="A1665" t="s">
        <v>421</v>
      </c>
      <c r="B1665" t="s">
        <v>346</v>
      </c>
      <c r="C1665" t="s">
        <v>454</v>
      </c>
      <c r="D1665" s="3" t="s">
        <v>867</v>
      </c>
      <c r="E1665" s="14">
        <v>2E-3</v>
      </c>
      <c r="F1665" s="4" t="s">
        <v>179</v>
      </c>
      <c r="G1665" s="9">
        <v>900</v>
      </c>
      <c r="H1665" s="9">
        <f t="shared" si="52"/>
        <v>1.8</v>
      </c>
      <c r="I1665" t="s">
        <v>179</v>
      </c>
      <c r="J1665" s="33">
        <v>0</v>
      </c>
      <c r="K1665" s="18">
        <f>VLOOKUP(D1665,Ingredients!C:G,5,0)</f>
        <v>950</v>
      </c>
      <c r="L1665" s="52">
        <f t="shared" si="51"/>
        <v>1.9000000000000001</v>
      </c>
    </row>
    <row r="1666" spans="1:12">
      <c r="A1666" t="s">
        <v>421</v>
      </c>
      <c r="B1666" t="s">
        <v>346</v>
      </c>
      <c r="C1666" t="s">
        <v>454</v>
      </c>
      <c r="D1666" s="3" t="s">
        <v>853</v>
      </c>
      <c r="E1666" s="14">
        <v>2E-3</v>
      </c>
      <c r="F1666" s="4" t="s">
        <v>179</v>
      </c>
      <c r="G1666" s="9">
        <v>30</v>
      </c>
      <c r="H1666" s="9">
        <f t="shared" si="52"/>
        <v>0.06</v>
      </c>
      <c r="I1666" t="s">
        <v>179</v>
      </c>
      <c r="J1666" s="33">
        <v>0</v>
      </c>
      <c r="K1666" s="18">
        <f>VLOOKUP(D1666,Ingredients!C:G,5,0)</f>
        <v>55</v>
      </c>
      <c r="L1666" s="52">
        <f t="shared" si="51"/>
        <v>0.11</v>
      </c>
    </row>
    <row r="1667" spans="1:12">
      <c r="A1667" t="s">
        <v>421</v>
      </c>
      <c r="B1667" t="s">
        <v>346</v>
      </c>
      <c r="C1667" t="s">
        <v>454</v>
      </c>
      <c r="D1667" s="3" t="s">
        <v>880</v>
      </c>
      <c r="E1667" s="14">
        <v>2E-3</v>
      </c>
      <c r="F1667" s="4" t="s">
        <v>179</v>
      </c>
      <c r="G1667" s="9">
        <v>650</v>
      </c>
      <c r="H1667" s="9">
        <f t="shared" si="52"/>
        <v>1.3</v>
      </c>
      <c r="I1667" t="s">
        <v>179</v>
      </c>
      <c r="J1667" s="33">
        <v>0</v>
      </c>
      <c r="K1667" s="18">
        <f>VLOOKUP(D1667,Ingredients!C:G,5,0)</f>
        <v>520</v>
      </c>
      <c r="L1667" s="52">
        <f t="shared" si="51"/>
        <v>1.04</v>
      </c>
    </row>
    <row r="1668" spans="1:12">
      <c r="A1668" t="s">
        <v>421</v>
      </c>
      <c r="B1668" t="s">
        <v>346</v>
      </c>
      <c r="C1668" t="s">
        <v>454</v>
      </c>
      <c r="D1668" s="3" t="s">
        <v>855</v>
      </c>
      <c r="E1668" s="14">
        <v>2E-3</v>
      </c>
      <c r="F1668" s="4" t="s">
        <v>179</v>
      </c>
      <c r="G1668" s="9">
        <v>2400</v>
      </c>
      <c r="H1668" s="9">
        <f t="shared" si="52"/>
        <v>4.8</v>
      </c>
      <c r="I1668" t="s">
        <v>179</v>
      </c>
      <c r="J1668" s="33">
        <v>0</v>
      </c>
      <c r="K1668" s="18">
        <f>VLOOKUP(D1668,Ingredients!C:G,5,0)</f>
        <v>1600</v>
      </c>
      <c r="L1668" s="52">
        <f t="shared" ref="L1668:L1731" si="53">K1668*E1668</f>
        <v>3.2</v>
      </c>
    </row>
    <row r="1669" spans="1:12">
      <c r="A1669" t="s">
        <v>421</v>
      </c>
      <c r="B1669" t="s">
        <v>346</v>
      </c>
      <c r="C1669" t="s">
        <v>454</v>
      </c>
      <c r="D1669" s="3" t="s">
        <v>887</v>
      </c>
      <c r="E1669" s="14">
        <v>2E-3</v>
      </c>
      <c r="F1669" s="4" t="s">
        <v>179</v>
      </c>
      <c r="G1669" s="9">
        <v>1600</v>
      </c>
      <c r="H1669" s="9">
        <f t="shared" si="52"/>
        <v>3.2</v>
      </c>
      <c r="I1669" t="s">
        <v>179</v>
      </c>
      <c r="J1669" s="33">
        <v>0</v>
      </c>
      <c r="K1669" s="18">
        <f>VLOOKUP(D1669,Ingredients!C:G,5,0)</f>
        <v>1830</v>
      </c>
      <c r="L1669" s="52">
        <f t="shared" si="53"/>
        <v>3.66</v>
      </c>
    </row>
    <row r="1670" spans="1:12">
      <c r="A1670" t="s">
        <v>421</v>
      </c>
      <c r="B1670" t="s">
        <v>346</v>
      </c>
      <c r="C1670" t="s">
        <v>454</v>
      </c>
      <c r="D1670" s="3" t="s">
        <v>895</v>
      </c>
      <c r="E1670" s="14">
        <v>2E-3</v>
      </c>
      <c r="F1670" s="4" t="s">
        <v>179</v>
      </c>
      <c r="G1670" s="9">
        <v>400</v>
      </c>
      <c r="H1670" s="9">
        <f t="shared" si="52"/>
        <v>0.8</v>
      </c>
      <c r="I1670" t="s">
        <v>179</v>
      </c>
      <c r="J1670" s="33">
        <v>0</v>
      </c>
      <c r="K1670" s="18">
        <f>VLOOKUP(D1670,Ingredients!C:G,5,0)</f>
        <v>400</v>
      </c>
      <c r="L1670" s="52">
        <f t="shared" si="53"/>
        <v>0.8</v>
      </c>
    </row>
    <row r="1671" spans="1:12">
      <c r="A1671" t="s">
        <v>421</v>
      </c>
      <c r="B1671" t="s">
        <v>346</v>
      </c>
      <c r="C1671" t="s">
        <v>454</v>
      </c>
      <c r="D1671" s="3" t="s">
        <v>850</v>
      </c>
      <c r="E1671" s="14">
        <v>2E-3</v>
      </c>
      <c r="F1671" s="4" t="s">
        <v>179</v>
      </c>
      <c r="G1671" s="9">
        <v>700</v>
      </c>
      <c r="H1671" s="9">
        <f t="shared" si="52"/>
        <v>1.4000000000000001</v>
      </c>
      <c r="I1671" t="s">
        <v>179</v>
      </c>
      <c r="J1671" s="33">
        <v>0</v>
      </c>
      <c r="K1671" s="18">
        <f>VLOOKUP(D1671,Ingredients!C:G,5,0)</f>
        <v>700</v>
      </c>
      <c r="L1671" s="52">
        <f t="shared" si="53"/>
        <v>1.4000000000000001</v>
      </c>
    </row>
    <row r="1672" spans="1:12">
      <c r="A1672" t="s">
        <v>421</v>
      </c>
      <c r="B1672" t="s">
        <v>346</v>
      </c>
      <c r="C1672" t="s">
        <v>454</v>
      </c>
      <c r="D1672" s="3" t="s">
        <v>849</v>
      </c>
      <c r="E1672" s="14">
        <v>2E-3</v>
      </c>
      <c r="F1672" s="4" t="s">
        <v>179</v>
      </c>
      <c r="G1672" s="9">
        <v>1000</v>
      </c>
      <c r="H1672" s="9">
        <f t="shared" si="52"/>
        <v>2</v>
      </c>
      <c r="I1672" t="s">
        <v>179</v>
      </c>
      <c r="J1672" s="33">
        <v>0</v>
      </c>
      <c r="K1672" s="18">
        <f>VLOOKUP(D1672,Ingredients!C:G,5,0)</f>
        <v>950</v>
      </c>
      <c r="L1672" s="52">
        <f t="shared" si="53"/>
        <v>1.9000000000000001</v>
      </c>
    </row>
    <row r="1673" spans="1:12">
      <c r="A1673" t="s">
        <v>421</v>
      </c>
      <c r="B1673" t="s">
        <v>346</v>
      </c>
      <c r="C1673" t="s">
        <v>454</v>
      </c>
      <c r="D1673" s="3" t="s">
        <v>35</v>
      </c>
      <c r="E1673" s="14">
        <v>0.1</v>
      </c>
      <c r="F1673" s="4" t="s">
        <v>179</v>
      </c>
      <c r="G1673" s="9">
        <v>13</v>
      </c>
      <c r="H1673" s="9">
        <f t="shared" si="52"/>
        <v>1.3</v>
      </c>
      <c r="I1673" t="s">
        <v>179</v>
      </c>
      <c r="J1673" s="33">
        <v>0</v>
      </c>
      <c r="K1673" s="18">
        <f>VLOOKUP(D1673,Ingredients!C:G,5,0)</f>
        <v>15</v>
      </c>
      <c r="L1673" s="52">
        <f t="shared" si="53"/>
        <v>1.5</v>
      </c>
    </row>
    <row r="1674" spans="1:12">
      <c r="A1674" t="s">
        <v>421</v>
      </c>
      <c r="B1674" t="s">
        <v>346</v>
      </c>
      <c r="C1674" t="s">
        <v>454</v>
      </c>
      <c r="D1674" s="3" t="s">
        <v>29</v>
      </c>
      <c r="E1674" s="14">
        <v>2.5000000000000001E-2</v>
      </c>
      <c r="F1674" s="4" t="s">
        <v>179</v>
      </c>
      <c r="G1674" s="9">
        <v>60</v>
      </c>
      <c r="H1674" s="9">
        <f t="shared" si="52"/>
        <v>1.5</v>
      </c>
      <c r="I1674" t="s">
        <v>179</v>
      </c>
      <c r="J1674" s="33">
        <v>0</v>
      </c>
      <c r="K1674" s="18">
        <f>VLOOKUP(D1674,Ingredients!C:G,5,0)</f>
        <v>100</v>
      </c>
      <c r="L1674" s="52">
        <f t="shared" si="53"/>
        <v>2.5</v>
      </c>
    </row>
    <row r="1675" spans="1:12">
      <c r="A1675" t="s">
        <v>422</v>
      </c>
      <c r="B1675" t="s">
        <v>349</v>
      </c>
      <c r="C1675" t="s">
        <v>352</v>
      </c>
      <c r="D1675" s="3" t="s">
        <v>852</v>
      </c>
      <c r="E1675" s="14">
        <v>0.3</v>
      </c>
      <c r="F1675" s="4" t="s">
        <v>176</v>
      </c>
      <c r="G1675" s="9">
        <v>520.63</v>
      </c>
      <c r="H1675" s="9">
        <f t="shared" si="52"/>
        <v>156.18899999999999</v>
      </c>
      <c r="I1675" t="s">
        <v>179</v>
      </c>
      <c r="J1675" s="33" t="s">
        <v>514</v>
      </c>
      <c r="K1675" s="18">
        <v>550</v>
      </c>
      <c r="L1675" s="52">
        <f t="shared" si="53"/>
        <v>165</v>
      </c>
    </row>
    <row r="1676" spans="1:12">
      <c r="A1676" t="s">
        <v>422</v>
      </c>
      <c r="B1676" t="s">
        <v>349</v>
      </c>
      <c r="C1676" t="s">
        <v>352</v>
      </c>
      <c r="D1676" s="3" t="s">
        <v>837</v>
      </c>
      <c r="E1676" s="14">
        <v>1</v>
      </c>
      <c r="F1676" s="4" t="s">
        <v>176</v>
      </c>
      <c r="G1676" s="9">
        <v>1700</v>
      </c>
      <c r="H1676" s="9">
        <f t="shared" si="52"/>
        <v>1700</v>
      </c>
      <c r="I1676" t="s">
        <v>179</v>
      </c>
      <c r="J1676" s="33" t="s">
        <v>514</v>
      </c>
      <c r="K1676" s="18">
        <f>VLOOKUP(D1676,Ingredients!C:G,5,0)</f>
        <v>1800</v>
      </c>
      <c r="L1676" s="52">
        <f t="shared" si="53"/>
        <v>1800</v>
      </c>
    </row>
    <row r="1677" spans="1:12">
      <c r="A1677" t="s">
        <v>422</v>
      </c>
      <c r="B1677" t="s">
        <v>349</v>
      </c>
      <c r="C1677" t="s">
        <v>352</v>
      </c>
      <c r="D1677" s="3" t="s">
        <v>932</v>
      </c>
      <c r="E1677" s="14">
        <v>0.01</v>
      </c>
      <c r="F1677" s="4" t="s">
        <v>179</v>
      </c>
      <c r="G1677" s="9">
        <v>2848.84</v>
      </c>
      <c r="H1677" s="9">
        <f t="shared" si="52"/>
        <v>28.488400000000002</v>
      </c>
      <c r="I1677" t="s">
        <v>179</v>
      </c>
      <c r="J1677" s="33" t="s">
        <v>514</v>
      </c>
      <c r="K1677" s="18">
        <f>VLOOKUP(D1677,Ingredients!C:G,5,0)</f>
        <v>2643.68</v>
      </c>
      <c r="L1677" s="52">
        <f t="shared" si="53"/>
        <v>26.436799999999998</v>
      </c>
    </row>
    <row r="1678" spans="1:12">
      <c r="A1678" t="s">
        <v>422</v>
      </c>
      <c r="B1678" t="s">
        <v>349</v>
      </c>
      <c r="C1678" t="s">
        <v>352</v>
      </c>
      <c r="D1678" s="3" t="s">
        <v>895</v>
      </c>
      <c r="E1678" s="14">
        <v>5.0000000000000001E-3</v>
      </c>
      <c r="F1678" s="4" t="s">
        <v>179</v>
      </c>
      <c r="G1678" s="9">
        <v>400</v>
      </c>
      <c r="H1678" s="9">
        <f t="shared" si="52"/>
        <v>2</v>
      </c>
      <c r="I1678" t="s">
        <v>179</v>
      </c>
      <c r="J1678" s="33" t="s">
        <v>514</v>
      </c>
      <c r="K1678" s="18">
        <f>VLOOKUP(D1678,Ingredients!C:G,5,0)</f>
        <v>400</v>
      </c>
      <c r="L1678" s="52">
        <f t="shared" si="53"/>
        <v>2</v>
      </c>
    </row>
    <row r="1679" spans="1:12">
      <c r="A1679" t="s">
        <v>422</v>
      </c>
      <c r="B1679" t="s">
        <v>349</v>
      </c>
      <c r="C1679" t="s">
        <v>352</v>
      </c>
      <c r="D1679" s="3" t="s">
        <v>855</v>
      </c>
      <c r="E1679" s="14">
        <v>0.01</v>
      </c>
      <c r="F1679" s="4" t="s">
        <v>179</v>
      </c>
      <c r="G1679" s="9">
        <v>2400</v>
      </c>
      <c r="H1679" s="9">
        <f t="shared" si="52"/>
        <v>24</v>
      </c>
      <c r="I1679" t="s">
        <v>179</v>
      </c>
      <c r="J1679" s="33" t="s">
        <v>514</v>
      </c>
      <c r="K1679" s="18">
        <f>VLOOKUP(D1679,Ingredients!C:G,5,0)</f>
        <v>1600</v>
      </c>
      <c r="L1679" s="52">
        <f t="shared" si="53"/>
        <v>16</v>
      </c>
    </row>
    <row r="1680" spans="1:12">
      <c r="A1680" t="s">
        <v>422</v>
      </c>
      <c r="B1680" t="s">
        <v>349</v>
      </c>
      <c r="C1680" t="s">
        <v>352</v>
      </c>
      <c r="D1680" s="3" t="s">
        <v>880</v>
      </c>
      <c r="E1680" s="14">
        <v>5.0000000000000001E-3</v>
      </c>
      <c r="F1680" s="4" t="s">
        <v>179</v>
      </c>
      <c r="G1680" s="9">
        <v>650</v>
      </c>
      <c r="H1680" s="9">
        <f t="shared" si="52"/>
        <v>3.25</v>
      </c>
      <c r="I1680" t="s">
        <v>179</v>
      </c>
      <c r="J1680" s="33" t="s">
        <v>514</v>
      </c>
      <c r="K1680" s="18">
        <f>VLOOKUP(D1680,Ingredients!C:G,5,0)</f>
        <v>520</v>
      </c>
      <c r="L1680" s="52">
        <f t="shared" si="53"/>
        <v>2.6</v>
      </c>
    </row>
    <row r="1681" spans="1:12">
      <c r="A1681" t="s">
        <v>422</v>
      </c>
      <c r="B1681" t="s">
        <v>349</v>
      </c>
      <c r="C1681" t="s">
        <v>352</v>
      </c>
      <c r="D1681" s="3" t="s">
        <v>849</v>
      </c>
      <c r="E1681" s="14">
        <v>0.01</v>
      </c>
      <c r="F1681" s="4" t="s">
        <v>179</v>
      </c>
      <c r="G1681" s="9">
        <v>1000</v>
      </c>
      <c r="H1681" s="9">
        <f t="shared" si="52"/>
        <v>10</v>
      </c>
      <c r="I1681" t="s">
        <v>179</v>
      </c>
      <c r="J1681" s="33" t="s">
        <v>514</v>
      </c>
      <c r="K1681" s="18">
        <f>VLOOKUP(D1681,Ingredients!C:G,5,0)</f>
        <v>950</v>
      </c>
      <c r="L1681" s="52">
        <f t="shared" si="53"/>
        <v>9.5</v>
      </c>
    </row>
    <row r="1682" spans="1:12">
      <c r="A1682" t="s">
        <v>422</v>
      </c>
      <c r="B1682" t="s">
        <v>349</v>
      </c>
      <c r="C1682" t="s">
        <v>352</v>
      </c>
      <c r="D1682" s="3" t="s">
        <v>853</v>
      </c>
      <c r="E1682" s="14">
        <v>2.5000000000000001E-2</v>
      </c>
      <c r="F1682" s="4" t="s">
        <v>315</v>
      </c>
      <c r="G1682" s="9">
        <v>30</v>
      </c>
      <c r="H1682" s="9">
        <f t="shared" si="52"/>
        <v>0.75</v>
      </c>
      <c r="I1682" t="s">
        <v>179</v>
      </c>
      <c r="J1682" s="33" t="s">
        <v>514</v>
      </c>
      <c r="K1682" s="18">
        <f>VLOOKUP(D1682,Ingredients!C:G,5,0)</f>
        <v>55</v>
      </c>
      <c r="L1682" s="52">
        <f t="shared" si="53"/>
        <v>1.375</v>
      </c>
    </row>
    <row r="1683" spans="1:12">
      <c r="A1683" t="s">
        <v>422</v>
      </c>
      <c r="B1683" t="s">
        <v>349</v>
      </c>
      <c r="C1683" t="s">
        <v>352</v>
      </c>
      <c r="D1683" s="3" t="s">
        <v>933</v>
      </c>
      <c r="E1683" s="14">
        <v>1</v>
      </c>
      <c r="F1683" s="4" t="s">
        <v>176</v>
      </c>
      <c r="G1683" s="9">
        <v>250</v>
      </c>
      <c r="H1683" s="9">
        <f t="shared" si="52"/>
        <v>250</v>
      </c>
      <c r="I1683" t="s">
        <v>179</v>
      </c>
      <c r="J1683" s="33" t="s">
        <v>514</v>
      </c>
      <c r="K1683" s="18">
        <f>VLOOKUP(D1683,Ingredients!C:G,5,0)</f>
        <v>265</v>
      </c>
      <c r="L1683" s="52">
        <f t="shared" si="53"/>
        <v>265</v>
      </c>
    </row>
    <row r="1684" spans="1:12">
      <c r="A1684" t="s">
        <v>422</v>
      </c>
      <c r="B1684" t="s">
        <v>349</v>
      </c>
      <c r="C1684" t="s">
        <v>352</v>
      </c>
      <c r="D1684" s="3" t="s">
        <v>23</v>
      </c>
      <c r="E1684" s="14">
        <v>3.7499999999999999E-2</v>
      </c>
      <c r="F1684" s="4" t="s">
        <v>176</v>
      </c>
      <c r="G1684" s="9">
        <v>740</v>
      </c>
      <c r="H1684" s="9">
        <f t="shared" si="52"/>
        <v>27.75</v>
      </c>
      <c r="I1684" t="s">
        <v>179</v>
      </c>
      <c r="J1684" s="33" t="s">
        <v>514</v>
      </c>
      <c r="K1684" s="18">
        <f>VLOOKUP(D1684,Ingredients!C:G,5,0)</f>
        <v>780</v>
      </c>
      <c r="L1684" s="52">
        <f t="shared" si="53"/>
        <v>29.25</v>
      </c>
    </row>
    <row r="1685" spans="1:12">
      <c r="A1685" t="s">
        <v>422</v>
      </c>
      <c r="B1685" t="s">
        <v>349</v>
      </c>
      <c r="C1685" t="s">
        <v>352</v>
      </c>
      <c r="D1685" s="3" t="s">
        <v>16</v>
      </c>
      <c r="E1685" s="14">
        <v>6.2500000000000003E-3</v>
      </c>
      <c r="F1685" s="4" t="s">
        <v>179</v>
      </c>
      <c r="G1685" s="9">
        <v>270</v>
      </c>
      <c r="H1685" s="9">
        <f t="shared" si="52"/>
        <v>1.6875</v>
      </c>
      <c r="I1685" t="s">
        <v>179</v>
      </c>
      <c r="J1685" s="33" t="s">
        <v>514</v>
      </c>
      <c r="K1685" s="18">
        <f>VLOOKUP(D1685,Ingredients!C:G,5,0)</f>
        <v>310</v>
      </c>
      <c r="L1685" s="52">
        <f t="shared" si="53"/>
        <v>1.9375</v>
      </c>
    </row>
    <row r="1686" spans="1:12">
      <c r="A1686" t="s">
        <v>422</v>
      </c>
      <c r="B1686" t="s">
        <v>349</v>
      </c>
      <c r="C1686" t="s">
        <v>352</v>
      </c>
      <c r="D1686" s="3" t="s">
        <v>29</v>
      </c>
      <c r="E1686" s="14">
        <v>2.5000000000000001E-2</v>
      </c>
      <c r="F1686" s="4" t="s">
        <v>176</v>
      </c>
      <c r="G1686" s="9">
        <v>60</v>
      </c>
      <c r="H1686" s="9">
        <f t="shared" si="52"/>
        <v>1.5</v>
      </c>
      <c r="I1686" t="s">
        <v>179</v>
      </c>
      <c r="J1686" s="33" t="s">
        <v>514</v>
      </c>
      <c r="K1686" s="18">
        <f>VLOOKUP(D1686,Ingredients!C:G,5,0)</f>
        <v>100</v>
      </c>
      <c r="L1686" s="52">
        <f t="shared" si="53"/>
        <v>2.5</v>
      </c>
    </row>
    <row r="1687" spans="1:12">
      <c r="A1687" t="s">
        <v>422</v>
      </c>
      <c r="B1687" t="s">
        <v>349</v>
      </c>
      <c r="C1687" t="s">
        <v>352</v>
      </c>
      <c r="D1687" s="3" t="s">
        <v>28</v>
      </c>
      <c r="E1687" s="14">
        <v>0.5</v>
      </c>
      <c r="F1687" s="4" t="s">
        <v>176</v>
      </c>
      <c r="G1687" s="9">
        <v>85</v>
      </c>
      <c r="H1687" s="9">
        <f t="shared" si="52"/>
        <v>42.5</v>
      </c>
      <c r="I1687" t="s">
        <v>179</v>
      </c>
      <c r="J1687" s="33" t="s">
        <v>514</v>
      </c>
      <c r="K1687" s="18">
        <f>VLOOKUP(D1687,Ingredients!C:G,5,0)</f>
        <v>70</v>
      </c>
      <c r="L1687" s="52">
        <f t="shared" si="53"/>
        <v>35</v>
      </c>
    </row>
    <row r="1688" spans="1:12">
      <c r="A1688" t="s">
        <v>422</v>
      </c>
      <c r="B1688" t="s">
        <v>349</v>
      </c>
      <c r="C1688" t="s">
        <v>352</v>
      </c>
      <c r="D1688" s="3" t="s">
        <v>882</v>
      </c>
      <c r="E1688" s="14">
        <v>5.0000000000000001E-3</v>
      </c>
      <c r="F1688" s="4" t="s">
        <v>179</v>
      </c>
      <c r="G1688" s="9">
        <v>1500</v>
      </c>
      <c r="H1688" s="9">
        <f t="shared" si="52"/>
        <v>7.5</v>
      </c>
      <c r="I1688" t="s">
        <v>179</v>
      </c>
      <c r="J1688" s="33" t="s">
        <v>514</v>
      </c>
      <c r="K1688" s="18">
        <f>VLOOKUP(D1688,Ingredients!C:G,5,0)</f>
        <v>1450</v>
      </c>
      <c r="L1688" s="52">
        <f t="shared" si="53"/>
        <v>7.25</v>
      </c>
    </row>
    <row r="1689" spans="1:12">
      <c r="A1689" t="s">
        <v>422</v>
      </c>
      <c r="B1689" t="s">
        <v>349</v>
      </c>
      <c r="C1689" t="s">
        <v>352</v>
      </c>
      <c r="D1689" s="3" t="s">
        <v>35</v>
      </c>
      <c r="E1689" s="14">
        <v>0.05</v>
      </c>
      <c r="F1689" s="4" t="s">
        <v>408</v>
      </c>
      <c r="G1689" s="9">
        <v>13</v>
      </c>
      <c r="H1689" s="9">
        <f t="shared" si="52"/>
        <v>0.65</v>
      </c>
      <c r="I1689" t="s">
        <v>179</v>
      </c>
      <c r="J1689" s="33" t="s">
        <v>514</v>
      </c>
      <c r="K1689" s="18">
        <f>VLOOKUP(D1689,Ingredients!C:G,5,0)</f>
        <v>15</v>
      </c>
      <c r="L1689" s="52">
        <f t="shared" si="53"/>
        <v>0.75</v>
      </c>
    </row>
    <row r="1690" spans="1:12">
      <c r="A1690" t="s">
        <v>423</v>
      </c>
      <c r="B1690" t="s">
        <v>349</v>
      </c>
      <c r="C1690" t="s">
        <v>352</v>
      </c>
      <c r="D1690" s="33" t="s">
        <v>491</v>
      </c>
      <c r="E1690" s="14">
        <v>1</v>
      </c>
      <c r="F1690" s="4" t="s">
        <v>176</v>
      </c>
      <c r="G1690" s="9">
        <v>614</v>
      </c>
      <c r="H1690" s="9">
        <f t="shared" si="52"/>
        <v>614</v>
      </c>
      <c r="I1690" t="s">
        <v>179</v>
      </c>
      <c r="J1690" s="33" t="s">
        <v>491</v>
      </c>
      <c r="K1690" s="18">
        <f>VLOOKUP(D1690,Ingredients!C:G,5,0)</f>
        <v>650</v>
      </c>
      <c r="L1690" s="52">
        <f t="shared" si="53"/>
        <v>650</v>
      </c>
    </row>
    <row r="1691" spans="1:12">
      <c r="A1691" t="s">
        <v>423</v>
      </c>
      <c r="B1691" t="s">
        <v>349</v>
      </c>
      <c r="C1691" t="s">
        <v>352</v>
      </c>
      <c r="D1691" s="3" t="s">
        <v>852</v>
      </c>
      <c r="E1691" s="14">
        <v>0.12</v>
      </c>
      <c r="F1691" s="4" t="s">
        <v>176</v>
      </c>
      <c r="G1691" s="9">
        <v>520.63</v>
      </c>
      <c r="H1691" s="9">
        <f t="shared" si="52"/>
        <v>62.4756</v>
      </c>
      <c r="I1691" t="s">
        <v>179</v>
      </c>
      <c r="J1691" s="33" t="s">
        <v>491</v>
      </c>
      <c r="K1691" s="18">
        <v>550</v>
      </c>
      <c r="L1691" s="52">
        <f t="shared" si="53"/>
        <v>66</v>
      </c>
    </row>
    <row r="1692" spans="1:12">
      <c r="A1692" t="s">
        <v>423</v>
      </c>
      <c r="B1692" t="s">
        <v>349</v>
      </c>
      <c r="C1692" t="s">
        <v>352</v>
      </c>
      <c r="D1692" s="3" t="s">
        <v>867</v>
      </c>
      <c r="E1692" s="14">
        <v>1.4999999999999999E-2</v>
      </c>
      <c r="F1692" s="4" t="s">
        <v>179</v>
      </c>
      <c r="G1692" s="9">
        <v>900</v>
      </c>
      <c r="H1692" s="9">
        <f t="shared" si="52"/>
        <v>13.5</v>
      </c>
      <c r="I1692" t="s">
        <v>179</v>
      </c>
      <c r="J1692" s="33" t="s">
        <v>491</v>
      </c>
      <c r="K1692" s="18">
        <f>VLOOKUP(D1692,Ingredients!C:G,5,0)</f>
        <v>950</v>
      </c>
      <c r="L1692" s="52">
        <f t="shared" si="53"/>
        <v>14.25</v>
      </c>
    </row>
    <row r="1693" spans="1:12">
      <c r="A1693" t="s">
        <v>423</v>
      </c>
      <c r="B1693" t="s">
        <v>349</v>
      </c>
      <c r="C1693" t="s">
        <v>352</v>
      </c>
      <c r="D1693" s="3" t="s">
        <v>853</v>
      </c>
      <c r="E1693" s="14">
        <v>0.03</v>
      </c>
      <c r="F1693" s="4" t="s">
        <v>179</v>
      </c>
      <c r="G1693" s="9">
        <v>30</v>
      </c>
      <c r="H1693" s="9">
        <f t="shared" si="52"/>
        <v>0.89999999999999991</v>
      </c>
      <c r="I1693" t="s">
        <v>179</v>
      </c>
      <c r="J1693" s="33" t="s">
        <v>491</v>
      </c>
      <c r="K1693" s="18">
        <f>VLOOKUP(D1693,Ingredients!C:G,5,0)</f>
        <v>55</v>
      </c>
      <c r="L1693" s="52">
        <f t="shared" si="53"/>
        <v>1.65</v>
      </c>
    </row>
    <row r="1694" spans="1:12">
      <c r="A1694" t="s">
        <v>423</v>
      </c>
      <c r="B1694" t="s">
        <v>349</v>
      </c>
      <c r="C1694" t="s">
        <v>352</v>
      </c>
      <c r="D1694" s="3" t="s">
        <v>880</v>
      </c>
      <c r="E1694" s="14">
        <v>2E-3</v>
      </c>
      <c r="F1694" s="4" t="s">
        <v>179</v>
      </c>
      <c r="G1694" s="9">
        <v>650</v>
      </c>
      <c r="H1694" s="9">
        <f t="shared" si="52"/>
        <v>1.3</v>
      </c>
      <c r="I1694" t="s">
        <v>179</v>
      </c>
      <c r="J1694" s="33" t="s">
        <v>491</v>
      </c>
      <c r="K1694" s="18">
        <f>VLOOKUP(D1694,Ingredients!C:G,5,0)</f>
        <v>520</v>
      </c>
      <c r="L1694" s="52">
        <f t="shared" si="53"/>
        <v>1.04</v>
      </c>
    </row>
    <row r="1695" spans="1:12">
      <c r="A1695" t="s">
        <v>423</v>
      </c>
      <c r="B1695" t="s">
        <v>349</v>
      </c>
      <c r="C1695" t="s">
        <v>352</v>
      </c>
      <c r="D1695" s="3" t="s">
        <v>895</v>
      </c>
      <c r="E1695" s="14">
        <v>0.03</v>
      </c>
      <c r="F1695" s="4" t="s">
        <v>179</v>
      </c>
      <c r="G1695" s="9">
        <v>400</v>
      </c>
      <c r="H1695" s="9">
        <f t="shared" si="52"/>
        <v>12</v>
      </c>
      <c r="I1695" t="s">
        <v>179</v>
      </c>
      <c r="J1695" s="33" t="s">
        <v>491</v>
      </c>
      <c r="K1695" s="18">
        <f>VLOOKUP(D1695,Ingredients!C:G,5,0)</f>
        <v>400</v>
      </c>
      <c r="L1695" s="52">
        <f t="shared" si="53"/>
        <v>12</v>
      </c>
    </row>
    <row r="1696" spans="1:12">
      <c r="A1696" t="s">
        <v>423</v>
      </c>
      <c r="B1696" t="s">
        <v>349</v>
      </c>
      <c r="C1696" t="s">
        <v>352</v>
      </c>
      <c r="D1696" s="3" t="s">
        <v>860</v>
      </c>
      <c r="E1696" s="14">
        <v>0.03</v>
      </c>
      <c r="F1696" s="4" t="s">
        <v>179</v>
      </c>
      <c r="G1696" s="9">
        <v>2000</v>
      </c>
      <c r="H1696" s="9">
        <f t="shared" si="52"/>
        <v>60</v>
      </c>
      <c r="I1696" t="s">
        <v>179</v>
      </c>
      <c r="J1696" s="33" t="s">
        <v>491</v>
      </c>
      <c r="K1696" s="18">
        <f>VLOOKUP(D1696,Ingredients!C:G,5,0)</f>
        <v>1900</v>
      </c>
      <c r="L1696" s="52">
        <f t="shared" si="53"/>
        <v>57</v>
      </c>
    </row>
    <row r="1697" spans="1:12">
      <c r="A1697" t="s">
        <v>423</v>
      </c>
      <c r="B1697" t="s">
        <v>349</v>
      </c>
      <c r="C1697" t="s">
        <v>352</v>
      </c>
      <c r="D1697" s="3" t="s">
        <v>931</v>
      </c>
      <c r="E1697" s="14">
        <v>2E-3</v>
      </c>
      <c r="F1697" s="4" t="s">
        <v>179</v>
      </c>
      <c r="G1697" s="9">
        <v>4000</v>
      </c>
      <c r="H1697" s="9">
        <f t="shared" si="52"/>
        <v>8</v>
      </c>
      <c r="I1697" t="s">
        <v>179</v>
      </c>
      <c r="J1697" s="33" t="s">
        <v>491</v>
      </c>
      <c r="K1697" s="18">
        <f>VLOOKUP(D1697,Ingredients!C:G,5,0)</f>
        <v>2900</v>
      </c>
      <c r="L1697" s="52">
        <f t="shared" si="53"/>
        <v>5.8</v>
      </c>
    </row>
    <row r="1698" spans="1:12">
      <c r="A1698" t="s">
        <v>423</v>
      </c>
      <c r="B1698" t="s">
        <v>349</v>
      </c>
      <c r="C1698" t="s">
        <v>352</v>
      </c>
      <c r="D1698" s="3" t="s">
        <v>849</v>
      </c>
      <c r="E1698" s="14">
        <v>1.4999999999999999E-2</v>
      </c>
      <c r="F1698" s="4" t="s">
        <v>179</v>
      </c>
      <c r="G1698" s="9">
        <v>1000</v>
      </c>
      <c r="H1698" s="9">
        <f t="shared" si="52"/>
        <v>15</v>
      </c>
      <c r="I1698" t="s">
        <v>179</v>
      </c>
      <c r="J1698" s="33" t="s">
        <v>491</v>
      </c>
      <c r="K1698" s="18">
        <f>VLOOKUP(D1698,Ingredients!C:G,5,0)</f>
        <v>950</v>
      </c>
      <c r="L1698" s="52">
        <f t="shared" si="53"/>
        <v>14.25</v>
      </c>
    </row>
    <row r="1699" spans="1:12">
      <c r="A1699" t="s">
        <v>423</v>
      </c>
      <c r="B1699" t="s">
        <v>349</v>
      </c>
      <c r="C1699" t="s">
        <v>352</v>
      </c>
      <c r="D1699" s="3" t="s">
        <v>850</v>
      </c>
      <c r="E1699" s="14">
        <v>8.9999999999999993E-3</v>
      </c>
      <c r="F1699" s="4" t="s">
        <v>179</v>
      </c>
      <c r="G1699" s="9">
        <v>700</v>
      </c>
      <c r="H1699" s="9">
        <f t="shared" si="52"/>
        <v>6.3</v>
      </c>
      <c r="I1699" t="s">
        <v>179</v>
      </c>
      <c r="J1699" s="33" t="s">
        <v>491</v>
      </c>
      <c r="K1699" s="18">
        <f>VLOOKUP(D1699,Ingredients!C:G,5,0)</f>
        <v>700</v>
      </c>
      <c r="L1699" s="52">
        <f t="shared" si="53"/>
        <v>6.3</v>
      </c>
    </row>
    <row r="1700" spans="1:12">
      <c r="A1700" t="s">
        <v>423</v>
      </c>
      <c r="B1700" t="s">
        <v>349</v>
      </c>
      <c r="C1700" t="s">
        <v>352</v>
      </c>
      <c r="D1700" s="3" t="s">
        <v>928</v>
      </c>
      <c r="E1700" s="14">
        <v>4.0000000000000001E-3</v>
      </c>
      <c r="F1700" s="4" t="s">
        <v>179</v>
      </c>
      <c r="G1700" s="9">
        <v>850</v>
      </c>
      <c r="H1700" s="9">
        <f t="shared" si="52"/>
        <v>3.4</v>
      </c>
      <c r="I1700" t="s">
        <v>179</v>
      </c>
      <c r="J1700" s="33" t="s">
        <v>491</v>
      </c>
      <c r="K1700" s="18">
        <f>VLOOKUP(D1700,Ingredients!C:G,5,0)</f>
        <v>900</v>
      </c>
      <c r="L1700" s="52">
        <f t="shared" si="53"/>
        <v>3.6</v>
      </c>
    </row>
    <row r="1701" spans="1:12">
      <c r="A1701" t="s">
        <v>423</v>
      </c>
      <c r="B1701" t="s">
        <v>349</v>
      </c>
      <c r="C1701" t="s">
        <v>352</v>
      </c>
      <c r="D1701" s="3" t="s">
        <v>23</v>
      </c>
      <c r="E1701" s="14">
        <v>0.03</v>
      </c>
      <c r="F1701" s="4" t="s">
        <v>179</v>
      </c>
      <c r="G1701" s="9">
        <v>740</v>
      </c>
      <c r="H1701" s="9">
        <f t="shared" si="52"/>
        <v>22.2</v>
      </c>
      <c r="I1701" t="s">
        <v>179</v>
      </c>
      <c r="J1701" s="33" t="s">
        <v>491</v>
      </c>
      <c r="K1701" s="18">
        <f>VLOOKUP(D1701,Ingredients!C:G,5,0)</f>
        <v>780</v>
      </c>
      <c r="L1701" s="52">
        <f t="shared" si="53"/>
        <v>23.4</v>
      </c>
    </row>
    <row r="1702" spans="1:12">
      <c r="A1702" t="s">
        <v>423</v>
      </c>
      <c r="B1702" t="s">
        <v>349</v>
      </c>
      <c r="C1702" t="s">
        <v>352</v>
      </c>
      <c r="D1702" s="3" t="s">
        <v>24</v>
      </c>
      <c r="E1702" s="14">
        <v>0.2</v>
      </c>
      <c r="F1702" s="4" t="s">
        <v>176</v>
      </c>
      <c r="G1702" s="9">
        <v>55</v>
      </c>
      <c r="H1702" s="9">
        <f t="shared" si="52"/>
        <v>11</v>
      </c>
      <c r="I1702" t="s">
        <v>179</v>
      </c>
      <c r="J1702" s="33" t="s">
        <v>491</v>
      </c>
      <c r="K1702" s="18">
        <f>VLOOKUP(D1702,Ingredients!C:G,5,0)</f>
        <v>80</v>
      </c>
      <c r="L1702" s="52">
        <f t="shared" si="53"/>
        <v>16</v>
      </c>
    </row>
    <row r="1703" spans="1:12">
      <c r="A1703" t="s">
        <v>423</v>
      </c>
      <c r="B1703" t="s">
        <v>349</v>
      </c>
      <c r="C1703" t="s">
        <v>352</v>
      </c>
      <c r="D1703" s="3" t="s">
        <v>28</v>
      </c>
      <c r="E1703" s="14">
        <v>0.25</v>
      </c>
      <c r="F1703" s="4" t="s">
        <v>176</v>
      </c>
      <c r="G1703" s="9">
        <v>85</v>
      </c>
      <c r="H1703" s="9">
        <f t="shared" si="52"/>
        <v>21.25</v>
      </c>
      <c r="I1703" t="s">
        <v>179</v>
      </c>
      <c r="J1703" s="33" t="s">
        <v>491</v>
      </c>
      <c r="K1703" s="18">
        <f>VLOOKUP(D1703,Ingredients!C:G,5,0)</f>
        <v>70</v>
      </c>
      <c r="L1703" s="52">
        <f t="shared" si="53"/>
        <v>17.5</v>
      </c>
    </row>
    <row r="1704" spans="1:12">
      <c r="A1704" t="s">
        <v>423</v>
      </c>
      <c r="B1704" t="s">
        <v>349</v>
      </c>
      <c r="C1704" t="s">
        <v>352</v>
      </c>
      <c r="D1704" s="3" t="s">
        <v>943</v>
      </c>
      <c r="E1704" s="14">
        <v>0.04</v>
      </c>
      <c r="F1704" s="4" t="s">
        <v>179</v>
      </c>
      <c r="G1704" s="9">
        <v>450</v>
      </c>
      <c r="H1704" s="9">
        <f t="shared" si="52"/>
        <v>18</v>
      </c>
      <c r="I1704" t="s">
        <v>179</v>
      </c>
      <c r="J1704" s="33" t="s">
        <v>491</v>
      </c>
      <c r="K1704" s="18">
        <f>VLOOKUP(D1704,Ingredients!C:G,5,0)</f>
        <v>450</v>
      </c>
      <c r="L1704" s="52">
        <f t="shared" si="53"/>
        <v>18</v>
      </c>
    </row>
    <row r="1705" spans="1:12">
      <c r="A1705" t="s">
        <v>424</v>
      </c>
      <c r="B1705" t="s">
        <v>356</v>
      </c>
      <c r="C1705" t="s">
        <v>356</v>
      </c>
      <c r="D1705" s="3" t="s">
        <v>15</v>
      </c>
      <c r="E1705" s="14">
        <v>1.25</v>
      </c>
      <c r="F1705" s="4" t="s">
        <v>176</v>
      </c>
      <c r="G1705" s="9">
        <v>130</v>
      </c>
      <c r="H1705" s="9">
        <f t="shared" si="52"/>
        <v>162.5</v>
      </c>
      <c r="I1705" t="s">
        <v>179</v>
      </c>
      <c r="J1705" s="33">
        <v>0</v>
      </c>
      <c r="K1705" s="18">
        <f>VLOOKUP(D1705,Ingredients!C:G,5,0)</f>
        <v>90</v>
      </c>
      <c r="L1705" s="52">
        <f t="shared" si="53"/>
        <v>112.5</v>
      </c>
    </row>
    <row r="1706" spans="1:12">
      <c r="A1706" t="s">
        <v>424</v>
      </c>
      <c r="B1706" t="s">
        <v>356</v>
      </c>
      <c r="C1706" t="s">
        <v>356</v>
      </c>
      <c r="D1706" s="3" t="s">
        <v>917</v>
      </c>
      <c r="E1706" s="14">
        <v>0.5</v>
      </c>
      <c r="F1706" s="4" t="s">
        <v>176</v>
      </c>
      <c r="G1706" s="9">
        <v>800</v>
      </c>
      <c r="H1706" s="9">
        <f t="shared" si="52"/>
        <v>400</v>
      </c>
      <c r="I1706" t="s">
        <v>179</v>
      </c>
      <c r="J1706" s="33">
        <v>0</v>
      </c>
      <c r="K1706" s="18">
        <f>VLOOKUP(D1706,Ingredients!C:G,5,0)</f>
        <v>550</v>
      </c>
      <c r="L1706" s="52">
        <f t="shared" si="53"/>
        <v>275</v>
      </c>
    </row>
    <row r="1707" spans="1:12">
      <c r="A1707" t="s">
        <v>424</v>
      </c>
      <c r="B1707" t="s">
        <v>356</v>
      </c>
      <c r="C1707" t="s">
        <v>356</v>
      </c>
      <c r="D1707" s="3" t="s">
        <v>913</v>
      </c>
      <c r="E1707" s="14">
        <v>0.1</v>
      </c>
      <c r="F1707" s="4" t="s">
        <v>176</v>
      </c>
      <c r="G1707" s="9">
        <v>229.16666666666666</v>
      </c>
      <c r="H1707" s="9">
        <f t="shared" si="52"/>
        <v>22.916666666666668</v>
      </c>
      <c r="I1707" t="s">
        <v>179</v>
      </c>
      <c r="J1707" s="33">
        <v>0</v>
      </c>
      <c r="K1707" s="18">
        <f>VLOOKUP(D1707,Ingredients!C:F,3,0)</f>
        <v>343.75</v>
      </c>
      <c r="L1707" s="52">
        <f t="shared" si="53"/>
        <v>34.375</v>
      </c>
    </row>
    <row r="1708" spans="1:12">
      <c r="A1708" t="s">
        <v>424</v>
      </c>
      <c r="B1708" t="s">
        <v>356</v>
      </c>
      <c r="C1708" t="s">
        <v>356</v>
      </c>
      <c r="D1708" s="3" t="s">
        <v>852</v>
      </c>
      <c r="E1708" s="14">
        <v>0.1</v>
      </c>
      <c r="F1708" s="4" t="s">
        <v>176</v>
      </c>
      <c r="G1708" s="9">
        <v>520.63</v>
      </c>
      <c r="H1708" s="9">
        <f t="shared" si="52"/>
        <v>52.063000000000002</v>
      </c>
      <c r="I1708" t="s">
        <v>179</v>
      </c>
      <c r="J1708" s="33">
        <v>0</v>
      </c>
      <c r="K1708" s="18">
        <v>550</v>
      </c>
      <c r="L1708" s="52">
        <f t="shared" si="53"/>
        <v>55</v>
      </c>
    </row>
    <row r="1709" spans="1:12">
      <c r="A1709" t="s">
        <v>424</v>
      </c>
      <c r="B1709" t="s">
        <v>356</v>
      </c>
      <c r="C1709" t="s">
        <v>356</v>
      </c>
      <c r="D1709" s="3" t="s">
        <v>942</v>
      </c>
      <c r="E1709" s="14">
        <v>2.5000000000000001E-2</v>
      </c>
      <c r="F1709" s="4" t="s">
        <v>179</v>
      </c>
      <c r="G1709" s="9">
        <v>1388.75</v>
      </c>
      <c r="H1709" s="9">
        <f t="shared" si="52"/>
        <v>34.71875</v>
      </c>
      <c r="I1709" t="s">
        <v>179</v>
      </c>
      <c r="J1709" s="33">
        <v>0</v>
      </c>
      <c r="K1709" s="18">
        <f>VLOOKUP(D1709,Ingredients!C:G,5,0)</f>
        <v>1375</v>
      </c>
      <c r="L1709" s="52">
        <f t="shared" si="53"/>
        <v>34.375</v>
      </c>
    </row>
    <row r="1710" spans="1:12">
      <c r="A1710" t="s">
        <v>424</v>
      </c>
      <c r="B1710" t="s">
        <v>356</v>
      </c>
      <c r="C1710" t="s">
        <v>356</v>
      </c>
      <c r="D1710" s="3" t="s">
        <v>830</v>
      </c>
      <c r="E1710" s="14">
        <v>0.1</v>
      </c>
      <c r="F1710" s="4" t="s">
        <v>176</v>
      </c>
      <c r="G1710" s="9">
        <v>149</v>
      </c>
      <c r="H1710" s="9">
        <f t="shared" si="52"/>
        <v>14.9</v>
      </c>
      <c r="I1710" t="s">
        <v>179</v>
      </c>
      <c r="J1710" s="33">
        <v>0</v>
      </c>
      <c r="K1710" s="18">
        <f>VLOOKUP(D1710,Ingredients!C:G,5,0)</f>
        <v>123</v>
      </c>
      <c r="L1710" s="52">
        <f t="shared" si="53"/>
        <v>12.3</v>
      </c>
    </row>
    <row r="1711" spans="1:12">
      <c r="A1711" t="s">
        <v>424</v>
      </c>
      <c r="B1711" t="s">
        <v>356</v>
      </c>
      <c r="C1711" t="s">
        <v>356</v>
      </c>
      <c r="D1711" s="3" t="s">
        <v>892</v>
      </c>
      <c r="E1711" s="14">
        <v>2.5000000000000001E-2</v>
      </c>
      <c r="F1711" s="4" t="s">
        <v>179</v>
      </c>
      <c r="G1711" s="9">
        <v>2000</v>
      </c>
      <c r="H1711" s="9">
        <f t="shared" si="52"/>
        <v>50</v>
      </c>
      <c r="I1711" t="s">
        <v>179</v>
      </c>
      <c r="J1711" s="33">
        <v>0</v>
      </c>
      <c r="K1711" s="18">
        <f>VLOOKUP(D1711,Ingredients!C:G,5,0)</f>
        <v>2080</v>
      </c>
      <c r="L1711" s="52">
        <f t="shared" si="53"/>
        <v>52</v>
      </c>
    </row>
    <row r="1712" spans="1:12">
      <c r="A1712" t="s">
        <v>424</v>
      </c>
      <c r="B1712" t="s">
        <v>356</v>
      </c>
      <c r="C1712" t="s">
        <v>356</v>
      </c>
      <c r="D1712" s="3" t="s">
        <v>916</v>
      </c>
      <c r="E1712" s="14">
        <v>2.5000000000000001E-2</v>
      </c>
      <c r="F1712" s="4" t="s">
        <v>179</v>
      </c>
      <c r="G1712" s="9">
        <v>6500</v>
      </c>
      <c r="H1712" s="9">
        <f t="shared" si="52"/>
        <v>162.5</v>
      </c>
      <c r="I1712" t="s">
        <v>179</v>
      </c>
      <c r="J1712" s="33">
        <v>0</v>
      </c>
      <c r="K1712" s="18">
        <f>VLOOKUP(D1712,Ingredients!C:G,5,0)</f>
        <v>6200</v>
      </c>
      <c r="L1712" s="52">
        <f t="shared" si="53"/>
        <v>155</v>
      </c>
    </row>
    <row r="1713" spans="1:12">
      <c r="A1713" t="s">
        <v>425</v>
      </c>
      <c r="B1713" t="s">
        <v>355</v>
      </c>
      <c r="C1713" t="s">
        <v>371</v>
      </c>
      <c r="D1713" s="3" t="s">
        <v>903</v>
      </c>
      <c r="E1713" s="14">
        <v>7.4999999999999997E-2</v>
      </c>
      <c r="F1713" s="4" t="s">
        <v>176</v>
      </c>
      <c r="G1713" s="9">
        <v>153.97999999999999</v>
      </c>
      <c r="H1713" s="9">
        <f t="shared" si="52"/>
        <v>11.548499999999999</v>
      </c>
      <c r="I1713" t="s">
        <v>250</v>
      </c>
      <c r="J1713" s="33">
        <v>0</v>
      </c>
      <c r="K1713" s="18">
        <f>VLOOKUP(D1713,Ingredients!C:G,5,0)</f>
        <v>152</v>
      </c>
      <c r="L1713" s="52">
        <f t="shared" si="53"/>
        <v>11.4</v>
      </c>
    </row>
    <row r="1714" spans="1:12">
      <c r="A1714" t="s">
        <v>425</v>
      </c>
      <c r="B1714" t="s">
        <v>355</v>
      </c>
      <c r="C1714" t="s">
        <v>371</v>
      </c>
      <c r="D1714" s="3" t="s">
        <v>852</v>
      </c>
      <c r="E1714" s="14">
        <v>1.4999999999999999E-2</v>
      </c>
      <c r="F1714" s="4" t="s">
        <v>176</v>
      </c>
      <c r="G1714" s="9">
        <v>520.63</v>
      </c>
      <c r="H1714" s="9">
        <f t="shared" si="52"/>
        <v>7.80945</v>
      </c>
      <c r="I1714" t="s">
        <v>250</v>
      </c>
      <c r="J1714" s="33">
        <v>0</v>
      </c>
      <c r="K1714" s="18">
        <v>550</v>
      </c>
      <c r="L1714" s="52">
        <f t="shared" si="53"/>
        <v>8.25</v>
      </c>
    </row>
    <row r="1715" spans="1:12">
      <c r="A1715" t="s">
        <v>425</v>
      </c>
      <c r="B1715" t="s">
        <v>355</v>
      </c>
      <c r="C1715" t="s">
        <v>371</v>
      </c>
      <c r="D1715" s="3" t="s">
        <v>913</v>
      </c>
      <c r="E1715" s="14">
        <v>0.01</v>
      </c>
      <c r="F1715" s="4" t="s">
        <v>317</v>
      </c>
      <c r="G1715" s="9">
        <v>229.16666666666666</v>
      </c>
      <c r="H1715" s="9">
        <f t="shared" si="52"/>
        <v>2.2916666666666665</v>
      </c>
      <c r="I1715" t="s">
        <v>250</v>
      </c>
      <c r="J1715" s="33">
        <v>0</v>
      </c>
      <c r="K1715" s="18">
        <f>VLOOKUP(D1715,Ingredients!C:F,3,0)</f>
        <v>343.75</v>
      </c>
      <c r="L1715" s="52">
        <f t="shared" si="53"/>
        <v>3.4375</v>
      </c>
    </row>
    <row r="1716" spans="1:12">
      <c r="A1716" t="s">
        <v>425</v>
      </c>
      <c r="B1716" t="s">
        <v>355</v>
      </c>
      <c r="C1716" t="s">
        <v>371</v>
      </c>
      <c r="D1716" s="3" t="s">
        <v>853</v>
      </c>
      <c r="E1716" s="14">
        <v>2.9999999999999997E-4</v>
      </c>
      <c r="F1716" s="4" t="s">
        <v>315</v>
      </c>
      <c r="G1716" s="9">
        <v>30</v>
      </c>
      <c r="H1716" s="9">
        <f t="shared" si="52"/>
        <v>8.9999999999999993E-3</v>
      </c>
      <c r="I1716" t="s">
        <v>250</v>
      </c>
      <c r="J1716" s="33">
        <v>0</v>
      </c>
      <c r="K1716" s="18">
        <f>VLOOKUP(D1716,Ingredients!C:G,5,0)</f>
        <v>55</v>
      </c>
      <c r="L1716" s="52">
        <f t="shared" si="53"/>
        <v>1.6499999999999997E-2</v>
      </c>
    </row>
    <row r="1717" spans="1:12">
      <c r="A1717" t="s">
        <v>426</v>
      </c>
      <c r="B1717" t="s">
        <v>362</v>
      </c>
      <c r="C1717" t="s">
        <v>354</v>
      </c>
      <c r="D1717" s="3" t="s">
        <v>24</v>
      </c>
      <c r="E1717" s="14">
        <v>0.41095890410958902</v>
      </c>
      <c r="F1717" s="4" t="s">
        <v>176</v>
      </c>
      <c r="G1717" s="9">
        <v>55</v>
      </c>
      <c r="H1717" s="9">
        <f t="shared" si="52"/>
        <v>22.602739726027394</v>
      </c>
      <c r="I1717" t="s">
        <v>179</v>
      </c>
      <c r="J1717" s="33">
        <v>0</v>
      </c>
      <c r="K1717" s="18">
        <f>VLOOKUP(D1717,Ingredients!C:G,5,0)</f>
        <v>80</v>
      </c>
      <c r="L1717" s="52">
        <f t="shared" si="53"/>
        <v>32.87671232876712</v>
      </c>
    </row>
    <row r="1718" spans="1:12">
      <c r="A1718" t="s">
        <v>426</v>
      </c>
      <c r="B1718" t="s">
        <v>362</v>
      </c>
      <c r="C1718" t="s">
        <v>354</v>
      </c>
      <c r="D1718" s="3" t="s">
        <v>14</v>
      </c>
      <c r="E1718" s="14">
        <v>0.82191780821917804</v>
      </c>
      <c r="F1718" s="4" t="s">
        <v>176</v>
      </c>
      <c r="G1718" s="9">
        <v>120</v>
      </c>
      <c r="H1718" s="9">
        <f t="shared" si="52"/>
        <v>98.630136986301366</v>
      </c>
      <c r="I1718" t="s">
        <v>179</v>
      </c>
      <c r="J1718" s="33">
        <v>0</v>
      </c>
      <c r="K1718" s="18">
        <f>VLOOKUP(D1718,Ingredients!C:G,5,0)</f>
        <v>60</v>
      </c>
      <c r="L1718" s="52">
        <f t="shared" si="53"/>
        <v>49.315068493150683</v>
      </c>
    </row>
    <row r="1719" spans="1:12">
      <c r="A1719" t="s">
        <v>426</v>
      </c>
      <c r="B1719" t="s">
        <v>362</v>
      </c>
      <c r="C1719" t="s">
        <v>354</v>
      </c>
      <c r="D1719" s="3" t="s">
        <v>28</v>
      </c>
      <c r="E1719" s="14">
        <v>0.41095890410958902</v>
      </c>
      <c r="F1719" s="4" t="s">
        <v>176</v>
      </c>
      <c r="G1719" s="9">
        <v>85</v>
      </c>
      <c r="H1719" s="9">
        <f t="shared" si="52"/>
        <v>34.931506849315063</v>
      </c>
      <c r="I1719" t="s">
        <v>179</v>
      </c>
      <c r="J1719" s="33">
        <v>0</v>
      </c>
      <c r="K1719" s="18">
        <f>VLOOKUP(D1719,Ingredients!C:G,5,0)</f>
        <v>70</v>
      </c>
      <c r="L1719" s="52">
        <f t="shared" si="53"/>
        <v>28.767123287671232</v>
      </c>
    </row>
    <row r="1720" spans="1:12">
      <c r="A1720" t="s">
        <v>426</v>
      </c>
      <c r="B1720" t="s">
        <v>362</v>
      </c>
      <c r="C1720" t="s">
        <v>354</v>
      </c>
      <c r="D1720" s="3" t="s">
        <v>277</v>
      </c>
      <c r="E1720" s="14">
        <v>0.10273972602739725</v>
      </c>
      <c r="F1720" s="4" t="s">
        <v>176</v>
      </c>
      <c r="G1720" s="9">
        <v>30</v>
      </c>
      <c r="H1720" s="9">
        <f t="shared" si="52"/>
        <v>3.0821917808219177</v>
      </c>
      <c r="I1720" t="s">
        <v>179</v>
      </c>
      <c r="J1720" s="33">
        <v>0</v>
      </c>
      <c r="K1720" s="18">
        <f>VLOOKUP(D1720,Ingredients!C:G,5,0)</f>
        <v>20</v>
      </c>
      <c r="L1720" s="52">
        <f t="shared" si="53"/>
        <v>2.054794520547945</v>
      </c>
    </row>
    <row r="1721" spans="1:12">
      <c r="A1721" t="s">
        <v>426</v>
      </c>
      <c r="B1721" t="s">
        <v>362</v>
      </c>
      <c r="C1721" t="s">
        <v>354</v>
      </c>
      <c r="D1721" s="3" t="s">
        <v>15</v>
      </c>
      <c r="E1721" s="14">
        <v>0.10273972602739725</v>
      </c>
      <c r="F1721" s="4" t="s">
        <v>176</v>
      </c>
      <c r="G1721" s="9">
        <v>130</v>
      </c>
      <c r="H1721" s="9">
        <f t="shared" si="52"/>
        <v>13.356164383561643</v>
      </c>
      <c r="I1721" t="s">
        <v>179</v>
      </c>
      <c r="J1721" s="33">
        <v>0</v>
      </c>
      <c r="K1721" s="18">
        <f>VLOOKUP(D1721,Ingredients!C:G,5,0)</f>
        <v>90</v>
      </c>
      <c r="L1721" s="52">
        <f t="shared" si="53"/>
        <v>9.2465753424657535</v>
      </c>
    </row>
    <row r="1722" spans="1:12">
      <c r="A1722" t="s">
        <v>426</v>
      </c>
      <c r="B1722" t="s">
        <v>362</v>
      </c>
      <c r="C1722" t="s">
        <v>354</v>
      </c>
      <c r="D1722" s="3" t="s">
        <v>262</v>
      </c>
      <c r="E1722" s="14">
        <v>0.10273972602739725</v>
      </c>
      <c r="F1722" s="4" t="s">
        <v>176</v>
      </c>
      <c r="G1722" s="9">
        <v>300</v>
      </c>
      <c r="H1722" s="9">
        <f t="shared" si="52"/>
        <v>30.821917808219176</v>
      </c>
      <c r="I1722" t="s">
        <v>179</v>
      </c>
      <c r="J1722" s="33">
        <v>0</v>
      </c>
      <c r="K1722" s="18">
        <f>VLOOKUP(D1722,Ingredients!C:G,5,0)</f>
        <v>100</v>
      </c>
      <c r="L1722" s="52">
        <f t="shared" si="53"/>
        <v>10.273972602739725</v>
      </c>
    </row>
    <row r="1723" spans="1:12">
      <c r="A1723" t="s">
        <v>426</v>
      </c>
      <c r="B1723" t="s">
        <v>362</v>
      </c>
      <c r="C1723" t="s">
        <v>354</v>
      </c>
      <c r="D1723" s="3" t="s">
        <v>50</v>
      </c>
      <c r="E1723" s="14">
        <v>5.1369863013698627E-2</v>
      </c>
      <c r="F1723" s="4" t="s">
        <v>176</v>
      </c>
      <c r="G1723" s="9">
        <v>120</v>
      </c>
      <c r="H1723" s="9">
        <f t="shared" si="52"/>
        <v>6.1643835616438354</v>
      </c>
      <c r="I1723" t="s">
        <v>179</v>
      </c>
      <c r="J1723" s="33">
        <v>0</v>
      </c>
      <c r="K1723" s="18">
        <f>VLOOKUP(D1723,Ingredients!C:G,5,0)</f>
        <v>120</v>
      </c>
      <c r="L1723" s="52">
        <f t="shared" si="53"/>
        <v>6.1643835616438354</v>
      </c>
    </row>
    <row r="1724" spans="1:12">
      <c r="A1724" t="s">
        <v>427</v>
      </c>
      <c r="B1724" t="s">
        <v>349</v>
      </c>
      <c r="C1724" t="s">
        <v>351</v>
      </c>
      <c r="D1724" s="3" t="s">
        <v>852</v>
      </c>
      <c r="E1724" s="14">
        <v>0.25</v>
      </c>
      <c r="F1724" s="4" t="s">
        <v>176</v>
      </c>
      <c r="G1724" s="9">
        <v>520.63</v>
      </c>
      <c r="H1724" s="9">
        <f t="shared" si="52"/>
        <v>130.1575</v>
      </c>
      <c r="I1724" t="s">
        <v>179</v>
      </c>
      <c r="J1724" s="33" t="s">
        <v>428</v>
      </c>
      <c r="K1724" s="18">
        <v>550</v>
      </c>
      <c r="L1724" s="52">
        <f t="shared" si="53"/>
        <v>137.5</v>
      </c>
    </row>
    <row r="1725" spans="1:12">
      <c r="A1725" t="s">
        <v>427</v>
      </c>
      <c r="B1725" t="s">
        <v>349</v>
      </c>
      <c r="C1725" t="s">
        <v>351</v>
      </c>
      <c r="D1725" s="3" t="s">
        <v>428</v>
      </c>
      <c r="E1725" s="14">
        <v>1</v>
      </c>
      <c r="F1725" s="4" t="s">
        <v>176</v>
      </c>
      <c r="G1725" s="9">
        <v>1600</v>
      </c>
      <c r="H1725" s="9">
        <f t="shared" si="52"/>
        <v>1600</v>
      </c>
      <c r="I1725" t="s">
        <v>179</v>
      </c>
      <c r="J1725" s="33" t="s">
        <v>428</v>
      </c>
      <c r="K1725" s="18">
        <f>VLOOKUP(D1725,Ingredients!C:G,5,0)</f>
        <v>1514.78</v>
      </c>
      <c r="L1725" s="52">
        <f t="shared" si="53"/>
        <v>1514.78</v>
      </c>
    </row>
    <row r="1726" spans="1:12">
      <c r="A1726" t="s">
        <v>427</v>
      </c>
      <c r="B1726" t="s">
        <v>349</v>
      </c>
      <c r="C1726" t="s">
        <v>351</v>
      </c>
      <c r="D1726" s="3" t="s">
        <v>854</v>
      </c>
      <c r="E1726" s="14">
        <v>1.5</v>
      </c>
      <c r="F1726" s="4" t="s">
        <v>408</v>
      </c>
      <c r="G1726" s="9">
        <v>24.64</v>
      </c>
      <c r="H1726" s="9">
        <f t="shared" ref="H1726:H1789" si="54">G1726*E1726</f>
        <v>36.96</v>
      </c>
      <c r="I1726" t="s">
        <v>179</v>
      </c>
      <c r="J1726" s="33" t="s">
        <v>428</v>
      </c>
      <c r="K1726" s="18">
        <f>VLOOKUP(D1726,Ingredients!C:G,5,0)</f>
        <v>20.059999999999999</v>
      </c>
      <c r="L1726" s="52">
        <f t="shared" si="53"/>
        <v>30.089999999999996</v>
      </c>
    </row>
    <row r="1727" spans="1:12">
      <c r="A1727" t="s">
        <v>427</v>
      </c>
      <c r="B1727" t="s">
        <v>349</v>
      </c>
      <c r="C1727" t="s">
        <v>351</v>
      </c>
      <c r="D1727" s="3" t="s">
        <v>890</v>
      </c>
      <c r="E1727" s="14">
        <v>5.0000000000000001E-3</v>
      </c>
      <c r="F1727" s="4" t="s">
        <v>179</v>
      </c>
      <c r="G1727" s="9">
        <v>92</v>
      </c>
      <c r="H1727" s="9">
        <f t="shared" si="54"/>
        <v>0.46</v>
      </c>
      <c r="I1727" t="s">
        <v>179</v>
      </c>
      <c r="J1727" s="33" t="s">
        <v>428</v>
      </c>
      <c r="K1727" s="18">
        <f>VLOOKUP(D1727,Ingredients!C:G,5,0)</f>
        <v>150</v>
      </c>
      <c r="L1727" s="52">
        <f t="shared" si="53"/>
        <v>0.75</v>
      </c>
    </row>
    <row r="1728" spans="1:12">
      <c r="A1728" t="s">
        <v>427</v>
      </c>
      <c r="B1728" t="s">
        <v>349</v>
      </c>
      <c r="C1728" t="s">
        <v>351</v>
      </c>
      <c r="D1728" s="3" t="s">
        <v>872</v>
      </c>
      <c r="E1728" s="14">
        <v>0.02</v>
      </c>
      <c r="F1728" s="4" t="s">
        <v>179</v>
      </c>
      <c r="G1728" s="9">
        <v>2100</v>
      </c>
      <c r="H1728" s="9">
        <f t="shared" si="54"/>
        <v>42</v>
      </c>
      <c r="I1728" t="s">
        <v>179</v>
      </c>
      <c r="J1728" s="33" t="s">
        <v>428</v>
      </c>
      <c r="K1728" s="18">
        <f>VLOOKUP(D1728,Ingredients!C:G,5,0)</f>
        <v>2150</v>
      </c>
      <c r="L1728" s="52">
        <f t="shared" si="53"/>
        <v>43</v>
      </c>
    </row>
    <row r="1729" spans="1:12">
      <c r="A1729" t="s">
        <v>427</v>
      </c>
      <c r="B1729" t="s">
        <v>349</v>
      </c>
      <c r="C1729" t="s">
        <v>351</v>
      </c>
      <c r="D1729" s="3" t="s">
        <v>853</v>
      </c>
      <c r="E1729" s="14">
        <v>0.1</v>
      </c>
      <c r="F1729" s="4" t="s">
        <v>315</v>
      </c>
      <c r="G1729" s="9">
        <v>30</v>
      </c>
      <c r="H1729" s="9">
        <f t="shared" si="54"/>
        <v>3</v>
      </c>
      <c r="I1729" t="s">
        <v>179</v>
      </c>
      <c r="J1729" s="33" t="s">
        <v>428</v>
      </c>
      <c r="K1729" s="18">
        <f>VLOOKUP(D1729,Ingredients!C:G,5,0)</f>
        <v>55</v>
      </c>
      <c r="L1729" s="52">
        <f t="shared" si="53"/>
        <v>5.5</v>
      </c>
    </row>
    <row r="1730" spans="1:12">
      <c r="A1730" t="s">
        <v>427</v>
      </c>
      <c r="B1730" t="s">
        <v>349</v>
      </c>
      <c r="C1730" t="s">
        <v>351</v>
      </c>
      <c r="D1730" s="3" t="s">
        <v>55</v>
      </c>
      <c r="E1730" s="14">
        <v>5.0000000000000001E-3</v>
      </c>
      <c r="F1730" s="4" t="s">
        <v>179</v>
      </c>
      <c r="G1730" s="9">
        <v>350</v>
      </c>
      <c r="H1730" s="9">
        <f t="shared" si="54"/>
        <v>1.75</v>
      </c>
      <c r="I1730" t="s">
        <v>179</v>
      </c>
      <c r="J1730" s="33" t="s">
        <v>428</v>
      </c>
      <c r="K1730" s="18">
        <f>VLOOKUP(D1730,Ingredients!C:G,5,0)</f>
        <v>457.875</v>
      </c>
      <c r="L1730" s="52">
        <f t="shared" si="53"/>
        <v>2.2893750000000002</v>
      </c>
    </row>
    <row r="1731" spans="1:12">
      <c r="A1731" t="s">
        <v>427</v>
      </c>
      <c r="B1731" t="s">
        <v>349</v>
      </c>
      <c r="C1731" t="s">
        <v>351</v>
      </c>
      <c r="D1731" s="3" t="s">
        <v>866</v>
      </c>
      <c r="E1731" s="14">
        <v>0.05</v>
      </c>
      <c r="F1731" s="4" t="s">
        <v>176</v>
      </c>
      <c r="G1731" s="9">
        <v>153.97999999999999</v>
      </c>
      <c r="H1731" s="9">
        <f t="shared" si="54"/>
        <v>7.6989999999999998</v>
      </c>
      <c r="I1731" t="s">
        <v>179</v>
      </c>
      <c r="J1731" s="33" t="s">
        <v>428</v>
      </c>
      <c r="K1731" s="18">
        <f>VLOOKUP(D1731,Ingredients!C:G,5,0)</f>
        <v>142.13999999999999</v>
      </c>
      <c r="L1731" s="52">
        <f t="shared" si="53"/>
        <v>7.1069999999999993</v>
      </c>
    </row>
    <row r="1732" spans="1:12">
      <c r="A1732" t="s">
        <v>427</v>
      </c>
      <c r="B1732" t="s">
        <v>349</v>
      </c>
      <c r="C1732" t="s">
        <v>351</v>
      </c>
      <c r="D1732" s="3" t="s">
        <v>835</v>
      </c>
      <c r="E1732" s="14">
        <v>0.05</v>
      </c>
      <c r="F1732" s="4" t="s">
        <v>176</v>
      </c>
      <c r="G1732" s="9">
        <v>389.34</v>
      </c>
      <c r="H1732" s="9">
        <f t="shared" si="54"/>
        <v>19.466999999999999</v>
      </c>
      <c r="I1732" t="s">
        <v>179</v>
      </c>
      <c r="J1732" s="33" t="s">
        <v>428</v>
      </c>
      <c r="K1732" s="18">
        <f>VLOOKUP(D1732,Ingredients!C:G,5,0)</f>
        <v>394.63</v>
      </c>
      <c r="L1732" s="52">
        <f t="shared" ref="L1732:L1795" si="55">K1732*E1732</f>
        <v>19.7315</v>
      </c>
    </row>
    <row r="1733" spans="1:12">
      <c r="A1733" t="s">
        <v>427</v>
      </c>
      <c r="B1733" t="s">
        <v>349</v>
      </c>
      <c r="C1733" t="s">
        <v>351</v>
      </c>
      <c r="D1733" s="3" t="s">
        <v>478</v>
      </c>
      <c r="E1733" s="14">
        <v>0.1</v>
      </c>
      <c r="F1733" s="4" t="s">
        <v>314</v>
      </c>
      <c r="G1733" s="9">
        <v>142.4</v>
      </c>
      <c r="H1733" s="9">
        <f t="shared" si="54"/>
        <v>14.240000000000002</v>
      </c>
      <c r="I1733" t="s">
        <v>179</v>
      </c>
      <c r="J1733" s="33" t="s">
        <v>428</v>
      </c>
      <c r="K1733" s="18">
        <f>VLOOKUP(D1733,Ingredients!C:G,5,0)</f>
        <v>1424</v>
      </c>
      <c r="L1733" s="52">
        <f t="shared" si="55"/>
        <v>142.4</v>
      </c>
    </row>
    <row r="1734" spans="1:12">
      <c r="A1734" t="s">
        <v>427</v>
      </c>
      <c r="B1734" t="s">
        <v>349</v>
      </c>
      <c r="C1734" t="s">
        <v>351</v>
      </c>
      <c r="D1734" s="3" t="s">
        <v>23</v>
      </c>
      <c r="E1734" s="14">
        <v>0.01</v>
      </c>
      <c r="F1734" s="4" t="s">
        <v>179</v>
      </c>
      <c r="G1734" s="9">
        <v>740</v>
      </c>
      <c r="H1734" s="9">
        <f t="shared" si="54"/>
        <v>7.4</v>
      </c>
      <c r="I1734" t="s">
        <v>179</v>
      </c>
      <c r="J1734" s="33" t="s">
        <v>428</v>
      </c>
      <c r="K1734" s="18">
        <f>VLOOKUP(D1734,Ingredients!C:G,5,0)</f>
        <v>780</v>
      </c>
      <c r="L1734" s="52">
        <f t="shared" si="55"/>
        <v>7.8</v>
      </c>
    </row>
    <row r="1735" spans="1:12">
      <c r="A1735" t="s">
        <v>427</v>
      </c>
      <c r="B1735" t="s">
        <v>349</v>
      </c>
      <c r="C1735" t="s">
        <v>351</v>
      </c>
      <c r="D1735" s="3" t="s">
        <v>16</v>
      </c>
      <c r="E1735" s="14">
        <v>0.01</v>
      </c>
      <c r="F1735" s="4" t="s">
        <v>179</v>
      </c>
      <c r="G1735" s="9">
        <v>270</v>
      </c>
      <c r="H1735" s="9">
        <f t="shared" si="54"/>
        <v>2.7</v>
      </c>
      <c r="I1735" t="s">
        <v>179</v>
      </c>
      <c r="J1735" s="33" t="s">
        <v>428</v>
      </c>
      <c r="K1735" s="18">
        <f>VLOOKUP(D1735,Ingredients!C:G,5,0)</f>
        <v>310</v>
      </c>
      <c r="L1735" s="52">
        <f t="shared" si="55"/>
        <v>3.1</v>
      </c>
    </row>
    <row r="1736" spans="1:12">
      <c r="A1736" t="s">
        <v>427</v>
      </c>
      <c r="B1736" t="s">
        <v>349</v>
      </c>
      <c r="C1736" t="s">
        <v>351</v>
      </c>
      <c r="D1736" s="3" t="s">
        <v>29</v>
      </c>
      <c r="E1736" s="14">
        <v>0.2</v>
      </c>
      <c r="F1736" s="4" t="s">
        <v>176</v>
      </c>
      <c r="G1736" s="9">
        <v>60</v>
      </c>
      <c r="H1736" s="9">
        <f t="shared" si="54"/>
        <v>12</v>
      </c>
      <c r="I1736" t="s">
        <v>179</v>
      </c>
      <c r="J1736" s="33" t="s">
        <v>428</v>
      </c>
      <c r="K1736" s="18">
        <f>VLOOKUP(D1736,Ingredients!C:G,5,0)</f>
        <v>100</v>
      </c>
      <c r="L1736" s="52">
        <f t="shared" si="55"/>
        <v>20</v>
      </c>
    </row>
    <row r="1737" spans="1:12">
      <c r="A1737" t="s">
        <v>427</v>
      </c>
      <c r="B1737" t="s">
        <v>349</v>
      </c>
      <c r="C1737" t="s">
        <v>351</v>
      </c>
      <c r="D1737" s="3" t="s">
        <v>50</v>
      </c>
      <c r="E1737" s="14">
        <v>0.15</v>
      </c>
      <c r="F1737" s="4" t="s">
        <v>176</v>
      </c>
      <c r="G1737" s="9">
        <v>120</v>
      </c>
      <c r="H1737" s="9">
        <f t="shared" si="54"/>
        <v>18</v>
      </c>
      <c r="I1737" t="s">
        <v>179</v>
      </c>
      <c r="J1737" s="33" t="s">
        <v>428</v>
      </c>
      <c r="K1737" s="18">
        <f>VLOOKUP(D1737,Ingredients!C:G,5,0)</f>
        <v>120</v>
      </c>
      <c r="L1737" s="52">
        <f t="shared" si="55"/>
        <v>18</v>
      </c>
    </row>
    <row r="1738" spans="1:12">
      <c r="A1738" t="s">
        <v>427</v>
      </c>
      <c r="B1738" t="s">
        <v>349</v>
      </c>
      <c r="C1738" t="s">
        <v>351</v>
      </c>
      <c r="D1738" s="3" t="s">
        <v>13</v>
      </c>
      <c r="E1738" s="14">
        <v>0.05</v>
      </c>
      <c r="F1738" s="4" t="s">
        <v>176</v>
      </c>
      <c r="G1738" s="9">
        <v>30</v>
      </c>
      <c r="H1738" s="9">
        <f t="shared" si="54"/>
        <v>1.5</v>
      </c>
      <c r="I1738" t="s">
        <v>179</v>
      </c>
      <c r="J1738" s="33" t="s">
        <v>428</v>
      </c>
      <c r="K1738" s="18">
        <f>VLOOKUP(D1738,Ingredients!C:G,5,0)</f>
        <v>60</v>
      </c>
      <c r="L1738" s="52">
        <f t="shared" si="55"/>
        <v>3</v>
      </c>
    </row>
    <row r="1739" spans="1:12">
      <c r="A1739" t="s">
        <v>427</v>
      </c>
      <c r="B1739" t="s">
        <v>349</v>
      </c>
      <c r="C1739" t="s">
        <v>351</v>
      </c>
      <c r="D1739" s="3" t="s">
        <v>15</v>
      </c>
      <c r="E1739" s="14">
        <v>0.05</v>
      </c>
      <c r="F1739" s="4" t="s">
        <v>176</v>
      </c>
      <c r="G1739" s="9">
        <v>130</v>
      </c>
      <c r="H1739" s="9">
        <f t="shared" si="54"/>
        <v>6.5</v>
      </c>
      <c r="I1739" t="s">
        <v>179</v>
      </c>
      <c r="J1739" s="33" t="s">
        <v>428</v>
      </c>
      <c r="K1739" s="18">
        <f>VLOOKUP(D1739,Ingredients!C:G,5,0)</f>
        <v>90</v>
      </c>
      <c r="L1739" s="52">
        <f t="shared" si="55"/>
        <v>4.5</v>
      </c>
    </row>
    <row r="1740" spans="1:12">
      <c r="A1740" t="s">
        <v>427</v>
      </c>
      <c r="B1740" t="s">
        <v>349</v>
      </c>
      <c r="C1740" t="s">
        <v>351</v>
      </c>
      <c r="D1740" s="3" t="s">
        <v>95</v>
      </c>
      <c r="E1740" s="14">
        <v>0.05</v>
      </c>
      <c r="F1740" s="4" t="s">
        <v>176</v>
      </c>
      <c r="G1740" s="9">
        <v>140</v>
      </c>
      <c r="H1740" s="9">
        <f t="shared" si="54"/>
        <v>7</v>
      </c>
      <c r="I1740" t="s">
        <v>179</v>
      </c>
      <c r="J1740" s="33" t="s">
        <v>428</v>
      </c>
      <c r="K1740" s="18">
        <f>VLOOKUP(D1740,Ingredients!C:G,5,0)</f>
        <v>90</v>
      </c>
      <c r="L1740" s="52">
        <f t="shared" si="55"/>
        <v>4.5</v>
      </c>
    </row>
    <row r="1741" spans="1:12">
      <c r="A1741" t="s">
        <v>427</v>
      </c>
      <c r="B1741" t="s">
        <v>349</v>
      </c>
      <c r="C1741" t="s">
        <v>351</v>
      </c>
      <c r="D1741" s="3" t="s">
        <v>171</v>
      </c>
      <c r="E1741" s="14">
        <v>0.05</v>
      </c>
      <c r="F1741" s="4" t="s">
        <v>176</v>
      </c>
      <c r="G1741" s="9">
        <v>65</v>
      </c>
      <c r="H1741" s="9">
        <f t="shared" si="54"/>
        <v>3.25</v>
      </c>
      <c r="I1741" t="s">
        <v>179</v>
      </c>
      <c r="J1741" s="33" t="s">
        <v>428</v>
      </c>
      <c r="K1741" s="18">
        <f>VLOOKUP(D1741,Ingredients!C:G,5,0)</f>
        <v>80</v>
      </c>
      <c r="L1741" s="52">
        <f t="shared" si="55"/>
        <v>4</v>
      </c>
    </row>
    <row r="1742" spans="1:12">
      <c r="A1742" t="s">
        <v>429</v>
      </c>
      <c r="B1742" t="s">
        <v>349</v>
      </c>
      <c r="C1742" t="s">
        <v>352</v>
      </c>
      <c r="D1742" s="3" t="s">
        <v>852</v>
      </c>
      <c r="E1742" s="14">
        <v>0.25</v>
      </c>
      <c r="F1742" s="4" t="s">
        <v>176</v>
      </c>
      <c r="G1742" s="9">
        <v>520.63</v>
      </c>
      <c r="H1742" s="9">
        <f t="shared" si="54"/>
        <v>130.1575</v>
      </c>
      <c r="I1742" t="s">
        <v>179</v>
      </c>
      <c r="J1742" s="33" t="s">
        <v>491</v>
      </c>
      <c r="K1742" s="18">
        <v>550</v>
      </c>
      <c r="L1742" s="52">
        <f t="shared" si="55"/>
        <v>137.5</v>
      </c>
    </row>
    <row r="1743" spans="1:12">
      <c r="A1743" t="s">
        <v>429</v>
      </c>
      <c r="B1743" t="s">
        <v>349</v>
      </c>
      <c r="C1743" t="s">
        <v>352</v>
      </c>
      <c r="D1743" s="33" t="s">
        <v>491</v>
      </c>
      <c r="E1743" s="14">
        <v>1</v>
      </c>
      <c r="F1743" s="4" t="s">
        <v>176</v>
      </c>
      <c r="G1743" s="9">
        <v>614</v>
      </c>
      <c r="H1743" s="9">
        <f t="shared" si="54"/>
        <v>614</v>
      </c>
      <c r="I1743" t="s">
        <v>179</v>
      </c>
      <c r="J1743" s="33" t="s">
        <v>491</v>
      </c>
      <c r="K1743" s="18">
        <f>VLOOKUP(D1743,Ingredients!C:G,5,0)</f>
        <v>650</v>
      </c>
      <c r="L1743" s="52">
        <f t="shared" si="55"/>
        <v>650</v>
      </c>
    </row>
    <row r="1744" spans="1:12">
      <c r="A1744" t="s">
        <v>429</v>
      </c>
      <c r="B1744" t="s">
        <v>349</v>
      </c>
      <c r="C1744" t="s">
        <v>352</v>
      </c>
      <c r="D1744" s="3" t="s">
        <v>895</v>
      </c>
      <c r="E1744" s="14">
        <v>5.0000000000000001E-3</v>
      </c>
      <c r="F1744" s="4" t="s">
        <v>179</v>
      </c>
      <c r="G1744" s="9">
        <v>400</v>
      </c>
      <c r="H1744" s="9">
        <f t="shared" si="54"/>
        <v>2</v>
      </c>
      <c r="I1744" t="s">
        <v>179</v>
      </c>
      <c r="J1744" s="33" t="s">
        <v>491</v>
      </c>
      <c r="K1744" s="18">
        <f>VLOOKUP(D1744,Ingredients!C:G,5,0)</f>
        <v>400</v>
      </c>
      <c r="L1744" s="52">
        <f t="shared" si="55"/>
        <v>2</v>
      </c>
    </row>
    <row r="1745" spans="1:12">
      <c r="A1745" t="s">
        <v>429</v>
      </c>
      <c r="B1745" t="s">
        <v>349</v>
      </c>
      <c r="C1745" t="s">
        <v>352</v>
      </c>
      <c r="D1745" s="3" t="s">
        <v>855</v>
      </c>
      <c r="E1745" s="14">
        <v>0.01</v>
      </c>
      <c r="F1745" s="4" t="s">
        <v>179</v>
      </c>
      <c r="G1745" s="9">
        <v>2400</v>
      </c>
      <c r="H1745" s="9">
        <f t="shared" si="54"/>
        <v>24</v>
      </c>
      <c r="I1745" t="s">
        <v>179</v>
      </c>
      <c r="J1745" s="33" t="s">
        <v>491</v>
      </c>
      <c r="K1745" s="18">
        <f>VLOOKUP(D1745,Ingredients!C:G,5,0)</f>
        <v>1600</v>
      </c>
      <c r="L1745" s="52">
        <f t="shared" si="55"/>
        <v>16</v>
      </c>
    </row>
    <row r="1746" spans="1:12">
      <c r="A1746" t="s">
        <v>429</v>
      </c>
      <c r="B1746" t="s">
        <v>349</v>
      </c>
      <c r="C1746" t="s">
        <v>352</v>
      </c>
      <c r="D1746" s="3" t="s">
        <v>73</v>
      </c>
      <c r="E1746" s="14">
        <v>0.3</v>
      </c>
      <c r="F1746" s="4" t="s">
        <v>176</v>
      </c>
      <c r="G1746" s="9">
        <v>305</v>
      </c>
      <c r="H1746" s="9">
        <f t="shared" si="54"/>
        <v>91.5</v>
      </c>
      <c r="I1746" t="s">
        <v>179</v>
      </c>
      <c r="J1746" s="33" t="s">
        <v>491</v>
      </c>
      <c r="K1746" s="18">
        <f>VLOOKUP(D1746,Ingredients!C:G,5,0)</f>
        <v>300</v>
      </c>
      <c r="L1746" s="52">
        <f t="shared" si="55"/>
        <v>90</v>
      </c>
    </row>
    <row r="1747" spans="1:12">
      <c r="A1747" t="s">
        <v>429</v>
      </c>
      <c r="B1747" t="s">
        <v>349</v>
      </c>
      <c r="C1747" t="s">
        <v>352</v>
      </c>
      <c r="D1747" s="3" t="s">
        <v>851</v>
      </c>
      <c r="E1747" s="14">
        <v>0.6</v>
      </c>
      <c r="F1747" s="13" t="s">
        <v>176</v>
      </c>
      <c r="G1747" s="9">
        <v>177</v>
      </c>
      <c r="H1747" s="9">
        <f t="shared" si="54"/>
        <v>106.2</v>
      </c>
      <c r="I1747" t="s">
        <v>179</v>
      </c>
      <c r="J1747" s="33" t="s">
        <v>491</v>
      </c>
      <c r="K1747" s="18">
        <f>VLOOKUP(D1747,Ingredients!C:G,5,0)</f>
        <v>920</v>
      </c>
      <c r="L1747" s="52">
        <f t="shared" si="55"/>
        <v>552</v>
      </c>
    </row>
    <row r="1748" spans="1:12">
      <c r="A1748" t="s">
        <v>429</v>
      </c>
      <c r="B1748" t="s">
        <v>349</v>
      </c>
      <c r="C1748" t="s">
        <v>352</v>
      </c>
      <c r="D1748" s="3" t="s">
        <v>853</v>
      </c>
      <c r="E1748" s="14">
        <v>2.5000000000000001E-2</v>
      </c>
      <c r="F1748" s="4" t="s">
        <v>315</v>
      </c>
      <c r="G1748" s="9">
        <v>30</v>
      </c>
      <c r="H1748" s="9">
        <f t="shared" si="54"/>
        <v>0.75</v>
      </c>
      <c r="I1748" t="s">
        <v>179</v>
      </c>
      <c r="J1748" s="33" t="s">
        <v>491</v>
      </c>
      <c r="K1748" s="18">
        <f>VLOOKUP(D1748,Ingredients!C:G,5,0)</f>
        <v>55</v>
      </c>
      <c r="L1748" s="52">
        <f t="shared" si="55"/>
        <v>1.375</v>
      </c>
    </row>
    <row r="1749" spans="1:12">
      <c r="A1749" t="s">
        <v>429</v>
      </c>
      <c r="B1749" t="s">
        <v>349</v>
      </c>
      <c r="C1749" t="s">
        <v>352</v>
      </c>
      <c r="D1749" s="3" t="s">
        <v>23</v>
      </c>
      <c r="E1749" s="14">
        <v>2.5000000000000001E-2</v>
      </c>
      <c r="F1749" s="4" t="s">
        <v>176</v>
      </c>
      <c r="G1749" s="9">
        <v>740</v>
      </c>
      <c r="H1749" s="9">
        <f t="shared" si="54"/>
        <v>18.5</v>
      </c>
      <c r="I1749" t="s">
        <v>179</v>
      </c>
      <c r="J1749" s="33" t="s">
        <v>491</v>
      </c>
      <c r="K1749" s="18">
        <f>VLOOKUP(D1749,Ingredients!C:G,5,0)</f>
        <v>780</v>
      </c>
      <c r="L1749" s="52">
        <f t="shared" si="55"/>
        <v>19.5</v>
      </c>
    </row>
    <row r="1750" spans="1:12">
      <c r="A1750" t="s">
        <v>429</v>
      </c>
      <c r="B1750" t="s">
        <v>349</v>
      </c>
      <c r="C1750" t="s">
        <v>352</v>
      </c>
      <c r="D1750" s="3" t="s">
        <v>16</v>
      </c>
      <c r="E1750" s="14">
        <v>6.2500000000000003E-3</v>
      </c>
      <c r="F1750" s="4" t="s">
        <v>179</v>
      </c>
      <c r="G1750" s="9">
        <v>270</v>
      </c>
      <c r="H1750" s="9">
        <f t="shared" si="54"/>
        <v>1.6875</v>
      </c>
      <c r="I1750" t="s">
        <v>179</v>
      </c>
      <c r="J1750" s="33" t="s">
        <v>491</v>
      </c>
      <c r="K1750" s="18">
        <f>VLOOKUP(D1750,Ingredients!C:G,5,0)</f>
        <v>310</v>
      </c>
      <c r="L1750" s="52">
        <f t="shared" si="55"/>
        <v>1.9375</v>
      </c>
    </row>
    <row r="1751" spans="1:12">
      <c r="A1751" t="s">
        <v>429</v>
      </c>
      <c r="B1751" t="s">
        <v>349</v>
      </c>
      <c r="C1751" t="s">
        <v>352</v>
      </c>
      <c r="D1751" s="3" t="s">
        <v>29</v>
      </c>
      <c r="E1751" s="14">
        <v>2.5000000000000001E-2</v>
      </c>
      <c r="F1751" s="4" t="s">
        <v>176</v>
      </c>
      <c r="G1751" s="9">
        <v>60</v>
      </c>
      <c r="H1751" s="9">
        <f t="shared" si="54"/>
        <v>1.5</v>
      </c>
      <c r="I1751" t="s">
        <v>179</v>
      </c>
      <c r="J1751" s="33" t="s">
        <v>491</v>
      </c>
      <c r="K1751" s="18">
        <f>VLOOKUP(D1751,Ingredients!C:G,5,0)</f>
        <v>100</v>
      </c>
      <c r="L1751" s="52">
        <f t="shared" si="55"/>
        <v>2.5</v>
      </c>
    </row>
    <row r="1752" spans="1:12">
      <c r="A1752" t="s">
        <v>429</v>
      </c>
      <c r="B1752" t="s">
        <v>349</v>
      </c>
      <c r="C1752" t="s">
        <v>352</v>
      </c>
      <c r="D1752" s="3" t="s">
        <v>923</v>
      </c>
      <c r="E1752" s="14">
        <v>2.5000000000000001E-2</v>
      </c>
      <c r="F1752" s="4" t="s">
        <v>176</v>
      </c>
      <c r="G1752" s="9">
        <v>100</v>
      </c>
      <c r="H1752" s="9">
        <f t="shared" si="54"/>
        <v>2.5</v>
      </c>
      <c r="I1752" t="s">
        <v>179</v>
      </c>
      <c r="J1752" s="33" t="s">
        <v>491</v>
      </c>
      <c r="K1752" s="18">
        <f>VLOOKUP(D1752,Ingredients!C:G,5,0)</f>
        <v>1000</v>
      </c>
      <c r="L1752" s="52">
        <f t="shared" si="55"/>
        <v>25</v>
      </c>
    </row>
    <row r="1753" spans="1:12">
      <c r="A1753" t="s">
        <v>429</v>
      </c>
      <c r="B1753" t="s">
        <v>349</v>
      </c>
      <c r="C1753" t="s">
        <v>352</v>
      </c>
      <c r="D1753" s="3" t="s">
        <v>882</v>
      </c>
      <c r="E1753" s="14">
        <v>5.0000000000000001E-3</v>
      </c>
      <c r="F1753" s="4" t="s">
        <v>179</v>
      </c>
      <c r="G1753" s="9">
        <v>1500</v>
      </c>
      <c r="H1753" s="9">
        <f t="shared" si="54"/>
        <v>7.5</v>
      </c>
      <c r="I1753" t="s">
        <v>179</v>
      </c>
      <c r="J1753" s="33" t="s">
        <v>491</v>
      </c>
      <c r="K1753" s="18">
        <f>VLOOKUP(D1753,Ingredients!C:G,5,0)</f>
        <v>1450</v>
      </c>
      <c r="L1753" s="52">
        <f t="shared" si="55"/>
        <v>7.25</v>
      </c>
    </row>
    <row r="1754" spans="1:12">
      <c r="A1754" t="s">
        <v>429</v>
      </c>
      <c r="B1754" t="s">
        <v>349</v>
      </c>
      <c r="C1754" t="s">
        <v>352</v>
      </c>
      <c r="D1754" s="3" t="s">
        <v>35</v>
      </c>
      <c r="E1754" s="14">
        <v>0.1</v>
      </c>
      <c r="F1754" s="4" t="s">
        <v>408</v>
      </c>
      <c r="G1754" s="9">
        <v>13</v>
      </c>
      <c r="H1754" s="9">
        <f t="shared" si="54"/>
        <v>1.3</v>
      </c>
      <c r="I1754" t="s">
        <v>179</v>
      </c>
      <c r="J1754" s="33" t="s">
        <v>491</v>
      </c>
      <c r="K1754" s="18">
        <f>VLOOKUP(D1754,Ingredients!C:G,5,0)</f>
        <v>15</v>
      </c>
      <c r="L1754" s="52">
        <f t="shared" si="55"/>
        <v>1.5</v>
      </c>
    </row>
    <row r="1755" spans="1:12">
      <c r="A1755" t="s">
        <v>429</v>
      </c>
      <c r="B1755" t="s">
        <v>349</v>
      </c>
      <c r="C1755" t="s">
        <v>352</v>
      </c>
      <c r="D1755" s="3" t="s">
        <v>860</v>
      </c>
      <c r="E1755" s="14">
        <v>5.0000000000000001E-3</v>
      </c>
      <c r="F1755" s="4" t="s">
        <v>179</v>
      </c>
      <c r="G1755" s="9">
        <v>2000</v>
      </c>
      <c r="H1755" s="9">
        <f t="shared" si="54"/>
        <v>10</v>
      </c>
      <c r="I1755" t="s">
        <v>179</v>
      </c>
      <c r="J1755" s="33" t="s">
        <v>491</v>
      </c>
      <c r="K1755" s="18">
        <f>VLOOKUP(D1755,Ingredients!C:G,5,0)</f>
        <v>1900</v>
      </c>
      <c r="L1755" s="52">
        <f t="shared" si="55"/>
        <v>9.5</v>
      </c>
    </row>
    <row r="1756" spans="1:12">
      <c r="A1756" t="s">
        <v>430</v>
      </c>
      <c r="B1756" t="s">
        <v>349</v>
      </c>
      <c r="C1756" t="s">
        <v>456</v>
      </c>
      <c r="D1756" s="3" t="s">
        <v>852</v>
      </c>
      <c r="E1756" s="14">
        <v>0.25</v>
      </c>
      <c r="F1756" s="4" t="s">
        <v>176</v>
      </c>
      <c r="G1756" s="9">
        <v>520.63</v>
      </c>
      <c r="H1756" s="9">
        <f t="shared" si="54"/>
        <v>130.1575</v>
      </c>
      <c r="I1756" t="s">
        <v>179</v>
      </c>
      <c r="J1756" s="33" t="s">
        <v>489</v>
      </c>
      <c r="K1756" s="18">
        <v>550</v>
      </c>
      <c r="L1756" s="52">
        <f t="shared" si="55"/>
        <v>137.5</v>
      </c>
    </row>
    <row r="1757" spans="1:12">
      <c r="A1757" t="s">
        <v>430</v>
      </c>
      <c r="B1757" t="s">
        <v>349</v>
      </c>
      <c r="C1757" t="s">
        <v>456</v>
      </c>
      <c r="D1757" s="3" t="s">
        <v>831</v>
      </c>
      <c r="E1757" s="14">
        <v>1</v>
      </c>
      <c r="F1757" s="4" t="s">
        <v>176</v>
      </c>
      <c r="G1757" s="9">
        <v>908</v>
      </c>
      <c r="H1757" s="9">
        <f t="shared" si="54"/>
        <v>908</v>
      </c>
      <c r="I1757" t="s">
        <v>179</v>
      </c>
      <c r="J1757" s="33" t="s">
        <v>489</v>
      </c>
      <c r="K1757" s="18">
        <f>VLOOKUP(D1757,Ingredients!C:G,5,0)</f>
        <v>908</v>
      </c>
      <c r="L1757" s="52">
        <f t="shared" si="55"/>
        <v>908</v>
      </c>
    </row>
    <row r="1758" spans="1:12">
      <c r="A1758" t="s">
        <v>430</v>
      </c>
      <c r="B1758" t="s">
        <v>349</v>
      </c>
      <c r="C1758" t="s">
        <v>456</v>
      </c>
      <c r="D1758" s="3" t="s">
        <v>50</v>
      </c>
      <c r="E1758" s="14">
        <v>0.1</v>
      </c>
      <c r="F1758" s="4" t="s">
        <v>176</v>
      </c>
      <c r="G1758" s="9">
        <v>120</v>
      </c>
      <c r="H1758" s="9">
        <f t="shared" si="54"/>
        <v>12</v>
      </c>
      <c r="I1758" t="s">
        <v>179</v>
      </c>
      <c r="J1758" s="33" t="s">
        <v>489</v>
      </c>
      <c r="K1758" s="18">
        <f>VLOOKUP(D1758,Ingredients!C:G,5,0)</f>
        <v>120</v>
      </c>
      <c r="L1758" s="52">
        <f t="shared" si="55"/>
        <v>12</v>
      </c>
    </row>
    <row r="1759" spans="1:12">
      <c r="A1759" t="s">
        <v>430</v>
      </c>
      <c r="B1759" t="s">
        <v>349</v>
      </c>
      <c r="C1759" t="s">
        <v>456</v>
      </c>
      <c r="D1759" s="3" t="s">
        <v>872</v>
      </c>
      <c r="E1759" s="14">
        <v>0.01</v>
      </c>
      <c r="F1759" s="4" t="s">
        <v>179</v>
      </c>
      <c r="G1759" s="9">
        <v>2100</v>
      </c>
      <c r="H1759" s="9">
        <f t="shared" si="54"/>
        <v>21</v>
      </c>
      <c r="I1759" t="s">
        <v>179</v>
      </c>
      <c r="J1759" s="33" t="s">
        <v>489</v>
      </c>
      <c r="K1759" s="18">
        <f>VLOOKUP(D1759,Ingredients!C:G,5,0)</f>
        <v>2150</v>
      </c>
      <c r="L1759" s="52">
        <f t="shared" si="55"/>
        <v>21.5</v>
      </c>
    </row>
    <row r="1760" spans="1:12">
      <c r="A1760" t="s">
        <v>430</v>
      </c>
      <c r="B1760" t="s">
        <v>349</v>
      </c>
      <c r="C1760" t="s">
        <v>456</v>
      </c>
      <c r="D1760" s="3" t="s">
        <v>882</v>
      </c>
      <c r="E1760" s="14">
        <v>0.01</v>
      </c>
      <c r="F1760" s="4" t="s">
        <v>179</v>
      </c>
      <c r="G1760" s="9">
        <v>1500</v>
      </c>
      <c r="H1760" s="9">
        <f t="shared" si="54"/>
        <v>15</v>
      </c>
      <c r="I1760" t="s">
        <v>179</v>
      </c>
      <c r="J1760" s="33" t="s">
        <v>489</v>
      </c>
      <c r="K1760" s="18">
        <f>VLOOKUP(D1760,Ingredients!C:G,5,0)</f>
        <v>1450</v>
      </c>
      <c r="L1760" s="52">
        <f t="shared" si="55"/>
        <v>14.5</v>
      </c>
    </row>
    <row r="1761" spans="1:12">
      <c r="A1761" t="s">
        <v>430</v>
      </c>
      <c r="B1761" t="s">
        <v>349</v>
      </c>
      <c r="C1761" t="s">
        <v>456</v>
      </c>
      <c r="D1761" s="3" t="s">
        <v>887</v>
      </c>
      <c r="E1761" s="14">
        <v>2.5000000000000001E-3</v>
      </c>
      <c r="F1761" s="4" t="s">
        <v>179</v>
      </c>
      <c r="G1761" s="9">
        <v>1600</v>
      </c>
      <c r="H1761" s="9">
        <f t="shared" si="54"/>
        <v>4</v>
      </c>
      <c r="I1761" t="s">
        <v>179</v>
      </c>
      <c r="J1761" s="33" t="s">
        <v>489</v>
      </c>
      <c r="K1761" s="18">
        <f>VLOOKUP(D1761,Ingredients!C:G,5,0)</f>
        <v>1830</v>
      </c>
      <c r="L1761" s="52">
        <f t="shared" si="55"/>
        <v>4.5750000000000002</v>
      </c>
    </row>
    <row r="1762" spans="1:12">
      <c r="A1762" t="s">
        <v>430</v>
      </c>
      <c r="B1762" t="s">
        <v>349</v>
      </c>
      <c r="C1762" t="s">
        <v>456</v>
      </c>
      <c r="D1762" s="3" t="s">
        <v>310</v>
      </c>
      <c r="E1762" s="14">
        <v>2.5000000000000001E-2</v>
      </c>
      <c r="F1762" s="4" t="s">
        <v>315</v>
      </c>
      <c r="G1762" s="9">
        <v>425</v>
      </c>
      <c r="H1762" s="9">
        <f t="shared" si="54"/>
        <v>10.625</v>
      </c>
      <c r="I1762" t="s">
        <v>179</v>
      </c>
      <c r="J1762" s="33" t="s">
        <v>489</v>
      </c>
      <c r="K1762" s="18">
        <f>VLOOKUP(D1762,Ingredients!C:G,5,0)</f>
        <v>850</v>
      </c>
      <c r="L1762" s="52">
        <f t="shared" si="55"/>
        <v>21.25</v>
      </c>
    </row>
    <row r="1763" spans="1:12">
      <c r="A1763" t="s">
        <v>430</v>
      </c>
      <c r="B1763" t="s">
        <v>349</v>
      </c>
      <c r="C1763" t="s">
        <v>456</v>
      </c>
      <c r="D1763" s="3" t="s">
        <v>835</v>
      </c>
      <c r="E1763" s="14">
        <v>0.1</v>
      </c>
      <c r="F1763" s="4" t="s">
        <v>176</v>
      </c>
      <c r="G1763" s="9">
        <v>389.34</v>
      </c>
      <c r="H1763" s="9">
        <f t="shared" si="54"/>
        <v>38.933999999999997</v>
      </c>
      <c r="I1763" t="s">
        <v>179</v>
      </c>
      <c r="J1763" s="33" t="s">
        <v>489</v>
      </c>
      <c r="K1763" s="18">
        <f>VLOOKUP(D1763,Ingredients!C:G,5,0)</f>
        <v>394.63</v>
      </c>
      <c r="L1763" s="52">
        <f t="shared" si="55"/>
        <v>39.463000000000001</v>
      </c>
    </row>
    <row r="1764" spans="1:12">
      <c r="A1764" t="s">
        <v>430</v>
      </c>
      <c r="B1764" t="s">
        <v>349</v>
      </c>
      <c r="C1764" t="s">
        <v>456</v>
      </c>
      <c r="D1764" s="3" t="s">
        <v>866</v>
      </c>
      <c r="E1764" s="14">
        <v>0.1</v>
      </c>
      <c r="F1764" s="4" t="s">
        <v>176</v>
      </c>
      <c r="G1764" s="9">
        <v>153.97999999999999</v>
      </c>
      <c r="H1764" s="9">
        <f t="shared" si="54"/>
        <v>15.398</v>
      </c>
      <c r="I1764" t="s">
        <v>179</v>
      </c>
      <c r="J1764" s="33" t="s">
        <v>489</v>
      </c>
      <c r="K1764" s="18">
        <f>VLOOKUP(D1764,Ingredients!C:G,5,0)</f>
        <v>142.13999999999999</v>
      </c>
      <c r="L1764" s="52">
        <f t="shared" si="55"/>
        <v>14.213999999999999</v>
      </c>
    </row>
    <row r="1765" spans="1:12">
      <c r="A1765" t="s">
        <v>430</v>
      </c>
      <c r="B1765" t="s">
        <v>349</v>
      </c>
      <c r="C1765" t="s">
        <v>456</v>
      </c>
      <c r="D1765" s="3" t="s">
        <v>900</v>
      </c>
      <c r="E1765" s="14">
        <v>0.25</v>
      </c>
      <c r="F1765" s="4" t="s">
        <v>176</v>
      </c>
      <c r="G1765" s="9">
        <v>440</v>
      </c>
      <c r="H1765" s="9">
        <f t="shared" si="54"/>
        <v>110</v>
      </c>
      <c r="I1765" t="s">
        <v>179</v>
      </c>
      <c r="J1765" s="33" t="s">
        <v>489</v>
      </c>
      <c r="K1765" s="18">
        <f>VLOOKUP(D1765,Ingredients!C:G,5,0)</f>
        <v>440</v>
      </c>
      <c r="L1765" s="52">
        <f t="shared" si="55"/>
        <v>110</v>
      </c>
    </row>
    <row r="1766" spans="1:12">
      <c r="A1766" t="s">
        <v>430</v>
      </c>
      <c r="B1766" t="s">
        <v>349</v>
      </c>
      <c r="C1766" t="s">
        <v>456</v>
      </c>
      <c r="D1766" s="3" t="s">
        <v>853</v>
      </c>
      <c r="E1766" s="14">
        <v>2.5000000000000001E-2</v>
      </c>
      <c r="F1766" s="4" t="s">
        <v>315</v>
      </c>
      <c r="G1766" s="9">
        <v>30</v>
      </c>
      <c r="H1766" s="9">
        <f t="shared" si="54"/>
        <v>0.75</v>
      </c>
      <c r="I1766" t="s">
        <v>179</v>
      </c>
      <c r="J1766" s="33" t="s">
        <v>489</v>
      </c>
      <c r="K1766" s="18">
        <f>VLOOKUP(D1766,Ingredients!C:G,5,0)</f>
        <v>55</v>
      </c>
      <c r="L1766" s="52">
        <f t="shared" si="55"/>
        <v>1.375</v>
      </c>
    </row>
    <row r="1767" spans="1:12">
      <c r="A1767" t="s">
        <v>431</v>
      </c>
      <c r="B1767" t="s">
        <v>349</v>
      </c>
      <c r="C1767" t="s">
        <v>456</v>
      </c>
      <c r="D1767" s="3" t="s">
        <v>852</v>
      </c>
      <c r="E1767" s="14">
        <v>0.25</v>
      </c>
      <c r="F1767" s="4" t="s">
        <v>176</v>
      </c>
      <c r="G1767" s="9">
        <v>520.63</v>
      </c>
      <c r="H1767" s="9">
        <f t="shared" si="54"/>
        <v>130.1575</v>
      </c>
      <c r="I1767" t="s">
        <v>179</v>
      </c>
      <c r="J1767" s="33" t="s">
        <v>489</v>
      </c>
      <c r="K1767" s="18">
        <v>550</v>
      </c>
      <c r="L1767" s="52">
        <f t="shared" si="55"/>
        <v>137.5</v>
      </c>
    </row>
    <row r="1768" spans="1:12">
      <c r="A1768" t="s">
        <v>431</v>
      </c>
      <c r="B1768" t="s">
        <v>349</v>
      </c>
      <c r="C1768" t="s">
        <v>456</v>
      </c>
      <c r="D1768" s="3" t="s">
        <v>831</v>
      </c>
      <c r="E1768" s="14">
        <v>1</v>
      </c>
      <c r="F1768" s="4" t="s">
        <v>176</v>
      </c>
      <c r="G1768" s="9">
        <v>908</v>
      </c>
      <c r="H1768" s="9">
        <f t="shared" si="54"/>
        <v>908</v>
      </c>
      <c r="I1768" t="s">
        <v>179</v>
      </c>
      <c r="J1768" s="33" t="s">
        <v>489</v>
      </c>
      <c r="K1768" s="18">
        <f>VLOOKUP(D1768,Ingredients!C:G,5,0)</f>
        <v>908</v>
      </c>
      <c r="L1768" s="52">
        <f t="shared" si="55"/>
        <v>908</v>
      </c>
    </row>
    <row r="1769" spans="1:12">
      <c r="A1769" t="s">
        <v>431</v>
      </c>
      <c r="B1769" t="s">
        <v>349</v>
      </c>
      <c r="C1769" t="s">
        <v>456</v>
      </c>
      <c r="D1769" s="3" t="s">
        <v>851</v>
      </c>
      <c r="E1769" s="14">
        <v>0.4</v>
      </c>
      <c r="F1769" s="13" t="s">
        <v>176</v>
      </c>
      <c r="G1769" s="9">
        <v>177</v>
      </c>
      <c r="H1769" s="9">
        <f t="shared" si="54"/>
        <v>70.8</v>
      </c>
      <c r="I1769" t="s">
        <v>179</v>
      </c>
      <c r="J1769" s="33" t="s">
        <v>489</v>
      </c>
      <c r="K1769" s="18">
        <f>VLOOKUP(D1769,Ingredients!C:G,5,0)</f>
        <v>920</v>
      </c>
      <c r="L1769" s="52">
        <f t="shared" si="55"/>
        <v>368</v>
      </c>
    </row>
    <row r="1770" spans="1:12">
      <c r="A1770" t="s">
        <v>431</v>
      </c>
      <c r="B1770" t="s">
        <v>349</v>
      </c>
      <c r="C1770" t="s">
        <v>456</v>
      </c>
      <c r="D1770" s="3" t="s">
        <v>73</v>
      </c>
      <c r="E1770" s="14">
        <v>0.4</v>
      </c>
      <c r="F1770" s="4" t="s">
        <v>176</v>
      </c>
      <c r="G1770" s="9">
        <v>305</v>
      </c>
      <c r="H1770" s="9">
        <f t="shared" si="54"/>
        <v>122</v>
      </c>
      <c r="I1770" t="s">
        <v>179</v>
      </c>
      <c r="J1770" s="33" t="s">
        <v>489</v>
      </c>
      <c r="K1770" s="18">
        <f>VLOOKUP(D1770,Ingredients!C:G,5,0)</f>
        <v>300</v>
      </c>
      <c r="L1770" s="52">
        <f t="shared" si="55"/>
        <v>120</v>
      </c>
    </row>
    <row r="1771" spans="1:12">
      <c r="A1771" t="s">
        <v>431</v>
      </c>
      <c r="B1771" t="s">
        <v>349</v>
      </c>
      <c r="C1771" t="s">
        <v>456</v>
      </c>
      <c r="D1771" s="3" t="s">
        <v>895</v>
      </c>
      <c r="E1771" s="14">
        <v>5.0000000000000001E-3</v>
      </c>
      <c r="F1771" s="4" t="s">
        <v>179</v>
      </c>
      <c r="G1771" s="9">
        <v>400</v>
      </c>
      <c r="H1771" s="9">
        <f t="shared" si="54"/>
        <v>2</v>
      </c>
      <c r="I1771" t="s">
        <v>179</v>
      </c>
      <c r="J1771" s="33" t="s">
        <v>489</v>
      </c>
      <c r="K1771" s="18">
        <f>VLOOKUP(D1771,Ingredients!C:G,5,0)</f>
        <v>400</v>
      </c>
      <c r="L1771" s="52">
        <f t="shared" si="55"/>
        <v>2</v>
      </c>
    </row>
    <row r="1772" spans="1:12">
      <c r="A1772" t="s">
        <v>431</v>
      </c>
      <c r="B1772" t="s">
        <v>349</v>
      </c>
      <c r="C1772" t="s">
        <v>456</v>
      </c>
      <c r="D1772" s="3" t="s">
        <v>855</v>
      </c>
      <c r="E1772" s="14">
        <v>0.01</v>
      </c>
      <c r="F1772" s="4" t="s">
        <v>179</v>
      </c>
      <c r="G1772" s="9">
        <v>2400</v>
      </c>
      <c r="H1772" s="9">
        <f t="shared" si="54"/>
        <v>24</v>
      </c>
      <c r="I1772" t="s">
        <v>179</v>
      </c>
      <c r="J1772" s="33" t="s">
        <v>489</v>
      </c>
      <c r="K1772" s="18">
        <f>VLOOKUP(D1772,Ingredients!C:G,5,0)</f>
        <v>1600</v>
      </c>
      <c r="L1772" s="52">
        <f t="shared" si="55"/>
        <v>16</v>
      </c>
    </row>
    <row r="1773" spans="1:12">
      <c r="A1773" t="s">
        <v>431</v>
      </c>
      <c r="B1773" t="s">
        <v>349</v>
      </c>
      <c r="C1773" t="s">
        <v>456</v>
      </c>
      <c r="D1773" s="3" t="s">
        <v>853</v>
      </c>
      <c r="E1773" s="14">
        <v>2.5000000000000001E-2</v>
      </c>
      <c r="F1773" s="4" t="s">
        <v>315</v>
      </c>
      <c r="G1773" s="9">
        <v>30</v>
      </c>
      <c r="H1773" s="9">
        <f t="shared" si="54"/>
        <v>0.75</v>
      </c>
      <c r="I1773" t="s">
        <v>179</v>
      </c>
      <c r="J1773" s="33" t="s">
        <v>489</v>
      </c>
      <c r="K1773" s="18">
        <f>VLOOKUP(D1773,Ingredients!C:G,5,0)</f>
        <v>55</v>
      </c>
      <c r="L1773" s="52">
        <f t="shared" si="55"/>
        <v>1.375</v>
      </c>
    </row>
    <row r="1774" spans="1:12">
      <c r="A1774" t="s">
        <v>431</v>
      </c>
      <c r="B1774" t="s">
        <v>349</v>
      </c>
      <c r="C1774" t="s">
        <v>456</v>
      </c>
      <c r="D1774" s="3" t="s">
        <v>23</v>
      </c>
      <c r="E1774" s="14">
        <v>2.5000000000000001E-2</v>
      </c>
      <c r="F1774" s="4" t="s">
        <v>176</v>
      </c>
      <c r="G1774" s="9">
        <v>740</v>
      </c>
      <c r="H1774" s="9">
        <f t="shared" si="54"/>
        <v>18.5</v>
      </c>
      <c r="I1774" t="s">
        <v>179</v>
      </c>
      <c r="J1774" s="33" t="s">
        <v>489</v>
      </c>
      <c r="K1774" s="18">
        <f>VLOOKUP(D1774,Ingredients!C:G,5,0)</f>
        <v>780</v>
      </c>
      <c r="L1774" s="52">
        <f t="shared" si="55"/>
        <v>19.5</v>
      </c>
    </row>
    <row r="1775" spans="1:12">
      <c r="A1775" t="s">
        <v>431</v>
      </c>
      <c r="B1775" t="s">
        <v>349</v>
      </c>
      <c r="C1775" t="s">
        <v>456</v>
      </c>
      <c r="D1775" s="3" t="s">
        <v>16</v>
      </c>
      <c r="E1775" s="14">
        <v>6.2500000000000003E-3</v>
      </c>
      <c r="F1775" s="4" t="s">
        <v>179</v>
      </c>
      <c r="G1775" s="9">
        <v>270</v>
      </c>
      <c r="H1775" s="9">
        <f t="shared" si="54"/>
        <v>1.6875</v>
      </c>
      <c r="I1775" t="s">
        <v>179</v>
      </c>
      <c r="J1775" s="33" t="s">
        <v>489</v>
      </c>
      <c r="K1775" s="18">
        <f>VLOOKUP(D1775,Ingredients!C:G,5,0)</f>
        <v>310</v>
      </c>
      <c r="L1775" s="52">
        <f t="shared" si="55"/>
        <v>1.9375</v>
      </c>
    </row>
    <row r="1776" spans="1:12">
      <c r="A1776" t="s">
        <v>431</v>
      </c>
      <c r="B1776" t="s">
        <v>349</v>
      </c>
      <c r="C1776" t="s">
        <v>456</v>
      </c>
      <c r="D1776" s="3" t="s">
        <v>882</v>
      </c>
      <c r="E1776" s="14">
        <v>5.0000000000000001E-3</v>
      </c>
      <c r="F1776" s="4" t="s">
        <v>179</v>
      </c>
      <c r="G1776" s="9">
        <v>1500</v>
      </c>
      <c r="H1776" s="9">
        <f t="shared" si="54"/>
        <v>7.5</v>
      </c>
      <c r="I1776" t="s">
        <v>179</v>
      </c>
      <c r="J1776" s="33" t="s">
        <v>489</v>
      </c>
      <c r="K1776" s="18">
        <f>VLOOKUP(D1776,Ingredients!C:G,5,0)</f>
        <v>1450</v>
      </c>
      <c r="L1776" s="52">
        <f t="shared" si="55"/>
        <v>7.25</v>
      </c>
    </row>
    <row r="1777" spans="1:12">
      <c r="A1777" t="s">
        <v>431</v>
      </c>
      <c r="B1777" t="s">
        <v>349</v>
      </c>
      <c r="C1777" t="s">
        <v>456</v>
      </c>
      <c r="D1777" s="3" t="s">
        <v>872</v>
      </c>
      <c r="E1777" s="14">
        <v>0.01</v>
      </c>
      <c r="F1777" s="4" t="s">
        <v>179</v>
      </c>
      <c r="G1777" s="9">
        <v>2100</v>
      </c>
      <c r="H1777" s="9">
        <f t="shared" si="54"/>
        <v>21</v>
      </c>
      <c r="I1777" t="s">
        <v>179</v>
      </c>
      <c r="J1777" s="33" t="s">
        <v>489</v>
      </c>
      <c r="K1777" s="18">
        <f>VLOOKUP(D1777,Ingredients!C:G,5,0)</f>
        <v>2150</v>
      </c>
      <c r="L1777" s="52">
        <f t="shared" si="55"/>
        <v>21.5</v>
      </c>
    </row>
    <row r="1778" spans="1:12">
      <c r="A1778" t="s">
        <v>431</v>
      </c>
      <c r="B1778" t="s">
        <v>349</v>
      </c>
      <c r="C1778" t="s">
        <v>456</v>
      </c>
      <c r="D1778" s="3" t="s">
        <v>148</v>
      </c>
      <c r="E1778" s="14">
        <v>0.1</v>
      </c>
      <c r="F1778" s="4" t="s">
        <v>253</v>
      </c>
      <c r="G1778" s="9">
        <v>5</v>
      </c>
      <c r="H1778" s="9">
        <f t="shared" si="54"/>
        <v>0.5</v>
      </c>
      <c r="I1778" t="s">
        <v>179</v>
      </c>
      <c r="J1778" s="33" t="s">
        <v>489</v>
      </c>
      <c r="K1778" s="18">
        <f>VLOOKUP(D1778,Ingredients!C:G,5,0)</f>
        <v>5</v>
      </c>
      <c r="L1778" s="52">
        <f t="shared" si="55"/>
        <v>0.5</v>
      </c>
    </row>
    <row r="1779" spans="1:12">
      <c r="A1779" t="s">
        <v>432</v>
      </c>
      <c r="B1779" t="s">
        <v>349</v>
      </c>
      <c r="C1779" t="s">
        <v>351</v>
      </c>
      <c r="D1779" s="3" t="s">
        <v>852</v>
      </c>
      <c r="E1779" s="14">
        <v>0.48</v>
      </c>
      <c r="F1779" s="4" t="s">
        <v>176</v>
      </c>
      <c r="G1779" s="9">
        <v>520.63</v>
      </c>
      <c r="H1779" s="9">
        <f t="shared" si="54"/>
        <v>249.9024</v>
      </c>
      <c r="I1779" t="s">
        <v>179</v>
      </c>
      <c r="J1779" s="33" t="s">
        <v>428</v>
      </c>
      <c r="K1779" s="18">
        <v>550</v>
      </c>
      <c r="L1779" s="52">
        <f t="shared" si="55"/>
        <v>264</v>
      </c>
    </row>
    <row r="1780" spans="1:12">
      <c r="A1780" t="s">
        <v>432</v>
      </c>
      <c r="B1780" t="s">
        <v>349</v>
      </c>
      <c r="C1780" t="s">
        <v>351</v>
      </c>
      <c r="D1780" s="3" t="s">
        <v>428</v>
      </c>
      <c r="E1780" s="14">
        <v>1</v>
      </c>
      <c r="F1780" s="4" t="s">
        <v>176</v>
      </c>
      <c r="G1780" s="9">
        <v>1600</v>
      </c>
      <c r="H1780" s="9">
        <f t="shared" si="54"/>
        <v>1600</v>
      </c>
      <c r="I1780" t="s">
        <v>179</v>
      </c>
      <c r="J1780" s="33" t="s">
        <v>428</v>
      </c>
      <c r="K1780" s="18">
        <f>VLOOKUP(D1780,Ingredients!C:G,5,0)</f>
        <v>1514.78</v>
      </c>
      <c r="L1780" s="52">
        <f t="shared" si="55"/>
        <v>1514.78</v>
      </c>
    </row>
    <row r="1781" spans="1:12">
      <c r="A1781" t="s">
        <v>432</v>
      </c>
      <c r="B1781" t="s">
        <v>349</v>
      </c>
      <c r="C1781" t="s">
        <v>351</v>
      </c>
      <c r="D1781" s="3" t="s">
        <v>854</v>
      </c>
      <c r="E1781" s="14">
        <v>1</v>
      </c>
      <c r="F1781" s="4" t="s">
        <v>408</v>
      </c>
      <c r="G1781" s="9">
        <v>24.64</v>
      </c>
      <c r="H1781" s="9">
        <f t="shared" si="54"/>
        <v>24.64</v>
      </c>
      <c r="I1781" t="s">
        <v>179</v>
      </c>
      <c r="J1781" s="33" t="s">
        <v>428</v>
      </c>
      <c r="K1781" s="18">
        <f>VLOOKUP(D1781,Ingredients!C:G,5,0)</f>
        <v>20.059999999999999</v>
      </c>
      <c r="L1781" s="52">
        <f t="shared" si="55"/>
        <v>20.059999999999999</v>
      </c>
    </row>
    <row r="1782" spans="1:12">
      <c r="A1782" t="s">
        <v>432</v>
      </c>
      <c r="B1782" t="s">
        <v>349</v>
      </c>
      <c r="C1782" t="s">
        <v>351</v>
      </c>
      <c r="D1782" s="3" t="s">
        <v>867</v>
      </c>
      <c r="E1782" s="14">
        <v>5.0000000000000001E-3</v>
      </c>
      <c r="F1782" s="4" t="s">
        <v>179</v>
      </c>
      <c r="G1782" s="9">
        <v>900</v>
      </c>
      <c r="H1782" s="9">
        <f t="shared" si="54"/>
        <v>4.5</v>
      </c>
      <c r="I1782" t="s">
        <v>179</v>
      </c>
      <c r="J1782" s="33" t="s">
        <v>428</v>
      </c>
      <c r="K1782" s="18">
        <f>VLOOKUP(D1782,Ingredients!C:G,5,0)</f>
        <v>950</v>
      </c>
      <c r="L1782" s="52">
        <f t="shared" si="55"/>
        <v>4.75</v>
      </c>
    </row>
    <row r="1783" spans="1:12">
      <c r="A1783" t="s">
        <v>432</v>
      </c>
      <c r="B1783" t="s">
        <v>349</v>
      </c>
      <c r="C1783" t="s">
        <v>351</v>
      </c>
      <c r="D1783" s="3" t="s">
        <v>849</v>
      </c>
      <c r="E1783" s="14">
        <v>5.0000000000000001E-3</v>
      </c>
      <c r="F1783" s="4" t="s">
        <v>179</v>
      </c>
      <c r="G1783" s="9">
        <v>1000</v>
      </c>
      <c r="H1783" s="9">
        <f t="shared" si="54"/>
        <v>5</v>
      </c>
      <c r="I1783" t="s">
        <v>179</v>
      </c>
      <c r="J1783" s="33" t="s">
        <v>428</v>
      </c>
      <c r="K1783" s="18">
        <f>VLOOKUP(D1783,Ingredients!C:G,5,0)</f>
        <v>950</v>
      </c>
      <c r="L1783" s="52">
        <f t="shared" si="55"/>
        <v>4.75</v>
      </c>
    </row>
    <row r="1784" spans="1:12">
      <c r="A1784" t="s">
        <v>432</v>
      </c>
      <c r="B1784" t="s">
        <v>349</v>
      </c>
      <c r="C1784" t="s">
        <v>351</v>
      </c>
      <c r="D1784" s="3" t="s">
        <v>887</v>
      </c>
      <c r="E1784" s="14">
        <v>5.0000000000000001E-3</v>
      </c>
      <c r="F1784" s="4" t="s">
        <v>179</v>
      </c>
      <c r="G1784" s="9">
        <v>1600</v>
      </c>
      <c r="H1784" s="9">
        <f t="shared" si="54"/>
        <v>8</v>
      </c>
      <c r="I1784" t="s">
        <v>179</v>
      </c>
      <c r="J1784" s="33" t="s">
        <v>428</v>
      </c>
      <c r="K1784" s="18">
        <f>VLOOKUP(D1784,Ingredients!C:G,5,0)</f>
        <v>1830</v>
      </c>
      <c r="L1784" s="52">
        <f t="shared" si="55"/>
        <v>9.15</v>
      </c>
    </row>
    <row r="1785" spans="1:12">
      <c r="A1785" t="s">
        <v>432</v>
      </c>
      <c r="B1785" t="s">
        <v>349</v>
      </c>
      <c r="C1785" t="s">
        <v>351</v>
      </c>
      <c r="D1785" s="3" t="s">
        <v>895</v>
      </c>
      <c r="E1785" s="14">
        <v>5.0000000000000001E-3</v>
      </c>
      <c r="F1785" s="4" t="s">
        <v>179</v>
      </c>
      <c r="G1785" s="9">
        <v>400</v>
      </c>
      <c r="H1785" s="9">
        <f t="shared" si="54"/>
        <v>2</v>
      </c>
      <c r="I1785" t="s">
        <v>179</v>
      </c>
      <c r="J1785" s="33" t="s">
        <v>428</v>
      </c>
      <c r="K1785" s="18">
        <f>VLOOKUP(D1785,Ingredients!C:G,5,0)</f>
        <v>400</v>
      </c>
      <c r="L1785" s="52">
        <f t="shared" si="55"/>
        <v>2</v>
      </c>
    </row>
    <row r="1786" spans="1:12">
      <c r="A1786" t="s">
        <v>432</v>
      </c>
      <c r="B1786" t="s">
        <v>349</v>
      </c>
      <c r="C1786" t="s">
        <v>351</v>
      </c>
      <c r="D1786" s="3" t="s">
        <v>853</v>
      </c>
      <c r="E1786" s="14">
        <v>0.02</v>
      </c>
      <c r="F1786" s="4" t="s">
        <v>315</v>
      </c>
      <c r="G1786" s="9">
        <v>30</v>
      </c>
      <c r="H1786" s="9">
        <f t="shared" si="54"/>
        <v>0.6</v>
      </c>
      <c r="I1786" t="s">
        <v>179</v>
      </c>
      <c r="J1786" s="33" t="s">
        <v>428</v>
      </c>
      <c r="K1786" s="18">
        <f>VLOOKUP(D1786,Ingredients!C:G,5,0)</f>
        <v>55</v>
      </c>
      <c r="L1786" s="52">
        <f t="shared" si="55"/>
        <v>1.1000000000000001</v>
      </c>
    </row>
    <row r="1787" spans="1:12">
      <c r="A1787" t="s">
        <v>432</v>
      </c>
      <c r="B1787" t="s">
        <v>349</v>
      </c>
      <c r="C1787" t="s">
        <v>351</v>
      </c>
      <c r="D1787" s="3" t="s">
        <v>55</v>
      </c>
      <c r="E1787" s="14">
        <v>2E-3</v>
      </c>
      <c r="F1787" s="4" t="s">
        <v>179</v>
      </c>
      <c r="G1787" s="9">
        <v>350</v>
      </c>
      <c r="H1787" s="9">
        <f t="shared" si="54"/>
        <v>0.70000000000000007</v>
      </c>
      <c r="I1787" t="s">
        <v>179</v>
      </c>
      <c r="J1787" s="33" t="s">
        <v>428</v>
      </c>
      <c r="K1787" s="18">
        <f>VLOOKUP(D1787,Ingredients!C:G,5,0)</f>
        <v>457.875</v>
      </c>
      <c r="L1787" s="52">
        <f t="shared" si="55"/>
        <v>0.91575000000000006</v>
      </c>
    </row>
    <row r="1788" spans="1:12">
      <c r="A1788" t="s">
        <v>432</v>
      </c>
      <c r="B1788" t="s">
        <v>349</v>
      </c>
      <c r="C1788" t="s">
        <v>351</v>
      </c>
      <c r="D1788" s="3" t="s">
        <v>873</v>
      </c>
      <c r="E1788" s="14">
        <v>1E-3</v>
      </c>
      <c r="F1788" s="4" t="s">
        <v>179</v>
      </c>
      <c r="G1788" s="9">
        <v>550</v>
      </c>
      <c r="H1788" s="9">
        <f t="shared" si="54"/>
        <v>0.55000000000000004</v>
      </c>
      <c r="I1788" t="s">
        <v>179</v>
      </c>
      <c r="J1788" s="33" t="s">
        <v>428</v>
      </c>
      <c r="K1788" s="18">
        <f>VLOOKUP(D1788,Ingredients!C:G,5,0)</f>
        <v>450</v>
      </c>
      <c r="L1788" s="52">
        <f t="shared" si="55"/>
        <v>0.45</v>
      </c>
    </row>
    <row r="1789" spans="1:12">
      <c r="A1789" t="s">
        <v>432</v>
      </c>
      <c r="B1789" t="s">
        <v>349</v>
      </c>
      <c r="C1789" t="s">
        <v>351</v>
      </c>
      <c r="D1789" s="3" t="s">
        <v>866</v>
      </c>
      <c r="E1789" s="14">
        <v>0.03</v>
      </c>
      <c r="F1789" s="4" t="s">
        <v>176</v>
      </c>
      <c r="G1789" s="9">
        <v>153.97999999999999</v>
      </c>
      <c r="H1789" s="9">
        <f t="shared" si="54"/>
        <v>4.6193999999999997</v>
      </c>
      <c r="I1789" t="s">
        <v>179</v>
      </c>
      <c r="J1789" s="33" t="s">
        <v>428</v>
      </c>
      <c r="K1789" s="18">
        <f>VLOOKUP(D1789,Ingredients!C:G,5,0)</f>
        <v>142.13999999999999</v>
      </c>
      <c r="L1789" s="52">
        <f t="shared" si="55"/>
        <v>4.2641999999999998</v>
      </c>
    </row>
    <row r="1790" spans="1:12">
      <c r="A1790" t="s">
        <v>432</v>
      </c>
      <c r="B1790" t="s">
        <v>349</v>
      </c>
      <c r="C1790" t="s">
        <v>351</v>
      </c>
      <c r="D1790" s="3" t="s">
        <v>835</v>
      </c>
      <c r="E1790" s="14">
        <v>0.03</v>
      </c>
      <c r="F1790" s="4" t="s">
        <v>176</v>
      </c>
      <c r="G1790" s="9">
        <v>389.34</v>
      </c>
      <c r="H1790" s="9">
        <f t="shared" ref="H1790:H1853" si="56">G1790*E1790</f>
        <v>11.680199999999999</v>
      </c>
      <c r="I1790" t="s">
        <v>179</v>
      </c>
      <c r="J1790" s="33" t="s">
        <v>428</v>
      </c>
      <c r="K1790" s="18">
        <f>VLOOKUP(D1790,Ingredients!C:G,5,0)</f>
        <v>394.63</v>
      </c>
      <c r="L1790" s="52">
        <f t="shared" si="55"/>
        <v>11.838899999999999</v>
      </c>
    </row>
    <row r="1791" spans="1:12">
      <c r="A1791" t="s">
        <v>432</v>
      </c>
      <c r="B1791" t="s">
        <v>349</v>
      </c>
      <c r="C1791" t="s">
        <v>351</v>
      </c>
      <c r="D1791" s="3" t="s">
        <v>310</v>
      </c>
      <c r="E1791" s="14">
        <v>2.5000000000000001E-3</v>
      </c>
      <c r="F1791" s="4" t="s">
        <v>179</v>
      </c>
      <c r="G1791" s="9">
        <v>425</v>
      </c>
      <c r="H1791" s="9">
        <f t="shared" si="56"/>
        <v>1.0625</v>
      </c>
      <c r="I1791" t="s">
        <v>179</v>
      </c>
      <c r="J1791" s="33" t="s">
        <v>428</v>
      </c>
      <c r="K1791" s="18">
        <f>VLOOKUP(D1791,Ingredients!C:G,5,0)</f>
        <v>850</v>
      </c>
      <c r="L1791" s="52">
        <f t="shared" si="55"/>
        <v>2.125</v>
      </c>
    </row>
    <row r="1792" spans="1:12">
      <c r="A1792" t="s">
        <v>432</v>
      </c>
      <c r="B1792" t="s">
        <v>349</v>
      </c>
      <c r="C1792" t="s">
        <v>351</v>
      </c>
      <c r="D1792" s="3" t="s">
        <v>23</v>
      </c>
      <c r="E1792" s="14">
        <v>0.02</v>
      </c>
      <c r="F1792" s="4" t="s">
        <v>176</v>
      </c>
      <c r="G1792" s="9">
        <v>740</v>
      </c>
      <c r="H1792" s="9">
        <f t="shared" si="56"/>
        <v>14.8</v>
      </c>
      <c r="I1792" t="s">
        <v>179</v>
      </c>
      <c r="J1792" s="33" t="s">
        <v>428</v>
      </c>
      <c r="K1792" s="18">
        <f>VLOOKUP(D1792,Ingredients!C:G,5,0)</f>
        <v>780</v>
      </c>
      <c r="L1792" s="52">
        <f t="shared" si="55"/>
        <v>15.6</v>
      </c>
    </row>
    <row r="1793" spans="1:12">
      <c r="A1793" t="s">
        <v>432</v>
      </c>
      <c r="B1793" t="s">
        <v>349</v>
      </c>
      <c r="C1793" t="s">
        <v>351</v>
      </c>
      <c r="D1793" s="3" t="s">
        <v>16</v>
      </c>
      <c r="E1793" s="14">
        <v>0.01</v>
      </c>
      <c r="F1793" s="4" t="s">
        <v>176</v>
      </c>
      <c r="G1793" s="9">
        <v>270</v>
      </c>
      <c r="H1793" s="9">
        <f t="shared" si="56"/>
        <v>2.7</v>
      </c>
      <c r="I1793" t="s">
        <v>179</v>
      </c>
      <c r="J1793" s="33" t="s">
        <v>428</v>
      </c>
      <c r="K1793" s="18">
        <f>VLOOKUP(D1793,Ingredients!C:G,5,0)</f>
        <v>310</v>
      </c>
      <c r="L1793" s="52">
        <f t="shared" si="55"/>
        <v>3.1</v>
      </c>
    </row>
    <row r="1794" spans="1:12">
      <c r="A1794" t="s">
        <v>432</v>
      </c>
      <c r="B1794" t="s">
        <v>349</v>
      </c>
      <c r="C1794" t="s">
        <v>351</v>
      </c>
      <c r="D1794" s="3" t="s">
        <v>29</v>
      </c>
      <c r="E1794" s="14">
        <v>0.05</v>
      </c>
      <c r="F1794" s="4" t="s">
        <v>176</v>
      </c>
      <c r="G1794" s="9">
        <v>60</v>
      </c>
      <c r="H1794" s="9">
        <f t="shared" si="56"/>
        <v>3</v>
      </c>
      <c r="I1794" t="s">
        <v>179</v>
      </c>
      <c r="J1794" s="33" t="s">
        <v>428</v>
      </c>
      <c r="K1794" s="18">
        <f>VLOOKUP(D1794,Ingredients!C:G,5,0)</f>
        <v>100</v>
      </c>
      <c r="L1794" s="52">
        <f t="shared" si="55"/>
        <v>5</v>
      </c>
    </row>
    <row r="1795" spans="1:12">
      <c r="A1795" t="s">
        <v>432</v>
      </c>
      <c r="B1795" t="s">
        <v>349</v>
      </c>
      <c r="C1795" t="s">
        <v>351</v>
      </c>
      <c r="D1795" s="3" t="s">
        <v>50</v>
      </c>
      <c r="E1795" s="14">
        <v>0.03</v>
      </c>
      <c r="F1795" s="4" t="s">
        <v>176</v>
      </c>
      <c r="G1795" s="9">
        <v>120</v>
      </c>
      <c r="H1795" s="9">
        <f t="shared" si="56"/>
        <v>3.5999999999999996</v>
      </c>
      <c r="I1795" t="s">
        <v>179</v>
      </c>
      <c r="J1795" s="33" t="s">
        <v>428</v>
      </c>
      <c r="K1795" s="18">
        <f>VLOOKUP(D1795,Ingredients!C:G,5,0)</f>
        <v>120</v>
      </c>
      <c r="L1795" s="52">
        <f t="shared" si="55"/>
        <v>3.5999999999999996</v>
      </c>
    </row>
    <row r="1796" spans="1:12">
      <c r="A1796" t="s">
        <v>433</v>
      </c>
      <c r="B1796" t="s">
        <v>356</v>
      </c>
      <c r="C1796" t="s">
        <v>356</v>
      </c>
      <c r="D1796" s="3" t="s">
        <v>884</v>
      </c>
      <c r="E1796" s="14">
        <v>1</v>
      </c>
      <c r="F1796" s="4" t="s">
        <v>181</v>
      </c>
      <c r="G1796" s="9">
        <v>344</v>
      </c>
      <c r="H1796" s="9">
        <f t="shared" si="56"/>
        <v>344</v>
      </c>
      <c r="I1796" t="s">
        <v>179</v>
      </c>
      <c r="J1796" s="33">
        <v>0</v>
      </c>
      <c r="K1796" s="18">
        <f>VLOOKUP(D1796,Ingredients!C:G,5,0)</f>
        <v>344</v>
      </c>
      <c r="L1796" s="52">
        <f t="shared" ref="L1796:L1859" si="57">K1796*E1796</f>
        <v>344</v>
      </c>
    </row>
    <row r="1797" spans="1:12">
      <c r="A1797" t="s">
        <v>433</v>
      </c>
      <c r="B1797" t="s">
        <v>356</v>
      </c>
      <c r="C1797" t="s">
        <v>356</v>
      </c>
      <c r="D1797" s="3" t="s">
        <v>830</v>
      </c>
      <c r="E1797" s="14">
        <v>0.25</v>
      </c>
      <c r="F1797" s="4" t="s">
        <v>181</v>
      </c>
      <c r="G1797" s="9">
        <v>149</v>
      </c>
      <c r="H1797" s="9">
        <f t="shared" si="56"/>
        <v>37.25</v>
      </c>
      <c r="I1797" t="s">
        <v>179</v>
      </c>
      <c r="J1797" s="33">
        <v>0</v>
      </c>
      <c r="K1797" s="18">
        <f>VLOOKUP(D1797,Ingredients!C:G,5,0)</f>
        <v>123</v>
      </c>
      <c r="L1797" s="52">
        <f t="shared" si="57"/>
        <v>30.75</v>
      </c>
    </row>
    <row r="1798" spans="1:12">
      <c r="A1798" t="s">
        <v>433</v>
      </c>
      <c r="B1798" t="s">
        <v>356</v>
      </c>
      <c r="C1798" t="s">
        <v>356</v>
      </c>
      <c r="D1798" s="3" t="s">
        <v>913</v>
      </c>
      <c r="E1798" s="14">
        <v>0.125</v>
      </c>
      <c r="F1798" s="4" t="s">
        <v>181</v>
      </c>
      <c r="G1798" s="9">
        <v>229.16666666666666</v>
      </c>
      <c r="H1798" s="9">
        <f t="shared" si="56"/>
        <v>28.645833333333332</v>
      </c>
      <c r="I1798" t="s">
        <v>179</v>
      </c>
      <c r="J1798" s="33">
        <v>0</v>
      </c>
      <c r="K1798" s="18">
        <f>VLOOKUP(D1798,Ingredients!C:F,3,0)</f>
        <v>343.75</v>
      </c>
      <c r="L1798" s="52">
        <f t="shared" si="57"/>
        <v>42.96875</v>
      </c>
    </row>
    <row r="1799" spans="1:12">
      <c r="A1799" t="s">
        <v>433</v>
      </c>
      <c r="B1799" t="s">
        <v>356</v>
      </c>
      <c r="C1799" t="s">
        <v>356</v>
      </c>
      <c r="D1799" s="3" t="s">
        <v>917</v>
      </c>
      <c r="E1799" s="14">
        <v>0.1</v>
      </c>
      <c r="F1799" s="4" t="s">
        <v>181</v>
      </c>
      <c r="G1799" s="9">
        <v>800</v>
      </c>
      <c r="H1799" s="9">
        <f t="shared" si="56"/>
        <v>80</v>
      </c>
      <c r="I1799" t="s">
        <v>179</v>
      </c>
      <c r="J1799" s="33">
        <v>0</v>
      </c>
      <c r="K1799" s="18">
        <f>VLOOKUP(D1799,Ingredients!C:G,5,0)</f>
        <v>550</v>
      </c>
      <c r="L1799" s="52">
        <f t="shared" si="57"/>
        <v>55</v>
      </c>
    </row>
    <row r="1800" spans="1:12">
      <c r="A1800" t="s">
        <v>433</v>
      </c>
      <c r="B1800" t="s">
        <v>356</v>
      </c>
      <c r="C1800" t="s">
        <v>356</v>
      </c>
      <c r="D1800" s="3" t="s">
        <v>472</v>
      </c>
      <c r="E1800" s="14">
        <v>0.1</v>
      </c>
      <c r="F1800" s="4" t="s">
        <v>181</v>
      </c>
      <c r="G1800" s="9">
        <v>1100</v>
      </c>
      <c r="H1800" s="9">
        <f t="shared" si="56"/>
        <v>110</v>
      </c>
      <c r="I1800" t="s">
        <v>179</v>
      </c>
      <c r="J1800" s="33">
        <v>0</v>
      </c>
      <c r="K1800" s="18">
        <f>VLOOKUP(D1800,Ingredients!C:G,5,0)</f>
        <v>1100</v>
      </c>
      <c r="L1800" s="52">
        <f t="shared" si="57"/>
        <v>110</v>
      </c>
    </row>
    <row r="1801" spans="1:12">
      <c r="A1801" t="s">
        <v>433</v>
      </c>
      <c r="B1801" t="s">
        <v>356</v>
      </c>
      <c r="C1801" t="s">
        <v>356</v>
      </c>
      <c r="D1801" s="3" t="s">
        <v>903</v>
      </c>
      <c r="E1801" s="14">
        <v>0.1</v>
      </c>
      <c r="F1801" s="4" t="s">
        <v>181</v>
      </c>
      <c r="G1801" s="9">
        <v>153.97999999999999</v>
      </c>
      <c r="H1801" s="9">
        <f t="shared" si="56"/>
        <v>15.398</v>
      </c>
      <c r="I1801" t="s">
        <v>179</v>
      </c>
      <c r="J1801" s="33">
        <v>0</v>
      </c>
      <c r="K1801" s="18">
        <f>VLOOKUP(D1801,Ingredients!C:G,5,0)</f>
        <v>152</v>
      </c>
      <c r="L1801" s="52">
        <f t="shared" si="57"/>
        <v>15.200000000000001</v>
      </c>
    </row>
    <row r="1802" spans="1:12">
      <c r="A1802" t="s">
        <v>433</v>
      </c>
      <c r="B1802" t="s">
        <v>356</v>
      </c>
      <c r="C1802" t="s">
        <v>356</v>
      </c>
      <c r="D1802" s="3" t="s">
        <v>852</v>
      </c>
      <c r="E1802" s="14">
        <v>0.1</v>
      </c>
      <c r="F1802" s="4" t="s">
        <v>181</v>
      </c>
      <c r="G1802" s="9">
        <v>520.63</v>
      </c>
      <c r="H1802" s="9">
        <f t="shared" si="56"/>
        <v>52.063000000000002</v>
      </c>
      <c r="I1802" t="s">
        <v>179</v>
      </c>
      <c r="J1802" s="33">
        <v>0</v>
      </c>
      <c r="K1802" s="18">
        <v>550</v>
      </c>
      <c r="L1802" s="52">
        <f t="shared" si="57"/>
        <v>55</v>
      </c>
    </row>
    <row r="1803" spans="1:12">
      <c r="A1803" t="s">
        <v>433</v>
      </c>
      <c r="B1803" t="s">
        <v>356</v>
      </c>
      <c r="C1803" t="s">
        <v>356</v>
      </c>
      <c r="D1803" s="3" t="s">
        <v>908</v>
      </c>
      <c r="E1803" s="14">
        <v>0.1</v>
      </c>
      <c r="F1803" s="4" t="s">
        <v>181</v>
      </c>
      <c r="G1803" s="9">
        <v>200</v>
      </c>
      <c r="H1803" s="9">
        <f t="shared" si="56"/>
        <v>20</v>
      </c>
      <c r="I1803" t="s">
        <v>179</v>
      </c>
      <c r="J1803" s="33">
        <v>0</v>
      </c>
      <c r="K1803" s="18">
        <f>VLOOKUP(D1803,Ingredients!C:G,5,0)</f>
        <v>180</v>
      </c>
      <c r="L1803" s="52">
        <f t="shared" si="57"/>
        <v>18</v>
      </c>
    </row>
    <row r="1804" spans="1:12">
      <c r="A1804" t="s">
        <v>433</v>
      </c>
      <c r="B1804" t="s">
        <v>356</v>
      </c>
      <c r="C1804" t="s">
        <v>356</v>
      </c>
      <c r="D1804" s="3" t="s">
        <v>940</v>
      </c>
      <c r="E1804" s="14">
        <v>0.02</v>
      </c>
      <c r="F1804" s="4" t="s">
        <v>179</v>
      </c>
      <c r="G1804" s="9">
        <v>3000</v>
      </c>
      <c r="H1804" s="9">
        <f t="shared" si="56"/>
        <v>60</v>
      </c>
      <c r="I1804" t="s">
        <v>179</v>
      </c>
      <c r="J1804" s="33">
        <v>0</v>
      </c>
      <c r="K1804" s="18">
        <f>VLOOKUP(D1804,Ingredients!C:G,5,0)</f>
        <v>2900</v>
      </c>
      <c r="L1804" s="52">
        <f t="shared" si="57"/>
        <v>58</v>
      </c>
    </row>
    <row r="1805" spans="1:12">
      <c r="A1805" t="s">
        <v>433</v>
      </c>
      <c r="B1805" t="s">
        <v>356</v>
      </c>
      <c r="C1805" t="s">
        <v>356</v>
      </c>
      <c r="D1805" s="3" t="s">
        <v>892</v>
      </c>
      <c r="E1805" s="14">
        <v>0.02</v>
      </c>
      <c r="F1805" s="4" t="s">
        <v>179</v>
      </c>
      <c r="G1805" s="9">
        <v>2000</v>
      </c>
      <c r="H1805" s="9">
        <f t="shared" si="56"/>
        <v>40</v>
      </c>
      <c r="I1805" t="s">
        <v>179</v>
      </c>
      <c r="J1805" s="33">
        <v>0</v>
      </c>
      <c r="K1805" s="18">
        <f>VLOOKUP(D1805,Ingredients!C:G,5,0)</f>
        <v>2080</v>
      </c>
      <c r="L1805" s="52">
        <f t="shared" si="57"/>
        <v>41.6</v>
      </c>
    </row>
    <row r="1806" spans="1:12">
      <c r="A1806" t="s">
        <v>433</v>
      </c>
      <c r="B1806" t="s">
        <v>356</v>
      </c>
      <c r="C1806" t="s">
        <v>356</v>
      </c>
      <c r="D1806" s="3" t="s">
        <v>916</v>
      </c>
      <c r="E1806" s="14">
        <v>0.02</v>
      </c>
      <c r="F1806" s="4" t="s">
        <v>179</v>
      </c>
      <c r="G1806" s="9">
        <v>6500</v>
      </c>
      <c r="H1806" s="9">
        <f t="shared" si="56"/>
        <v>130</v>
      </c>
      <c r="I1806" t="s">
        <v>179</v>
      </c>
      <c r="J1806" s="33">
        <v>0</v>
      </c>
      <c r="K1806" s="18">
        <f>VLOOKUP(D1806,Ingredients!C:G,5,0)</f>
        <v>6200</v>
      </c>
      <c r="L1806" s="52">
        <f t="shared" si="57"/>
        <v>124</v>
      </c>
    </row>
    <row r="1807" spans="1:12">
      <c r="A1807" t="s">
        <v>433</v>
      </c>
      <c r="B1807" t="s">
        <v>356</v>
      </c>
      <c r="C1807" t="s">
        <v>356</v>
      </c>
      <c r="D1807" s="3" t="s">
        <v>857</v>
      </c>
      <c r="E1807" s="14">
        <v>0.02</v>
      </c>
      <c r="F1807" s="4" t="s">
        <v>179</v>
      </c>
      <c r="G1807" s="9">
        <v>520</v>
      </c>
      <c r="H1807" s="9">
        <f t="shared" si="56"/>
        <v>10.4</v>
      </c>
      <c r="I1807" t="s">
        <v>179</v>
      </c>
      <c r="J1807" s="33">
        <v>0</v>
      </c>
      <c r="K1807" s="18">
        <f>VLOOKUP(D1807,Ingredients!C:G,5,0)</f>
        <v>880</v>
      </c>
      <c r="L1807" s="52">
        <f t="shared" si="57"/>
        <v>17.600000000000001</v>
      </c>
    </row>
    <row r="1808" spans="1:12">
      <c r="A1808" t="s">
        <v>433</v>
      </c>
      <c r="B1808" t="s">
        <v>356</v>
      </c>
      <c r="C1808" t="s">
        <v>356</v>
      </c>
      <c r="D1808" s="3" t="s">
        <v>915</v>
      </c>
      <c r="E1808" s="14">
        <v>0.04</v>
      </c>
      <c r="F1808" s="4" t="s">
        <v>434</v>
      </c>
      <c r="G1808" s="9">
        <v>5000</v>
      </c>
      <c r="H1808" s="9">
        <f t="shared" si="56"/>
        <v>200</v>
      </c>
      <c r="I1808" t="s">
        <v>179</v>
      </c>
      <c r="J1808" s="33">
        <v>0</v>
      </c>
      <c r="K1808" s="18">
        <f>VLOOKUP(D1808,Ingredients!C:G,5,0)</f>
        <v>3200</v>
      </c>
      <c r="L1808" s="52">
        <f t="shared" si="57"/>
        <v>128</v>
      </c>
    </row>
    <row r="1809" spans="1:12">
      <c r="A1809" t="s">
        <v>433</v>
      </c>
      <c r="B1809" t="s">
        <v>356</v>
      </c>
      <c r="C1809" t="s">
        <v>356</v>
      </c>
      <c r="D1809" s="3" t="s">
        <v>924</v>
      </c>
      <c r="E1809" s="14">
        <v>0.01</v>
      </c>
      <c r="F1809" s="4" t="s">
        <v>179</v>
      </c>
      <c r="G1809" s="9">
        <v>850</v>
      </c>
      <c r="H1809" s="9">
        <f t="shared" si="56"/>
        <v>8.5</v>
      </c>
      <c r="I1809" t="s">
        <v>179</v>
      </c>
      <c r="J1809" s="33">
        <v>0</v>
      </c>
      <c r="K1809" s="18">
        <f>VLOOKUP(D1809,Ingredients!C:G,5,0)</f>
        <v>720</v>
      </c>
      <c r="L1809" s="52">
        <f t="shared" si="57"/>
        <v>7.2</v>
      </c>
    </row>
    <row r="1810" spans="1:12">
      <c r="A1810" t="s">
        <v>433</v>
      </c>
      <c r="B1810" t="s">
        <v>356</v>
      </c>
      <c r="C1810" t="s">
        <v>356</v>
      </c>
      <c r="D1810" s="3" t="s">
        <v>942</v>
      </c>
      <c r="E1810" s="14">
        <v>0.05</v>
      </c>
      <c r="F1810" s="4" t="s">
        <v>176</v>
      </c>
      <c r="G1810" s="9">
        <v>1388.75</v>
      </c>
      <c r="H1810" s="9">
        <f t="shared" si="56"/>
        <v>69.4375</v>
      </c>
      <c r="I1810" t="s">
        <v>179</v>
      </c>
      <c r="J1810" s="33">
        <v>0</v>
      </c>
      <c r="K1810" s="18">
        <f>VLOOKUP(D1810,Ingredients!C:G,5,0)</f>
        <v>1375</v>
      </c>
      <c r="L1810" s="52">
        <f t="shared" si="57"/>
        <v>68.75</v>
      </c>
    </row>
    <row r="1811" spans="1:12">
      <c r="A1811" t="s">
        <v>435</v>
      </c>
      <c r="B1811" t="s">
        <v>346</v>
      </c>
      <c r="C1811" t="s">
        <v>352</v>
      </c>
      <c r="D1811" s="3" t="s">
        <v>73</v>
      </c>
      <c r="E1811" s="14">
        <v>1</v>
      </c>
      <c r="F1811" s="4" t="s">
        <v>176</v>
      </c>
      <c r="G1811" s="9">
        <v>305</v>
      </c>
      <c r="H1811" s="9">
        <f t="shared" si="56"/>
        <v>305</v>
      </c>
      <c r="I1811" t="s">
        <v>179</v>
      </c>
      <c r="J1811" s="33">
        <v>0</v>
      </c>
      <c r="K1811" s="18">
        <f>VLOOKUP(D1811,Ingredients!C:G,5,0)</f>
        <v>300</v>
      </c>
      <c r="L1811" s="52">
        <f t="shared" si="57"/>
        <v>300</v>
      </c>
    </row>
    <row r="1812" spans="1:12">
      <c r="A1812" t="s">
        <v>435</v>
      </c>
      <c r="B1812" t="s">
        <v>346</v>
      </c>
      <c r="C1812" t="s">
        <v>352</v>
      </c>
      <c r="D1812" s="3" t="s">
        <v>875</v>
      </c>
      <c r="E1812" s="14">
        <v>0.8571428571428571</v>
      </c>
      <c r="F1812" s="4" t="s">
        <v>176</v>
      </c>
      <c r="G1812" s="9">
        <v>220</v>
      </c>
      <c r="H1812" s="9">
        <f t="shared" si="56"/>
        <v>188.57142857142856</v>
      </c>
      <c r="I1812" t="s">
        <v>179</v>
      </c>
      <c r="J1812" s="33">
        <v>0</v>
      </c>
      <c r="K1812" s="18">
        <f>VLOOKUP(D1812,Ingredients!C:G,5,0)</f>
        <v>220</v>
      </c>
      <c r="L1812" s="52">
        <f t="shared" si="57"/>
        <v>188.57142857142856</v>
      </c>
    </row>
    <row r="1813" spans="1:12">
      <c r="A1813" t="s">
        <v>435</v>
      </c>
      <c r="B1813" t="s">
        <v>346</v>
      </c>
      <c r="C1813" t="s">
        <v>352</v>
      </c>
      <c r="D1813" s="3" t="s">
        <v>887</v>
      </c>
      <c r="E1813" s="14">
        <v>1.4285714285714287E-2</v>
      </c>
      <c r="F1813" s="4" t="s">
        <v>179</v>
      </c>
      <c r="G1813" s="9">
        <v>1600</v>
      </c>
      <c r="H1813" s="9">
        <f t="shared" si="56"/>
        <v>22.857142857142858</v>
      </c>
      <c r="I1813" t="s">
        <v>179</v>
      </c>
      <c r="J1813" s="33">
        <v>0</v>
      </c>
      <c r="K1813" s="18">
        <f>VLOOKUP(D1813,Ingredients!C:G,5,0)</f>
        <v>1830</v>
      </c>
      <c r="L1813" s="52">
        <f t="shared" si="57"/>
        <v>26.142857142857146</v>
      </c>
    </row>
    <row r="1814" spans="1:12">
      <c r="A1814" t="s">
        <v>435</v>
      </c>
      <c r="B1814" t="s">
        <v>346</v>
      </c>
      <c r="C1814" t="s">
        <v>352</v>
      </c>
      <c r="D1814" s="3" t="s">
        <v>895</v>
      </c>
      <c r="E1814" s="14">
        <v>1.4285714285714287E-2</v>
      </c>
      <c r="F1814" s="4" t="s">
        <v>179</v>
      </c>
      <c r="G1814" s="9">
        <v>400</v>
      </c>
      <c r="H1814" s="9">
        <f t="shared" si="56"/>
        <v>5.7142857142857144</v>
      </c>
      <c r="I1814" t="s">
        <v>179</v>
      </c>
      <c r="J1814" s="33">
        <v>0</v>
      </c>
      <c r="K1814" s="18">
        <f>VLOOKUP(D1814,Ingredients!C:G,5,0)</f>
        <v>400</v>
      </c>
      <c r="L1814" s="52">
        <f t="shared" si="57"/>
        <v>5.7142857142857144</v>
      </c>
    </row>
    <row r="1815" spans="1:12">
      <c r="A1815" t="s">
        <v>435</v>
      </c>
      <c r="B1815" t="s">
        <v>346</v>
      </c>
      <c r="C1815" t="s">
        <v>352</v>
      </c>
      <c r="D1815" s="3" t="s">
        <v>856</v>
      </c>
      <c r="E1815" s="14">
        <v>1.4285714285714287E-2</v>
      </c>
      <c r="F1815" s="4" t="s">
        <v>179</v>
      </c>
      <c r="G1815" s="9">
        <v>850</v>
      </c>
      <c r="H1815" s="9">
        <f t="shared" si="56"/>
        <v>12.142857142857144</v>
      </c>
      <c r="I1815" t="s">
        <v>179</v>
      </c>
      <c r="J1815" s="33">
        <v>0</v>
      </c>
      <c r="K1815" s="18">
        <f>VLOOKUP(D1815,Ingredients!C:G,5,0)</f>
        <v>980</v>
      </c>
      <c r="L1815" s="52">
        <f t="shared" si="57"/>
        <v>14.000000000000002</v>
      </c>
    </row>
    <row r="1816" spans="1:12">
      <c r="A1816" t="s">
        <v>435</v>
      </c>
      <c r="B1816" t="s">
        <v>346</v>
      </c>
      <c r="C1816" t="s">
        <v>352</v>
      </c>
      <c r="D1816" s="3" t="s">
        <v>867</v>
      </c>
      <c r="E1816" s="14">
        <v>1.4285714285714287E-2</v>
      </c>
      <c r="F1816" s="4" t="s">
        <v>179</v>
      </c>
      <c r="G1816" s="9">
        <v>900</v>
      </c>
      <c r="H1816" s="9">
        <f t="shared" si="56"/>
        <v>12.857142857142858</v>
      </c>
      <c r="I1816" t="s">
        <v>179</v>
      </c>
      <c r="J1816" s="33">
        <v>0</v>
      </c>
      <c r="K1816" s="18">
        <f>VLOOKUP(D1816,Ingredients!C:G,5,0)</f>
        <v>950</v>
      </c>
      <c r="L1816" s="52">
        <f t="shared" si="57"/>
        <v>13.571428571428573</v>
      </c>
    </row>
    <row r="1817" spans="1:12">
      <c r="A1817" t="s">
        <v>435</v>
      </c>
      <c r="B1817" t="s">
        <v>346</v>
      </c>
      <c r="C1817" t="s">
        <v>352</v>
      </c>
      <c r="D1817" s="3" t="s">
        <v>880</v>
      </c>
      <c r="E1817" s="14">
        <v>1.4285714285714287E-2</v>
      </c>
      <c r="F1817" s="4" t="s">
        <v>179</v>
      </c>
      <c r="G1817" s="9">
        <v>650</v>
      </c>
      <c r="H1817" s="9">
        <f t="shared" si="56"/>
        <v>9.2857142857142865</v>
      </c>
      <c r="I1817" t="s">
        <v>179</v>
      </c>
      <c r="J1817" s="33">
        <v>0</v>
      </c>
      <c r="K1817" s="18">
        <f>VLOOKUP(D1817,Ingredients!C:G,5,0)</f>
        <v>520</v>
      </c>
      <c r="L1817" s="52">
        <f t="shared" si="57"/>
        <v>7.4285714285714288</v>
      </c>
    </row>
    <row r="1818" spans="1:12">
      <c r="A1818" t="s">
        <v>435</v>
      </c>
      <c r="B1818" t="s">
        <v>346</v>
      </c>
      <c r="C1818" t="s">
        <v>352</v>
      </c>
      <c r="D1818" s="3" t="s">
        <v>855</v>
      </c>
      <c r="E1818" s="14">
        <v>1.4285714285714287E-2</v>
      </c>
      <c r="F1818" s="4" t="s">
        <v>179</v>
      </c>
      <c r="G1818" s="9">
        <v>2400</v>
      </c>
      <c r="H1818" s="9">
        <f t="shared" si="56"/>
        <v>34.285714285714292</v>
      </c>
      <c r="I1818" t="s">
        <v>179</v>
      </c>
      <c r="J1818" s="33">
        <v>0</v>
      </c>
      <c r="K1818" s="18">
        <f>VLOOKUP(D1818,Ingredients!C:G,5,0)</f>
        <v>1600</v>
      </c>
      <c r="L1818" s="52">
        <f t="shared" si="57"/>
        <v>22.857142857142858</v>
      </c>
    </row>
    <row r="1819" spans="1:12">
      <c r="A1819" t="s">
        <v>435</v>
      </c>
      <c r="B1819" t="s">
        <v>346</v>
      </c>
      <c r="C1819" t="s">
        <v>352</v>
      </c>
      <c r="D1819" s="3" t="s">
        <v>852</v>
      </c>
      <c r="E1819" s="14">
        <v>0.57142857142857151</v>
      </c>
      <c r="F1819" s="4" t="s">
        <v>176</v>
      </c>
      <c r="G1819" s="9">
        <v>520.63</v>
      </c>
      <c r="H1819" s="9">
        <f t="shared" si="56"/>
        <v>297.50285714285718</v>
      </c>
      <c r="I1819" t="s">
        <v>179</v>
      </c>
      <c r="J1819" s="33">
        <v>0</v>
      </c>
      <c r="K1819" s="18">
        <v>550</v>
      </c>
      <c r="L1819" s="52">
        <f t="shared" si="57"/>
        <v>314.28571428571433</v>
      </c>
    </row>
    <row r="1820" spans="1:12">
      <c r="A1820" t="s">
        <v>435</v>
      </c>
      <c r="B1820" t="s">
        <v>346</v>
      </c>
      <c r="C1820" t="s">
        <v>352</v>
      </c>
      <c r="D1820" s="3" t="s">
        <v>29</v>
      </c>
      <c r="E1820" s="14">
        <v>5.7142857142857148E-2</v>
      </c>
      <c r="F1820" s="4" t="s">
        <v>179</v>
      </c>
      <c r="G1820" s="9">
        <v>60</v>
      </c>
      <c r="H1820" s="9">
        <f t="shared" si="56"/>
        <v>3.4285714285714288</v>
      </c>
      <c r="I1820" t="s">
        <v>179</v>
      </c>
      <c r="J1820" s="33">
        <v>0</v>
      </c>
      <c r="K1820" s="18">
        <f>VLOOKUP(D1820,Ingredients!C:G,5,0)</f>
        <v>100</v>
      </c>
      <c r="L1820" s="52">
        <f t="shared" si="57"/>
        <v>5.7142857142857144</v>
      </c>
    </row>
    <row r="1821" spans="1:12">
      <c r="A1821" t="s">
        <v>435</v>
      </c>
      <c r="B1821" t="s">
        <v>346</v>
      </c>
      <c r="C1821" t="s">
        <v>352</v>
      </c>
      <c r="D1821" s="3" t="s">
        <v>849</v>
      </c>
      <c r="E1821" s="14">
        <v>1.4285714285714287E-2</v>
      </c>
      <c r="F1821" s="4" t="s">
        <v>179</v>
      </c>
      <c r="G1821" s="9">
        <v>1000</v>
      </c>
      <c r="H1821" s="9">
        <f t="shared" si="56"/>
        <v>14.285714285714286</v>
      </c>
      <c r="I1821" t="s">
        <v>179</v>
      </c>
      <c r="J1821" s="33">
        <v>0</v>
      </c>
      <c r="K1821" s="18">
        <f>VLOOKUP(D1821,Ingredients!C:G,5,0)</f>
        <v>950</v>
      </c>
      <c r="L1821" s="52">
        <f t="shared" si="57"/>
        <v>13.571428571428573</v>
      </c>
    </row>
    <row r="1822" spans="1:12">
      <c r="A1822" t="s">
        <v>435</v>
      </c>
      <c r="B1822" t="s">
        <v>346</v>
      </c>
      <c r="C1822" t="s">
        <v>352</v>
      </c>
      <c r="D1822" s="3" t="s">
        <v>24</v>
      </c>
      <c r="E1822" s="14">
        <v>0.28571428571428575</v>
      </c>
      <c r="F1822" s="4" t="s">
        <v>176</v>
      </c>
      <c r="G1822" s="9">
        <v>55</v>
      </c>
      <c r="H1822" s="9">
        <f t="shared" si="56"/>
        <v>15.714285714285717</v>
      </c>
      <c r="I1822" t="s">
        <v>179</v>
      </c>
      <c r="J1822" s="33">
        <v>0</v>
      </c>
      <c r="K1822" s="18">
        <f>VLOOKUP(D1822,Ingredients!C:G,5,0)</f>
        <v>80</v>
      </c>
      <c r="L1822" s="52">
        <f t="shared" si="57"/>
        <v>22.857142857142861</v>
      </c>
    </row>
    <row r="1823" spans="1:12">
      <c r="A1823" t="s">
        <v>435</v>
      </c>
      <c r="B1823" t="s">
        <v>346</v>
      </c>
      <c r="C1823" t="s">
        <v>352</v>
      </c>
      <c r="D1823" s="3" t="s">
        <v>860</v>
      </c>
      <c r="E1823" s="14">
        <v>1.4285714285714287E-2</v>
      </c>
      <c r="F1823" s="4" t="s">
        <v>179</v>
      </c>
      <c r="G1823" s="9">
        <v>2000</v>
      </c>
      <c r="H1823" s="9">
        <f t="shared" si="56"/>
        <v>28.571428571428573</v>
      </c>
      <c r="I1823" t="s">
        <v>179</v>
      </c>
      <c r="J1823" s="33">
        <v>0</v>
      </c>
      <c r="K1823" s="18">
        <f>VLOOKUP(D1823,Ingredients!C:G,5,0)</f>
        <v>1900</v>
      </c>
      <c r="L1823" s="52">
        <f t="shared" si="57"/>
        <v>27.142857142857146</v>
      </c>
    </row>
    <row r="1824" spans="1:12">
      <c r="A1824" t="s">
        <v>435</v>
      </c>
      <c r="B1824" t="s">
        <v>346</v>
      </c>
      <c r="C1824" t="s">
        <v>352</v>
      </c>
      <c r="D1824" s="3" t="s">
        <v>16</v>
      </c>
      <c r="E1824" s="14">
        <v>1.4285714285714287E-2</v>
      </c>
      <c r="F1824" s="4" t="s">
        <v>179</v>
      </c>
      <c r="G1824" s="9">
        <v>270</v>
      </c>
      <c r="H1824" s="9">
        <f t="shared" si="56"/>
        <v>3.8571428571428577</v>
      </c>
      <c r="I1824" t="s">
        <v>179</v>
      </c>
      <c r="J1824" s="33">
        <v>0</v>
      </c>
      <c r="K1824" s="18">
        <f>VLOOKUP(D1824,Ingredients!C:G,5,0)</f>
        <v>310</v>
      </c>
      <c r="L1824" s="52">
        <f t="shared" si="57"/>
        <v>4.4285714285714288</v>
      </c>
    </row>
    <row r="1825" spans="1:12">
      <c r="A1825" t="s">
        <v>405</v>
      </c>
      <c r="B1825" t="s">
        <v>349</v>
      </c>
      <c r="C1825" t="s">
        <v>350</v>
      </c>
      <c r="D1825" s="3" t="s">
        <v>831</v>
      </c>
      <c r="E1825" s="14">
        <v>0.71994240460763137</v>
      </c>
      <c r="F1825" s="4" t="s">
        <v>176</v>
      </c>
      <c r="G1825" s="9">
        <v>908</v>
      </c>
      <c r="H1825" s="9">
        <f t="shared" si="56"/>
        <v>653.70770338372927</v>
      </c>
      <c r="I1825" t="s">
        <v>179</v>
      </c>
      <c r="J1825" s="33" t="s">
        <v>489</v>
      </c>
      <c r="K1825" s="18">
        <f>VLOOKUP(D1825,Ingredients!C:G,5,0)</f>
        <v>908</v>
      </c>
      <c r="L1825" s="52">
        <f t="shared" si="57"/>
        <v>653.70770338372927</v>
      </c>
    </row>
    <row r="1826" spans="1:12">
      <c r="A1826" t="s">
        <v>405</v>
      </c>
      <c r="B1826" t="s">
        <v>349</v>
      </c>
      <c r="C1826" t="s">
        <v>350</v>
      </c>
      <c r="D1826" s="3" t="s">
        <v>833</v>
      </c>
      <c r="E1826" s="14">
        <v>0.28005759539236863</v>
      </c>
      <c r="F1826" s="4" t="s">
        <v>176</v>
      </c>
      <c r="G1826" s="9">
        <v>1020</v>
      </c>
      <c r="H1826" s="9">
        <f t="shared" si="56"/>
        <v>285.65874730021602</v>
      </c>
      <c r="I1826" t="s">
        <v>179</v>
      </c>
      <c r="J1826" s="33" t="s">
        <v>489</v>
      </c>
      <c r="K1826" s="18">
        <f>VLOOKUP(D1826,Ingredients!C:G,5,0)</f>
        <v>1000</v>
      </c>
      <c r="L1826" s="52">
        <f t="shared" si="57"/>
        <v>280.05759539236863</v>
      </c>
    </row>
    <row r="1827" spans="1:12">
      <c r="A1827" t="s">
        <v>405</v>
      </c>
      <c r="B1827" t="s">
        <v>349</v>
      </c>
      <c r="C1827" t="s">
        <v>350</v>
      </c>
      <c r="D1827" s="3" t="s">
        <v>861</v>
      </c>
      <c r="E1827" s="14">
        <v>7.9993600511959043E-2</v>
      </c>
      <c r="F1827" s="4" t="s">
        <v>176</v>
      </c>
      <c r="G1827" s="9">
        <v>500</v>
      </c>
      <c r="H1827" s="9">
        <f t="shared" si="56"/>
        <v>39.996800255979522</v>
      </c>
      <c r="I1827" t="s">
        <v>179</v>
      </c>
      <c r="J1827" s="33" t="s">
        <v>489</v>
      </c>
      <c r="K1827" s="18">
        <f>VLOOKUP(D1827,Ingredients!C:G,5,0)</f>
        <v>500</v>
      </c>
      <c r="L1827" s="52">
        <f t="shared" si="57"/>
        <v>39.996800255979522</v>
      </c>
    </row>
    <row r="1828" spans="1:12">
      <c r="A1828" t="s">
        <v>405</v>
      </c>
      <c r="B1828" t="s">
        <v>349</v>
      </c>
      <c r="C1828" t="s">
        <v>350</v>
      </c>
      <c r="D1828" s="3" t="s">
        <v>940</v>
      </c>
      <c r="E1828" s="14">
        <v>7.9993600511959039E-3</v>
      </c>
      <c r="F1828" s="4" t="s">
        <v>176</v>
      </c>
      <c r="G1828" s="9">
        <v>3000</v>
      </c>
      <c r="H1828" s="9">
        <f t="shared" si="56"/>
        <v>23.998080153587711</v>
      </c>
      <c r="I1828" t="s">
        <v>179</v>
      </c>
      <c r="J1828" s="33" t="s">
        <v>489</v>
      </c>
      <c r="K1828" s="18">
        <f>VLOOKUP(D1828,Ingredients!C:G,5,0)</f>
        <v>2900</v>
      </c>
      <c r="L1828" s="52">
        <f t="shared" si="57"/>
        <v>23.198144148468121</v>
      </c>
    </row>
    <row r="1829" spans="1:12">
      <c r="A1829" t="s">
        <v>405</v>
      </c>
      <c r="B1829" t="s">
        <v>349</v>
      </c>
      <c r="C1829" t="s">
        <v>350</v>
      </c>
      <c r="D1829" s="3" t="s">
        <v>881</v>
      </c>
      <c r="E1829" s="14">
        <v>7.9993600511959039E-3</v>
      </c>
      <c r="F1829" s="4" t="s">
        <v>176</v>
      </c>
      <c r="G1829" s="9">
        <v>871</v>
      </c>
      <c r="H1829" s="9">
        <f t="shared" si="56"/>
        <v>6.967442604591632</v>
      </c>
      <c r="I1829" t="s">
        <v>179</v>
      </c>
      <c r="J1829" s="33" t="s">
        <v>489</v>
      </c>
      <c r="K1829" s="18">
        <f>VLOOKUP(D1829,Ingredients!C:G,5,0)</f>
        <v>885.41</v>
      </c>
      <c r="L1829" s="52">
        <f t="shared" si="57"/>
        <v>7.0827133829293647</v>
      </c>
    </row>
    <row r="1830" spans="1:12">
      <c r="A1830" t="s">
        <v>405</v>
      </c>
      <c r="B1830" t="s">
        <v>349</v>
      </c>
      <c r="C1830" t="s">
        <v>350</v>
      </c>
      <c r="D1830" s="3" t="s">
        <v>892</v>
      </c>
      <c r="E1830" s="14">
        <v>7.9993600511959039E-3</v>
      </c>
      <c r="F1830" s="4" t="s">
        <v>176</v>
      </c>
      <c r="G1830" s="9">
        <v>2000</v>
      </c>
      <c r="H1830" s="9">
        <f t="shared" si="56"/>
        <v>15.998720102391808</v>
      </c>
      <c r="I1830" t="s">
        <v>179</v>
      </c>
      <c r="J1830" s="33" t="s">
        <v>489</v>
      </c>
      <c r="K1830" s="18">
        <f>VLOOKUP(D1830,Ingredients!C:G,5,0)</f>
        <v>2080</v>
      </c>
      <c r="L1830" s="52">
        <f t="shared" si="57"/>
        <v>16.638668906487482</v>
      </c>
    </row>
    <row r="1831" spans="1:12">
      <c r="A1831" t="s">
        <v>405</v>
      </c>
      <c r="B1831" t="s">
        <v>349</v>
      </c>
      <c r="C1831" t="s">
        <v>350</v>
      </c>
      <c r="D1831" s="3" t="s">
        <v>96</v>
      </c>
      <c r="E1831" s="14">
        <v>3.9996800255979521E-2</v>
      </c>
      <c r="F1831" s="4" t="s">
        <v>176</v>
      </c>
      <c r="G1831" s="9">
        <v>160</v>
      </c>
      <c r="H1831" s="9">
        <f t="shared" si="56"/>
        <v>6.3994880409567232</v>
      </c>
      <c r="I1831" t="s">
        <v>179</v>
      </c>
      <c r="J1831" s="33" t="s">
        <v>489</v>
      </c>
      <c r="K1831" s="18">
        <f>VLOOKUP(D1831,Ingredients!C:G,5,0)</f>
        <v>120</v>
      </c>
      <c r="L1831" s="52">
        <f t="shared" si="57"/>
        <v>4.7996160307175426</v>
      </c>
    </row>
    <row r="1832" spans="1:12">
      <c r="A1832" t="s">
        <v>405</v>
      </c>
      <c r="B1832" t="s">
        <v>349</v>
      </c>
      <c r="C1832" t="s">
        <v>350</v>
      </c>
      <c r="D1832" s="3" t="s">
        <v>29</v>
      </c>
      <c r="E1832" s="14">
        <v>2.3998080153587713E-2</v>
      </c>
      <c r="F1832" s="4" t="s">
        <v>176</v>
      </c>
      <c r="G1832" s="9">
        <v>60</v>
      </c>
      <c r="H1832" s="9">
        <f t="shared" si="56"/>
        <v>1.4398848092152627</v>
      </c>
      <c r="I1832" t="s">
        <v>179</v>
      </c>
      <c r="J1832" s="33" t="s">
        <v>489</v>
      </c>
      <c r="K1832" s="18">
        <f>VLOOKUP(D1832,Ingredients!C:G,5,0)</f>
        <v>100</v>
      </c>
      <c r="L1832" s="52">
        <f t="shared" si="57"/>
        <v>2.3998080153587713</v>
      </c>
    </row>
    <row r="1833" spans="1:12">
      <c r="A1833" t="s">
        <v>405</v>
      </c>
      <c r="B1833" t="s">
        <v>349</v>
      </c>
      <c r="C1833" t="s">
        <v>350</v>
      </c>
      <c r="D1833" s="3" t="s">
        <v>23</v>
      </c>
      <c r="E1833" s="14">
        <v>3.9996800255979521E-2</v>
      </c>
      <c r="F1833" s="4" t="s">
        <v>176</v>
      </c>
      <c r="G1833" s="9">
        <v>740</v>
      </c>
      <c r="H1833" s="9">
        <f t="shared" si="56"/>
        <v>29.597632189424846</v>
      </c>
      <c r="I1833" t="s">
        <v>179</v>
      </c>
      <c r="J1833" s="33" t="s">
        <v>489</v>
      </c>
      <c r="K1833" s="18">
        <f>VLOOKUP(D1833,Ingredients!C:G,5,0)</f>
        <v>780</v>
      </c>
      <c r="L1833" s="52">
        <f t="shared" si="57"/>
        <v>31.197504199664028</v>
      </c>
    </row>
    <row r="1834" spans="1:12">
      <c r="A1834" t="s">
        <v>405</v>
      </c>
      <c r="B1834" t="s">
        <v>349</v>
      </c>
      <c r="C1834" t="s">
        <v>350</v>
      </c>
      <c r="D1834" s="3" t="s">
        <v>35</v>
      </c>
      <c r="E1834" s="14">
        <v>4.7996160307175427E-2</v>
      </c>
      <c r="F1834" s="4" t="s">
        <v>408</v>
      </c>
      <c r="G1834" s="9">
        <v>13</v>
      </c>
      <c r="H1834" s="9">
        <f t="shared" si="56"/>
        <v>0.62395008399328056</v>
      </c>
      <c r="I1834" t="s">
        <v>179</v>
      </c>
      <c r="J1834" s="33" t="s">
        <v>489</v>
      </c>
      <c r="K1834" s="18">
        <f>VLOOKUP(D1834,Ingredients!C:G,5,0)</f>
        <v>15</v>
      </c>
      <c r="L1834" s="52">
        <f t="shared" si="57"/>
        <v>0.71994240460763137</v>
      </c>
    </row>
    <row r="1835" spans="1:12">
      <c r="A1835" t="s">
        <v>405</v>
      </c>
      <c r="B1835" t="s">
        <v>349</v>
      </c>
      <c r="C1835" t="s">
        <v>350</v>
      </c>
      <c r="D1835" s="3" t="s">
        <v>932</v>
      </c>
      <c r="E1835" s="14">
        <v>3.999680025597952E-3</v>
      </c>
      <c r="F1835" s="4" t="s">
        <v>179</v>
      </c>
      <c r="G1835" s="9">
        <v>2848.84</v>
      </c>
      <c r="H1835" s="9">
        <f t="shared" si="56"/>
        <v>11.394448444124469</v>
      </c>
      <c r="I1835" t="s">
        <v>179</v>
      </c>
      <c r="J1835" s="33" t="s">
        <v>489</v>
      </c>
      <c r="K1835" s="18">
        <f>VLOOKUP(D1835,Ingredients!C:G,5,0)</f>
        <v>2643.68</v>
      </c>
      <c r="L1835" s="52">
        <f t="shared" si="57"/>
        <v>10.573874090072794</v>
      </c>
    </row>
    <row r="1836" spans="1:12">
      <c r="A1836" t="s">
        <v>405</v>
      </c>
      <c r="B1836" t="s">
        <v>349</v>
      </c>
      <c r="C1836" t="s">
        <v>350</v>
      </c>
      <c r="D1836" s="3" t="s">
        <v>867</v>
      </c>
      <c r="E1836" s="14">
        <v>5.9995200383969284E-3</v>
      </c>
      <c r="F1836" s="4" t="s">
        <v>176</v>
      </c>
      <c r="G1836" s="9">
        <v>900</v>
      </c>
      <c r="H1836" s="9">
        <f t="shared" si="56"/>
        <v>5.3995680345572357</v>
      </c>
      <c r="I1836" t="s">
        <v>179</v>
      </c>
      <c r="J1836" s="33" t="s">
        <v>489</v>
      </c>
      <c r="K1836" s="18">
        <f>VLOOKUP(D1836,Ingredients!C:G,5,0)</f>
        <v>950</v>
      </c>
      <c r="L1836" s="52">
        <f t="shared" si="57"/>
        <v>5.6995440364770822</v>
      </c>
    </row>
    <row r="1837" spans="1:12">
      <c r="A1837" t="s">
        <v>405</v>
      </c>
      <c r="B1837" t="s">
        <v>349</v>
      </c>
      <c r="C1837" t="s">
        <v>350</v>
      </c>
      <c r="D1837" s="3" t="s">
        <v>933</v>
      </c>
      <c r="E1837" s="14">
        <v>0.31997440204783617</v>
      </c>
      <c r="F1837" s="4" t="s">
        <v>176</v>
      </c>
      <c r="G1837" s="9">
        <v>250</v>
      </c>
      <c r="H1837" s="9">
        <f t="shared" si="56"/>
        <v>79.993600511959045</v>
      </c>
      <c r="I1837" t="s">
        <v>179</v>
      </c>
      <c r="J1837" s="33" t="s">
        <v>489</v>
      </c>
      <c r="K1837" s="18">
        <f>VLOOKUP(D1837,Ingredients!C:G,5,0)</f>
        <v>265</v>
      </c>
      <c r="L1837" s="52">
        <f t="shared" si="57"/>
        <v>84.793216542676589</v>
      </c>
    </row>
    <row r="1838" spans="1:12">
      <c r="A1838" t="s">
        <v>405</v>
      </c>
      <c r="B1838" t="s">
        <v>349</v>
      </c>
      <c r="C1838" t="s">
        <v>350</v>
      </c>
      <c r="D1838" s="3" t="s">
        <v>872</v>
      </c>
      <c r="E1838" s="14">
        <v>3.999680025597952E-3</v>
      </c>
      <c r="F1838" s="4" t="s">
        <v>179</v>
      </c>
      <c r="G1838" s="9">
        <v>2100</v>
      </c>
      <c r="H1838" s="9">
        <f t="shared" si="56"/>
        <v>8.3993280537556991</v>
      </c>
      <c r="I1838" t="s">
        <v>179</v>
      </c>
      <c r="J1838" s="33" t="s">
        <v>489</v>
      </c>
      <c r="K1838" s="18">
        <f>VLOOKUP(D1838,Ingredients!C:G,5,0)</f>
        <v>2150</v>
      </c>
      <c r="L1838" s="52">
        <f t="shared" si="57"/>
        <v>8.5993120550355968</v>
      </c>
    </row>
    <row r="1839" spans="1:12">
      <c r="A1839" t="s">
        <v>405</v>
      </c>
      <c r="B1839" t="s">
        <v>349</v>
      </c>
      <c r="C1839" t="s">
        <v>350</v>
      </c>
      <c r="D1839" s="3" t="s">
        <v>24</v>
      </c>
      <c r="E1839" s="14">
        <v>7.9993600511959043E-2</v>
      </c>
      <c r="F1839" s="4" t="s">
        <v>176</v>
      </c>
      <c r="G1839" s="9">
        <v>55</v>
      </c>
      <c r="H1839" s="9">
        <f t="shared" si="56"/>
        <v>4.3996480281577472</v>
      </c>
      <c r="I1839" t="s">
        <v>179</v>
      </c>
      <c r="J1839" s="33" t="s">
        <v>489</v>
      </c>
      <c r="K1839" s="18">
        <f>VLOOKUP(D1839,Ingredients!C:G,5,0)</f>
        <v>80</v>
      </c>
      <c r="L1839" s="52">
        <f t="shared" si="57"/>
        <v>6.3994880409567232</v>
      </c>
    </row>
    <row r="1840" spans="1:12">
      <c r="A1840" t="s">
        <v>436</v>
      </c>
      <c r="B1840" t="s">
        <v>349</v>
      </c>
      <c r="C1840" t="s">
        <v>350</v>
      </c>
      <c r="D1840" s="33" t="s">
        <v>491</v>
      </c>
      <c r="E1840" s="14">
        <v>1</v>
      </c>
      <c r="F1840" s="4" t="s">
        <v>179</v>
      </c>
      <c r="G1840" s="9">
        <v>614</v>
      </c>
      <c r="H1840" s="9">
        <f t="shared" si="56"/>
        <v>614</v>
      </c>
      <c r="I1840" t="s">
        <v>179</v>
      </c>
      <c r="J1840" s="33" t="s">
        <v>491</v>
      </c>
      <c r="K1840" s="18">
        <f>VLOOKUP(D1840,Ingredients!C:G,5,0)</f>
        <v>650</v>
      </c>
      <c r="L1840" s="52">
        <f t="shared" si="57"/>
        <v>650</v>
      </c>
    </row>
    <row r="1841" spans="1:12">
      <c r="A1841" t="s">
        <v>436</v>
      </c>
      <c r="B1841" t="s">
        <v>349</v>
      </c>
      <c r="C1841" t="s">
        <v>350</v>
      </c>
      <c r="D1841" s="3" t="s">
        <v>867</v>
      </c>
      <c r="E1841" s="14">
        <v>0.01</v>
      </c>
      <c r="F1841" s="4" t="s">
        <v>176</v>
      </c>
      <c r="G1841" s="9">
        <v>900</v>
      </c>
      <c r="H1841" s="9">
        <f t="shared" si="56"/>
        <v>9</v>
      </c>
      <c r="I1841" t="s">
        <v>179</v>
      </c>
      <c r="J1841" s="33" t="s">
        <v>491</v>
      </c>
      <c r="K1841" s="18">
        <f>VLOOKUP(D1841,Ingredients!C:G,5,0)</f>
        <v>950</v>
      </c>
      <c r="L1841" s="52">
        <f t="shared" si="57"/>
        <v>9.5</v>
      </c>
    </row>
    <row r="1842" spans="1:12">
      <c r="A1842" t="s">
        <v>436</v>
      </c>
      <c r="B1842" t="s">
        <v>349</v>
      </c>
      <c r="C1842" t="s">
        <v>350</v>
      </c>
      <c r="D1842" s="3" t="s">
        <v>932</v>
      </c>
      <c r="E1842" s="14">
        <v>3.0000000000000001E-3</v>
      </c>
      <c r="F1842" s="4" t="s">
        <v>179</v>
      </c>
      <c r="G1842" s="9">
        <v>2848.84</v>
      </c>
      <c r="H1842" s="9">
        <f t="shared" si="56"/>
        <v>8.546520000000001</v>
      </c>
      <c r="I1842" t="s">
        <v>179</v>
      </c>
      <c r="J1842" s="33" t="s">
        <v>491</v>
      </c>
      <c r="K1842" s="18">
        <f>VLOOKUP(D1842,Ingredients!C:G,5,0)</f>
        <v>2643.68</v>
      </c>
      <c r="L1842" s="52">
        <f t="shared" si="57"/>
        <v>7.9310399999999994</v>
      </c>
    </row>
    <row r="1843" spans="1:12">
      <c r="A1843" t="s">
        <v>436</v>
      </c>
      <c r="B1843" t="s">
        <v>349</v>
      </c>
      <c r="C1843" t="s">
        <v>350</v>
      </c>
      <c r="D1843" s="3" t="s">
        <v>55</v>
      </c>
      <c r="E1843" s="14">
        <v>1.5E-3</v>
      </c>
      <c r="F1843" s="4" t="s">
        <v>179</v>
      </c>
      <c r="G1843" s="9">
        <v>350</v>
      </c>
      <c r="H1843" s="9">
        <f t="shared" si="56"/>
        <v>0.52500000000000002</v>
      </c>
      <c r="I1843" t="s">
        <v>179</v>
      </c>
      <c r="J1843" s="33" t="s">
        <v>491</v>
      </c>
      <c r="K1843" s="18">
        <f>VLOOKUP(D1843,Ingredients!C:G,5,0)</f>
        <v>457.875</v>
      </c>
      <c r="L1843" s="52">
        <f t="shared" si="57"/>
        <v>0.68681250000000005</v>
      </c>
    </row>
    <row r="1844" spans="1:12">
      <c r="A1844" t="s">
        <v>436</v>
      </c>
      <c r="B1844" t="s">
        <v>349</v>
      </c>
      <c r="C1844" t="s">
        <v>350</v>
      </c>
      <c r="D1844" s="3" t="s">
        <v>853</v>
      </c>
      <c r="E1844" s="14">
        <v>0.02</v>
      </c>
      <c r="F1844" s="4" t="s">
        <v>314</v>
      </c>
      <c r="G1844" s="9">
        <v>30</v>
      </c>
      <c r="H1844" s="9">
        <f t="shared" si="56"/>
        <v>0.6</v>
      </c>
      <c r="I1844" t="s">
        <v>179</v>
      </c>
      <c r="J1844" s="33" t="s">
        <v>491</v>
      </c>
      <c r="K1844" s="18">
        <f>VLOOKUP(D1844,Ingredients!C:G,5,0)</f>
        <v>55</v>
      </c>
      <c r="L1844" s="52">
        <f t="shared" si="57"/>
        <v>1.1000000000000001</v>
      </c>
    </row>
    <row r="1845" spans="1:12">
      <c r="A1845" t="s">
        <v>436</v>
      </c>
      <c r="B1845" t="s">
        <v>349</v>
      </c>
      <c r="C1845" t="s">
        <v>350</v>
      </c>
      <c r="D1845" s="3" t="s">
        <v>874</v>
      </c>
      <c r="E1845" s="14">
        <v>0.01</v>
      </c>
      <c r="F1845" s="4" t="s">
        <v>415</v>
      </c>
      <c r="G1845" s="9">
        <v>110</v>
      </c>
      <c r="H1845" s="9">
        <f t="shared" si="56"/>
        <v>1.1000000000000001</v>
      </c>
      <c r="I1845" t="s">
        <v>179</v>
      </c>
      <c r="J1845" s="33" t="s">
        <v>491</v>
      </c>
      <c r="K1845" s="18">
        <f>VLOOKUP(D1845,Ingredients!C:G,5,0)</f>
        <v>179</v>
      </c>
      <c r="L1845" s="52">
        <f t="shared" si="57"/>
        <v>1.79</v>
      </c>
    </row>
    <row r="1846" spans="1:12">
      <c r="A1846" t="s">
        <v>436</v>
      </c>
      <c r="B1846" t="s">
        <v>349</v>
      </c>
      <c r="C1846" t="s">
        <v>350</v>
      </c>
      <c r="D1846" s="3" t="s">
        <v>874</v>
      </c>
      <c r="E1846" s="14">
        <v>0.01</v>
      </c>
      <c r="F1846" s="4" t="s">
        <v>415</v>
      </c>
      <c r="G1846" s="9">
        <v>110</v>
      </c>
      <c r="H1846" s="9">
        <f t="shared" si="56"/>
        <v>1.1000000000000001</v>
      </c>
      <c r="I1846" t="s">
        <v>179</v>
      </c>
      <c r="J1846" s="33" t="s">
        <v>491</v>
      </c>
      <c r="K1846" s="18">
        <f>VLOOKUP(D1846,Ingredients!C:G,5,0)</f>
        <v>179</v>
      </c>
      <c r="L1846" s="52">
        <f t="shared" si="57"/>
        <v>1.79</v>
      </c>
    </row>
    <row r="1847" spans="1:12">
      <c r="A1847" t="s">
        <v>436</v>
      </c>
      <c r="B1847" t="s">
        <v>349</v>
      </c>
      <c r="C1847" t="s">
        <v>350</v>
      </c>
      <c r="D1847" s="3" t="s">
        <v>873</v>
      </c>
      <c r="E1847" s="14">
        <v>1.5E-3</v>
      </c>
      <c r="F1847" s="4" t="s">
        <v>179</v>
      </c>
      <c r="G1847" s="9">
        <v>550</v>
      </c>
      <c r="H1847" s="9">
        <f t="shared" si="56"/>
        <v>0.82500000000000007</v>
      </c>
      <c r="I1847" t="s">
        <v>179</v>
      </c>
      <c r="J1847" s="33" t="s">
        <v>491</v>
      </c>
      <c r="K1847" s="18">
        <f>VLOOKUP(D1847,Ingredients!C:G,5,0)</f>
        <v>450</v>
      </c>
      <c r="L1847" s="52">
        <f t="shared" si="57"/>
        <v>0.67500000000000004</v>
      </c>
    </row>
    <row r="1848" spans="1:12">
      <c r="A1848" t="s">
        <v>436</v>
      </c>
      <c r="B1848" t="s">
        <v>349</v>
      </c>
      <c r="C1848" t="s">
        <v>350</v>
      </c>
      <c r="D1848" s="3" t="s">
        <v>470</v>
      </c>
      <c r="E1848" s="14">
        <v>1.5E-3</v>
      </c>
      <c r="F1848" s="4" t="s">
        <v>179</v>
      </c>
      <c r="G1848" s="9">
        <v>600</v>
      </c>
      <c r="H1848" s="9">
        <f t="shared" si="56"/>
        <v>0.9</v>
      </c>
      <c r="I1848" t="s">
        <v>179</v>
      </c>
      <c r="J1848" s="33" t="s">
        <v>491</v>
      </c>
      <c r="K1848" s="18">
        <f>VLOOKUP(D1848,Ingredients!C:G,5,0)</f>
        <v>650</v>
      </c>
      <c r="L1848" s="52">
        <f t="shared" si="57"/>
        <v>0.97499999999999998</v>
      </c>
    </row>
    <row r="1849" spans="1:12">
      <c r="A1849" t="s">
        <v>436</v>
      </c>
      <c r="B1849" t="s">
        <v>349</v>
      </c>
      <c r="C1849" t="s">
        <v>350</v>
      </c>
      <c r="D1849" s="3" t="s">
        <v>895</v>
      </c>
      <c r="E1849" s="14">
        <v>3.0000000000000001E-3</v>
      </c>
      <c r="F1849" s="4" t="s">
        <v>179</v>
      </c>
      <c r="G1849" s="9">
        <v>400</v>
      </c>
      <c r="H1849" s="9">
        <f t="shared" si="56"/>
        <v>1.2</v>
      </c>
      <c r="I1849" t="s">
        <v>179</v>
      </c>
      <c r="J1849" s="33" t="s">
        <v>491</v>
      </c>
      <c r="K1849" s="18">
        <f>VLOOKUP(D1849,Ingredients!C:G,5,0)</f>
        <v>400</v>
      </c>
      <c r="L1849" s="52">
        <f t="shared" si="57"/>
        <v>1.2</v>
      </c>
    </row>
    <row r="1850" spans="1:12">
      <c r="A1850" t="s">
        <v>436</v>
      </c>
      <c r="B1850" t="s">
        <v>349</v>
      </c>
      <c r="C1850" t="s">
        <v>350</v>
      </c>
      <c r="D1850" s="3" t="s">
        <v>73</v>
      </c>
      <c r="E1850" s="14">
        <v>1.4999999999999999E-2</v>
      </c>
      <c r="F1850" s="4" t="s">
        <v>176</v>
      </c>
      <c r="G1850" s="9">
        <v>305</v>
      </c>
      <c r="H1850" s="9">
        <f t="shared" si="56"/>
        <v>4.5750000000000002</v>
      </c>
      <c r="I1850" t="s">
        <v>179</v>
      </c>
      <c r="J1850" s="33" t="s">
        <v>491</v>
      </c>
      <c r="K1850" s="18">
        <f>VLOOKUP(D1850,Ingredients!C:G,5,0)</f>
        <v>300</v>
      </c>
      <c r="L1850" s="52">
        <f t="shared" si="57"/>
        <v>4.5</v>
      </c>
    </row>
    <row r="1851" spans="1:12">
      <c r="A1851" t="s">
        <v>436</v>
      </c>
      <c r="B1851" t="s">
        <v>349</v>
      </c>
      <c r="C1851" t="s">
        <v>350</v>
      </c>
      <c r="D1851" s="3" t="s">
        <v>805</v>
      </c>
      <c r="E1851" s="14">
        <v>0.03</v>
      </c>
      <c r="F1851" s="4" t="s">
        <v>176</v>
      </c>
      <c r="G1851" s="9">
        <v>200</v>
      </c>
      <c r="H1851" s="9">
        <f t="shared" si="56"/>
        <v>6</v>
      </c>
      <c r="I1851" t="s">
        <v>179</v>
      </c>
      <c r="J1851" s="33" t="s">
        <v>491</v>
      </c>
      <c r="K1851" s="18">
        <f>VLOOKUP(D1851,Ingredients!C:G,5,0)</f>
        <v>50</v>
      </c>
      <c r="L1851" s="52">
        <f t="shared" si="57"/>
        <v>1.5</v>
      </c>
    </row>
    <row r="1852" spans="1:12">
      <c r="A1852" t="s">
        <v>436</v>
      </c>
      <c r="B1852" t="s">
        <v>349</v>
      </c>
      <c r="C1852" t="s">
        <v>350</v>
      </c>
      <c r="D1852" s="3" t="s">
        <v>852</v>
      </c>
      <c r="E1852" s="14">
        <v>0.02</v>
      </c>
      <c r="F1852" s="4" t="s">
        <v>176</v>
      </c>
      <c r="G1852" s="9">
        <v>520.63</v>
      </c>
      <c r="H1852" s="9">
        <f t="shared" si="56"/>
        <v>10.412599999999999</v>
      </c>
      <c r="I1852" t="s">
        <v>179</v>
      </c>
      <c r="J1852" s="33" t="s">
        <v>491</v>
      </c>
      <c r="K1852" s="18">
        <v>550</v>
      </c>
      <c r="L1852" s="52">
        <f t="shared" si="57"/>
        <v>11</v>
      </c>
    </row>
    <row r="1853" spans="1:12">
      <c r="A1853" t="s">
        <v>436</v>
      </c>
      <c r="B1853" t="s">
        <v>349</v>
      </c>
      <c r="C1853" t="s">
        <v>350</v>
      </c>
      <c r="D1853" s="3" t="s">
        <v>23</v>
      </c>
      <c r="E1853" s="14">
        <v>1.4999999999999999E-2</v>
      </c>
      <c r="F1853" s="4" t="s">
        <v>176</v>
      </c>
      <c r="G1853" s="9">
        <v>740</v>
      </c>
      <c r="H1853" s="9">
        <f t="shared" si="56"/>
        <v>11.1</v>
      </c>
      <c r="I1853" t="s">
        <v>179</v>
      </c>
      <c r="J1853" s="33" t="s">
        <v>491</v>
      </c>
      <c r="K1853" s="18">
        <f>VLOOKUP(D1853,Ingredients!C:G,5,0)</f>
        <v>780</v>
      </c>
      <c r="L1853" s="52">
        <f t="shared" si="57"/>
        <v>11.7</v>
      </c>
    </row>
    <row r="1854" spans="1:12">
      <c r="A1854" t="s">
        <v>436</v>
      </c>
      <c r="B1854" t="s">
        <v>349</v>
      </c>
      <c r="C1854" t="s">
        <v>350</v>
      </c>
      <c r="D1854" s="3" t="s">
        <v>16</v>
      </c>
      <c r="E1854" s="14">
        <v>0.01</v>
      </c>
      <c r="F1854" s="4" t="s">
        <v>176</v>
      </c>
      <c r="G1854" s="9">
        <v>270</v>
      </c>
      <c r="H1854" s="9">
        <f t="shared" ref="H1854:H1917" si="58">G1854*E1854</f>
        <v>2.7</v>
      </c>
      <c r="I1854" t="s">
        <v>179</v>
      </c>
      <c r="J1854" s="33" t="s">
        <v>491</v>
      </c>
      <c r="K1854" s="18">
        <f>VLOOKUP(D1854,Ingredients!C:G,5,0)</f>
        <v>310</v>
      </c>
      <c r="L1854" s="52">
        <f t="shared" si="57"/>
        <v>3.1</v>
      </c>
    </row>
    <row r="1855" spans="1:12">
      <c r="A1855" t="s">
        <v>436</v>
      </c>
      <c r="B1855" t="s">
        <v>349</v>
      </c>
      <c r="C1855" t="s">
        <v>350</v>
      </c>
      <c r="D1855" s="3" t="s">
        <v>933</v>
      </c>
      <c r="E1855" s="14">
        <v>0.4</v>
      </c>
      <c r="F1855" s="4" t="s">
        <v>176</v>
      </c>
      <c r="G1855" s="9">
        <v>250</v>
      </c>
      <c r="H1855" s="9">
        <f t="shared" si="58"/>
        <v>100</v>
      </c>
      <c r="I1855" t="s">
        <v>179</v>
      </c>
      <c r="J1855" s="33" t="s">
        <v>491</v>
      </c>
      <c r="K1855" s="18">
        <f>VLOOKUP(D1855,Ingredients!C:G,5,0)</f>
        <v>265</v>
      </c>
      <c r="L1855" s="52">
        <f t="shared" si="57"/>
        <v>106</v>
      </c>
    </row>
    <row r="1856" spans="1:12">
      <c r="A1856" t="s">
        <v>437</v>
      </c>
      <c r="B1856" t="s">
        <v>349</v>
      </c>
      <c r="C1856" t="s">
        <v>352</v>
      </c>
      <c r="D1856" s="3" t="s">
        <v>852</v>
      </c>
      <c r="E1856" s="14">
        <v>0.2</v>
      </c>
      <c r="F1856" s="4" t="s">
        <v>176</v>
      </c>
      <c r="G1856" s="9">
        <v>520.63</v>
      </c>
      <c r="H1856" s="9">
        <f t="shared" si="58"/>
        <v>104.126</v>
      </c>
      <c r="I1856" t="s">
        <v>179</v>
      </c>
      <c r="J1856" s="33" t="s">
        <v>516</v>
      </c>
      <c r="K1856" s="18">
        <v>550</v>
      </c>
      <c r="L1856" s="52">
        <f t="shared" si="57"/>
        <v>110</v>
      </c>
    </row>
    <row r="1857" spans="1:12">
      <c r="A1857" t="s">
        <v>437</v>
      </c>
      <c r="B1857" t="s">
        <v>349</v>
      </c>
      <c r="C1857" t="s">
        <v>352</v>
      </c>
      <c r="D1857" s="3" t="s">
        <v>838</v>
      </c>
      <c r="E1857" s="14">
        <v>1</v>
      </c>
      <c r="F1857" s="4" t="s">
        <v>176</v>
      </c>
      <c r="G1857" s="9">
        <v>800</v>
      </c>
      <c r="H1857" s="9">
        <f t="shared" si="58"/>
        <v>800</v>
      </c>
      <c r="I1857" t="s">
        <v>179</v>
      </c>
      <c r="J1857" s="33" t="s">
        <v>516</v>
      </c>
      <c r="K1857" s="18">
        <f>VLOOKUP(D1857,Ingredients!C:G,5,0)</f>
        <v>950</v>
      </c>
      <c r="L1857" s="52">
        <f t="shared" si="57"/>
        <v>950</v>
      </c>
    </row>
    <row r="1858" spans="1:12">
      <c r="A1858" t="s">
        <v>437</v>
      </c>
      <c r="B1858" t="s">
        <v>349</v>
      </c>
      <c r="C1858" t="s">
        <v>352</v>
      </c>
      <c r="D1858" s="3" t="s">
        <v>855</v>
      </c>
      <c r="E1858" s="14">
        <v>3.4090909090909089E-3</v>
      </c>
      <c r="F1858" s="4" t="s">
        <v>179</v>
      </c>
      <c r="G1858" s="9">
        <v>2400</v>
      </c>
      <c r="H1858" s="9">
        <f t="shared" si="58"/>
        <v>8.1818181818181817</v>
      </c>
      <c r="I1858" t="s">
        <v>179</v>
      </c>
      <c r="J1858" s="33" t="s">
        <v>516</v>
      </c>
      <c r="K1858" s="18">
        <f>VLOOKUP(D1858,Ingredients!C:G,5,0)</f>
        <v>1600</v>
      </c>
      <c r="L1858" s="52">
        <f t="shared" si="57"/>
        <v>5.4545454545454541</v>
      </c>
    </row>
    <row r="1859" spans="1:12">
      <c r="A1859" t="s">
        <v>437</v>
      </c>
      <c r="B1859" t="s">
        <v>349</v>
      </c>
      <c r="C1859" t="s">
        <v>352</v>
      </c>
      <c r="D1859" s="3" t="s">
        <v>864</v>
      </c>
      <c r="E1859" s="14">
        <v>1.7045454545454545E-3</v>
      </c>
      <c r="F1859" s="4" t="s">
        <v>179</v>
      </c>
      <c r="G1859" s="9">
        <v>1400</v>
      </c>
      <c r="H1859" s="9">
        <f t="shared" si="58"/>
        <v>2.3863636363636362</v>
      </c>
      <c r="I1859" t="s">
        <v>179</v>
      </c>
      <c r="J1859" s="33" t="s">
        <v>516</v>
      </c>
      <c r="K1859" s="18">
        <f>VLOOKUP(D1859,Ingredients!C:G,5,0)</f>
        <v>1400</v>
      </c>
      <c r="L1859" s="52">
        <f t="shared" si="57"/>
        <v>2.3863636363636362</v>
      </c>
    </row>
    <row r="1860" spans="1:12">
      <c r="A1860" t="s">
        <v>437</v>
      </c>
      <c r="B1860" t="s">
        <v>349</v>
      </c>
      <c r="C1860" t="s">
        <v>352</v>
      </c>
      <c r="D1860" s="3" t="s">
        <v>931</v>
      </c>
      <c r="E1860" s="14">
        <v>5.0000000000000001E-3</v>
      </c>
      <c r="F1860" s="4" t="s">
        <v>179</v>
      </c>
      <c r="G1860" s="9">
        <v>4000</v>
      </c>
      <c r="H1860" s="9">
        <f t="shared" si="58"/>
        <v>20</v>
      </c>
      <c r="I1860" t="s">
        <v>179</v>
      </c>
      <c r="J1860" s="33" t="s">
        <v>516</v>
      </c>
      <c r="K1860" s="18">
        <f>VLOOKUP(D1860,Ingredients!C:G,5,0)</f>
        <v>2900</v>
      </c>
      <c r="L1860" s="52">
        <f t="shared" ref="L1860:L1923" si="59">K1860*E1860</f>
        <v>14.5</v>
      </c>
    </row>
    <row r="1861" spans="1:12">
      <c r="A1861" t="s">
        <v>437</v>
      </c>
      <c r="B1861" t="s">
        <v>349</v>
      </c>
      <c r="C1861" t="s">
        <v>352</v>
      </c>
      <c r="D1861" s="3" t="s">
        <v>915</v>
      </c>
      <c r="E1861" s="14">
        <v>5.0000000000000001E-3</v>
      </c>
      <c r="F1861" s="4" t="s">
        <v>179</v>
      </c>
      <c r="G1861" s="9">
        <v>5000</v>
      </c>
      <c r="H1861" s="9">
        <f t="shared" si="58"/>
        <v>25</v>
      </c>
      <c r="I1861" t="s">
        <v>179</v>
      </c>
      <c r="J1861" s="33" t="s">
        <v>516</v>
      </c>
      <c r="K1861" s="18">
        <f>VLOOKUP(D1861,Ingredients!C:G,5,0)</f>
        <v>3200</v>
      </c>
      <c r="L1861" s="52">
        <f t="shared" si="59"/>
        <v>16</v>
      </c>
    </row>
    <row r="1862" spans="1:12">
      <c r="A1862" t="s">
        <v>437</v>
      </c>
      <c r="B1862" t="s">
        <v>349</v>
      </c>
      <c r="C1862" t="s">
        <v>352</v>
      </c>
      <c r="D1862" s="3" t="s">
        <v>29</v>
      </c>
      <c r="E1862" s="14">
        <v>2.5000000000000001E-2</v>
      </c>
      <c r="F1862" s="4" t="s">
        <v>179</v>
      </c>
      <c r="G1862" s="9">
        <v>60</v>
      </c>
      <c r="H1862" s="9">
        <f t="shared" si="58"/>
        <v>1.5</v>
      </c>
      <c r="I1862" t="s">
        <v>179</v>
      </c>
      <c r="J1862" s="33" t="s">
        <v>516</v>
      </c>
      <c r="K1862" s="18">
        <f>VLOOKUP(D1862,Ingredients!C:G,5,0)</f>
        <v>100</v>
      </c>
      <c r="L1862" s="52">
        <f t="shared" si="59"/>
        <v>2.5</v>
      </c>
    </row>
    <row r="1863" spans="1:12">
      <c r="A1863" t="s">
        <v>437</v>
      </c>
      <c r="B1863" t="s">
        <v>349</v>
      </c>
      <c r="C1863" t="s">
        <v>352</v>
      </c>
      <c r="D1863" s="3" t="s">
        <v>955</v>
      </c>
      <c r="E1863" s="14">
        <v>1.7045454545454545E-3</v>
      </c>
      <c r="F1863" s="4" t="s">
        <v>179</v>
      </c>
      <c r="G1863" s="9">
        <v>3600</v>
      </c>
      <c r="H1863" s="9">
        <f t="shared" si="58"/>
        <v>6.1363636363636358</v>
      </c>
      <c r="I1863" t="s">
        <v>179</v>
      </c>
      <c r="J1863" s="33" t="s">
        <v>516</v>
      </c>
      <c r="K1863" s="18">
        <f>VLOOKUP(D1863,Ingredients!C:G,5,0)</f>
        <v>3400</v>
      </c>
      <c r="L1863" s="52">
        <f t="shared" si="59"/>
        <v>5.795454545454545</v>
      </c>
    </row>
    <row r="1864" spans="1:12">
      <c r="A1864" t="s">
        <v>437</v>
      </c>
      <c r="B1864" t="s">
        <v>349</v>
      </c>
      <c r="C1864" t="s">
        <v>352</v>
      </c>
      <c r="D1864" s="3" t="s">
        <v>856</v>
      </c>
      <c r="E1864" s="14">
        <v>3.4090909090909089E-3</v>
      </c>
      <c r="F1864" s="4" t="s">
        <v>179</v>
      </c>
      <c r="G1864" s="9">
        <v>850</v>
      </c>
      <c r="H1864" s="9">
        <f t="shared" si="58"/>
        <v>2.8977272727272725</v>
      </c>
      <c r="I1864" t="s">
        <v>179</v>
      </c>
      <c r="J1864" s="33" t="s">
        <v>516</v>
      </c>
      <c r="K1864" s="18">
        <f>VLOOKUP(D1864,Ingredients!C:G,5,0)</f>
        <v>980</v>
      </c>
      <c r="L1864" s="52">
        <f t="shared" si="59"/>
        <v>3.3409090909090908</v>
      </c>
    </row>
    <row r="1865" spans="1:12">
      <c r="A1865" t="s">
        <v>437</v>
      </c>
      <c r="B1865" t="s">
        <v>349</v>
      </c>
      <c r="C1865" t="s">
        <v>352</v>
      </c>
      <c r="D1865" s="3" t="s">
        <v>24</v>
      </c>
      <c r="E1865" s="14">
        <v>0.3</v>
      </c>
      <c r="F1865" s="4" t="s">
        <v>179</v>
      </c>
      <c r="G1865" s="9">
        <v>55</v>
      </c>
      <c r="H1865" s="9">
        <f t="shared" si="58"/>
        <v>16.5</v>
      </c>
      <c r="I1865" t="s">
        <v>179</v>
      </c>
      <c r="J1865" s="33" t="s">
        <v>516</v>
      </c>
      <c r="K1865" s="18">
        <f>VLOOKUP(D1865,Ingredients!C:G,5,0)</f>
        <v>80</v>
      </c>
      <c r="L1865" s="52">
        <f t="shared" si="59"/>
        <v>24</v>
      </c>
    </row>
    <row r="1866" spans="1:12">
      <c r="A1866" t="s">
        <v>437</v>
      </c>
      <c r="B1866" t="s">
        <v>349</v>
      </c>
      <c r="C1866" t="s">
        <v>352</v>
      </c>
      <c r="D1866" s="3" t="s">
        <v>35</v>
      </c>
      <c r="E1866" s="14">
        <v>0.1</v>
      </c>
      <c r="F1866" s="4" t="s">
        <v>307</v>
      </c>
      <c r="G1866" s="9">
        <v>13</v>
      </c>
      <c r="H1866" s="9">
        <f t="shared" si="58"/>
        <v>1.3</v>
      </c>
      <c r="I1866" t="s">
        <v>179</v>
      </c>
      <c r="J1866" s="33" t="s">
        <v>516</v>
      </c>
      <c r="K1866" s="18">
        <f>VLOOKUP(D1866,Ingredients!C:G,5,0)</f>
        <v>15</v>
      </c>
      <c r="L1866" s="52">
        <f t="shared" si="59"/>
        <v>1.5</v>
      </c>
    </row>
    <row r="1867" spans="1:12">
      <c r="A1867" t="s">
        <v>437</v>
      </c>
      <c r="B1867" t="s">
        <v>349</v>
      </c>
      <c r="C1867" t="s">
        <v>352</v>
      </c>
      <c r="D1867" s="3" t="s">
        <v>23</v>
      </c>
      <c r="E1867" s="14">
        <v>4.9999999999999992E-3</v>
      </c>
      <c r="F1867" s="4" t="s">
        <v>179</v>
      </c>
      <c r="G1867" s="9">
        <v>740</v>
      </c>
      <c r="H1867" s="9">
        <f t="shared" si="58"/>
        <v>3.6999999999999993</v>
      </c>
      <c r="I1867" t="s">
        <v>179</v>
      </c>
      <c r="J1867" s="33" t="s">
        <v>516</v>
      </c>
      <c r="K1867" s="18">
        <f>VLOOKUP(D1867,Ingredients!C:G,5,0)</f>
        <v>780</v>
      </c>
      <c r="L1867" s="52">
        <f t="shared" si="59"/>
        <v>3.8999999999999995</v>
      </c>
    </row>
    <row r="1868" spans="1:12">
      <c r="A1868" t="s">
        <v>437</v>
      </c>
      <c r="B1868" t="s">
        <v>349</v>
      </c>
      <c r="C1868" t="s">
        <v>352</v>
      </c>
      <c r="D1868" s="3" t="s">
        <v>16</v>
      </c>
      <c r="E1868" s="14">
        <v>4.9999999999999992E-3</v>
      </c>
      <c r="F1868" s="4" t="s">
        <v>179</v>
      </c>
      <c r="G1868" s="9">
        <v>270</v>
      </c>
      <c r="H1868" s="9">
        <f t="shared" si="58"/>
        <v>1.3499999999999999</v>
      </c>
      <c r="I1868" t="s">
        <v>179</v>
      </c>
      <c r="J1868" s="33" t="s">
        <v>516</v>
      </c>
      <c r="K1868" s="18">
        <f>VLOOKUP(D1868,Ingredients!C:G,5,0)</f>
        <v>310</v>
      </c>
      <c r="L1868" s="52">
        <f t="shared" si="59"/>
        <v>1.5499999999999998</v>
      </c>
    </row>
    <row r="1869" spans="1:12">
      <c r="A1869" t="s">
        <v>437</v>
      </c>
      <c r="B1869" t="s">
        <v>349</v>
      </c>
      <c r="C1869" t="s">
        <v>352</v>
      </c>
      <c r="D1869" s="3" t="s">
        <v>73</v>
      </c>
      <c r="E1869" s="14">
        <v>0.15116279069767441</v>
      </c>
      <c r="F1869" s="4" t="s">
        <v>179</v>
      </c>
      <c r="G1869" s="9">
        <v>305</v>
      </c>
      <c r="H1869" s="9">
        <f t="shared" si="58"/>
        <v>46.104651162790695</v>
      </c>
      <c r="I1869" t="s">
        <v>179</v>
      </c>
      <c r="J1869" s="33" t="s">
        <v>516</v>
      </c>
      <c r="K1869" s="18">
        <f>VLOOKUP(D1869,Ingredients!C:G,5,0)</f>
        <v>300</v>
      </c>
      <c r="L1869" s="52">
        <f t="shared" si="59"/>
        <v>45.348837209302324</v>
      </c>
    </row>
    <row r="1870" spans="1:12">
      <c r="A1870" t="s">
        <v>437</v>
      </c>
      <c r="B1870" t="s">
        <v>349</v>
      </c>
      <c r="C1870" t="s">
        <v>352</v>
      </c>
      <c r="D1870" s="3" t="s">
        <v>853</v>
      </c>
      <c r="E1870" s="14">
        <v>1.627906976744186E-2</v>
      </c>
      <c r="F1870" s="4" t="s">
        <v>179</v>
      </c>
      <c r="G1870" s="9">
        <v>30</v>
      </c>
      <c r="H1870" s="9">
        <f t="shared" si="58"/>
        <v>0.48837209302325579</v>
      </c>
      <c r="I1870" t="s">
        <v>179</v>
      </c>
      <c r="J1870" s="33" t="s">
        <v>516</v>
      </c>
      <c r="K1870" s="18">
        <f>VLOOKUP(D1870,Ingredients!C:G,5,0)</f>
        <v>55</v>
      </c>
      <c r="L1870" s="52">
        <f t="shared" si="59"/>
        <v>0.89534883720930236</v>
      </c>
    </row>
    <row r="1871" spans="1:12">
      <c r="A1871" t="s">
        <v>437</v>
      </c>
      <c r="B1871" t="s">
        <v>349</v>
      </c>
      <c r="C1871" t="s">
        <v>352</v>
      </c>
      <c r="D1871" s="3" t="s">
        <v>928</v>
      </c>
      <c r="E1871" s="14">
        <v>2.7906976744186047E-3</v>
      </c>
      <c r="F1871" s="4" t="s">
        <v>179</v>
      </c>
      <c r="G1871" s="9">
        <v>850</v>
      </c>
      <c r="H1871" s="9">
        <f t="shared" si="58"/>
        <v>2.3720930232558142</v>
      </c>
      <c r="I1871" t="s">
        <v>179</v>
      </c>
      <c r="J1871" s="33" t="s">
        <v>516</v>
      </c>
      <c r="K1871" s="18">
        <f>VLOOKUP(D1871,Ingredients!C:G,5,0)</f>
        <v>900</v>
      </c>
      <c r="L1871" s="52">
        <f t="shared" si="59"/>
        <v>2.5116279069767442</v>
      </c>
    </row>
    <row r="1872" spans="1:12">
      <c r="A1872" t="s">
        <v>438</v>
      </c>
      <c r="B1872" t="s">
        <v>349</v>
      </c>
      <c r="C1872" t="s">
        <v>351</v>
      </c>
      <c r="D1872" s="33" t="s">
        <v>491</v>
      </c>
      <c r="E1872" s="14">
        <v>1</v>
      </c>
      <c r="F1872" s="4" t="s">
        <v>176</v>
      </c>
      <c r="G1872" s="9">
        <v>614</v>
      </c>
      <c r="H1872" s="9">
        <f t="shared" si="58"/>
        <v>614</v>
      </c>
      <c r="I1872" t="s">
        <v>179</v>
      </c>
      <c r="J1872" s="33" t="s">
        <v>491</v>
      </c>
      <c r="K1872" s="18">
        <f>VLOOKUP(D1872,Ingredients!C:G,5,0)</f>
        <v>650</v>
      </c>
      <c r="L1872" s="52">
        <f t="shared" si="59"/>
        <v>650</v>
      </c>
    </row>
    <row r="1873" spans="1:12">
      <c r="A1873" t="s">
        <v>438</v>
      </c>
      <c r="B1873" t="s">
        <v>349</v>
      </c>
      <c r="C1873" t="s">
        <v>351</v>
      </c>
      <c r="D1873" s="3" t="s">
        <v>852</v>
      </c>
      <c r="E1873" s="14">
        <v>0.4</v>
      </c>
      <c r="F1873" s="4" t="s">
        <v>176</v>
      </c>
      <c r="G1873" s="9">
        <v>520.63</v>
      </c>
      <c r="H1873" s="9">
        <f t="shared" si="58"/>
        <v>208.25200000000001</v>
      </c>
      <c r="I1873" t="s">
        <v>179</v>
      </c>
      <c r="J1873" s="33" t="s">
        <v>491</v>
      </c>
      <c r="K1873" s="18">
        <v>550</v>
      </c>
      <c r="L1873" s="52">
        <f t="shared" si="59"/>
        <v>220</v>
      </c>
    </row>
    <row r="1874" spans="1:12">
      <c r="A1874" t="s">
        <v>438</v>
      </c>
      <c r="B1874" t="s">
        <v>349</v>
      </c>
      <c r="C1874" t="s">
        <v>351</v>
      </c>
      <c r="D1874" s="3" t="s">
        <v>864</v>
      </c>
      <c r="E1874" s="14">
        <v>5.0000000000000001E-3</v>
      </c>
      <c r="F1874" s="4" t="s">
        <v>176</v>
      </c>
      <c r="G1874" s="9">
        <v>1400</v>
      </c>
      <c r="H1874" s="9">
        <f t="shared" si="58"/>
        <v>7</v>
      </c>
      <c r="I1874" t="s">
        <v>179</v>
      </c>
      <c r="J1874" s="33" t="s">
        <v>491</v>
      </c>
      <c r="K1874" s="18">
        <f>VLOOKUP(D1874,Ingredients!C:G,5,0)</f>
        <v>1400</v>
      </c>
      <c r="L1874" s="52">
        <f t="shared" si="59"/>
        <v>7</v>
      </c>
    </row>
    <row r="1875" spans="1:12">
      <c r="A1875" t="s">
        <v>438</v>
      </c>
      <c r="B1875" t="s">
        <v>349</v>
      </c>
      <c r="C1875" t="s">
        <v>351</v>
      </c>
      <c r="D1875" s="3" t="s">
        <v>867</v>
      </c>
      <c r="E1875" s="14">
        <v>0.01</v>
      </c>
      <c r="F1875" s="4" t="s">
        <v>176</v>
      </c>
      <c r="G1875" s="9">
        <v>900</v>
      </c>
      <c r="H1875" s="9">
        <f t="shared" si="58"/>
        <v>9</v>
      </c>
      <c r="I1875" t="s">
        <v>179</v>
      </c>
      <c r="J1875" s="33" t="s">
        <v>491</v>
      </c>
      <c r="K1875" s="18">
        <f>VLOOKUP(D1875,Ingredients!C:G,5,0)</f>
        <v>950</v>
      </c>
      <c r="L1875" s="52">
        <f t="shared" si="59"/>
        <v>9.5</v>
      </c>
    </row>
    <row r="1876" spans="1:12">
      <c r="A1876" t="s">
        <v>438</v>
      </c>
      <c r="B1876" t="s">
        <v>349</v>
      </c>
      <c r="C1876" t="s">
        <v>351</v>
      </c>
      <c r="D1876" s="3" t="s">
        <v>853</v>
      </c>
      <c r="E1876" s="14">
        <v>0.05</v>
      </c>
      <c r="F1876" s="4" t="s">
        <v>315</v>
      </c>
      <c r="G1876" s="9">
        <v>30</v>
      </c>
      <c r="H1876" s="9">
        <f t="shared" si="58"/>
        <v>1.5</v>
      </c>
      <c r="I1876" t="s">
        <v>179</v>
      </c>
      <c r="J1876" s="33" t="s">
        <v>491</v>
      </c>
      <c r="K1876" s="18">
        <f>VLOOKUP(D1876,Ingredients!C:G,5,0)</f>
        <v>55</v>
      </c>
      <c r="L1876" s="52">
        <f t="shared" si="59"/>
        <v>2.75</v>
      </c>
    </row>
    <row r="1877" spans="1:12">
      <c r="A1877" t="s">
        <v>438</v>
      </c>
      <c r="B1877" t="s">
        <v>349</v>
      </c>
      <c r="C1877" t="s">
        <v>351</v>
      </c>
      <c r="D1877" s="3" t="s">
        <v>874</v>
      </c>
      <c r="E1877" s="14">
        <v>0.05</v>
      </c>
      <c r="F1877" s="4" t="s">
        <v>415</v>
      </c>
      <c r="G1877" s="9">
        <v>110</v>
      </c>
      <c r="H1877" s="9">
        <f t="shared" si="58"/>
        <v>5.5</v>
      </c>
      <c r="I1877" t="s">
        <v>179</v>
      </c>
      <c r="J1877" s="33" t="s">
        <v>491</v>
      </c>
      <c r="K1877" s="18">
        <f>VLOOKUP(D1877,Ingredients!C:G,5,0)</f>
        <v>179</v>
      </c>
      <c r="L1877" s="52">
        <f t="shared" si="59"/>
        <v>8.9500000000000011</v>
      </c>
    </row>
    <row r="1878" spans="1:12">
      <c r="A1878" t="s">
        <v>438</v>
      </c>
      <c r="B1878" t="s">
        <v>349</v>
      </c>
      <c r="C1878" t="s">
        <v>351</v>
      </c>
      <c r="D1878" s="3" t="s">
        <v>23</v>
      </c>
      <c r="E1878" s="14">
        <v>2.5000000000000001E-2</v>
      </c>
      <c r="F1878" s="4" t="s">
        <v>176</v>
      </c>
      <c r="G1878" s="9">
        <v>740</v>
      </c>
      <c r="H1878" s="9">
        <f t="shared" si="58"/>
        <v>18.5</v>
      </c>
      <c r="I1878" t="s">
        <v>179</v>
      </c>
      <c r="J1878" s="33" t="s">
        <v>491</v>
      </c>
      <c r="K1878" s="18">
        <f>VLOOKUP(D1878,Ingredients!C:G,5,0)</f>
        <v>780</v>
      </c>
      <c r="L1878" s="52">
        <f t="shared" si="59"/>
        <v>19.5</v>
      </c>
    </row>
    <row r="1879" spans="1:12">
      <c r="A1879" t="s">
        <v>438</v>
      </c>
      <c r="B1879" t="s">
        <v>349</v>
      </c>
      <c r="C1879" t="s">
        <v>351</v>
      </c>
      <c r="D1879" s="3" t="s">
        <v>876</v>
      </c>
      <c r="E1879" s="14">
        <v>0.03</v>
      </c>
      <c r="F1879" s="4" t="s">
        <v>176</v>
      </c>
      <c r="G1879" s="9">
        <v>270</v>
      </c>
      <c r="H1879" s="9">
        <f t="shared" si="58"/>
        <v>8.1</v>
      </c>
      <c r="I1879" t="s">
        <v>179</v>
      </c>
      <c r="J1879" s="33" t="s">
        <v>491</v>
      </c>
      <c r="K1879" s="18">
        <f>VLOOKUP(D1879,Ingredients!C:G,5,0)</f>
        <v>290</v>
      </c>
      <c r="L1879" s="52">
        <f t="shared" si="59"/>
        <v>8.6999999999999993</v>
      </c>
    </row>
    <row r="1880" spans="1:12">
      <c r="A1880" t="s">
        <v>438</v>
      </c>
      <c r="B1880" t="s">
        <v>349</v>
      </c>
      <c r="C1880" t="s">
        <v>351</v>
      </c>
      <c r="D1880" s="3" t="s">
        <v>866</v>
      </c>
      <c r="E1880" s="14">
        <v>0.2</v>
      </c>
      <c r="F1880" s="4" t="s">
        <v>176</v>
      </c>
      <c r="G1880" s="9">
        <v>153.97999999999999</v>
      </c>
      <c r="H1880" s="9">
        <f t="shared" si="58"/>
        <v>30.795999999999999</v>
      </c>
      <c r="I1880" t="s">
        <v>179</v>
      </c>
      <c r="J1880" s="33" t="s">
        <v>491</v>
      </c>
      <c r="K1880" s="18">
        <f>VLOOKUP(D1880,Ingredients!C:G,5,0)</f>
        <v>142.13999999999999</v>
      </c>
      <c r="L1880" s="52">
        <f t="shared" si="59"/>
        <v>28.427999999999997</v>
      </c>
    </row>
    <row r="1881" spans="1:12">
      <c r="A1881" t="s">
        <v>438</v>
      </c>
      <c r="B1881" t="s">
        <v>349</v>
      </c>
      <c r="C1881" t="s">
        <v>351</v>
      </c>
      <c r="D1881" s="3" t="s">
        <v>835</v>
      </c>
      <c r="E1881" s="14">
        <v>0.2</v>
      </c>
      <c r="F1881" s="4" t="s">
        <v>176</v>
      </c>
      <c r="G1881" s="9">
        <v>389.34</v>
      </c>
      <c r="H1881" s="9">
        <f t="shared" si="58"/>
        <v>77.867999999999995</v>
      </c>
      <c r="I1881" t="s">
        <v>179</v>
      </c>
      <c r="J1881" s="33" t="s">
        <v>491</v>
      </c>
      <c r="K1881" s="18">
        <f>VLOOKUP(D1881,Ingredients!C:G,5,0)</f>
        <v>394.63</v>
      </c>
      <c r="L1881" s="52">
        <f t="shared" si="59"/>
        <v>78.926000000000002</v>
      </c>
    </row>
    <row r="1882" spans="1:12">
      <c r="A1882" t="s">
        <v>439</v>
      </c>
      <c r="B1882" t="s">
        <v>349</v>
      </c>
      <c r="C1882" t="s">
        <v>456</v>
      </c>
      <c r="D1882" s="3" t="s">
        <v>867</v>
      </c>
      <c r="E1882" s="14">
        <v>0.01</v>
      </c>
      <c r="F1882" s="4" t="s">
        <v>176</v>
      </c>
      <c r="G1882" s="9">
        <v>900</v>
      </c>
      <c r="H1882" s="9">
        <f t="shared" si="58"/>
        <v>9</v>
      </c>
      <c r="I1882" t="s">
        <v>179</v>
      </c>
      <c r="J1882" s="33" t="s">
        <v>514</v>
      </c>
      <c r="K1882" s="18">
        <f>VLOOKUP(D1882,Ingredients!C:G,5,0)</f>
        <v>950</v>
      </c>
      <c r="L1882" s="52">
        <f t="shared" si="59"/>
        <v>9.5</v>
      </c>
    </row>
    <row r="1883" spans="1:12">
      <c r="A1883" t="s">
        <v>439</v>
      </c>
      <c r="B1883" t="s">
        <v>349</v>
      </c>
      <c r="C1883" t="s">
        <v>456</v>
      </c>
      <c r="D1883" s="3" t="s">
        <v>837</v>
      </c>
      <c r="E1883" s="14">
        <v>1</v>
      </c>
      <c r="F1883" s="4" t="s">
        <v>176</v>
      </c>
      <c r="G1883" s="9">
        <v>1700</v>
      </c>
      <c r="H1883" s="9">
        <f t="shared" si="58"/>
        <v>1700</v>
      </c>
      <c r="I1883" t="s">
        <v>179</v>
      </c>
      <c r="J1883" s="33" t="s">
        <v>514</v>
      </c>
      <c r="K1883" s="18">
        <f>VLOOKUP(D1883,Ingredients!C:G,5,0)</f>
        <v>1800</v>
      </c>
      <c r="L1883" s="52">
        <f t="shared" si="59"/>
        <v>1800</v>
      </c>
    </row>
    <row r="1884" spans="1:12">
      <c r="A1884" t="s">
        <v>439</v>
      </c>
      <c r="B1884" t="s">
        <v>349</v>
      </c>
      <c r="C1884" t="s">
        <v>456</v>
      </c>
      <c r="D1884" s="3" t="s">
        <v>932</v>
      </c>
      <c r="E1884" s="14">
        <v>3.0000000000000001E-3</v>
      </c>
      <c r="F1884" s="4" t="s">
        <v>179</v>
      </c>
      <c r="G1884" s="9">
        <v>2848.84</v>
      </c>
      <c r="H1884" s="9">
        <f t="shared" si="58"/>
        <v>8.546520000000001</v>
      </c>
      <c r="I1884" t="s">
        <v>179</v>
      </c>
      <c r="J1884" s="33" t="s">
        <v>514</v>
      </c>
      <c r="K1884" s="18">
        <f>VLOOKUP(D1884,Ingredients!C:G,5,0)</f>
        <v>2643.68</v>
      </c>
      <c r="L1884" s="52">
        <f t="shared" si="59"/>
        <v>7.9310399999999994</v>
      </c>
    </row>
    <row r="1885" spans="1:12">
      <c r="A1885" t="s">
        <v>439</v>
      </c>
      <c r="B1885" t="s">
        <v>349</v>
      </c>
      <c r="C1885" t="s">
        <v>456</v>
      </c>
      <c r="D1885" s="3" t="s">
        <v>55</v>
      </c>
      <c r="E1885" s="14">
        <v>1.5E-3</v>
      </c>
      <c r="F1885" s="4" t="s">
        <v>179</v>
      </c>
      <c r="G1885" s="9">
        <v>350</v>
      </c>
      <c r="H1885" s="9">
        <f t="shared" si="58"/>
        <v>0.52500000000000002</v>
      </c>
      <c r="I1885" t="s">
        <v>179</v>
      </c>
      <c r="J1885" s="33" t="s">
        <v>514</v>
      </c>
      <c r="K1885" s="18">
        <f>VLOOKUP(D1885,Ingredients!C:G,5,0)</f>
        <v>457.875</v>
      </c>
      <c r="L1885" s="52">
        <f t="shared" si="59"/>
        <v>0.68681250000000005</v>
      </c>
    </row>
    <row r="1886" spans="1:12">
      <c r="A1886" t="s">
        <v>439</v>
      </c>
      <c r="B1886" t="s">
        <v>349</v>
      </c>
      <c r="C1886" t="s">
        <v>456</v>
      </c>
      <c r="D1886" s="3" t="s">
        <v>853</v>
      </c>
      <c r="E1886" s="14">
        <v>0.03</v>
      </c>
      <c r="F1886" s="4" t="s">
        <v>314</v>
      </c>
      <c r="G1886" s="9">
        <v>30</v>
      </c>
      <c r="H1886" s="9">
        <f t="shared" si="58"/>
        <v>0.89999999999999991</v>
      </c>
      <c r="I1886" t="s">
        <v>179</v>
      </c>
      <c r="J1886" s="33" t="s">
        <v>514</v>
      </c>
      <c r="K1886" s="18">
        <f>VLOOKUP(D1886,Ingredients!C:G,5,0)</f>
        <v>55</v>
      </c>
      <c r="L1886" s="52">
        <f t="shared" si="59"/>
        <v>1.65</v>
      </c>
    </row>
    <row r="1887" spans="1:12">
      <c r="A1887" t="s">
        <v>439</v>
      </c>
      <c r="B1887" t="s">
        <v>349</v>
      </c>
      <c r="C1887" t="s">
        <v>456</v>
      </c>
      <c r="D1887" s="3" t="s">
        <v>874</v>
      </c>
      <c r="E1887" s="14">
        <v>0.01</v>
      </c>
      <c r="F1887" s="4" t="s">
        <v>415</v>
      </c>
      <c r="G1887" s="9">
        <v>110</v>
      </c>
      <c r="H1887" s="9">
        <f t="shared" si="58"/>
        <v>1.1000000000000001</v>
      </c>
      <c r="I1887" t="s">
        <v>179</v>
      </c>
      <c r="J1887" s="33" t="s">
        <v>514</v>
      </c>
      <c r="K1887" s="18">
        <f>VLOOKUP(D1887,Ingredients!C:G,5,0)</f>
        <v>179</v>
      </c>
      <c r="L1887" s="52">
        <f t="shared" si="59"/>
        <v>1.79</v>
      </c>
    </row>
    <row r="1888" spans="1:12">
      <c r="A1888" t="s">
        <v>439</v>
      </c>
      <c r="B1888" t="s">
        <v>349</v>
      </c>
      <c r="C1888" t="s">
        <v>456</v>
      </c>
      <c r="D1888" s="3" t="s">
        <v>874</v>
      </c>
      <c r="E1888" s="14">
        <v>0.01</v>
      </c>
      <c r="F1888" s="4" t="s">
        <v>415</v>
      </c>
      <c r="G1888" s="9">
        <v>110</v>
      </c>
      <c r="H1888" s="9">
        <f t="shared" si="58"/>
        <v>1.1000000000000001</v>
      </c>
      <c r="I1888" t="s">
        <v>179</v>
      </c>
      <c r="J1888" s="33" t="s">
        <v>514</v>
      </c>
      <c r="K1888" s="18">
        <f>VLOOKUP(D1888,Ingredients!C:G,5,0)</f>
        <v>179</v>
      </c>
      <c r="L1888" s="52">
        <f t="shared" si="59"/>
        <v>1.79</v>
      </c>
    </row>
    <row r="1889" spans="1:12">
      <c r="A1889" t="s">
        <v>439</v>
      </c>
      <c r="B1889" t="s">
        <v>349</v>
      </c>
      <c r="C1889" t="s">
        <v>456</v>
      </c>
      <c r="D1889" s="3" t="s">
        <v>873</v>
      </c>
      <c r="E1889" s="14">
        <v>1.5E-3</v>
      </c>
      <c r="F1889" s="4" t="s">
        <v>179</v>
      </c>
      <c r="G1889" s="9">
        <v>550</v>
      </c>
      <c r="H1889" s="9">
        <f t="shared" si="58"/>
        <v>0.82500000000000007</v>
      </c>
      <c r="I1889" t="s">
        <v>179</v>
      </c>
      <c r="J1889" s="33" t="s">
        <v>514</v>
      </c>
      <c r="K1889" s="18">
        <f>VLOOKUP(D1889,Ingredients!C:G,5,0)</f>
        <v>450</v>
      </c>
      <c r="L1889" s="52">
        <f t="shared" si="59"/>
        <v>0.67500000000000004</v>
      </c>
    </row>
    <row r="1890" spans="1:12">
      <c r="A1890" t="s">
        <v>439</v>
      </c>
      <c r="B1890" t="s">
        <v>349</v>
      </c>
      <c r="C1890" t="s">
        <v>456</v>
      </c>
      <c r="D1890" s="3" t="s">
        <v>470</v>
      </c>
      <c r="E1890" s="14">
        <v>1.5E-3</v>
      </c>
      <c r="F1890" s="4" t="s">
        <v>179</v>
      </c>
      <c r="G1890" s="9">
        <v>600</v>
      </c>
      <c r="H1890" s="9">
        <f t="shared" si="58"/>
        <v>0.9</v>
      </c>
      <c r="I1890" t="s">
        <v>179</v>
      </c>
      <c r="J1890" s="33" t="s">
        <v>514</v>
      </c>
      <c r="K1890" s="18">
        <f>VLOOKUP(D1890,Ingredients!C:G,5,0)</f>
        <v>650</v>
      </c>
      <c r="L1890" s="52">
        <f t="shared" si="59"/>
        <v>0.97499999999999998</v>
      </c>
    </row>
    <row r="1891" spans="1:12">
      <c r="A1891" t="s">
        <v>439</v>
      </c>
      <c r="B1891" t="s">
        <v>349</v>
      </c>
      <c r="C1891" t="s">
        <v>456</v>
      </c>
      <c r="D1891" s="3" t="s">
        <v>895</v>
      </c>
      <c r="E1891" s="14">
        <v>3.0000000000000001E-3</v>
      </c>
      <c r="F1891" s="4" t="s">
        <v>179</v>
      </c>
      <c r="G1891" s="9">
        <v>400</v>
      </c>
      <c r="H1891" s="9">
        <f t="shared" si="58"/>
        <v>1.2</v>
      </c>
      <c r="I1891" t="s">
        <v>179</v>
      </c>
      <c r="J1891" s="33" t="s">
        <v>514</v>
      </c>
      <c r="K1891" s="18">
        <f>VLOOKUP(D1891,Ingredients!C:G,5,0)</f>
        <v>400</v>
      </c>
      <c r="L1891" s="52">
        <f t="shared" si="59"/>
        <v>1.2</v>
      </c>
    </row>
    <row r="1892" spans="1:12">
      <c r="A1892" t="s">
        <v>439</v>
      </c>
      <c r="B1892" t="s">
        <v>349</v>
      </c>
      <c r="C1892" t="s">
        <v>456</v>
      </c>
      <c r="D1892" s="3" t="s">
        <v>73</v>
      </c>
      <c r="E1892" s="14">
        <v>1.4999999999999999E-2</v>
      </c>
      <c r="F1892" s="4" t="s">
        <v>176</v>
      </c>
      <c r="G1892" s="9">
        <v>305</v>
      </c>
      <c r="H1892" s="9">
        <f t="shared" si="58"/>
        <v>4.5750000000000002</v>
      </c>
      <c r="I1892" t="s">
        <v>179</v>
      </c>
      <c r="J1892" s="33" t="s">
        <v>514</v>
      </c>
      <c r="K1892" s="18">
        <f>VLOOKUP(D1892,Ingredients!C:G,5,0)</f>
        <v>300</v>
      </c>
      <c r="L1892" s="52">
        <f t="shared" si="59"/>
        <v>4.5</v>
      </c>
    </row>
    <row r="1893" spans="1:12">
      <c r="A1893" t="s">
        <v>439</v>
      </c>
      <c r="B1893" t="s">
        <v>349</v>
      </c>
      <c r="C1893" t="s">
        <v>456</v>
      </c>
      <c r="D1893" s="3" t="s">
        <v>805</v>
      </c>
      <c r="E1893" s="14">
        <v>0.03</v>
      </c>
      <c r="F1893" s="4" t="s">
        <v>176</v>
      </c>
      <c r="G1893" s="9">
        <v>200</v>
      </c>
      <c r="H1893" s="9">
        <f t="shared" si="58"/>
        <v>6</v>
      </c>
      <c r="I1893" t="s">
        <v>179</v>
      </c>
      <c r="J1893" s="33" t="s">
        <v>514</v>
      </c>
      <c r="K1893" s="18">
        <f>VLOOKUP(D1893,Ingredients!C:G,5,0)</f>
        <v>50</v>
      </c>
      <c r="L1893" s="52">
        <f t="shared" si="59"/>
        <v>1.5</v>
      </c>
    </row>
    <row r="1894" spans="1:12">
      <c r="A1894" t="s">
        <v>439</v>
      </c>
      <c r="B1894" t="s">
        <v>349</v>
      </c>
      <c r="C1894" t="s">
        <v>456</v>
      </c>
      <c r="D1894" s="3" t="s">
        <v>852</v>
      </c>
      <c r="E1894" s="14">
        <v>0.02</v>
      </c>
      <c r="F1894" s="4" t="s">
        <v>176</v>
      </c>
      <c r="G1894" s="9">
        <v>520.63</v>
      </c>
      <c r="H1894" s="9">
        <f t="shared" si="58"/>
        <v>10.412599999999999</v>
      </c>
      <c r="I1894" t="s">
        <v>179</v>
      </c>
      <c r="J1894" s="33" t="s">
        <v>514</v>
      </c>
      <c r="K1894" s="18">
        <v>550</v>
      </c>
      <c r="L1894" s="52">
        <f t="shared" si="59"/>
        <v>11</v>
      </c>
    </row>
    <row r="1895" spans="1:12">
      <c r="A1895" t="s">
        <v>439</v>
      </c>
      <c r="B1895" t="s">
        <v>349</v>
      </c>
      <c r="C1895" t="s">
        <v>456</v>
      </c>
      <c r="D1895" s="3" t="s">
        <v>23</v>
      </c>
      <c r="E1895" s="14">
        <v>1.4999999999999999E-2</v>
      </c>
      <c r="F1895" s="4" t="s">
        <v>176</v>
      </c>
      <c r="G1895" s="9">
        <v>740</v>
      </c>
      <c r="H1895" s="9">
        <f t="shared" si="58"/>
        <v>11.1</v>
      </c>
      <c r="I1895" t="s">
        <v>179</v>
      </c>
      <c r="J1895" s="33" t="s">
        <v>514</v>
      </c>
      <c r="K1895" s="18">
        <f>VLOOKUP(D1895,Ingredients!C:G,5,0)</f>
        <v>780</v>
      </c>
      <c r="L1895" s="52">
        <f t="shared" si="59"/>
        <v>11.7</v>
      </c>
    </row>
    <row r="1896" spans="1:12">
      <c r="A1896" t="s">
        <v>439</v>
      </c>
      <c r="B1896" t="s">
        <v>349</v>
      </c>
      <c r="C1896" t="s">
        <v>456</v>
      </c>
      <c r="D1896" s="3" t="s">
        <v>16</v>
      </c>
      <c r="E1896" s="14">
        <v>0.01</v>
      </c>
      <c r="F1896" s="4" t="s">
        <v>176</v>
      </c>
      <c r="G1896" s="9">
        <v>270</v>
      </c>
      <c r="H1896" s="9">
        <f t="shared" si="58"/>
        <v>2.7</v>
      </c>
      <c r="I1896" t="s">
        <v>179</v>
      </c>
      <c r="J1896" s="33" t="s">
        <v>514</v>
      </c>
      <c r="K1896" s="18">
        <f>VLOOKUP(D1896,Ingredients!C:G,5,0)</f>
        <v>310</v>
      </c>
      <c r="L1896" s="52">
        <f t="shared" si="59"/>
        <v>3.1</v>
      </c>
    </row>
    <row r="1897" spans="1:12">
      <c r="A1897" t="s">
        <v>439</v>
      </c>
      <c r="B1897" t="s">
        <v>349</v>
      </c>
      <c r="C1897" t="s">
        <v>456</v>
      </c>
      <c r="D1897" s="3" t="s">
        <v>933</v>
      </c>
      <c r="E1897" s="14">
        <v>0.4</v>
      </c>
      <c r="F1897" s="4" t="s">
        <v>176</v>
      </c>
      <c r="G1897" s="9">
        <v>250</v>
      </c>
      <c r="H1897" s="9">
        <f t="shared" si="58"/>
        <v>100</v>
      </c>
      <c r="I1897" t="s">
        <v>179</v>
      </c>
      <c r="J1897" s="33" t="s">
        <v>514</v>
      </c>
      <c r="K1897" s="18">
        <f>VLOOKUP(D1897,Ingredients!C:G,5,0)</f>
        <v>265</v>
      </c>
      <c r="L1897" s="52">
        <f t="shared" si="59"/>
        <v>106</v>
      </c>
    </row>
    <row r="1898" spans="1:12">
      <c r="A1898" t="s">
        <v>440</v>
      </c>
      <c r="B1898" t="s">
        <v>349</v>
      </c>
      <c r="C1898" t="s">
        <v>350</v>
      </c>
      <c r="D1898" s="3" t="s">
        <v>867</v>
      </c>
      <c r="E1898" s="14">
        <v>0.01</v>
      </c>
      <c r="F1898" s="4" t="s">
        <v>176</v>
      </c>
      <c r="G1898" s="9">
        <v>900</v>
      </c>
      <c r="H1898" s="9">
        <f t="shared" si="58"/>
        <v>9</v>
      </c>
      <c r="I1898" t="s">
        <v>179</v>
      </c>
      <c r="J1898" s="33" t="s">
        <v>490</v>
      </c>
      <c r="K1898" s="18">
        <f>VLOOKUP(D1898,Ingredients!C:G,5,0)</f>
        <v>950</v>
      </c>
      <c r="L1898" s="52">
        <f t="shared" si="59"/>
        <v>9.5</v>
      </c>
    </row>
    <row r="1899" spans="1:12">
      <c r="A1899" t="s">
        <v>440</v>
      </c>
      <c r="B1899" t="s">
        <v>349</v>
      </c>
      <c r="C1899" t="s">
        <v>350</v>
      </c>
      <c r="D1899" s="3" t="s">
        <v>833</v>
      </c>
      <c r="E1899" s="14">
        <v>1</v>
      </c>
      <c r="F1899" s="4" t="s">
        <v>176</v>
      </c>
      <c r="G1899" s="9">
        <v>1020</v>
      </c>
      <c r="H1899" s="9">
        <f t="shared" si="58"/>
        <v>1020</v>
      </c>
      <c r="I1899" t="s">
        <v>179</v>
      </c>
      <c r="J1899" s="33" t="s">
        <v>490</v>
      </c>
      <c r="K1899" s="18">
        <f>VLOOKUP(D1899,Ingredients!C:G,5,0)</f>
        <v>1000</v>
      </c>
      <c r="L1899" s="52">
        <f t="shared" si="59"/>
        <v>1000</v>
      </c>
    </row>
    <row r="1900" spans="1:12">
      <c r="A1900" t="s">
        <v>440</v>
      </c>
      <c r="B1900" t="s">
        <v>349</v>
      </c>
      <c r="C1900" t="s">
        <v>350</v>
      </c>
      <c r="D1900" s="3" t="s">
        <v>932</v>
      </c>
      <c r="E1900" s="14">
        <v>3.0000000000000001E-3</v>
      </c>
      <c r="F1900" s="4" t="s">
        <v>179</v>
      </c>
      <c r="G1900" s="9">
        <v>2848.84</v>
      </c>
      <c r="H1900" s="9">
        <f t="shared" si="58"/>
        <v>8.546520000000001</v>
      </c>
      <c r="I1900" t="s">
        <v>179</v>
      </c>
      <c r="J1900" s="33" t="s">
        <v>490</v>
      </c>
      <c r="K1900" s="18">
        <f>VLOOKUP(D1900,Ingredients!C:G,5,0)</f>
        <v>2643.68</v>
      </c>
      <c r="L1900" s="52">
        <f t="shared" si="59"/>
        <v>7.9310399999999994</v>
      </c>
    </row>
    <row r="1901" spans="1:12">
      <c r="A1901" t="s">
        <v>440</v>
      </c>
      <c r="B1901" t="s">
        <v>349</v>
      </c>
      <c r="C1901" t="s">
        <v>350</v>
      </c>
      <c r="D1901" s="3" t="s">
        <v>55</v>
      </c>
      <c r="E1901" s="14">
        <v>1.5E-3</v>
      </c>
      <c r="F1901" s="4" t="s">
        <v>179</v>
      </c>
      <c r="G1901" s="9">
        <v>350</v>
      </c>
      <c r="H1901" s="9">
        <f t="shared" si="58"/>
        <v>0.52500000000000002</v>
      </c>
      <c r="I1901" t="s">
        <v>179</v>
      </c>
      <c r="J1901" s="33" t="s">
        <v>490</v>
      </c>
      <c r="K1901" s="18">
        <f>VLOOKUP(D1901,Ingredients!C:G,5,0)</f>
        <v>457.875</v>
      </c>
      <c r="L1901" s="52">
        <f t="shared" si="59"/>
        <v>0.68681250000000005</v>
      </c>
    </row>
    <row r="1902" spans="1:12">
      <c r="A1902" t="s">
        <v>440</v>
      </c>
      <c r="B1902" t="s">
        <v>349</v>
      </c>
      <c r="C1902" t="s">
        <v>350</v>
      </c>
      <c r="D1902" s="3" t="s">
        <v>853</v>
      </c>
      <c r="E1902" s="14">
        <v>0.02</v>
      </c>
      <c r="F1902" s="4" t="s">
        <v>314</v>
      </c>
      <c r="G1902" s="9">
        <v>30</v>
      </c>
      <c r="H1902" s="9">
        <f t="shared" si="58"/>
        <v>0.6</v>
      </c>
      <c r="I1902" t="s">
        <v>179</v>
      </c>
      <c r="J1902" s="33" t="s">
        <v>490</v>
      </c>
      <c r="K1902" s="18">
        <f>VLOOKUP(D1902,Ingredients!C:G,5,0)</f>
        <v>55</v>
      </c>
      <c r="L1902" s="52">
        <f t="shared" si="59"/>
        <v>1.1000000000000001</v>
      </c>
    </row>
    <row r="1903" spans="1:12">
      <c r="A1903" t="s">
        <v>440</v>
      </c>
      <c r="B1903" t="s">
        <v>349</v>
      </c>
      <c r="C1903" t="s">
        <v>350</v>
      </c>
      <c r="D1903" s="3" t="s">
        <v>874</v>
      </c>
      <c r="E1903" s="14">
        <v>0.01</v>
      </c>
      <c r="F1903" s="4" t="s">
        <v>415</v>
      </c>
      <c r="G1903" s="9">
        <v>110</v>
      </c>
      <c r="H1903" s="9">
        <f t="shared" si="58"/>
        <v>1.1000000000000001</v>
      </c>
      <c r="I1903" t="s">
        <v>179</v>
      </c>
      <c r="J1903" s="33" t="s">
        <v>490</v>
      </c>
      <c r="K1903" s="18">
        <f>VLOOKUP(D1903,Ingredients!C:G,5,0)</f>
        <v>179</v>
      </c>
      <c r="L1903" s="52">
        <f t="shared" si="59"/>
        <v>1.79</v>
      </c>
    </row>
    <row r="1904" spans="1:12">
      <c r="A1904" t="s">
        <v>440</v>
      </c>
      <c r="B1904" t="s">
        <v>349</v>
      </c>
      <c r="C1904" t="s">
        <v>350</v>
      </c>
      <c r="D1904" s="3" t="s">
        <v>470</v>
      </c>
      <c r="E1904" s="14">
        <v>1.5E-3</v>
      </c>
      <c r="F1904" s="4" t="s">
        <v>179</v>
      </c>
      <c r="G1904" s="9">
        <v>600</v>
      </c>
      <c r="H1904" s="9">
        <f t="shared" si="58"/>
        <v>0.9</v>
      </c>
      <c r="I1904" t="s">
        <v>179</v>
      </c>
      <c r="J1904" s="33" t="s">
        <v>490</v>
      </c>
      <c r="K1904" s="18">
        <f>VLOOKUP(D1904,Ingredients!C:G,5,0)</f>
        <v>650</v>
      </c>
      <c r="L1904" s="52">
        <f t="shared" si="59"/>
        <v>0.97499999999999998</v>
      </c>
    </row>
    <row r="1905" spans="1:12">
      <c r="A1905" t="s">
        <v>440</v>
      </c>
      <c r="B1905" t="s">
        <v>349</v>
      </c>
      <c r="C1905" t="s">
        <v>350</v>
      </c>
      <c r="D1905" s="3" t="s">
        <v>859</v>
      </c>
      <c r="E1905" s="14">
        <v>2.5000000000000001E-3</v>
      </c>
      <c r="F1905" s="4" t="s">
        <v>179</v>
      </c>
      <c r="G1905" s="9">
        <v>650</v>
      </c>
      <c r="H1905" s="9">
        <f t="shared" si="58"/>
        <v>1.625</v>
      </c>
      <c r="I1905" t="s">
        <v>179</v>
      </c>
      <c r="J1905" s="33" t="s">
        <v>490</v>
      </c>
      <c r="K1905" s="18">
        <f>VLOOKUP(D1905,Ingredients!C:G,5,0)</f>
        <v>700</v>
      </c>
      <c r="L1905" s="52">
        <f t="shared" si="59"/>
        <v>1.75</v>
      </c>
    </row>
    <row r="1906" spans="1:12">
      <c r="A1906" t="s">
        <v>440</v>
      </c>
      <c r="B1906" t="s">
        <v>349</v>
      </c>
      <c r="C1906" t="s">
        <v>350</v>
      </c>
      <c r="D1906" s="3" t="s">
        <v>895</v>
      </c>
      <c r="E1906" s="14">
        <v>5.0000000000000001E-3</v>
      </c>
      <c r="F1906" s="4" t="s">
        <v>176</v>
      </c>
      <c r="G1906" s="9">
        <v>400</v>
      </c>
      <c r="H1906" s="9">
        <f t="shared" si="58"/>
        <v>2</v>
      </c>
      <c r="I1906" t="s">
        <v>179</v>
      </c>
      <c r="J1906" s="33" t="s">
        <v>490</v>
      </c>
      <c r="K1906" s="18">
        <f>VLOOKUP(D1906,Ingredients!C:G,5,0)</f>
        <v>400</v>
      </c>
      <c r="L1906" s="52">
        <f t="shared" si="59"/>
        <v>2</v>
      </c>
    </row>
    <row r="1907" spans="1:12">
      <c r="A1907" t="s">
        <v>440</v>
      </c>
      <c r="B1907" t="s">
        <v>349</v>
      </c>
      <c r="C1907" t="s">
        <v>350</v>
      </c>
      <c r="D1907" s="3" t="s">
        <v>73</v>
      </c>
      <c r="E1907" s="14">
        <v>0.03</v>
      </c>
      <c r="F1907" s="4" t="s">
        <v>176</v>
      </c>
      <c r="G1907" s="9">
        <v>305</v>
      </c>
      <c r="H1907" s="9">
        <f t="shared" si="58"/>
        <v>9.15</v>
      </c>
      <c r="I1907" t="s">
        <v>179</v>
      </c>
      <c r="J1907" s="33" t="s">
        <v>490</v>
      </c>
      <c r="K1907" s="18">
        <f>VLOOKUP(D1907,Ingredients!C:G,5,0)</f>
        <v>300</v>
      </c>
      <c r="L1907" s="52">
        <f t="shared" si="59"/>
        <v>9</v>
      </c>
    </row>
    <row r="1908" spans="1:12">
      <c r="A1908" t="s">
        <v>440</v>
      </c>
      <c r="B1908" t="s">
        <v>349</v>
      </c>
      <c r="C1908" t="s">
        <v>350</v>
      </c>
      <c r="D1908" s="3" t="s">
        <v>805</v>
      </c>
      <c r="E1908" s="14">
        <v>0.3</v>
      </c>
      <c r="F1908" s="4" t="s">
        <v>176</v>
      </c>
      <c r="G1908" s="9">
        <v>200</v>
      </c>
      <c r="H1908" s="9">
        <f t="shared" si="58"/>
        <v>60</v>
      </c>
      <c r="I1908" t="s">
        <v>179</v>
      </c>
      <c r="J1908" s="33" t="s">
        <v>490</v>
      </c>
      <c r="K1908" s="18">
        <f>VLOOKUP(D1908,Ingredients!C:G,5,0)</f>
        <v>50</v>
      </c>
      <c r="L1908" s="52">
        <f t="shared" si="59"/>
        <v>15</v>
      </c>
    </row>
    <row r="1909" spans="1:12">
      <c r="A1909" t="s">
        <v>440</v>
      </c>
      <c r="B1909" t="s">
        <v>349</v>
      </c>
      <c r="C1909" t="s">
        <v>350</v>
      </c>
      <c r="D1909" s="3" t="s">
        <v>852</v>
      </c>
      <c r="E1909" s="14">
        <v>0.05</v>
      </c>
      <c r="F1909" s="4" t="s">
        <v>176</v>
      </c>
      <c r="G1909" s="9">
        <v>520.63</v>
      </c>
      <c r="H1909" s="9">
        <f t="shared" si="58"/>
        <v>26.031500000000001</v>
      </c>
      <c r="I1909" t="s">
        <v>179</v>
      </c>
      <c r="J1909" s="33" t="s">
        <v>490</v>
      </c>
      <c r="K1909" s="18">
        <v>550</v>
      </c>
      <c r="L1909" s="52">
        <f t="shared" si="59"/>
        <v>27.5</v>
      </c>
    </row>
    <row r="1910" spans="1:12">
      <c r="A1910" t="s">
        <v>440</v>
      </c>
      <c r="B1910" t="s">
        <v>349</v>
      </c>
      <c r="C1910" t="s">
        <v>350</v>
      </c>
      <c r="D1910" s="3" t="s">
        <v>23</v>
      </c>
      <c r="E1910" s="14">
        <v>0.03</v>
      </c>
      <c r="F1910" s="4" t="s">
        <v>176</v>
      </c>
      <c r="G1910" s="9">
        <v>740</v>
      </c>
      <c r="H1910" s="9">
        <f t="shared" si="58"/>
        <v>22.2</v>
      </c>
      <c r="I1910" t="s">
        <v>179</v>
      </c>
      <c r="J1910" s="33" t="s">
        <v>490</v>
      </c>
      <c r="K1910" s="18">
        <f>VLOOKUP(D1910,Ingredients!C:G,5,0)</f>
        <v>780</v>
      </c>
      <c r="L1910" s="52">
        <f t="shared" si="59"/>
        <v>23.4</v>
      </c>
    </row>
    <row r="1911" spans="1:12">
      <c r="A1911" t="s">
        <v>440</v>
      </c>
      <c r="B1911" t="s">
        <v>349</v>
      </c>
      <c r="C1911" t="s">
        <v>350</v>
      </c>
      <c r="D1911" s="3" t="s">
        <v>16</v>
      </c>
      <c r="E1911" s="14">
        <v>0.02</v>
      </c>
      <c r="F1911" s="4" t="s">
        <v>176</v>
      </c>
      <c r="G1911" s="9">
        <v>270</v>
      </c>
      <c r="H1911" s="9">
        <f t="shared" si="58"/>
        <v>5.4</v>
      </c>
      <c r="I1911" t="s">
        <v>179</v>
      </c>
      <c r="J1911" s="33" t="s">
        <v>490</v>
      </c>
      <c r="K1911" s="18">
        <f>VLOOKUP(D1911,Ingredients!C:G,5,0)</f>
        <v>310</v>
      </c>
      <c r="L1911" s="52">
        <f t="shared" si="59"/>
        <v>6.2</v>
      </c>
    </row>
    <row r="1912" spans="1:12">
      <c r="A1912" t="s">
        <v>440</v>
      </c>
      <c r="B1912" t="s">
        <v>349</v>
      </c>
      <c r="C1912" t="s">
        <v>350</v>
      </c>
      <c r="D1912" s="3" t="s">
        <v>933</v>
      </c>
      <c r="E1912" s="14">
        <v>0.8</v>
      </c>
      <c r="F1912" s="4" t="s">
        <v>176</v>
      </c>
      <c r="G1912" s="9">
        <v>250</v>
      </c>
      <c r="H1912" s="9">
        <f t="shared" si="58"/>
        <v>200</v>
      </c>
      <c r="I1912" t="s">
        <v>179</v>
      </c>
      <c r="J1912" s="33" t="s">
        <v>490</v>
      </c>
      <c r="K1912" s="18">
        <f>VLOOKUP(D1912,Ingredients!C:G,5,0)</f>
        <v>265</v>
      </c>
      <c r="L1912" s="52">
        <f t="shared" si="59"/>
        <v>212</v>
      </c>
    </row>
    <row r="1913" spans="1:12">
      <c r="A1913" t="s">
        <v>441</v>
      </c>
      <c r="B1913" t="s">
        <v>346</v>
      </c>
      <c r="C1913" t="s">
        <v>352</v>
      </c>
      <c r="D1913" s="3" t="s">
        <v>852</v>
      </c>
      <c r="E1913" s="14">
        <v>0.1</v>
      </c>
      <c r="F1913" s="4" t="s">
        <v>176</v>
      </c>
      <c r="G1913" s="9">
        <v>520.63</v>
      </c>
      <c r="H1913" s="9">
        <f t="shared" si="58"/>
        <v>52.063000000000002</v>
      </c>
      <c r="I1913" t="s">
        <v>179</v>
      </c>
      <c r="J1913" s="33">
        <v>0</v>
      </c>
      <c r="K1913" s="18">
        <v>550</v>
      </c>
      <c r="L1913" s="52">
        <f t="shared" si="59"/>
        <v>55</v>
      </c>
    </row>
    <row r="1914" spans="1:12">
      <c r="A1914" t="s">
        <v>441</v>
      </c>
      <c r="B1914" t="s">
        <v>346</v>
      </c>
      <c r="C1914" t="s">
        <v>352</v>
      </c>
      <c r="D1914" s="3" t="s">
        <v>865</v>
      </c>
      <c r="E1914" s="14">
        <v>0.1</v>
      </c>
      <c r="F1914" s="4" t="s">
        <v>176</v>
      </c>
      <c r="G1914" s="9">
        <v>1400</v>
      </c>
      <c r="H1914" s="9">
        <f t="shared" si="58"/>
        <v>140</v>
      </c>
      <c r="I1914" t="s">
        <v>179</v>
      </c>
      <c r="J1914" s="33">
        <v>0</v>
      </c>
      <c r="K1914" s="18">
        <f>VLOOKUP(D1914,Ingredients!C:G,5,0)</f>
        <v>1400</v>
      </c>
      <c r="L1914" s="52">
        <f t="shared" si="59"/>
        <v>140</v>
      </c>
    </row>
    <row r="1915" spans="1:12">
      <c r="A1915" t="s">
        <v>441</v>
      </c>
      <c r="B1915" t="s">
        <v>346</v>
      </c>
      <c r="C1915" t="s">
        <v>352</v>
      </c>
      <c r="D1915" s="3" t="s">
        <v>851</v>
      </c>
      <c r="E1915" s="14">
        <v>0.05</v>
      </c>
      <c r="F1915" s="13" t="s">
        <v>176</v>
      </c>
      <c r="G1915" s="9">
        <v>177</v>
      </c>
      <c r="H1915" s="9">
        <f t="shared" si="58"/>
        <v>8.85</v>
      </c>
      <c r="I1915" t="s">
        <v>179</v>
      </c>
      <c r="J1915" s="33">
        <v>0</v>
      </c>
      <c r="K1915" s="18">
        <f>VLOOKUP(D1915,Ingredients!C:G,5,0)</f>
        <v>920</v>
      </c>
      <c r="L1915" s="52">
        <f t="shared" si="59"/>
        <v>46</v>
      </c>
    </row>
    <row r="1916" spans="1:12">
      <c r="A1916" t="s">
        <v>441</v>
      </c>
      <c r="B1916" t="s">
        <v>346</v>
      </c>
      <c r="C1916" t="s">
        <v>352</v>
      </c>
      <c r="D1916" s="3" t="s">
        <v>896</v>
      </c>
      <c r="E1916" s="14">
        <v>0.2</v>
      </c>
      <c r="F1916" s="4" t="s">
        <v>315</v>
      </c>
      <c r="G1916" s="9">
        <f>330/0.2</f>
        <v>1650</v>
      </c>
      <c r="H1916" s="9">
        <f t="shared" si="58"/>
        <v>330</v>
      </c>
      <c r="I1916" t="s">
        <v>179</v>
      </c>
      <c r="J1916" s="33">
        <v>0</v>
      </c>
      <c r="K1916" s="18">
        <f>VLOOKUP(D1916,Ingredients!C:G,5,0)</f>
        <v>1650</v>
      </c>
      <c r="L1916" s="52">
        <f t="shared" si="59"/>
        <v>330</v>
      </c>
    </row>
    <row r="1917" spans="1:12">
      <c r="A1917" t="s">
        <v>441</v>
      </c>
      <c r="B1917" t="s">
        <v>346</v>
      </c>
      <c r="C1917" t="s">
        <v>352</v>
      </c>
      <c r="D1917" s="3" t="s">
        <v>857</v>
      </c>
      <c r="E1917" s="14">
        <v>0.01</v>
      </c>
      <c r="F1917" s="4" t="s">
        <v>179</v>
      </c>
      <c r="G1917" s="9">
        <v>520</v>
      </c>
      <c r="H1917" s="9">
        <f t="shared" si="58"/>
        <v>5.2</v>
      </c>
      <c r="I1917" t="s">
        <v>179</v>
      </c>
      <c r="J1917" s="33">
        <v>0</v>
      </c>
      <c r="K1917" s="18">
        <f>VLOOKUP(D1917,Ingredients!C:G,5,0)</f>
        <v>880</v>
      </c>
      <c r="L1917" s="52">
        <f t="shared" si="59"/>
        <v>8.8000000000000007</v>
      </c>
    </row>
    <row r="1918" spans="1:12">
      <c r="A1918" t="s">
        <v>441</v>
      </c>
      <c r="B1918" t="s">
        <v>346</v>
      </c>
      <c r="C1918" t="s">
        <v>352</v>
      </c>
      <c r="D1918" s="3" t="s">
        <v>872</v>
      </c>
      <c r="E1918" s="14">
        <v>0.01</v>
      </c>
      <c r="F1918" s="4" t="s">
        <v>179</v>
      </c>
      <c r="G1918" s="9">
        <v>2100</v>
      </c>
      <c r="H1918" s="9">
        <f t="shared" ref="H1918:H1981" si="60">G1918*E1918</f>
        <v>21</v>
      </c>
      <c r="I1918" t="s">
        <v>179</v>
      </c>
      <c r="J1918" s="33">
        <v>0</v>
      </c>
      <c r="K1918" s="18">
        <f>VLOOKUP(D1918,Ingredients!C:G,5,0)</f>
        <v>2150</v>
      </c>
      <c r="L1918" s="52">
        <f t="shared" si="59"/>
        <v>21.5</v>
      </c>
    </row>
    <row r="1919" spans="1:12">
      <c r="A1919" t="s">
        <v>441</v>
      </c>
      <c r="B1919" t="s">
        <v>346</v>
      </c>
      <c r="C1919" t="s">
        <v>352</v>
      </c>
      <c r="D1919" s="3" t="s">
        <v>853</v>
      </c>
      <c r="E1919" s="14">
        <v>2.5000000000000001E-2</v>
      </c>
      <c r="F1919" s="4" t="s">
        <v>315</v>
      </c>
      <c r="G1919" s="9">
        <v>30</v>
      </c>
      <c r="H1919" s="9">
        <f t="shared" si="60"/>
        <v>0.75</v>
      </c>
      <c r="I1919" t="s">
        <v>179</v>
      </c>
      <c r="J1919" s="33">
        <v>0</v>
      </c>
      <c r="K1919" s="18">
        <f>VLOOKUP(D1919,Ingredients!C:G,5,0)</f>
        <v>55</v>
      </c>
      <c r="L1919" s="52">
        <f t="shared" si="59"/>
        <v>1.375</v>
      </c>
    </row>
    <row r="1920" spans="1:12">
      <c r="A1920" t="s">
        <v>441</v>
      </c>
      <c r="B1920" t="s">
        <v>346</v>
      </c>
      <c r="C1920" t="s">
        <v>352</v>
      </c>
      <c r="D1920" s="3" t="s">
        <v>23</v>
      </c>
      <c r="E1920" s="14">
        <v>1.2500000000000001E-2</v>
      </c>
      <c r="F1920" s="4" t="s">
        <v>179</v>
      </c>
      <c r="G1920" s="9">
        <v>740</v>
      </c>
      <c r="H1920" s="9">
        <f t="shared" si="60"/>
        <v>9.25</v>
      </c>
      <c r="I1920" t="s">
        <v>179</v>
      </c>
      <c r="J1920" s="33">
        <v>0</v>
      </c>
      <c r="K1920" s="18">
        <f>VLOOKUP(D1920,Ingredients!C:G,5,0)</f>
        <v>780</v>
      </c>
      <c r="L1920" s="52">
        <f t="shared" si="59"/>
        <v>9.75</v>
      </c>
    </row>
    <row r="1921" spans="1:12">
      <c r="A1921" t="s">
        <v>441</v>
      </c>
      <c r="B1921" t="s">
        <v>346</v>
      </c>
      <c r="C1921" t="s">
        <v>352</v>
      </c>
      <c r="D1921" s="3" t="s">
        <v>16</v>
      </c>
      <c r="E1921" s="14">
        <v>1.2500000000000001E-2</v>
      </c>
      <c r="F1921" s="4" t="s">
        <v>179</v>
      </c>
      <c r="G1921" s="9">
        <v>270</v>
      </c>
      <c r="H1921" s="9">
        <f t="shared" si="60"/>
        <v>3.375</v>
      </c>
      <c r="I1921" t="s">
        <v>179</v>
      </c>
      <c r="J1921" s="33">
        <v>0</v>
      </c>
      <c r="K1921" s="18">
        <f>VLOOKUP(D1921,Ingredients!C:G,5,0)</f>
        <v>310</v>
      </c>
      <c r="L1921" s="52">
        <f t="shared" si="59"/>
        <v>3.875</v>
      </c>
    </row>
    <row r="1922" spans="1:12">
      <c r="A1922" t="s">
        <v>442</v>
      </c>
      <c r="B1922" t="s">
        <v>356</v>
      </c>
      <c r="C1922" t="s">
        <v>356</v>
      </c>
      <c r="D1922" s="3" t="s">
        <v>377</v>
      </c>
      <c r="E1922" s="14">
        <v>1.25</v>
      </c>
      <c r="F1922" s="4" t="s">
        <v>176</v>
      </c>
      <c r="G1922" s="9">
        <v>40</v>
      </c>
      <c r="H1922" s="9">
        <f t="shared" si="60"/>
        <v>50</v>
      </c>
      <c r="I1922" t="s">
        <v>179</v>
      </c>
      <c r="J1922" s="33">
        <v>0</v>
      </c>
      <c r="K1922" s="18">
        <f>VLOOKUP(D1922,Ingredients!C:G,5,0)</f>
        <v>50</v>
      </c>
      <c r="L1922" s="52">
        <f t="shared" si="59"/>
        <v>62.5</v>
      </c>
    </row>
    <row r="1923" spans="1:12">
      <c r="A1923" t="s">
        <v>442</v>
      </c>
      <c r="B1923" t="s">
        <v>356</v>
      </c>
      <c r="C1923" t="s">
        <v>356</v>
      </c>
      <c r="D1923" s="3" t="s">
        <v>917</v>
      </c>
      <c r="E1923" s="14">
        <v>0.4</v>
      </c>
      <c r="F1923" s="4" t="s">
        <v>176</v>
      </c>
      <c r="G1923" s="9">
        <v>800</v>
      </c>
      <c r="H1923" s="9">
        <f t="shared" si="60"/>
        <v>320</v>
      </c>
      <c r="I1923" t="s">
        <v>179</v>
      </c>
      <c r="J1923" s="33">
        <v>0</v>
      </c>
      <c r="K1923" s="18">
        <f>VLOOKUP(D1923,Ingredients!C:G,5,0)</f>
        <v>550</v>
      </c>
      <c r="L1923" s="52">
        <f t="shared" si="59"/>
        <v>220</v>
      </c>
    </row>
    <row r="1924" spans="1:12">
      <c r="A1924" t="s">
        <v>442</v>
      </c>
      <c r="B1924" t="s">
        <v>356</v>
      </c>
      <c r="C1924" t="s">
        <v>356</v>
      </c>
      <c r="D1924" s="3" t="s">
        <v>913</v>
      </c>
      <c r="E1924" s="14">
        <v>0.1</v>
      </c>
      <c r="F1924" s="4" t="s">
        <v>176</v>
      </c>
      <c r="G1924" s="9">
        <v>229.16666666666666</v>
      </c>
      <c r="H1924" s="9">
        <f t="shared" si="60"/>
        <v>22.916666666666668</v>
      </c>
      <c r="I1924" t="s">
        <v>179</v>
      </c>
      <c r="J1924" s="33">
        <v>0</v>
      </c>
      <c r="K1924" s="18">
        <f>VLOOKUP(D1924,Ingredients!C:F,3,0)</f>
        <v>343.75</v>
      </c>
      <c r="L1924" s="52">
        <f t="shared" ref="L1924:L1987" si="61">K1924*E1924</f>
        <v>34.375</v>
      </c>
    </row>
    <row r="1925" spans="1:12">
      <c r="A1925" t="s">
        <v>442</v>
      </c>
      <c r="B1925" t="s">
        <v>356</v>
      </c>
      <c r="C1925" t="s">
        <v>356</v>
      </c>
      <c r="D1925" s="3" t="s">
        <v>852</v>
      </c>
      <c r="E1925" s="14">
        <v>0.1</v>
      </c>
      <c r="F1925" s="4" t="s">
        <v>176</v>
      </c>
      <c r="G1925" s="9">
        <v>520.63</v>
      </c>
      <c r="H1925" s="9">
        <f t="shared" si="60"/>
        <v>52.063000000000002</v>
      </c>
      <c r="I1925" t="s">
        <v>179</v>
      </c>
      <c r="J1925" s="33">
        <v>0</v>
      </c>
      <c r="K1925" s="18">
        <v>550</v>
      </c>
      <c r="L1925" s="52">
        <f t="shared" si="61"/>
        <v>55</v>
      </c>
    </row>
    <row r="1926" spans="1:12">
      <c r="A1926" t="s">
        <v>442</v>
      </c>
      <c r="B1926" t="s">
        <v>356</v>
      </c>
      <c r="C1926" t="s">
        <v>356</v>
      </c>
      <c r="D1926" s="3" t="s">
        <v>942</v>
      </c>
      <c r="E1926" s="14">
        <v>2.5000000000000001E-2</v>
      </c>
      <c r="F1926" s="4" t="s">
        <v>179</v>
      </c>
      <c r="G1926" s="9">
        <v>1388.75</v>
      </c>
      <c r="H1926" s="9">
        <f t="shared" si="60"/>
        <v>34.71875</v>
      </c>
      <c r="I1926" t="s">
        <v>179</v>
      </c>
      <c r="J1926" s="33">
        <v>0</v>
      </c>
      <c r="K1926" s="18">
        <f>VLOOKUP(D1926,Ingredients!C:G,5,0)</f>
        <v>1375</v>
      </c>
      <c r="L1926" s="52">
        <f t="shared" si="61"/>
        <v>34.375</v>
      </c>
    </row>
    <row r="1927" spans="1:12">
      <c r="A1927" t="s">
        <v>442</v>
      </c>
      <c r="B1927" t="s">
        <v>356</v>
      </c>
      <c r="C1927" t="s">
        <v>356</v>
      </c>
      <c r="D1927" s="3" t="s">
        <v>830</v>
      </c>
      <c r="E1927" s="14">
        <v>0.2</v>
      </c>
      <c r="F1927" s="4" t="s">
        <v>176</v>
      </c>
      <c r="G1927" s="9">
        <v>149</v>
      </c>
      <c r="H1927" s="9">
        <f t="shared" si="60"/>
        <v>29.8</v>
      </c>
      <c r="I1927" t="s">
        <v>179</v>
      </c>
      <c r="J1927" s="33">
        <v>0</v>
      </c>
      <c r="K1927" s="18">
        <f>VLOOKUP(D1927,Ingredients!C:G,5,0)</f>
        <v>123</v>
      </c>
      <c r="L1927" s="52">
        <f t="shared" si="61"/>
        <v>24.6</v>
      </c>
    </row>
    <row r="1928" spans="1:12">
      <c r="A1928" t="s">
        <v>442</v>
      </c>
      <c r="B1928" t="s">
        <v>356</v>
      </c>
      <c r="C1928" t="s">
        <v>356</v>
      </c>
      <c r="D1928" s="3" t="s">
        <v>892</v>
      </c>
      <c r="E1928" s="14">
        <v>1.2500000000000001E-2</v>
      </c>
      <c r="F1928" s="4" t="s">
        <v>179</v>
      </c>
      <c r="G1928" s="9">
        <v>2000</v>
      </c>
      <c r="H1928" s="9">
        <f t="shared" si="60"/>
        <v>25</v>
      </c>
      <c r="I1928" t="s">
        <v>179</v>
      </c>
      <c r="J1928" s="33">
        <v>0</v>
      </c>
      <c r="K1928" s="18">
        <f>VLOOKUP(D1928,Ingredients!C:G,5,0)</f>
        <v>2080</v>
      </c>
      <c r="L1928" s="52">
        <f t="shared" si="61"/>
        <v>26</v>
      </c>
    </row>
    <row r="1929" spans="1:12">
      <c r="A1929" t="s">
        <v>442</v>
      </c>
      <c r="B1929" t="s">
        <v>356</v>
      </c>
      <c r="C1929" t="s">
        <v>356</v>
      </c>
      <c r="D1929" s="3" t="s">
        <v>916</v>
      </c>
      <c r="E1929" s="14">
        <v>1.2500000000000001E-2</v>
      </c>
      <c r="F1929" s="4" t="s">
        <v>179</v>
      </c>
      <c r="G1929" s="9">
        <v>6500</v>
      </c>
      <c r="H1929" s="9">
        <f t="shared" si="60"/>
        <v>81.25</v>
      </c>
      <c r="I1929" t="s">
        <v>179</v>
      </c>
      <c r="J1929" s="33">
        <v>0</v>
      </c>
      <c r="K1929" s="18">
        <f>VLOOKUP(D1929,Ingredients!C:G,5,0)</f>
        <v>6200</v>
      </c>
      <c r="L1929" s="52">
        <f t="shared" si="61"/>
        <v>77.5</v>
      </c>
    </row>
    <row r="1930" spans="1:12">
      <c r="A1930" t="s">
        <v>442</v>
      </c>
      <c r="B1930" t="s">
        <v>356</v>
      </c>
      <c r="C1930" t="s">
        <v>356</v>
      </c>
      <c r="D1930" s="3" t="s">
        <v>459</v>
      </c>
      <c r="E1930" s="14">
        <v>1.2500000000000001E-2</v>
      </c>
      <c r="F1930" s="4" t="s">
        <v>179</v>
      </c>
      <c r="G1930" s="9">
        <v>2000</v>
      </c>
      <c r="H1930" s="9">
        <f t="shared" si="60"/>
        <v>25</v>
      </c>
      <c r="I1930" t="s">
        <v>179</v>
      </c>
      <c r="J1930" s="33">
        <v>0</v>
      </c>
      <c r="K1930" s="18">
        <f>VLOOKUP(D1930,Ingredients!C:G,5,0)</f>
        <v>2400</v>
      </c>
      <c r="L1930" s="52">
        <f t="shared" si="61"/>
        <v>30</v>
      </c>
    </row>
    <row r="1931" spans="1:12">
      <c r="A1931" t="s">
        <v>443</v>
      </c>
      <c r="B1931" t="s">
        <v>356</v>
      </c>
      <c r="C1931" t="s">
        <v>356</v>
      </c>
      <c r="D1931" s="3" t="s">
        <v>884</v>
      </c>
      <c r="E1931" s="14">
        <v>1</v>
      </c>
      <c r="F1931" s="4" t="s">
        <v>181</v>
      </c>
      <c r="G1931" s="9">
        <v>344</v>
      </c>
      <c r="H1931" s="9">
        <f t="shared" si="60"/>
        <v>344</v>
      </c>
      <c r="I1931" t="s">
        <v>179</v>
      </c>
      <c r="J1931" s="33">
        <v>0</v>
      </c>
      <c r="K1931" s="18">
        <f>VLOOKUP(D1931,Ingredients!C:G,5,0)</f>
        <v>344</v>
      </c>
      <c r="L1931" s="52">
        <f t="shared" si="61"/>
        <v>344</v>
      </c>
    </row>
    <row r="1932" spans="1:12">
      <c r="A1932" t="s">
        <v>443</v>
      </c>
      <c r="B1932" t="s">
        <v>356</v>
      </c>
      <c r="C1932" t="s">
        <v>356</v>
      </c>
      <c r="D1932" s="3" t="s">
        <v>830</v>
      </c>
      <c r="E1932" s="14">
        <v>0.7</v>
      </c>
      <c r="F1932" s="4" t="s">
        <v>181</v>
      </c>
      <c r="G1932" s="9">
        <v>149</v>
      </c>
      <c r="H1932" s="9">
        <f t="shared" si="60"/>
        <v>104.3</v>
      </c>
      <c r="I1932" t="s">
        <v>179</v>
      </c>
      <c r="J1932" s="33">
        <v>0</v>
      </c>
      <c r="K1932" s="18">
        <f>VLOOKUP(D1932,Ingredients!C:G,5,0)</f>
        <v>123</v>
      </c>
      <c r="L1932" s="52">
        <f t="shared" si="61"/>
        <v>86.1</v>
      </c>
    </row>
    <row r="1933" spans="1:12">
      <c r="A1933" t="s">
        <v>443</v>
      </c>
      <c r="B1933" t="s">
        <v>356</v>
      </c>
      <c r="C1933" t="s">
        <v>356</v>
      </c>
      <c r="D1933" s="3" t="s">
        <v>913</v>
      </c>
      <c r="E1933" s="14">
        <v>0.75</v>
      </c>
      <c r="F1933" s="4" t="s">
        <v>181</v>
      </c>
      <c r="G1933" s="9">
        <v>229.16666666666666</v>
      </c>
      <c r="H1933" s="9">
        <f t="shared" si="60"/>
        <v>171.875</v>
      </c>
      <c r="I1933" t="s">
        <v>179</v>
      </c>
      <c r="J1933" s="33">
        <v>0</v>
      </c>
      <c r="K1933" s="18">
        <f>VLOOKUP(D1933,Ingredients!C:F,3,0)</f>
        <v>343.75</v>
      </c>
      <c r="L1933" s="52">
        <f t="shared" si="61"/>
        <v>257.8125</v>
      </c>
    </row>
    <row r="1934" spans="1:12">
      <c r="A1934" t="s">
        <v>443</v>
      </c>
      <c r="B1934" t="s">
        <v>356</v>
      </c>
      <c r="C1934" t="s">
        <v>356</v>
      </c>
      <c r="D1934" s="3" t="s">
        <v>917</v>
      </c>
      <c r="E1934" s="14">
        <v>0.1</v>
      </c>
      <c r="F1934" s="4" t="s">
        <v>181</v>
      </c>
      <c r="G1934" s="9">
        <v>800</v>
      </c>
      <c r="H1934" s="9">
        <f t="shared" si="60"/>
        <v>80</v>
      </c>
      <c r="I1934" t="s">
        <v>179</v>
      </c>
      <c r="J1934" s="33">
        <v>0</v>
      </c>
      <c r="K1934" s="18">
        <f>VLOOKUP(D1934,Ingredients!C:G,5,0)</f>
        <v>550</v>
      </c>
      <c r="L1934" s="52">
        <f t="shared" si="61"/>
        <v>55</v>
      </c>
    </row>
    <row r="1935" spans="1:12">
      <c r="A1935" t="s">
        <v>443</v>
      </c>
      <c r="B1935" t="s">
        <v>356</v>
      </c>
      <c r="C1935" t="s">
        <v>356</v>
      </c>
      <c r="D1935" s="3" t="s">
        <v>472</v>
      </c>
      <c r="E1935" s="14">
        <v>0.1</v>
      </c>
      <c r="F1935" s="4" t="s">
        <v>181</v>
      </c>
      <c r="G1935" s="9">
        <v>1100</v>
      </c>
      <c r="H1935" s="9">
        <f t="shared" si="60"/>
        <v>110</v>
      </c>
      <c r="I1935" t="s">
        <v>179</v>
      </c>
      <c r="J1935" s="33">
        <v>0</v>
      </c>
      <c r="K1935" s="18">
        <f>VLOOKUP(D1935,Ingredients!C:G,5,0)</f>
        <v>1100</v>
      </c>
      <c r="L1935" s="52">
        <f t="shared" si="61"/>
        <v>110</v>
      </c>
    </row>
    <row r="1936" spans="1:12">
      <c r="A1936" t="s">
        <v>443</v>
      </c>
      <c r="B1936" t="s">
        <v>356</v>
      </c>
      <c r="C1936" t="s">
        <v>356</v>
      </c>
      <c r="D1936" s="3" t="s">
        <v>903</v>
      </c>
      <c r="E1936" s="14">
        <v>0.1</v>
      </c>
      <c r="F1936" s="4" t="s">
        <v>181</v>
      </c>
      <c r="G1936" s="9">
        <v>153.97999999999999</v>
      </c>
      <c r="H1936" s="9">
        <f t="shared" si="60"/>
        <v>15.398</v>
      </c>
      <c r="I1936" t="s">
        <v>179</v>
      </c>
      <c r="J1936" s="33">
        <v>0</v>
      </c>
      <c r="K1936" s="18">
        <f>VLOOKUP(D1936,Ingredients!C:G,5,0)</f>
        <v>152</v>
      </c>
      <c r="L1936" s="52">
        <f t="shared" si="61"/>
        <v>15.200000000000001</v>
      </c>
    </row>
    <row r="1937" spans="1:12">
      <c r="A1937" t="s">
        <v>443</v>
      </c>
      <c r="B1937" t="s">
        <v>356</v>
      </c>
      <c r="C1937" t="s">
        <v>356</v>
      </c>
      <c r="D1937" s="3" t="s">
        <v>852</v>
      </c>
      <c r="E1937" s="14">
        <v>0.125</v>
      </c>
      <c r="F1937" s="4" t="s">
        <v>181</v>
      </c>
      <c r="G1937" s="9">
        <v>520.63</v>
      </c>
      <c r="H1937" s="9">
        <f t="shared" si="60"/>
        <v>65.078749999999999</v>
      </c>
      <c r="I1937" t="s">
        <v>179</v>
      </c>
      <c r="J1937" s="33">
        <v>0</v>
      </c>
      <c r="K1937" s="18">
        <v>550</v>
      </c>
      <c r="L1937" s="52">
        <f t="shared" si="61"/>
        <v>68.75</v>
      </c>
    </row>
    <row r="1938" spans="1:12">
      <c r="A1938" t="s">
        <v>443</v>
      </c>
      <c r="B1938" t="s">
        <v>356</v>
      </c>
      <c r="C1938" t="s">
        <v>356</v>
      </c>
      <c r="D1938" s="3" t="s">
        <v>908</v>
      </c>
      <c r="E1938" s="14">
        <v>0.1</v>
      </c>
      <c r="F1938" s="4" t="s">
        <v>181</v>
      </c>
      <c r="G1938" s="9">
        <v>200</v>
      </c>
      <c r="H1938" s="9">
        <f t="shared" si="60"/>
        <v>20</v>
      </c>
      <c r="I1938" t="s">
        <v>179</v>
      </c>
      <c r="J1938" s="33">
        <v>0</v>
      </c>
      <c r="K1938" s="18">
        <f>VLOOKUP(D1938,Ingredients!C:G,5,0)</f>
        <v>180</v>
      </c>
      <c r="L1938" s="52">
        <f t="shared" si="61"/>
        <v>18</v>
      </c>
    </row>
    <row r="1939" spans="1:12">
      <c r="A1939" t="s">
        <v>443</v>
      </c>
      <c r="B1939" t="s">
        <v>356</v>
      </c>
      <c r="C1939" t="s">
        <v>356</v>
      </c>
      <c r="D1939" s="3" t="s">
        <v>940</v>
      </c>
      <c r="E1939" s="14">
        <v>0.02</v>
      </c>
      <c r="F1939" s="4" t="s">
        <v>179</v>
      </c>
      <c r="G1939" s="9">
        <v>3000</v>
      </c>
      <c r="H1939" s="9">
        <f t="shared" si="60"/>
        <v>60</v>
      </c>
      <c r="I1939" t="s">
        <v>179</v>
      </c>
      <c r="J1939" s="33">
        <v>0</v>
      </c>
      <c r="K1939" s="18">
        <f>VLOOKUP(D1939,Ingredients!C:G,5,0)</f>
        <v>2900</v>
      </c>
      <c r="L1939" s="52">
        <f t="shared" si="61"/>
        <v>58</v>
      </c>
    </row>
    <row r="1940" spans="1:12">
      <c r="A1940" t="s">
        <v>443</v>
      </c>
      <c r="B1940" t="s">
        <v>356</v>
      </c>
      <c r="C1940" t="s">
        <v>356</v>
      </c>
      <c r="D1940" s="3" t="s">
        <v>892</v>
      </c>
      <c r="E1940" s="14">
        <v>0.02</v>
      </c>
      <c r="F1940" s="4" t="s">
        <v>179</v>
      </c>
      <c r="G1940" s="9">
        <v>2000</v>
      </c>
      <c r="H1940" s="9">
        <f t="shared" si="60"/>
        <v>40</v>
      </c>
      <c r="I1940" t="s">
        <v>179</v>
      </c>
      <c r="J1940" s="33">
        <v>0</v>
      </c>
      <c r="K1940" s="18">
        <f>VLOOKUP(D1940,Ingredients!C:G,5,0)</f>
        <v>2080</v>
      </c>
      <c r="L1940" s="52">
        <f t="shared" si="61"/>
        <v>41.6</v>
      </c>
    </row>
    <row r="1941" spans="1:12">
      <c r="A1941" t="s">
        <v>443</v>
      </c>
      <c r="B1941" t="s">
        <v>356</v>
      </c>
      <c r="C1941" t="s">
        <v>356</v>
      </c>
      <c r="D1941" s="3" t="s">
        <v>916</v>
      </c>
      <c r="E1941" s="14">
        <v>0.02</v>
      </c>
      <c r="F1941" s="4" t="s">
        <v>179</v>
      </c>
      <c r="G1941" s="9">
        <v>6500</v>
      </c>
      <c r="H1941" s="9">
        <f t="shared" si="60"/>
        <v>130</v>
      </c>
      <c r="I1941" t="s">
        <v>179</v>
      </c>
      <c r="J1941" s="33">
        <v>0</v>
      </c>
      <c r="K1941" s="18">
        <f>VLOOKUP(D1941,Ingredients!C:G,5,0)</f>
        <v>6200</v>
      </c>
      <c r="L1941" s="52">
        <f t="shared" si="61"/>
        <v>124</v>
      </c>
    </row>
    <row r="1942" spans="1:12">
      <c r="A1942" t="s">
        <v>443</v>
      </c>
      <c r="B1942" t="s">
        <v>356</v>
      </c>
      <c r="C1942" t="s">
        <v>356</v>
      </c>
      <c r="D1942" s="3" t="s">
        <v>857</v>
      </c>
      <c r="E1942" s="14">
        <v>0.01</v>
      </c>
      <c r="F1942" s="4" t="s">
        <v>179</v>
      </c>
      <c r="G1942" s="9">
        <v>520</v>
      </c>
      <c r="H1942" s="9">
        <f t="shared" si="60"/>
        <v>5.2</v>
      </c>
      <c r="I1942" t="s">
        <v>179</v>
      </c>
      <c r="J1942" s="33">
        <v>0</v>
      </c>
      <c r="K1942" s="18">
        <f>VLOOKUP(D1942,Ingredients!C:G,5,0)</f>
        <v>880</v>
      </c>
      <c r="L1942" s="52">
        <f t="shared" si="61"/>
        <v>8.8000000000000007</v>
      </c>
    </row>
    <row r="1943" spans="1:12">
      <c r="A1943" t="s">
        <v>443</v>
      </c>
      <c r="B1943" t="s">
        <v>356</v>
      </c>
      <c r="C1943" t="s">
        <v>356</v>
      </c>
      <c r="D1943" s="3" t="s">
        <v>915</v>
      </c>
      <c r="E1943" s="14">
        <v>0.2</v>
      </c>
      <c r="F1943" s="4" t="s">
        <v>434</v>
      </c>
      <c r="G1943" s="9">
        <v>5000</v>
      </c>
      <c r="H1943" s="9">
        <f t="shared" si="60"/>
        <v>1000</v>
      </c>
      <c r="I1943" t="s">
        <v>179</v>
      </c>
      <c r="J1943" s="33">
        <v>0</v>
      </c>
      <c r="K1943" s="18">
        <f>VLOOKUP(D1943,Ingredients!C:G,5,0)</f>
        <v>3200</v>
      </c>
      <c r="L1943" s="52">
        <f t="shared" si="61"/>
        <v>640</v>
      </c>
    </row>
    <row r="1944" spans="1:12">
      <c r="A1944" t="s">
        <v>443</v>
      </c>
      <c r="B1944" t="s">
        <v>356</v>
      </c>
      <c r="C1944" t="s">
        <v>356</v>
      </c>
      <c r="D1944" s="3" t="s">
        <v>924</v>
      </c>
      <c r="E1944" s="14">
        <v>0.01</v>
      </c>
      <c r="F1944" s="4" t="s">
        <v>179</v>
      </c>
      <c r="G1944" s="9">
        <v>850</v>
      </c>
      <c r="H1944" s="9">
        <f t="shared" si="60"/>
        <v>8.5</v>
      </c>
      <c r="I1944" t="s">
        <v>179</v>
      </c>
      <c r="J1944" s="33">
        <v>0</v>
      </c>
      <c r="K1944" s="18">
        <f>VLOOKUP(D1944,Ingredients!C:G,5,0)</f>
        <v>720</v>
      </c>
      <c r="L1944" s="52">
        <f t="shared" si="61"/>
        <v>7.2</v>
      </c>
    </row>
    <row r="1945" spans="1:12">
      <c r="A1945" t="s">
        <v>443</v>
      </c>
      <c r="B1945" t="s">
        <v>356</v>
      </c>
      <c r="C1945" t="s">
        <v>356</v>
      </c>
      <c r="D1945" s="3" t="s">
        <v>831</v>
      </c>
      <c r="E1945" s="14">
        <v>0.3</v>
      </c>
      <c r="F1945" s="4" t="s">
        <v>176</v>
      </c>
      <c r="G1945" s="9">
        <v>908</v>
      </c>
      <c r="H1945" s="9">
        <f t="shared" si="60"/>
        <v>272.39999999999998</v>
      </c>
      <c r="I1945" t="s">
        <v>179</v>
      </c>
      <c r="J1945" s="33">
        <v>0</v>
      </c>
      <c r="K1945" s="18">
        <f>VLOOKUP(D1945,Ingredients!C:G,5,0)</f>
        <v>908</v>
      </c>
      <c r="L1945" s="52">
        <f t="shared" si="61"/>
        <v>272.39999999999998</v>
      </c>
    </row>
    <row r="1946" spans="1:12">
      <c r="A1946" t="s">
        <v>191</v>
      </c>
      <c r="B1946" t="s">
        <v>349</v>
      </c>
      <c r="C1946" t="s">
        <v>352</v>
      </c>
      <c r="D1946" s="3" t="s">
        <v>831</v>
      </c>
      <c r="E1946" s="14">
        <v>1</v>
      </c>
      <c r="F1946" s="4" t="s">
        <v>176</v>
      </c>
      <c r="G1946" s="9">
        <v>908</v>
      </c>
      <c r="H1946" s="9">
        <f t="shared" si="60"/>
        <v>908</v>
      </c>
      <c r="I1946" t="s">
        <v>179</v>
      </c>
      <c r="J1946" s="33" t="s">
        <v>489</v>
      </c>
      <c r="K1946" s="18">
        <f>VLOOKUP(D1946,Ingredients!C:G,5,0)</f>
        <v>908</v>
      </c>
      <c r="L1946" s="52">
        <f t="shared" si="61"/>
        <v>908</v>
      </c>
    </row>
    <row r="1947" spans="1:12">
      <c r="A1947" t="s">
        <v>191</v>
      </c>
      <c r="B1947" t="s">
        <v>349</v>
      </c>
      <c r="C1947" t="s">
        <v>352</v>
      </c>
      <c r="D1947" s="3" t="s">
        <v>852</v>
      </c>
      <c r="E1947" s="14">
        <v>0.2</v>
      </c>
      <c r="F1947" s="4" t="s">
        <v>176</v>
      </c>
      <c r="G1947" s="9">
        <v>520.63</v>
      </c>
      <c r="H1947" s="9">
        <f t="shared" si="60"/>
        <v>104.126</v>
      </c>
      <c r="I1947" t="s">
        <v>179</v>
      </c>
      <c r="J1947" s="33" t="s">
        <v>489</v>
      </c>
      <c r="K1947" s="18">
        <v>550</v>
      </c>
      <c r="L1947" s="52">
        <f t="shared" si="61"/>
        <v>110</v>
      </c>
    </row>
    <row r="1948" spans="1:12">
      <c r="A1948" t="s">
        <v>191</v>
      </c>
      <c r="B1948" t="s">
        <v>349</v>
      </c>
      <c r="C1948" t="s">
        <v>352</v>
      </c>
      <c r="D1948" s="3" t="s">
        <v>934</v>
      </c>
      <c r="E1948" s="14">
        <v>0.2</v>
      </c>
      <c r="F1948" s="4" t="s">
        <v>176</v>
      </c>
      <c r="G1948" s="9">
        <v>150</v>
      </c>
      <c r="H1948" s="9">
        <f t="shared" si="60"/>
        <v>30</v>
      </c>
      <c r="I1948" t="s">
        <v>179</v>
      </c>
      <c r="J1948" s="33" t="s">
        <v>489</v>
      </c>
      <c r="K1948" s="18">
        <f>VLOOKUP(D1948,Ingredients!C:G,5,0)</f>
        <v>142</v>
      </c>
      <c r="L1948" s="52">
        <f t="shared" si="61"/>
        <v>28.400000000000002</v>
      </c>
    </row>
    <row r="1949" spans="1:12">
      <c r="A1949" t="s">
        <v>191</v>
      </c>
      <c r="B1949" t="s">
        <v>349</v>
      </c>
      <c r="C1949" t="s">
        <v>352</v>
      </c>
      <c r="D1949" s="3" t="s">
        <v>935</v>
      </c>
      <c r="E1949" s="14">
        <v>0.2</v>
      </c>
      <c r="F1949" s="4" t="s">
        <v>176</v>
      </c>
      <c r="G1949" s="9">
        <v>230</v>
      </c>
      <c r="H1949" s="9">
        <f t="shared" si="60"/>
        <v>46</v>
      </c>
      <c r="I1949" t="s">
        <v>179</v>
      </c>
      <c r="J1949" s="33" t="s">
        <v>489</v>
      </c>
      <c r="K1949" s="18">
        <f>VLOOKUP(D1949,Ingredients!C:G,5,0)</f>
        <v>210</v>
      </c>
      <c r="L1949" s="52">
        <f t="shared" si="61"/>
        <v>42</v>
      </c>
    </row>
    <row r="1950" spans="1:12">
      <c r="A1950" t="s">
        <v>191</v>
      </c>
      <c r="B1950" t="s">
        <v>349</v>
      </c>
      <c r="C1950" t="s">
        <v>352</v>
      </c>
      <c r="D1950" s="3" t="s">
        <v>936</v>
      </c>
      <c r="E1950" s="14">
        <v>0.15</v>
      </c>
      <c r="F1950" s="4" t="s">
        <v>176</v>
      </c>
      <c r="G1950" s="9">
        <v>260</v>
      </c>
      <c r="H1950" s="9">
        <f t="shared" si="60"/>
        <v>39</v>
      </c>
      <c r="I1950" t="s">
        <v>179</v>
      </c>
      <c r="J1950" s="33" t="s">
        <v>489</v>
      </c>
      <c r="K1950" s="18">
        <f>VLOOKUP(D1950,Ingredients!C:G,5,0)</f>
        <v>230</v>
      </c>
      <c r="L1950" s="52">
        <f t="shared" si="61"/>
        <v>34.5</v>
      </c>
    </row>
    <row r="1951" spans="1:12">
      <c r="A1951" t="s">
        <v>191</v>
      </c>
      <c r="B1951" t="s">
        <v>349</v>
      </c>
      <c r="C1951" t="s">
        <v>352</v>
      </c>
      <c r="D1951" s="3" t="s">
        <v>956</v>
      </c>
      <c r="E1951" s="14">
        <v>0.15</v>
      </c>
      <c r="F1951" s="4" t="s">
        <v>176</v>
      </c>
      <c r="G1951" s="9">
        <v>260</v>
      </c>
      <c r="H1951" s="9">
        <f t="shared" si="60"/>
        <v>39</v>
      </c>
      <c r="I1951" t="s">
        <v>179</v>
      </c>
      <c r="J1951" s="33" t="s">
        <v>489</v>
      </c>
      <c r="K1951" s="18">
        <f>VLOOKUP(D1951,Ingredients!C:G,5,0)</f>
        <v>246</v>
      </c>
      <c r="L1951" s="52">
        <f t="shared" si="61"/>
        <v>36.9</v>
      </c>
    </row>
    <row r="1952" spans="1:12">
      <c r="A1952" t="s">
        <v>191</v>
      </c>
      <c r="B1952" t="s">
        <v>349</v>
      </c>
      <c r="C1952" t="s">
        <v>352</v>
      </c>
      <c r="D1952" s="3" t="s">
        <v>938</v>
      </c>
      <c r="E1952" s="14">
        <v>0.15</v>
      </c>
      <c r="F1952" s="4" t="s">
        <v>176</v>
      </c>
      <c r="G1952" s="9">
        <v>475</v>
      </c>
      <c r="H1952" s="9">
        <f t="shared" si="60"/>
        <v>71.25</v>
      </c>
      <c r="I1952" t="s">
        <v>179</v>
      </c>
      <c r="J1952" s="33" t="s">
        <v>489</v>
      </c>
      <c r="K1952" s="18">
        <f>VLOOKUP(D1952,Ingredients!C:G,5,0)</f>
        <v>445</v>
      </c>
      <c r="L1952" s="52">
        <f t="shared" si="61"/>
        <v>66.75</v>
      </c>
    </row>
    <row r="1953" spans="1:12">
      <c r="A1953" t="s">
        <v>191</v>
      </c>
      <c r="B1953" t="s">
        <v>349</v>
      </c>
      <c r="C1953" t="s">
        <v>352</v>
      </c>
      <c r="D1953" s="3" t="s">
        <v>196</v>
      </c>
      <c r="E1953" s="14">
        <v>0.15</v>
      </c>
      <c r="F1953" s="4" t="s">
        <v>176</v>
      </c>
      <c r="G1953" s="9">
        <v>160</v>
      </c>
      <c r="H1953" s="9">
        <f t="shared" si="60"/>
        <v>24</v>
      </c>
      <c r="I1953" t="s">
        <v>179</v>
      </c>
      <c r="J1953" s="33" t="s">
        <v>489</v>
      </c>
      <c r="K1953" s="18">
        <f>VLOOKUP(D1953,Ingredients!C:G,5,0)</f>
        <v>165</v>
      </c>
      <c r="L1953" s="52">
        <f t="shared" si="61"/>
        <v>24.75</v>
      </c>
    </row>
    <row r="1954" spans="1:12">
      <c r="A1954" t="s">
        <v>191</v>
      </c>
      <c r="B1954" t="s">
        <v>349</v>
      </c>
      <c r="C1954" t="s">
        <v>352</v>
      </c>
      <c r="D1954" s="3" t="s">
        <v>931</v>
      </c>
      <c r="E1954" s="14">
        <v>0.02</v>
      </c>
      <c r="F1954" s="4" t="s">
        <v>179</v>
      </c>
      <c r="G1954" s="9">
        <v>4000</v>
      </c>
      <c r="H1954" s="9">
        <f t="shared" si="60"/>
        <v>80</v>
      </c>
      <c r="I1954" t="s">
        <v>179</v>
      </c>
      <c r="J1954" s="33" t="s">
        <v>489</v>
      </c>
      <c r="K1954" s="18">
        <f>VLOOKUP(D1954,Ingredients!C:G,5,0)</f>
        <v>2900</v>
      </c>
      <c r="L1954" s="52">
        <f t="shared" si="61"/>
        <v>58</v>
      </c>
    </row>
    <row r="1955" spans="1:12">
      <c r="A1955" t="s">
        <v>191</v>
      </c>
      <c r="B1955" t="s">
        <v>349</v>
      </c>
      <c r="C1955" t="s">
        <v>352</v>
      </c>
      <c r="D1955" s="3" t="s">
        <v>928</v>
      </c>
      <c r="E1955" s="14">
        <v>0.02</v>
      </c>
      <c r="F1955" s="4" t="s">
        <v>179</v>
      </c>
      <c r="G1955" s="9">
        <v>850</v>
      </c>
      <c r="H1955" s="9">
        <f t="shared" si="60"/>
        <v>17</v>
      </c>
      <c r="I1955" t="s">
        <v>179</v>
      </c>
      <c r="J1955" s="33" t="s">
        <v>489</v>
      </c>
      <c r="K1955" s="18">
        <f>VLOOKUP(D1955,Ingredients!C:G,5,0)</f>
        <v>900</v>
      </c>
      <c r="L1955" s="52">
        <f t="shared" si="61"/>
        <v>18</v>
      </c>
    </row>
    <row r="1956" spans="1:12">
      <c r="A1956" t="s">
        <v>191</v>
      </c>
      <c r="B1956" t="s">
        <v>349</v>
      </c>
      <c r="C1956" t="s">
        <v>352</v>
      </c>
      <c r="D1956" s="3" t="s">
        <v>853</v>
      </c>
      <c r="E1956" s="14">
        <v>7.4999999999999997E-2</v>
      </c>
      <c r="F1956" s="4" t="s">
        <v>179</v>
      </c>
      <c r="G1956" s="9">
        <v>30</v>
      </c>
      <c r="H1956" s="9">
        <f t="shared" si="60"/>
        <v>2.25</v>
      </c>
      <c r="I1956" t="s">
        <v>179</v>
      </c>
      <c r="J1956" s="33" t="s">
        <v>489</v>
      </c>
      <c r="K1956" s="18">
        <f>VLOOKUP(D1956,Ingredients!C:G,5,0)</f>
        <v>55</v>
      </c>
      <c r="L1956" s="52">
        <f t="shared" si="61"/>
        <v>4.125</v>
      </c>
    </row>
    <row r="1957" spans="1:12">
      <c r="A1957" t="s">
        <v>191</v>
      </c>
      <c r="B1957" t="s">
        <v>349</v>
      </c>
      <c r="C1957" t="s">
        <v>352</v>
      </c>
      <c r="D1957" s="3" t="s">
        <v>867</v>
      </c>
      <c r="E1957" s="14">
        <v>2.5000000000000001E-2</v>
      </c>
      <c r="F1957" s="4" t="s">
        <v>179</v>
      </c>
      <c r="G1957" s="9">
        <v>900</v>
      </c>
      <c r="H1957" s="9">
        <f t="shared" si="60"/>
        <v>22.5</v>
      </c>
      <c r="I1957" t="s">
        <v>179</v>
      </c>
      <c r="J1957" s="33" t="s">
        <v>489</v>
      </c>
      <c r="K1957" s="18">
        <f>VLOOKUP(D1957,Ingredients!C:G,5,0)</f>
        <v>950</v>
      </c>
      <c r="L1957" s="52">
        <f t="shared" si="61"/>
        <v>23.75</v>
      </c>
    </row>
    <row r="1958" spans="1:12">
      <c r="A1958" t="s">
        <v>191</v>
      </c>
      <c r="B1958" t="s">
        <v>349</v>
      </c>
      <c r="C1958" t="s">
        <v>352</v>
      </c>
      <c r="D1958" s="3" t="s">
        <v>895</v>
      </c>
      <c r="E1958" s="14">
        <v>0.02</v>
      </c>
      <c r="F1958" s="4" t="s">
        <v>179</v>
      </c>
      <c r="G1958" s="9">
        <v>400</v>
      </c>
      <c r="H1958" s="9">
        <f t="shared" si="60"/>
        <v>8</v>
      </c>
      <c r="I1958" t="s">
        <v>179</v>
      </c>
      <c r="J1958" s="33" t="s">
        <v>489</v>
      </c>
      <c r="K1958" s="18">
        <f>VLOOKUP(D1958,Ingredients!C:G,5,0)</f>
        <v>400</v>
      </c>
      <c r="L1958" s="52">
        <f t="shared" si="61"/>
        <v>8</v>
      </c>
    </row>
    <row r="1959" spans="1:12">
      <c r="A1959" t="s">
        <v>191</v>
      </c>
      <c r="B1959" t="s">
        <v>349</v>
      </c>
      <c r="C1959" t="s">
        <v>352</v>
      </c>
      <c r="D1959" s="3" t="s">
        <v>880</v>
      </c>
      <c r="E1959" s="14">
        <v>0.02</v>
      </c>
      <c r="F1959" s="4" t="s">
        <v>179</v>
      </c>
      <c r="G1959" s="9">
        <v>650</v>
      </c>
      <c r="H1959" s="9">
        <f t="shared" si="60"/>
        <v>13</v>
      </c>
      <c r="I1959" t="s">
        <v>179</v>
      </c>
      <c r="J1959" s="33" t="s">
        <v>489</v>
      </c>
      <c r="K1959" s="18">
        <f>VLOOKUP(D1959,Ingredients!C:G,5,0)</f>
        <v>520</v>
      </c>
      <c r="L1959" s="52">
        <f t="shared" si="61"/>
        <v>10.4</v>
      </c>
    </row>
    <row r="1960" spans="1:12">
      <c r="A1960" t="s">
        <v>191</v>
      </c>
      <c r="B1960" t="s">
        <v>349</v>
      </c>
      <c r="C1960" t="s">
        <v>352</v>
      </c>
      <c r="D1960" s="3" t="s">
        <v>858</v>
      </c>
      <c r="E1960" s="14">
        <v>0.01</v>
      </c>
      <c r="F1960" s="4" t="s">
        <v>179</v>
      </c>
      <c r="G1960" s="9">
        <v>1900</v>
      </c>
      <c r="H1960" s="9">
        <f t="shared" si="60"/>
        <v>19</v>
      </c>
      <c r="I1960" t="s">
        <v>179</v>
      </c>
      <c r="J1960" s="33" t="s">
        <v>489</v>
      </c>
      <c r="K1960" s="18">
        <f>VLOOKUP(D1960,Ingredients!C:G,5,0)</f>
        <v>1900</v>
      </c>
      <c r="L1960" s="52">
        <f t="shared" si="61"/>
        <v>19</v>
      </c>
    </row>
    <row r="1961" spans="1:12">
      <c r="A1961" t="s">
        <v>191</v>
      </c>
      <c r="B1961" t="s">
        <v>349</v>
      </c>
      <c r="C1961" t="s">
        <v>352</v>
      </c>
      <c r="D1961" s="3" t="s">
        <v>23</v>
      </c>
      <c r="E1961" s="14">
        <v>3.7499999999999999E-2</v>
      </c>
      <c r="F1961" s="4" t="s">
        <v>179</v>
      </c>
      <c r="G1961" s="9">
        <v>740</v>
      </c>
      <c r="H1961" s="9">
        <f t="shared" si="60"/>
        <v>27.75</v>
      </c>
      <c r="I1961" t="s">
        <v>179</v>
      </c>
      <c r="J1961" s="33" t="s">
        <v>489</v>
      </c>
      <c r="K1961" s="18">
        <f>VLOOKUP(D1961,Ingredients!C:G,5,0)</f>
        <v>780</v>
      </c>
      <c r="L1961" s="52">
        <f t="shared" si="61"/>
        <v>29.25</v>
      </c>
    </row>
    <row r="1962" spans="1:12">
      <c r="A1962" t="s">
        <v>191</v>
      </c>
      <c r="B1962" t="s">
        <v>349</v>
      </c>
      <c r="C1962" t="s">
        <v>352</v>
      </c>
      <c r="D1962" s="3" t="s">
        <v>927</v>
      </c>
      <c r="E1962" s="14">
        <v>0.3</v>
      </c>
      <c r="F1962" s="4" t="s">
        <v>176</v>
      </c>
      <c r="G1962" s="9">
        <v>600</v>
      </c>
      <c r="H1962" s="9">
        <f t="shared" si="60"/>
        <v>180</v>
      </c>
      <c r="I1962" t="s">
        <v>179</v>
      </c>
      <c r="J1962" s="33" t="s">
        <v>489</v>
      </c>
      <c r="K1962" s="18">
        <f>VLOOKUP(D1962,Ingredients!C:G,5,0)</f>
        <v>600</v>
      </c>
      <c r="L1962" s="52">
        <f t="shared" si="61"/>
        <v>180</v>
      </c>
    </row>
    <row r="1963" spans="1:12">
      <c r="A1963" t="s">
        <v>191</v>
      </c>
      <c r="B1963" t="s">
        <v>349</v>
      </c>
      <c r="C1963" t="s">
        <v>352</v>
      </c>
      <c r="D1963" s="3" t="s">
        <v>29</v>
      </c>
      <c r="E1963" s="14">
        <v>0.1</v>
      </c>
      <c r="F1963" s="4" t="s">
        <v>176</v>
      </c>
      <c r="G1963" s="9">
        <v>60</v>
      </c>
      <c r="H1963" s="9">
        <f t="shared" si="60"/>
        <v>6</v>
      </c>
      <c r="I1963" t="s">
        <v>179</v>
      </c>
      <c r="J1963" s="33" t="s">
        <v>489</v>
      </c>
      <c r="K1963" s="18">
        <f>VLOOKUP(D1963,Ingredients!C:G,5,0)</f>
        <v>100</v>
      </c>
      <c r="L1963" s="52">
        <f t="shared" si="61"/>
        <v>10</v>
      </c>
    </row>
    <row r="1964" spans="1:12">
      <c r="A1964" t="s">
        <v>191</v>
      </c>
      <c r="B1964" t="s">
        <v>349</v>
      </c>
      <c r="C1964" t="s">
        <v>352</v>
      </c>
      <c r="D1964" s="3" t="s">
        <v>862</v>
      </c>
      <c r="E1964" s="14">
        <v>0.01</v>
      </c>
      <c r="F1964" s="4" t="s">
        <v>179</v>
      </c>
      <c r="G1964" s="9">
        <v>6500</v>
      </c>
      <c r="H1964" s="9">
        <f t="shared" si="60"/>
        <v>65</v>
      </c>
      <c r="I1964" t="s">
        <v>179</v>
      </c>
      <c r="J1964" s="33" t="s">
        <v>489</v>
      </c>
      <c r="K1964" s="18">
        <f>VLOOKUP(D1964,Ingredients!C:G,5,0)</f>
        <v>6500</v>
      </c>
      <c r="L1964" s="52">
        <f t="shared" si="61"/>
        <v>65</v>
      </c>
    </row>
    <row r="1965" spans="1:12">
      <c r="A1965" t="s">
        <v>444</v>
      </c>
      <c r="B1965" t="s">
        <v>349</v>
      </c>
      <c r="C1965" t="s">
        <v>352</v>
      </c>
      <c r="D1965" s="3" t="s">
        <v>852</v>
      </c>
      <c r="E1965" s="14">
        <v>0.2</v>
      </c>
      <c r="F1965" s="4" t="s">
        <v>176</v>
      </c>
      <c r="G1965" s="9">
        <v>520.63</v>
      </c>
      <c r="H1965" s="9">
        <f t="shared" si="60"/>
        <v>104.126</v>
      </c>
      <c r="I1965" t="s">
        <v>179</v>
      </c>
      <c r="J1965" s="33" t="s">
        <v>490</v>
      </c>
      <c r="K1965" s="18">
        <v>550</v>
      </c>
      <c r="L1965" s="52">
        <f t="shared" si="61"/>
        <v>110</v>
      </c>
    </row>
    <row r="1966" spans="1:12">
      <c r="A1966" t="s">
        <v>444</v>
      </c>
      <c r="B1966" t="s">
        <v>349</v>
      </c>
      <c r="C1966" t="s">
        <v>352</v>
      </c>
      <c r="D1966" s="3" t="s">
        <v>833</v>
      </c>
      <c r="E1966" s="14">
        <v>1</v>
      </c>
      <c r="F1966" s="4" t="s">
        <v>176</v>
      </c>
      <c r="G1966" s="9">
        <v>1020</v>
      </c>
      <c r="H1966" s="9">
        <f t="shared" si="60"/>
        <v>1020</v>
      </c>
      <c r="I1966" t="s">
        <v>179</v>
      </c>
      <c r="J1966" s="33" t="s">
        <v>490</v>
      </c>
      <c r="K1966" s="18">
        <f>VLOOKUP(D1966,Ingredients!C:G,5,0)</f>
        <v>1000</v>
      </c>
      <c r="L1966" s="52">
        <f t="shared" si="61"/>
        <v>1000</v>
      </c>
    </row>
    <row r="1967" spans="1:12">
      <c r="A1967" t="s">
        <v>444</v>
      </c>
      <c r="B1967" t="s">
        <v>349</v>
      </c>
      <c r="C1967" t="s">
        <v>352</v>
      </c>
      <c r="D1967" s="3" t="s">
        <v>849</v>
      </c>
      <c r="E1967" s="14">
        <v>0.01</v>
      </c>
      <c r="F1967" s="4" t="s">
        <v>179</v>
      </c>
      <c r="G1967" s="9">
        <v>1000</v>
      </c>
      <c r="H1967" s="9">
        <f t="shared" si="60"/>
        <v>10</v>
      </c>
      <c r="I1967" t="s">
        <v>179</v>
      </c>
      <c r="J1967" s="33" t="s">
        <v>490</v>
      </c>
      <c r="K1967" s="18">
        <f>VLOOKUP(D1967,Ingredients!C:G,5,0)</f>
        <v>950</v>
      </c>
      <c r="L1967" s="52">
        <f t="shared" si="61"/>
        <v>9.5</v>
      </c>
    </row>
    <row r="1968" spans="1:12">
      <c r="A1968" t="s">
        <v>444</v>
      </c>
      <c r="B1968" t="s">
        <v>349</v>
      </c>
      <c r="C1968" t="s">
        <v>352</v>
      </c>
      <c r="D1968" s="3" t="s">
        <v>855</v>
      </c>
      <c r="E1968" s="14">
        <v>0.01</v>
      </c>
      <c r="F1968" s="4" t="s">
        <v>179</v>
      </c>
      <c r="G1968" s="9">
        <v>2400</v>
      </c>
      <c r="H1968" s="9">
        <f t="shared" si="60"/>
        <v>24</v>
      </c>
      <c r="I1968" t="s">
        <v>179</v>
      </c>
      <c r="J1968" s="33" t="s">
        <v>490</v>
      </c>
      <c r="K1968" s="18">
        <f>VLOOKUP(D1968,Ingredients!C:G,5,0)</f>
        <v>1600</v>
      </c>
      <c r="L1968" s="52">
        <f t="shared" si="61"/>
        <v>16</v>
      </c>
    </row>
    <row r="1969" spans="1:12">
      <c r="A1969" t="s">
        <v>444</v>
      </c>
      <c r="B1969" t="s">
        <v>349</v>
      </c>
      <c r="C1969" t="s">
        <v>352</v>
      </c>
      <c r="D1969" s="3" t="s">
        <v>867</v>
      </c>
      <c r="E1969" s="14">
        <v>0.01</v>
      </c>
      <c r="F1969" s="4" t="s">
        <v>179</v>
      </c>
      <c r="G1969" s="9">
        <v>900</v>
      </c>
      <c r="H1969" s="9">
        <f t="shared" si="60"/>
        <v>9</v>
      </c>
      <c r="I1969" t="s">
        <v>179</v>
      </c>
      <c r="J1969" s="33" t="s">
        <v>490</v>
      </c>
      <c r="K1969" s="18">
        <f>VLOOKUP(D1969,Ingredients!C:G,5,0)</f>
        <v>950</v>
      </c>
      <c r="L1969" s="52">
        <f t="shared" si="61"/>
        <v>9.5</v>
      </c>
    </row>
    <row r="1970" spans="1:12">
      <c r="A1970" t="s">
        <v>444</v>
      </c>
      <c r="B1970" t="s">
        <v>349</v>
      </c>
      <c r="C1970" t="s">
        <v>352</v>
      </c>
      <c r="D1970" s="3" t="s">
        <v>853</v>
      </c>
      <c r="E1970" s="14">
        <v>2.5000000000000001E-2</v>
      </c>
      <c r="F1970" s="4" t="s">
        <v>179</v>
      </c>
      <c r="G1970" s="9">
        <v>30</v>
      </c>
      <c r="H1970" s="9">
        <f t="shared" si="60"/>
        <v>0.75</v>
      </c>
      <c r="I1970" t="s">
        <v>179</v>
      </c>
      <c r="J1970" s="33" t="s">
        <v>490</v>
      </c>
      <c r="K1970" s="18">
        <f>VLOOKUP(D1970,Ingredients!C:G,5,0)</f>
        <v>55</v>
      </c>
      <c r="L1970" s="52">
        <f t="shared" si="61"/>
        <v>1.375</v>
      </c>
    </row>
    <row r="1971" spans="1:12">
      <c r="A1971" t="s">
        <v>444</v>
      </c>
      <c r="B1971" t="s">
        <v>349</v>
      </c>
      <c r="C1971" t="s">
        <v>352</v>
      </c>
      <c r="D1971" s="3" t="s">
        <v>23</v>
      </c>
      <c r="E1971" s="14">
        <v>2.5000000000000001E-2</v>
      </c>
      <c r="F1971" s="4" t="s">
        <v>179</v>
      </c>
      <c r="G1971" s="9">
        <v>740</v>
      </c>
      <c r="H1971" s="9">
        <f t="shared" si="60"/>
        <v>18.5</v>
      </c>
      <c r="I1971" t="s">
        <v>179</v>
      </c>
      <c r="J1971" s="33" t="s">
        <v>490</v>
      </c>
      <c r="K1971" s="18">
        <f>VLOOKUP(D1971,Ingredients!C:G,5,0)</f>
        <v>780</v>
      </c>
      <c r="L1971" s="52">
        <f t="shared" si="61"/>
        <v>19.5</v>
      </c>
    </row>
    <row r="1972" spans="1:12">
      <c r="A1972" t="s">
        <v>444</v>
      </c>
      <c r="B1972" t="s">
        <v>349</v>
      </c>
      <c r="C1972" t="s">
        <v>352</v>
      </c>
      <c r="D1972" s="3" t="s">
        <v>16</v>
      </c>
      <c r="E1972" s="14">
        <v>6.2500000000000003E-3</v>
      </c>
      <c r="F1972" s="4" t="s">
        <v>179</v>
      </c>
      <c r="G1972" s="9">
        <v>270</v>
      </c>
      <c r="H1972" s="9">
        <f t="shared" si="60"/>
        <v>1.6875</v>
      </c>
      <c r="I1972" t="s">
        <v>179</v>
      </c>
      <c r="J1972" s="33" t="s">
        <v>490</v>
      </c>
      <c r="K1972" s="18">
        <f>VLOOKUP(D1972,Ingredients!C:G,5,0)</f>
        <v>310</v>
      </c>
      <c r="L1972" s="52">
        <f t="shared" si="61"/>
        <v>1.9375</v>
      </c>
    </row>
    <row r="1973" spans="1:12">
      <c r="A1973" t="s">
        <v>444</v>
      </c>
      <c r="B1973" t="s">
        <v>349</v>
      </c>
      <c r="C1973" t="s">
        <v>352</v>
      </c>
      <c r="D1973" s="3" t="s">
        <v>28</v>
      </c>
      <c r="E1973" s="14">
        <v>0.3</v>
      </c>
      <c r="F1973" s="4" t="s">
        <v>176</v>
      </c>
      <c r="G1973" s="9">
        <v>85</v>
      </c>
      <c r="H1973" s="9">
        <f t="shared" si="60"/>
        <v>25.5</v>
      </c>
      <c r="I1973" t="s">
        <v>179</v>
      </c>
      <c r="J1973" s="33" t="s">
        <v>490</v>
      </c>
      <c r="K1973" s="18">
        <f>VLOOKUP(D1973,Ingredients!C:G,5,0)</f>
        <v>70</v>
      </c>
      <c r="L1973" s="52">
        <f t="shared" si="61"/>
        <v>21</v>
      </c>
    </row>
    <row r="1974" spans="1:12">
      <c r="A1974" t="s">
        <v>444</v>
      </c>
      <c r="B1974" t="s">
        <v>349</v>
      </c>
      <c r="C1974" t="s">
        <v>352</v>
      </c>
      <c r="D1974" s="3" t="s">
        <v>878</v>
      </c>
      <c r="E1974" s="14">
        <v>2.5000000000000001E-3</v>
      </c>
      <c r="F1974" s="4" t="s">
        <v>179</v>
      </c>
      <c r="G1974" s="9">
        <v>270</v>
      </c>
      <c r="H1974" s="9">
        <f t="shared" si="60"/>
        <v>0.67500000000000004</v>
      </c>
      <c r="I1974" t="s">
        <v>179</v>
      </c>
      <c r="J1974" s="33" t="s">
        <v>490</v>
      </c>
      <c r="K1974" s="18">
        <f>VLOOKUP(D1974,Ingredients!C:G,5,0)</f>
        <v>1260.55</v>
      </c>
      <c r="L1974" s="52">
        <f t="shared" si="61"/>
        <v>3.1513749999999998</v>
      </c>
    </row>
    <row r="1975" spans="1:12">
      <c r="A1975" t="s">
        <v>444</v>
      </c>
      <c r="B1975" t="s">
        <v>349</v>
      </c>
      <c r="C1975" t="s">
        <v>352</v>
      </c>
      <c r="D1975" s="3" t="s">
        <v>73</v>
      </c>
      <c r="E1975" s="14">
        <v>0.3</v>
      </c>
      <c r="F1975" s="4" t="s">
        <v>176</v>
      </c>
      <c r="G1975" s="9">
        <v>305</v>
      </c>
      <c r="H1975" s="9">
        <f t="shared" si="60"/>
        <v>91.5</v>
      </c>
      <c r="I1975" t="s">
        <v>179</v>
      </c>
      <c r="J1975" s="33" t="s">
        <v>490</v>
      </c>
      <c r="K1975" s="18">
        <f>VLOOKUP(D1975,Ingredients!C:G,5,0)</f>
        <v>300</v>
      </c>
      <c r="L1975" s="52">
        <f t="shared" si="61"/>
        <v>90</v>
      </c>
    </row>
    <row r="1976" spans="1:12">
      <c r="A1976" t="s">
        <v>444</v>
      </c>
      <c r="B1976" t="s">
        <v>349</v>
      </c>
      <c r="C1976" t="s">
        <v>352</v>
      </c>
      <c r="D1976" s="3" t="s">
        <v>860</v>
      </c>
      <c r="E1976" s="14">
        <v>0.01</v>
      </c>
      <c r="F1976" s="4" t="s">
        <v>179</v>
      </c>
      <c r="G1976" s="9">
        <v>2000</v>
      </c>
      <c r="H1976" s="9">
        <f t="shared" si="60"/>
        <v>20</v>
      </c>
      <c r="I1976" t="s">
        <v>179</v>
      </c>
      <c r="J1976" s="33" t="s">
        <v>490</v>
      </c>
      <c r="K1976" s="18">
        <f>VLOOKUP(D1976,Ingredients!C:G,5,0)</f>
        <v>1900</v>
      </c>
      <c r="L1976" s="52">
        <f t="shared" si="61"/>
        <v>19</v>
      </c>
    </row>
    <row r="1977" spans="1:12">
      <c r="A1977" t="s">
        <v>511</v>
      </c>
      <c r="B1977" t="s">
        <v>349</v>
      </c>
      <c r="C1977" t="s">
        <v>352</v>
      </c>
      <c r="D1977" s="3" t="s">
        <v>837</v>
      </c>
      <c r="E1977" s="14">
        <v>1</v>
      </c>
      <c r="F1977" s="4" t="s">
        <v>176</v>
      </c>
      <c r="G1977" s="9">
        <v>1700</v>
      </c>
      <c r="H1977" s="9">
        <f t="shared" si="60"/>
        <v>1700</v>
      </c>
      <c r="I1977" t="s">
        <v>179</v>
      </c>
      <c r="J1977" s="33" t="s">
        <v>514</v>
      </c>
      <c r="K1977" s="18">
        <f>VLOOKUP(D1977,Ingredients!C:G,5,0)</f>
        <v>1800</v>
      </c>
      <c r="L1977" s="52">
        <f t="shared" si="61"/>
        <v>1800</v>
      </c>
    </row>
    <row r="1978" spans="1:12">
      <c r="A1978" t="s">
        <v>511</v>
      </c>
      <c r="B1978" t="s">
        <v>349</v>
      </c>
      <c r="C1978" t="s">
        <v>352</v>
      </c>
      <c r="D1978" s="3" t="s">
        <v>852</v>
      </c>
      <c r="E1978" s="14">
        <v>0.2</v>
      </c>
      <c r="F1978" s="4" t="s">
        <v>176</v>
      </c>
      <c r="G1978" s="9">
        <v>520.63</v>
      </c>
      <c r="H1978" s="9">
        <f t="shared" si="60"/>
        <v>104.126</v>
      </c>
      <c r="I1978" t="s">
        <v>179</v>
      </c>
      <c r="J1978" s="33" t="s">
        <v>514</v>
      </c>
      <c r="K1978" s="18">
        <v>550</v>
      </c>
      <c r="L1978" s="52">
        <f t="shared" si="61"/>
        <v>110</v>
      </c>
    </row>
    <row r="1979" spans="1:12">
      <c r="A1979" t="s">
        <v>511</v>
      </c>
      <c r="B1979" t="s">
        <v>349</v>
      </c>
      <c r="C1979" t="s">
        <v>352</v>
      </c>
      <c r="D1979" s="3" t="s">
        <v>867</v>
      </c>
      <c r="E1979" s="14">
        <v>0.01</v>
      </c>
      <c r="F1979" s="4" t="s">
        <v>179</v>
      </c>
      <c r="G1979" s="9">
        <v>900</v>
      </c>
      <c r="H1979" s="9">
        <f t="shared" si="60"/>
        <v>9</v>
      </c>
      <c r="I1979" t="s">
        <v>179</v>
      </c>
      <c r="J1979" s="33" t="s">
        <v>514</v>
      </c>
      <c r="K1979" s="18">
        <f>VLOOKUP(D1979,Ingredients!C:G,5,0)</f>
        <v>950</v>
      </c>
      <c r="L1979" s="52">
        <f t="shared" si="61"/>
        <v>9.5</v>
      </c>
    </row>
    <row r="1980" spans="1:12">
      <c r="A1980" t="s">
        <v>511</v>
      </c>
      <c r="B1980" t="s">
        <v>349</v>
      </c>
      <c r="C1980" t="s">
        <v>352</v>
      </c>
      <c r="D1980" s="3" t="s">
        <v>853</v>
      </c>
      <c r="E1980" s="14">
        <v>5.0000000000000001E-3</v>
      </c>
      <c r="F1980" s="4" t="s">
        <v>179</v>
      </c>
      <c r="G1980" s="9">
        <v>30</v>
      </c>
      <c r="H1980" s="9">
        <f t="shared" si="60"/>
        <v>0.15</v>
      </c>
      <c r="I1980" t="s">
        <v>179</v>
      </c>
      <c r="J1980" s="33" t="s">
        <v>514</v>
      </c>
      <c r="K1980" s="18">
        <f>VLOOKUP(D1980,Ingredients!C:G,5,0)</f>
        <v>55</v>
      </c>
      <c r="L1980" s="52">
        <f t="shared" si="61"/>
        <v>0.27500000000000002</v>
      </c>
    </row>
    <row r="1981" spans="1:12">
      <c r="A1981" t="s">
        <v>511</v>
      </c>
      <c r="B1981" t="s">
        <v>349</v>
      </c>
      <c r="C1981" t="s">
        <v>352</v>
      </c>
      <c r="D1981" s="3" t="s">
        <v>880</v>
      </c>
      <c r="E1981" s="14">
        <v>1.4999999999999999E-2</v>
      </c>
      <c r="F1981" s="4" t="s">
        <v>179</v>
      </c>
      <c r="G1981" s="9">
        <v>650</v>
      </c>
      <c r="H1981" s="9">
        <f t="shared" si="60"/>
        <v>9.75</v>
      </c>
      <c r="I1981" t="s">
        <v>179</v>
      </c>
      <c r="J1981" s="33" t="s">
        <v>514</v>
      </c>
      <c r="K1981" s="18">
        <f>VLOOKUP(D1981,Ingredients!C:G,5,0)</f>
        <v>520</v>
      </c>
      <c r="L1981" s="52">
        <f t="shared" si="61"/>
        <v>7.8</v>
      </c>
    </row>
    <row r="1982" spans="1:12">
      <c r="A1982" t="s">
        <v>511</v>
      </c>
      <c r="B1982" t="s">
        <v>349</v>
      </c>
      <c r="C1982" t="s">
        <v>352</v>
      </c>
      <c r="D1982" s="3" t="s">
        <v>895</v>
      </c>
      <c r="E1982" s="14">
        <v>2.1999999999999999E-2</v>
      </c>
      <c r="F1982" s="4" t="s">
        <v>179</v>
      </c>
      <c r="G1982" s="9">
        <v>400</v>
      </c>
      <c r="H1982" s="9">
        <f t="shared" ref="H1982:H2045" si="62">G1982*E1982</f>
        <v>8.7999999999999989</v>
      </c>
      <c r="I1982" t="s">
        <v>179</v>
      </c>
      <c r="J1982" s="33" t="s">
        <v>514</v>
      </c>
      <c r="K1982" s="18">
        <f>VLOOKUP(D1982,Ingredients!C:G,5,0)</f>
        <v>400</v>
      </c>
      <c r="L1982" s="52">
        <f t="shared" si="61"/>
        <v>8.7999999999999989</v>
      </c>
    </row>
    <row r="1983" spans="1:12">
      <c r="A1983" t="s">
        <v>511</v>
      </c>
      <c r="B1983" t="s">
        <v>349</v>
      </c>
      <c r="C1983" t="s">
        <v>352</v>
      </c>
      <c r="D1983" s="3" t="s">
        <v>860</v>
      </c>
      <c r="E1983" s="14">
        <v>1.4E-2</v>
      </c>
      <c r="F1983" s="4" t="s">
        <v>179</v>
      </c>
      <c r="G1983" s="9">
        <v>2000</v>
      </c>
      <c r="H1983" s="9">
        <f t="shared" si="62"/>
        <v>28</v>
      </c>
      <c r="I1983" t="s">
        <v>179</v>
      </c>
      <c r="J1983" s="33" t="s">
        <v>514</v>
      </c>
      <c r="K1983" s="18">
        <f>VLOOKUP(D1983,Ingredients!C:G,5,0)</f>
        <v>1900</v>
      </c>
      <c r="L1983" s="52">
        <f t="shared" si="61"/>
        <v>26.6</v>
      </c>
    </row>
    <row r="1984" spans="1:12">
      <c r="A1984" t="s">
        <v>511</v>
      </c>
      <c r="B1984" t="s">
        <v>349</v>
      </c>
      <c r="C1984" t="s">
        <v>352</v>
      </c>
      <c r="D1984" s="3" t="s">
        <v>931</v>
      </c>
      <c r="E1984" s="14">
        <v>8.0000000000000002E-3</v>
      </c>
      <c r="F1984" s="4" t="s">
        <v>179</v>
      </c>
      <c r="G1984" s="9">
        <v>4000</v>
      </c>
      <c r="H1984" s="9">
        <f t="shared" si="62"/>
        <v>32</v>
      </c>
      <c r="I1984" t="s">
        <v>179</v>
      </c>
      <c r="J1984" s="33" t="s">
        <v>514</v>
      </c>
      <c r="K1984" s="18">
        <f>VLOOKUP(D1984,Ingredients!C:G,5,0)</f>
        <v>2900</v>
      </c>
      <c r="L1984" s="52">
        <f t="shared" si="61"/>
        <v>23.2</v>
      </c>
    </row>
    <row r="1985" spans="1:12">
      <c r="A1985" t="s">
        <v>511</v>
      </c>
      <c r="B1985" t="s">
        <v>349</v>
      </c>
      <c r="C1985" t="s">
        <v>352</v>
      </c>
      <c r="D1985" s="3" t="s">
        <v>849</v>
      </c>
      <c r="E1985" s="14">
        <v>0.02</v>
      </c>
      <c r="F1985" s="4" t="s">
        <v>179</v>
      </c>
      <c r="G1985" s="9">
        <v>1000</v>
      </c>
      <c r="H1985" s="9">
        <f t="shared" si="62"/>
        <v>20</v>
      </c>
      <c r="I1985" t="s">
        <v>179</v>
      </c>
      <c r="J1985" s="33" t="s">
        <v>514</v>
      </c>
      <c r="K1985" s="18">
        <f>VLOOKUP(D1985,Ingredients!C:G,5,0)</f>
        <v>950</v>
      </c>
      <c r="L1985" s="52">
        <f t="shared" si="61"/>
        <v>19</v>
      </c>
    </row>
    <row r="1986" spans="1:12">
      <c r="A1986" t="s">
        <v>511</v>
      </c>
      <c r="B1986" t="s">
        <v>349</v>
      </c>
      <c r="C1986" t="s">
        <v>352</v>
      </c>
      <c r="D1986" s="3" t="s">
        <v>850</v>
      </c>
      <c r="E1986" s="14">
        <v>5.0000000000000001E-3</v>
      </c>
      <c r="F1986" s="4" t="s">
        <v>179</v>
      </c>
      <c r="G1986" s="9">
        <v>700</v>
      </c>
      <c r="H1986" s="9">
        <f t="shared" si="62"/>
        <v>3.5</v>
      </c>
      <c r="I1986" t="s">
        <v>179</v>
      </c>
      <c r="J1986" s="33" t="s">
        <v>514</v>
      </c>
      <c r="K1986" s="18">
        <f>VLOOKUP(D1986,Ingredients!C:G,5,0)</f>
        <v>700</v>
      </c>
      <c r="L1986" s="52">
        <f t="shared" si="61"/>
        <v>3.5</v>
      </c>
    </row>
    <row r="1987" spans="1:12">
      <c r="A1987" t="s">
        <v>511</v>
      </c>
      <c r="B1987" t="s">
        <v>349</v>
      </c>
      <c r="C1987" t="s">
        <v>352</v>
      </c>
      <c r="D1987" s="3" t="s">
        <v>928</v>
      </c>
      <c r="E1987" s="14">
        <v>5.0000000000000001E-3</v>
      </c>
      <c r="F1987" s="4" t="s">
        <v>179</v>
      </c>
      <c r="G1987" s="9">
        <v>850</v>
      </c>
      <c r="H1987" s="9">
        <f t="shared" si="62"/>
        <v>4.25</v>
      </c>
      <c r="I1987" t="s">
        <v>179</v>
      </c>
      <c r="J1987" s="33" t="s">
        <v>514</v>
      </c>
      <c r="K1987" s="18">
        <f>VLOOKUP(D1987,Ingredients!C:G,5,0)</f>
        <v>900</v>
      </c>
      <c r="L1987" s="52">
        <f t="shared" si="61"/>
        <v>4.5</v>
      </c>
    </row>
    <row r="1988" spans="1:12">
      <c r="A1988" t="s">
        <v>511</v>
      </c>
      <c r="B1988" t="s">
        <v>349</v>
      </c>
      <c r="C1988" t="s">
        <v>352</v>
      </c>
      <c r="D1988" s="3" t="s">
        <v>23</v>
      </c>
      <c r="E1988" s="14">
        <v>5.0000000000000001E-3</v>
      </c>
      <c r="F1988" s="4" t="s">
        <v>179</v>
      </c>
      <c r="G1988" s="9">
        <v>740</v>
      </c>
      <c r="H1988" s="9">
        <f t="shared" si="62"/>
        <v>3.7</v>
      </c>
      <c r="I1988" t="s">
        <v>179</v>
      </c>
      <c r="J1988" s="33" t="s">
        <v>514</v>
      </c>
      <c r="K1988" s="18">
        <f>VLOOKUP(D1988,Ingredients!C:G,5,0)</f>
        <v>780</v>
      </c>
      <c r="L1988" s="52">
        <f t="shared" ref="L1988:L2051" si="63">K1988*E1988</f>
        <v>3.9</v>
      </c>
    </row>
    <row r="1989" spans="1:12">
      <c r="A1989" t="s">
        <v>511</v>
      </c>
      <c r="B1989" t="s">
        <v>349</v>
      </c>
      <c r="C1989" t="s">
        <v>352</v>
      </c>
      <c r="D1989" s="3" t="s">
        <v>24</v>
      </c>
      <c r="E1989" s="14">
        <v>0.2</v>
      </c>
      <c r="F1989" s="4" t="s">
        <v>176</v>
      </c>
      <c r="G1989" s="9">
        <v>55</v>
      </c>
      <c r="H1989" s="9">
        <f t="shared" si="62"/>
        <v>11</v>
      </c>
      <c r="I1989" t="s">
        <v>179</v>
      </c>
      <c r="J1989" s="33" t="s">
        <v>514</v>
      </c>
      <c r="K1989" s="18">
        <f>VLOOKUP(D1989,Ingredients!C:G,5,0)</f>
        <v>80</v>
      </c>
      <c r="L1989" s="52">
        <f t="shared" si="63"/>
        <v>16</v>
      </c>
    </row>
    <row r="1990" spans="1:12">
      <c r="A1990" t="s">
        <v>511</v>
      </c>
      <c r="B1990" t="s">
        <v>349</v>
      </c>
      <c r="C1990" t="s">
        <v>352</v>
      </c>
      <c r="D1990" s="3" t="s">
        <v>28</v>
      </c>
      <c r="E1990" s="14">
        <v>0.25</v>
      </c>
      <c r="F1990" s="4" t="s">
        <v>176</v>
      </c>
      <c r="G1990" s="9">
        <v>85</v>
      </c>
      <c r="H1990" s="9">
        <f t="shared" si="62"/>
        <v>21.25</v>
      </c>
      <c r="I1990" t="s">
        <v>179</v>
      </c>
      <c r="J1990" s="33" t="s">
        <v>514</v>
      </c>
      <c r="K1990" s="18">
        <f>VLOOKUP(D1990,Ingredients!C:G,5,0)</f>
        <v>70</v>
      </c>
      <c r="L1990" s="52">
        <f t="shared" si="63"/>
        <v>17.5</v>
      </c>
    </row>
    <row r="1991" spans="1:12">
      <c r="A1991" t="s">
        <v>511</v>
      </c>
      <c r="B1991" t="s">
        <v>349</v>
      </c>
      <c r="C1991" t="s">
        <v>352</v>
      </c>
      <c r="D1991" s="3" t="s">
        <v>943</v>
      </c>
      <c r="E1991" s="14">
        <v>0.04</v>
      </c>
      <c r="F1991" s="4" t="s">
        <v>179</v>
      </c>
      <c r="G1991" s="9">
        <v>450</v>
      </c>
      <c r="H1991" s="9">
        <f t="shared" si="62"/>
        <v>18</v>
      </c>
      <c r="I1991" t="s">
        <v>179</v>
      </c>
      <c r="J1991" s="33" t="s">
        <v>514</v>
      </c>
      <c r="K1991" s="18">
        <f>VLOOKUP(D1991,Ingredients!C:G,5,0)</f>
        <v>450</v>
      </c>
      <c r="L1991" s="52">
        <f t="shared" si="63"/>
        <v>18</v>
      </c>
    </row>
    <row r="1992" spans="1:12">
      <c r="A1992" t="s">
        <v>445</v>
      </c>
      <c r="B1992" t="s">
        <v>349</v>
      </c>
      <c r="C1992" t="s">
        <v>352</v>
      </c>
      <c r="D1992" s="3" t="s">
        <v>845</v>
      </c>
      <c r="E1992" s="14">
        <v>1</v>
      </c>
      <c r="F1992" s="4" t="s">
        <v>521</v>
      </c>
      <c r="G1992" s="9">
        <v>1100</v>
      </c>
      <c r="H1992" s="9">
        <f t="shared" si="62"/>
        <v>1100</v>
      </c>
      <c r="I1992" t="s">
        <v>521</v>
      </c>
      <c r="J1992" s="33" t="s">
        <v>445</v>
      </c>
      <c r="K1992" s="18">
        <f>VLOOKUP(D1992,Ingredients!C:G,5,0)</f>
        <v>480</v>
      </c>
      <c r="L1992" s="52">
        <f t="shared" si="63"/>
        <v>480</v>
      </c>
    </row>
    <row r="1993" spans="1:12">
      <c r="A1993" t="s">
        <v>445</v>
      </c>
      <c r="B1993" t="s">
        <v>349</v>
      </c>
      <c r="C1993" t="s">
        <v>352</v>
      </c>
      <c r="D1993" s="3" t="s">
        <v>852</v>
      </c>
      <c r="E1993" s="14">
        <v>0.1</v>
      </c>
      <c r="F1993" s="4" t="s">
        <v>176</v>
      </c>
      <c r="G1993" s="9">
        <v>520.63</v>
      </c>
      <c r="H1993" s="9">
        <f t="shared" si="62"/>
        <v>52.063000000000002</v>
      </c>
      <c r="I1993" t="s">
        <v>521</v>
      </c>
      <c r="J1993" s="33" t="s">
        <v>445</v>
      </c>
      <c r="K1993" s="18">
        <v>550</v>
      </c>
      <c r="L1993" s="52">
        <f t="shared" si="63"/>
        <v>55</v>
      </c>
    </row>
    <row r="1994" spans="1:12">
      <c r="A1994" t="s">
        <v>445</v>
      </c>
      <c r="B1994" t="s">
        <v>349</v>
      </c>
      <c r="C1994" t="s">
        <v>352</v>
      </c>
      <c r="D1994" s="3" t="s">
        <v>880</v>
      </c>
      <c r="E1994" s="14">
        <v>2E-3</v>
      </c>
      <c r="F1994" s="4" t="s">
        <v>179</v>
      </c>
      <c r="G1994" s="9">
        <v>650</v>
      </c>
      <c r="H1994" s="9">
        <f t="shared" si="62"/>
        <v>1.3</v>
      </c>
      <c r="I1994" t="s">
        <v>521</v>
      </c>
      <c r="J1994" s="33" t="s">
        <v>445</v>
      </c>
      <c r="K1994" s="18">
        <f>VLOOKUP(D1994,Ingredients!C:G,5,0)</f>
        <v>520</v>
      </c>
      <c r="L1994" s="52">
        <f t="shared" si="63"/>
        <v>1.04</v>
      </c>
    </row>
    <row r="1995" spans="1:12">
      <c r="A1995" t="s">
        <v>445</v>
      </c>
      <c r="B1995" t="s">
        <v>349</v>
      </c>
      <c r="C1995" t="s">
        <v>352</v>
      </c>
      <c r="D1995" s="3" t="s">
        <v>864</v>
      </c>
      <c r="E1995" s="14">
        <v>4.0000000000000001E-3</v>
      </c>
      <c r="F1995" s="4" t="s">
        <v>179</v>
      </c>
      <c r="G1995" s="9">
        <v>1400</v>
      </c>
      <c r="H1995" s="9">
        <f t="shared" si="62"/>
        <v>5.6000000000000005</v>
      </c>
      <c r="I1995" t="s">
        <v>521</v>
      </c>
      <c r="J1995" s="33" t="s">
        <v>445</v>
      </c>
      <c r="K1995" s="18">
        <f>VLOOKUP(D1995,Ingredients!C:G,5,0)</f>
        <v>1400</v>
      </c>
      <c r="L1995" s="52">
        <f t="shared" si="63"/>
        <v>5.6000000000000005</v>
      </c>
    </row>
    <row r="1996" spans="1:12">
      <c r="A1996" t="s">
        <v>445</v>
      </c>
      <c r="B1996" t="s">
        <v>349</v>
      </c>
      <c r="C1996" t="s">
        <v>352</v>
      </c>
      <c r="D1996" s="3" t="s">
        <v>931</v>
      </c>
      <c r="E1996" s="14">
        <v>4.0000000000000001E-3</v>
      </c>
      <c r="F1996" s="4" t="s">
        <v>179</v>
      </c>
      <c r="G1996" s="9">
        <v>4000</v>
      </c>
      <c r="H1996" s="9">
        <f t="shared" si="62"/>
        <v>16</v>
      </c>
      <c r="I1996" t="s">
        <v>521</v>
      </c>
      <c r="J1996" s="33" t="s">
        <v>445</v>
      </c>
      <c r="K1996" s="18">
        <f>VLOOKUP(D1996,Ingredients!C:G,5,0)</f>
        <v>2900</v>
      </c>
      <c r="L1996" s="52">
        <f t="shared" si="63"/>
        <v>11.6</v>
      </c>
    </row>
    <row r="1997" spans="1:12">
      <c r="A1997" t="s">
        <v>445</v>
      </c>
      <c r="B1997" t="s">
        <v>349</v>
      </c>
      <c r="C1997" t="s">
        <v>352</v>
      </c>
      <c r="D1997" s="3" t="s">
        <v>955</v>
      </c>
      <c r="E1997" s="14">
        <v>2E-3</v>
      </c>
      <c r="F1997" s="4" t="s">
        <v>179</v>
      </c>
      <c r="G1997" s="9">
        <v>3600</v>
      </c>
      <c r="H1997" s="9">
        <f t="shared" si="62"/>
        <v>7.2</v>
      </c>
      <c r="I1997" t="s">
        <v>521</v>
      </c>
      <c r="J1997" s="33" t="s">
        <v>445</v>
      </c>
      <c r="K1997" s="18">
        <f>VLOOKUP(D1997,Ingredients!C:G,5,0)</f>
        <v>3400</v>
      </c>
      <c r="L1997" s="52">
        <f t="shared" si="63"/>
        <v>6.8</v>
      </c>
    </row>
    <row r="1998" spans="1:12">
      <c r="A1998" t="s">
        <v>445</v>
      </c>
      <c r="B1998" t="s">
        <v>349</v>
      </c>
      <c r="C1998" t="s">
        <v>352</v>
      </c>
      <c r="D1998" s="3" t="s">
        <v>928</v>
      </c>
      <c r="E1998" s="14">
        <v>4.0000000000000001E-3</v>
      </c>
      <c r="F1998" s="4" t="s">
        <v>179</v>
      </c>
      <c r="G1998" s="9">
        <v>850</v>
      </c>
      <c r="H1998" s="9">
        <f t="shared" si="62"/>
        <v>3.4</v>
      </c>
      <c r="I1998" t="s">
        <v>521</v>
      </c>
      <c r="J1998" s="33" t="s">
        <v>445</v>
      </c>
      <c r="K1998" s="18">
        <f>VLOOKUP(D1998,Ingredients!C:G,5,0)</f>
        <v>900</v>
      </c>
      <c r="L1998" s="52">
        <f t="shared" si="63"/>
        <v>3.6</v>
      </c>
    </row>
    <row r="1999" spans="1:12">
      <c r="A1999" t="s">
        <v>445</v>
      </c>
      <c r="B1999" t="s">
        <v>349</v>
      </c>
      <c r="C1999" t="s">
        <v>352</v>
      </c>
      <c r="D1999" s="3" t="s">
        <v>862</v>
      </c>
      <c r="E1999" s="14">
        <v>1E-3</v>
      </c>
      <c r="F1999" s="4" t="s">
        <v>179</v>
      </c>
      <c r="G1999" s="9">
        <v>6500</v>
      </c>
      <c r="H1999" s="9">
        <f t="shared" si="62"/>
        <v>6.5</v>
      </c>
      <c r="I1999" t="s">
        <v>521</v>
      </c>
      <c r="J1999" s="33" t="s">
        <v>445</v>
      </c>
      <c r="K1999" s="18">
        <f>VLOOKUP(D1999,Ingredients!C:G,5,0)</f>
        <v>6500</v>
      </c>
      <c r="L1999" s="52">
        <f t="shared" si="63"/>
        <v>6.5</v>
      </c>
    </row>
    <row r="2000" spans="1:12">
      <c r="A2000" t="s">
        <v>445</v>
      </c>
      <c r="B2000" t="s">
        <v>349</v>
      </c>
      <c r="C2000" t="s">
        <v>352</v>
      </c>
      <c r="D2000" s="3" t="s">
        <v>954</v>
      </c>
      <c r="E2000" s="14">
        <v>2E-3</v>
      </c>
      <c r="F2000" s="4" t="s">
        <v>179</v>
      </c>
      <c r="G2000" s="9">
        <v>1900</v>
      </c>
      <c r="H2000" s="9">
        <f t="shared" si="62"/>
        <v>3.8000000000000003</v>
      </c>
      <c r="I2000" t="s">
        <v>521</v>
      </c>
      <c r="J2000" s="33" t="s">
        <v>445</v>
      </c>
      <c r="K2000" s="18">
        <f>VLOOKUP(D2000,Ingredients!C:G,5,0)</f>
        <v>2000</v>
      </c>
      <c r="L2000" s="52">
        <f t="shared" si="63"/>
        <v>4</v>
      </c>
    </row>
    <row r="2001" spans="1:12">
      <c r="A2001" t="s">
        <v>445</v>
      </c>
      <c r="B2001" t="s">
        <v>349</v>
      </c>
      <c r="C2001" t="s">
        <v>352</v>
      </c>
      <c r="D2001" s="3" t="s">
        <v>867</v>
      </c>
      <c r="E2001" s="14">
        <v>0.01</v>
      </c>
      <c r="F2001" s="4" t="s">
        <v>179</v>
      </c>
      <c r="G2001" s="9">
        <v>900</v>
      </c>
      <c r="H2001" s="9">
        <f t="shared" si="62"/>
        <v>9</v>
      </c>
      <c r="I2001" t="s">
        <v>521</v>
      </c>
      <c r="J2001" s="33" t="s">
        <v>445</v>
      </c>
      <c r="K2001" s="18">
        <f>VLOOKUP(D2001,Ingredients!C:G,5,0)</f>
        <v>950</v>
      </c>
      <c r="L2001" s="52">
        <f t="shared" si="63"/>
        <v>9.5</v>
      </c>
    </row>
    <row r="2002" spans="1:12">
      <c r="A2002" t="s">
        <v>445</v>
      </c>
      <c r="B2002" t="s">
        <v>349</v>
      </c>
      <c r="C2002" t="s">
        <v>352</v>
      </c>
      <c r="D2002" s="3" t="s">
        <v>853</v>
      </c>
      <c r="E2002" s="14">
        <v>4.0000000000000001E-3</v>
      </c>
      <c r="F2002" s="4" t="s">
        <v>315</v>
      </c>
      <c r="G2002" s="9">
        <v>30</v>
      </c>
      <c r="H2002" s="9">
        <f t="shared" si="62"/>
        <v>0.12</v>
      </c>
      <c r="I2002" t="s">
        <v>521</v>
      </c>
      <c r="J2002" s="33" t="s">
        <v>445</v>
      </c>
      <c r="K2002" s="18">
        <f>VLOOKUP(D2002,Ingredients!C:G,5,0)</f>
        <v>55</v>
      </c>
      <c r="L2002" s="52">
        <f t="shared" si="63"/>
        <v>0.22</v>
      </c>
    </row>
    <row r="2003" spans="1:12">
      <c r="A2003" t="s">
        <v>445</v>
      </c>
      <c r="B2003" t="s">
        <v>349</v>
      </c>
      <c r="C2003" t="s">
        <v>352</v>
      </c>
      <c r="D2003" s="3" t="s">
        <v>23</v>
      </c>
      <c r="E2003" s="14">
        <v>4.0000000000000001E-3</v>
      </c>
      <c r="F2003" s="4" t="s">
        <v>176</v>
      </c>
      <c r="G2003" s="9">
        <v>740</v>
      </c>
      <c r="H2003" s="9">
        <f t="shared" si="62"/>
        <v>2.96</v>
      </c>
      <c r="I2003" t="s">
        <v>521</v>
      </c>
      <c r="J2003" s="33" t="s">
        <v>445</v>
      </c>
      <c r="K2003" s="18">
        <f>VLOOKUP(D2003,Ingredients!C:G,5,0)</f>
        <v>780</v>
      </c>
      <c r="L2003" s="52">
        <f t="shared" si="63"/>
        <v>3.12</v>
      </c>
    </row>
    <row r="2004" spans="1:12">
      <c r="A2004" t="s">
        <v>445</v>
      </c>
      <c r="B2004" t="s">
        <v>349</v>
      </c>
      <c r="C2004" t="s">
        <v>352</v>
      </c>
      <c r="D2004" s="3" t="s">
        <v>16</v>
      </c>
      <c r="E2004" s="14">
        <v>0.03</v>
      </c>
      <c r="F2004" s="4" t="s">
        <v>176</v>
      </c>
      <c r="G2004" s="9">
        <v>270</v>
      </c>
      <c r="H2004" s="9">
        <f t="shared" si="62"/>
        <v>8.1</v>
      </c>
      <c r="I2004" t="s">
        <v>521</v>
      </c>
      <c r="J2004" s="33" t="s">
        <v>445</v>
      </c>
      <c r="K2004" s="18">
        <f>VLOOKUP(D2004,Ingredients!C:G,5,0)</f>
        <v>310</v>
      </c>
      <c r="L2004" s="52">
        <f t="shared" si="63"/>
        <v>9.2999999999999989</v>
      </c>
    </row>
    <row r="2005" spans="1:12">
      <c r="A2005" t="s">
        <v>445</v>
      </c>
      <c r="B2005" t="s">
        <v>349</v>
      </c>
      <c r="C2005" t="s">
        <v>352</v>
      </c>
      <c r="D2005" s="3" t="s">
        <v>842</v>
      </c>
      <c r="E2005" s="14">
        <v>0.03</v>
      </c>
      <c r="F2005" s="4" t="s">
        <v>179</v>
      </c>
      <c r="G2005" s="9">
        <v>190</v>
      </c>
      <c r="H2005" s="9">
        <f t="shared" si="62"/>
        <v>5.7</v>
      </c>
      <c r="I2005" t="s">
        <v>521</v>
      </c>
      <c r="J2005" s="33" t="s">
        <v>445</v>
      </c>
      <c r="K2005" s="18">
        <f>VLOOKUP(D2005,Ingredients!C:G,5,0)</f>
        <v>1700</v>
      </c>
      <c r="L2005" s="52">
        <f t="shared" si="63"/>
        <v>51</v>
      </c>
    </row>
    <row r="2006" spans="1:12">
      <c r="A2006" t="s">
        <v>445</v>
      </c>
      <c r="B2006" t="s">
        <v>349</v>
      </c>
      <c r="C2006" t="s">
        <v>352</v>
      </c>
      <c r="D2006" s="3" t="s">
        <v>24</v>
      </c>
      <c r="E2006" s="14">
        <v>0.1</v>
      </c>
      <c r="F2006" s="4" t="s">
        <v>176</v>
      </c>
      <c r="G2006" s="9">
        <v>55</v>
      </c>
      <c r="H2006" s="9">
        <f t="shared" si="62"/>
        <v>5.5</v>
      </c>
      <c r="I2006" t="s">
        <v>521</v>
      </c>
      <c r="J2006" s="33" t="s">
        <v>445</v>
      </c>
      <c r="K2006" s="18">
        <f>VLOOKUP(D2006,Ingredients!C:G,5,0)</f>
        <v>80</v>
      </c>
      <c r="L2006" s="52">
        <f t="shared" si="63"/>
        <v>8</v>
      </c>
    </row>
    <row r="2007" spans="1:12">
      <c r="A2007" t="s">
        <v>445</v>
      </c>
      <c r="B2007" t="s">
        <v>349</v>
      </c>
      <c r="C2007" t="s">
        <v>352</v>
      </c>
      <c r="D2007" s="3" t="s">
        <v>29</v>
      </c>
      <c r="E2007" s="14">
        <v>4.0000000000000001E-3</v>
      </c>
      <c r="F2007" s="4" t="s">
        <v>176</v>
      </c>
      <c r="G2007" s="9">
        <v>60</v>
      </c>
      <c r="H2007" s="9">
        <f t="shared" si="62"/>
        <v>0.24</v>
      </c>
      <c r="I2007" t="s">
        <v>521</v>
      </c>
      <c r="J2007" s="33" t="s">
        <v>445</v>
      </c>
      <c r="K2007" s="18">
        <f>VLOOKUP(D2007,Ingredients!C:G,5,0)</f>
        <v>100</v>
      </c>
      <c r="L2007" s="52">
        <f t="shared" si="63"/>
        <v>0.4</v>
      </c>
    </row>
    <row r="2008" spans="1:12">
      <c r="A2008" t="s">
        <v>445</v>
      </c>
      <c r="B2008" t="s">
        <v>349</v>
      </c>
      <c r="C2008" t="s">
        <v>352</v>
      </c>
      <c r="D2008" s="3" t="s">
        <v>860</v>
      </c>
      <c r="E2008" s="14">
        <v>2E-3</v>
      </c>
      <c r="F2008" s="4" t="s">
        <v>176</v>
      </c>
      <c r="G2008" s="9">
        <v>2000</v>
      </c>
      <c r="H2008" s="9">
        <f t="shared" si="62"/>
        <v>4</v>
      </c>
      <c r="I2008" t="s">
        <v>521</v>
      </c>
      <c r="J2008" s="33" t="s">
        <v>445</v>
      </c>
      <c r="K2008" s="18">
        <f>VLOOKUP(D2008,Ingredients!C:G,5,0)</f>
        <v>1900</v>
      </c>
      <c r="L2008" s="52">
        <f t="shared" si="63"/>
        <v>3.8000000000000003</v>
      </c>
    </row>
    <row r="2009" spans="1:12">
      <c r="A2009" t="s">
        <v>445</v>
      </c>
      <c r="B2009" t="s">
        <v>349</v>
      </c>
      <c r="C2009" t="s">
        <v>352</v>
      </c>
      <c r="D2009" s="3" t="s">
        <v>895</v>
      </c>
      <c r="E2009" s="14">
        <v>2E-3</v>
      </c>
      <c r="F2009" s="4" t="s">
        <v>179</v>
      </c>
      <c r="G2009" s="9">
        <v>400</v>
      </c>
      <c r="H2009" s="9">
        <f t="shared" si="62"/>
        <v>0.8</v>
      </c>
      <c r="I2009" t="s">
        <v>521</v>
      </c>
      <c r="J2009" s="33" t="s">
        <v>445</v>
      </c>
      <c r="K2009" s="18">
        <f>VLOOKUP(D2009,Ingredients!C:G,5,0)</f>
        <v>400</v>
      </c>
      <c r="L2009" s="52">
        <f t="shared" si="63"/>
        <v>0.8</v>
      </c>
    </row>
    <row r="2010" spans="1:12">
      <c r="A2010" t="s">
        <v>445</v>
      </c>
      <c r="B2010" t="s">
        <v>349</v>
      </c>
      <c r="C2010" t="s">
        <v>352</v>
      </c>
      <c r="D2010" s="3" t="s">
        <v>887</v>
      </c>
      <c r="E2010" s="14">
        <v>4.0000000000000001E-3</v>
      </c>
      <c r="F2010" s="4" t="s">
        <v>176</v>
      </c>
      <c r="G2010" s="9">
        <v>1600</v>
      </c>
      <c r="H2010" s="9">
        <f t="shared" si="62"/>
        <v>6.4</v>
      </c>
      <c r="I2010" t="s">
        <v>521</v>
      </c>
      <c r="J2010" s="33" t="s">
        <v>445</v>
      </c>
      <c r="K2010" s="18">
        <f>VLOOKUP(D2010,Ingredients!C:G,5,0)</f>
        <v>1830</v>
      </c>
      <c r="L2010" s="52">
        <f t="shared" si="63"/>
        <v>7.32</v>
      </c>
    </row>
    <row r="2011" spans="1:12">
      <c r="A2011" t="s">
        <v>445</v>
      </c>
      <c r="B2011" t="s">
        <v>349</v>
      </c>
      <c r="C2011" t="s">
        <v>352</v>
      </c>
      <c r="D2011" s="3" t="s">
        <v>35</v>
      </c>
      <c r="E2011" s="14">
        <v>0.2</v>
      </c>
      <c r="F2011" s="4" t="s">
        <v>408</v>
      </c>
      <c r="G2011" s="9">
        <v>13</v>
      </c>
      <c r="H2011" s="9">
        <f t="shared" si="62"/>
        <v>2.6</v>
      </c>
      <c r="I2011" t="s">
        <v>521</v>
      </c>
      <c r="J2011" s="33" t="s">
        <v>445</v>
      </c>
      <c r="K2011" s="18">
        <f>VLOOKUP(D2011,Ingredients!C:G,5,0)</f>
        <v>15</v>
      </c>
      <c r="L2011" s="52">
        <f t="shared" si="63"/>
        <v>3</v>
      </c>
    </row>
    <row r="2012" spans="1:12">
      <c r="A2012" t="s">
        <v>446</v>
      </c>
      <c r="B2012" t="s">
        <v>349</v>
      </c>
      <c r="C2012" t="s">
        <v>351</v>
      </c>
      <c r="D2012" s="3" t="s">
        <v>852</v>
      </c>
      <c r="E2012" s="14">
        <v>0.5</v>
      </c>
      <c r="F2012" s="4" t="s">
        <v>176</v>
      </c>
      <c r="G2012" s="9">
        <v>520.63</v>
      </c>
      <c r="H2012" s="9">
        <f t="shared" si="62"/>
        <v>260.315</v>
      </c>
      <c r="I2012" t="s">
        <v>179</v>
      </c>
      <c r="J2012" s="33" t="s">
        <v>514</v>
      </c>
      <c r="K2012" s="18">
        <v>550</v>
      </c>
      <c r="L2012" s="52">
        <f t="shared" si="63"/>
        <v>275</v>
      </c>
    </row>
    <row r="2013" spans="1:12">
      <c r="A2013" t="s">
        <v>446</v>
      </c>
      <c r="B2013" t="s">
        <v>349</v>
      </c>
      <c r="C2013" t="s">
        <v>351</v>
      </c>
      <c r="D2013" s="3" t="s">
        <v>837</v>
      </c>
      <c r="E2013" s="14">
        <v>1</v>
      </c>
      <c r="F2013" s="4" t="s">
        <v>176</v>
      </c>
      <c r="G2013" s="9">
        <v>1700</v>
      </c>
      <c r="H2013" s="9">
        <f t="shared" si="62"/>
        <v>1700</v>
      </c>
      <c r="I2013" t="s">
        <v>179</v>
      </c>
      <c r="J2013" s="33" t="s">
        <v>514</v>
      </c>
      <c r="K2013" s="18">
        <f>VLOOKUP(D2013,Ingredients!C:G,5,0)</f>
        <v>1800</v>
      </c>
      <c r="L2013" s="52">
        <f t="shared" si="63"/>
        <v>1800</v>
      </c>
    </row>
    <row r="2014" spans="1:12">
      <c r="A2014" t="s">
        <v>446</v>
      </c>
      <c r="B2014" t="s">
        <v>349</v>
      </c>
      <c r="C2014" t="s">
        <v>351</v>
      </c>
      <c r="D2014" s="3" t="s">
        <v>867</v>
      </c>
      <c r="E2014" s="14">
        <v>0.04</v>
      </c>
      <c r="F2014" s="4" t="s">
        <v>179</v>
      </c>
      <c r="G2014" s="9">
        <v>900</v>
      </c>
      <c r="H2014" s="9">
        <f t="shared" si="62"/>
        <v>36</v>
      </c>
      <c r="I2014" t="s">
        <v>179</v>
      </c>
      <c r="J2014" s="33" t="s">
        <v>514</v>
      </c>
      <c r="K2014" s="18">
        <f>VLOOKUP(D2014,Ingredients!C:G,5,0)</f>
        <v>950</v>
      </c>
      <c r="L2014" s="52">
        <f t="shared" si="63"/>
        <v>38</v>
      </c>
    </row>
    <row r="2015" spans="1:12">
      <c r="A2015" t="s">
        <v>446</v>
      </c>
      <c r="B2015" t="s">
        <v>349</v>
      </c>
      <c r="C2015" t="s">
        <v>351</v>
      </c>
      <c r="D2015" s="3" t="s">
        <v>887</v>
      </c>
      <c r="E2015" s="14">
        <v>0.01</v>
      </c>
      <c r="F2015" s="4" t="s">
        <v>179</v>
      </c>
      <c r="G2015" s="9">
        <v>1600</v>
      </c>
      <c r="H2015" s="9">
        <f t="shared" si="62"/>
        <v>16</v>
      </c>
      <c r="I2015" t="s">
        <v>179</v>
      </c>
      <c r="J2015" s="33" t="s">
        <v>514</v>
      </c>
      <c r="K2015" s="18">
        <f>VLOOKUP(D2015,Ingredients!C:G,5,0)</f>
        <v>1830</v>
      </c>
      <c r="L2015" s="52">
        <f t="shared" si="63"/>
        <v>18.3</v>
      </c>
    </row>
    <row r="2016" spans="1:12">
      <c r="A2016" t="s">
        <v>446</v>
      </c>
      <c r="B2016" t="s">
        <v>349</v>
      </c>
      <c r="C2016" t="s">
        <v>351</v>
      </c>
      <c r="D2016" s="3" t="s">
        <v>928</v>
      </c>
      <c r="E2016" s="14">
        <v>0.01</v>
      </c>
      <c r="F2016" s="4" t="s">
        <v>179</v>
      </c>
      <c r="G2016" s="9">
        <v>850</v>
      </c>
      <c r="H2016" s="9">
        <f t="shared" si="62"/>
        <v>8.5</v>
      </c>
      <c r="I2016" t="s">
        <v>179</v>
      </c>
      <c r="J2016" s="33" t="s">
        <v>514</v>
      </c>
      <c r="K2016" s="18">
        <f>VLOOKUP(D2016,Ingredients!C:G,5,0)</f>
        <v>900</v>
      </c>
      <c r="L2016" s="52">
        <f t="shared" si="63"/>
        <v>9</v>
      </c>
    </row>
    <row r="2017" spans="1:12">
      <c r="A2017" t="s">
        <v>446</v>
      </c>
      <c r="B2017" t="s">
        <v>349</v>
      </c>
      <c r="C2017" t="s">
        <v>351</v>
      </c>
      <c r="D2017" s="3" t="s">
        <v>73</v>
      </c>
      <c r="E2017" s="14">
        <v>0.2</v>
      </c>
      <c r="F2017" s="4" t="s">
        <v>176</v>
      </c>
      <c r="G2017" s="9">
        <v>305</v>
      </c>
      <c r="H2017" s="9">
        <f t="shared" si="62"/>
        <v>61</v>
      </c>
      <c r="I2017" t="s">
        <v>179</v>
      </c>
      <c r="J2017" s="33" t="s">
        <v>514</v>
      </c>
      <c r="K2017" s="18">
        <f>VLOOKUP(D2017,Ingredients!C:G,5,0)</f>
        <v>300</v>
      </c>
      <c r="L2017" s="52">
        <f t="shared" si="63"/>
        <v>60</v>
      </c>
    </row>
    <row r="2018" spans="1:12">
      <c r="A2018" t="s">
        <v>446</v>
      </c>
      <c r="B2018" t="s">
        <v>349</v>
      </c>
      <c r="C2018" t="s">
        <v>351</v>
      </c>
      <c r="D2018" s="3" t="s">
        <v>853</v>
      </c>
      <c r="E2018" s="14">
        <v>0.05</v>
      </c>
      <c r="F2018" s="4" t="s">
        <v>315</v>
      </c>
      <c r="G2018" s="9">
        <v>30</v>
      </c>
      <c r="H2018" s="9">
        <f t="shared" si="62"/>
        <v>1.5</v>
      </c>
      <c r="I2018" t="s">
        <v>179</v>
      </c>
      <c r="J2018" s="33" t="s">
        <v>514</v>
      </c>
      <c r="K2018" s="18">
        <f>VLOOKUP(D2018,Ingredients!C:G,5,0)</f>
        <v>55</v>
      </c>
      <c r="L2018" s="52">
        <f t="shared" si="63"/>
        <v>2.75</v>
      </c>
    </row>
    <row r="2019" spans="1:12">
      <c r="A2019" t="s">
        <v>446</v>
      </c>
      <c r="B2019" t="s">
        <v>349</v>
      </c>
      <c r="C2019" t="s">
        <v>351</v>
      </c>
      <c r="D2019" s="3" t="s">
        <v>931</v>
      </c>
      <c r="E2019" s="14">
        <v>0.01</v>
      </c>
      <c r="F2019" s="4" t="s">
        <v>179</v>
      </c>
      <c r="G2019" s="9">
        <v>4000</v>
      </c>
      <c r="H2019" s="9">
        <f t="shared" si="62"/>
        <v>40</v>
      </c>
      <c r="I2019" t="s">
        <v>179</v>
      </c>
      <c r="J2019" s="33" t="s">
        <v>514</v>
      </c>
      <c r="K2019" s="18">
        <f>VLOOKUP(D2019,Ingredients!C:G,5,0)</f>
        <v>2900</v>
      </c>
      <c r="L2019" s="52">
        <f t="shared" si="63"/>
        <v>29</v>
      </c>
    </row>
    <row r="2020" spans="1:12">
      <c r="A2020" t="s">
        <v>446</v>
      </c>
      <c r="B2020" t="s">
        <v>349</v>
      </c>
      <c r="C2020" t="s">
        <v>351</v>
      </c>
      <c r="D2020" s="3" t="s">
        <v>932</v>
      </c>
      <c r="E2020" s="14">
        <v>0.03</v>
      </c>
      <c r="F2020" s="4" t="s">
        <v>179</v>
      </c>
      <c r="G2020" s="9">
        <v>2848.84</v>
      </c>
      <c r="H2020" s="9">
        <f t="shared" si="62"/>
        <v>85.465199999999996</v>
      </c>
      <c r="I2020" t="s">
        <v>179</v>
      </c>
      <c r="J2020" s="33" t="s">
        <v>514</v>
      </c>
      <c r="K2020" s="18">
        <f>VLOOKUP(D2020,Ingredients!C:G,5,0)</f>
        <v>2643.68</v>
      </c>
      <c r="L2020" s="52">
        <f t="shared" si="63"/>
        <v>79.310399999999987</v>
      </c>
    </row>
    <row r="2021" spans="1:12">
      <c r="A2021" t="s">
        <v>446</v>
      </c>
      <c r="B2021" t="s">
        <v>349</v>
      </c>
      <c r="C2021" t="s">
        <v>351</v>
      </c>
      <c r="D2021" s="3" t="s">
        <v>873</v>
      </c>
      <c r="E2021" s="14">
        <v>0.01</v>
      </c>
      <c r="F2021" s="4" t="s">
        <v>179</v>
      </c>
      <c r="G2021" s="9">
        <v>550</v>
      </c>
      <c r="H2021" s="9">
        <f t="shared" si="62"/>
        <v>5.5</v>
      </c>
      <c r="I2021" t="s">
        <v>179</v>
      </c>
      <c r="J2021" s="33" t="s">
        <v>514</v>
      </c>
      <c r="K2021" s="18">
        <f>VLOOKUP(D2021,Ingredients!C:G,5,0)</f>
        <v>450</v>
      </c>
      <c r="L2021" s="52">
        <f t="shared" si="63"/>
        <v>4.5</v>
      </c>
    </row>
    <row r="2022" spans="1:12">
      <c r="A2022" t="s">
        <v>446</v>
      </c>
      <c r="B2022" t="s">
        <v>349</v>
      </c>
      <c r="C2022" t="s">
        <v>351</v>
      </c>
      <c r="D2022" s="3" t="s">
        <v>23</v>
      </c>
      <c r="E2022" s="14">
        <v>0.01</v>
      </c>
      <c r="F2022" s="4" t="s">
        <v>179</v>
      </c>
      <c r="G2022" s="9">
        <v>740</v>
      </c>
      <c r="H2022" s="9">
        <f t="shared" si="62"/>
        <v>7.4</v>
      </c>
      <c r="I2022" t="s">
        <v>179</v>
      </c>
      <c r="J2022" s="33" t="s">
        <v>514</v>
      </c>
      <c r="K2022" s="18">
        <f>VLOOKUP(D2022,Ingredients!C:G,5,0)</f>
        <v>780</v>
      </c>
      <c r="L2022" s="52">
        <f t="shared" si="63"/>
        <v>7.8</v>
      </c>
    </row>
    <row r="2023" spans="1:12">
      <c r="A2023" t="s">
        <v>446</v>
      </c>
      <c r="B2023" t="s">
        <v>349</v>
      </c>
      <c r="C2023" t="s">
        <v>351</v>
      </c>
      <c r="D2023" s="3" t="s">
        <v>16</v>
      </c>
      <c r="E2023" s="14">
        <v>0.01</v>
      </c>
      <c r="F2023" s="4" t="s">
        <v>179</v>
      </c>
      <c r="G2023" s="9">
        <v>270</v>
      </c>
      <c r="H2023" s="9">
        <f t="shared" si="62"/>
        <v>2.7</v>
      </c>
      <c r="I2023" t="s">
        <v>179</v>
      </c>
      <c r="J2023" s="33" t="s">
        <v>514</v>
      </c>
      <c r="K2023" s="18">
        <f>VLOOKUP(D2023,Ingredients!C:G,5,0)</f>
        <v>310</v>
      </c>
      <c r="L2023" s="52">
        <f t="shared" si="63"/>
        <v>3.1</v>
      </c>
    </row>
    <row r="2024" spans="1:12">
      <c r="A2024" t="s">
        <v>446</v>
      </c>
      <c r="B2024" t="s">
        <v>349</v>
      </c>
      <c r="C2024" t="s">
        <v>351</v>
      </c>
      <c r="D2024" s="3" t="s">
        <v>29</v>
      </c>
      <c r="E2024" s="14">
        <v>0.05</v>
      </c>
      <c r="F2024" s="4" t="s">
        <v>176</v>
      </c>
      <c r="G2024" s="9">
        <v>60</v>
      </c>
      <c r="H2024" s="9">
        <f t="shared" si="62"/>
        <v>3</v>
      </c>
      <c r="I2024" t="s">
        <v>179</v>
      </c>
      <c r="J2024" s="33" t="s">
        <v>514</v>
      </c>
      <c r="K2024" s="18">
        <f>VLOOKUP(D2024,Ingredients!C:G,5,0)</f>
        <v>100</v>
      </c>
      <c r="L2024" s="52">
        <f t="shared" si="63"/>
        <v>5</v>
      </c>
    </row>
    <row r="2025" spans="1:12">
      <c r="A2025" t="s">
        <v>446</v>
      </c>
      <c r="B2025" t="s">
        <v>349</v>
      </c>
      <c r="C2025" t="s">
        <v>351</v>
      </c>
      <c r="D2025" s="3" t="s">
        <v>923</v>
      </c>
      <c r="E2025" s="14">
        <v>0.02</v>
      </c>
      <c r="F2025" s="4" t="s">
        <v>179</v>
      </c>
      <c r="G2025" s="9">
        <v>100</v>
      </c>
      <c r="H2025" s="9">
        <f t="shared" si="62"/>
        <v>2</v>
      </c>
      <c r="I2025" t="s">
        <v>179</v>
      </c>
      <c r="J2025" s="33" t="s">
        <v>514</v>
      </c>
      <c r="K2025" s="18">
        <f>VLOOKUP(D2025,Ingredients!C:G,5,0)</f>
        <v>1000</v>
      </c>
      <c r="L2025" s="52">
        <f t="shared" si="63"/>
        <v>20</v>
      </c>
    </row>
    <row r="2026" spans="1:12">
      <c r="A2026" t="s">
        <v>446</v>
      </c>
      <c r="B2026" t="s">
        <v>349</v>
      </c>
      <c r="C2026" t="s">
        <v>351</v>
      </c>
      <c r="D2026" s="3" t="s">
        <v>50</v>
      </c>
      <c r="E2026" s="14">
        <v>0.1</v>
      </c>
      <c r="F2026" s="4" t="s">
        <v>176</v>
      </c>
      <c r="G2026" s="9">
        <v>120</v>
      </c>
      <c r="H2026" s="9">
        <f t="shared" si="62"/>
        <v>12</v>
      </c>
      <c r="I2026" t="s">
        <v>179</v>
      </c>
      <c r="J2026" s="33" t="s">
        <v>514</v>
      </c>
      <c r="K2026" s="18">
        <f>VLOOKUP(D2026,Ingredients!C:G,5,0)</f>
        <v>120</v>
      </c>
      <c r="L2026" s="52">
        <f t="shared" si="63"/>
        <v>12</v>
      </c>
    </row>
    <row r="2027" spans="1:12">
      <c r="A2027" t="s">
        <v>446</v>
      </c>
      <c r="B2027" t="s">
        <v>349</v>
      </c>
      <c r="C2027" t="s">
        <v>351</v>
      </c>
      <c r="D2027" s="3" t="s">
        <v>876</v>
      </c>
      <c r="E2027" s="14">
        <v>2.5000000000000001E-2</v>
      </c>
      <c r="F2027" s="4" t="s">
        <v>179</v>
      </c>
      <c r="G2027" s="9">
        <v>270</v>
      </c>
      <c r="H2027" s="9">
        <f t="shared" si="62"/>
        <v>6.75</v>
      </c>
      <c r="I2027" t="s">
        <v>179</v>
      </c>
      <c r="J2027" s="33" t="s">
        <v>514</v>
      </c>
      <c r="K2027" s="18">
        <f>VLOOKUP(D2027,Ingredients!C:G,5,0)</f>
        <v>290</v>
      </c>
      <c r="L2027" s="52">
        <f t="shared" si="63"/>
        <v>7.25</v>
      </c>
    </row>
    <row r="2028" spans="1:12">
      <c r="A2028" t="s">
        <v>447</v>
      </c>
      <c r="B2028" t="s">
        <v>349</v>
      </c>
      <c r="C2028" t="s">
        <v>352</v>
      </c>
      <c r="D2028" s="3" t="s">
        <v>852</v>
      </c>
      <c r="E2028" s="14">
        <v>0.1</v>
      </c>
      <c r="F2028" s="4" t="s">
        <v>176</v>
      </c>
      <c r="G2028" s="9">
        <v>520.63</v>
      </c>
      <c r="H2028" s="9">
        <f t="shared" si="62"/>
        <v>52.063000000000002</v>
      </c>
      <c r="I2028" t="s">
        <v>179</v>
      </c>
      <c r="J2028" s="33" t="s">
        <v>491</v>
      </c>
      <c r="K2028" s="18">
        <v>550</v>
      </c>
      <c r="L2028" s="52">
        <f t="shared" si="63"/>
        <v>55</v>
      </c>
    </row>
    <row r="2029" spans="1:12">
      <c r="A2029" t="s">
        <v>447</v>
      </c>
      <c r="B2029" t="s">
        <v>349</v>
      </c>
      <c r="C2029" t="s">
        <v>352</v>
      </c>
      <c r="D2029" s="33" t="s">
        <v>491</v>
      </c>
      <c r="E2029" s="14">
        <v>1</v>
      </c>
      <c r="F2029" s="4" t="s">
        <v>176</v>
      </c>
      <c r="G2029" s="9">
        <v>614</v>
      </c>
      <c r="H2029" s="9">
        <f t="shared" si="62"/>
        <v>614</v>
      </c>
      <c r="I2029" t="s">
        <v>179</v>
      </c>
      <c r="J2029" s="33" t="s">
        <v>491</v>
      </c>
      <c r="K2029" s="18">
        <f>VLOOKUP(D2029,Ingredients!C:G,5,0)</f>
        <v>650</v>
      </c>
      <c r="L2029" s="52">
        <f t="shared" si="63"/>
        <v>650</v>
      </c>
    </row>
    <row r="2030" spans="1:12">
      <c r="A2030" t="s">
        <v>447</v>
      </c>
      <c r="B2030" t="s">
        <v>349</v>
      </c>
      <c r="C2030" t="s">
        <v>352</v>
      </c>
      <c r="D2030" s="3" t="s">
        <v>851</v>
      </c>
      <c r="E2030" s="14">
        <v>0.2</v>
      </c>
      <c r="F2030" s="13" t="s">
        <v>176</v>
      </c>
      <c r="G2030" s="9">
        <v>177</v>
      </c>
      <c r="H2030" s="9">
        <f t="shared" si="62"/>
        <v>35.4</v>
      </c>
      <c r="I2030" t="s">
        <v>179</v>
      </c>
      <c r="J2030" s="33" t="s">
        <v>491</v>
      </c>
      <c r="K2030" s="18">
        <f>VLOOKUP(D2030,Ingredients!C:G,5,0)</f>
        <v>920</v>
      </c>
      <c r="L2030" s="52">
        <f t="shared" si="63"/>
        <v>184</v>
      </c>
    </row>
    <row r="2031" spans="1:12">
      <c r="A2031" t="s">
        <v>447</v>
      </c>
      <c r="B2031" t="s">
        <v>349</v>
      </c>
      <c r="C2031" t="s">
        <v>352</v>
      </c>
      <c r="D2031" s="3" t="s">
        <v>895</v>
      </c>
      <c r="E2031" s="14">
        <v>5.0000000000000001E-3</v>
      </c>
      <c r="F2031" s="4" t="s">
        <v>179</v>
      </c>
      <c r="G2031" s="9">
        <v>400</v>
      </c>
      <c r="H2031" s="9">
        <f t="shared" si="62"/>
        <v>2</v>
      </c>
      <c r="I2031" t="s">
        <v>179</v>
      </c>
      <c r="J2031" s="33" t="s">
        <v>491</v>
      </c>
      <c r="K2031" s="18">
        <f>VLOOKUP(D2031,Ingredients!C:G,5,0)</f>
        <v>400</v>
      </c>
      <c r="L2031" s="52">
        <f t="shared" si="63"/>
        <v>2</v>
      </c>
    </row>
    <row r="2032" spans="1:12">
      <c r="A2032" t="s">
        <v>447</v>
      </c>
      <c r="B2032" t="s">
        <v>349</v>
      </c>
      <c r="C2032" t="s">
        <v>352</v>
      </c>
      <c r="D2032" s="3" t="s">
        <v>855</v>
      </c>
      <c r="E2032" s="14">
        <v>0.01</v>
      </c>
      <c r="F2032" s="4" t="s">
        <v>179</v>
      </c>
      <c r="G2032" s="9">
        <v>2400</v>
      </c>
      <c r="H2032" s="9">
        <f t="shared" si="62"/>
        <v>24</v>
      </c>
      <c r="I2032" t="s">
        <v>179</v>
      </c>
      <c r="J2032" s="33" t="s">
        <v>491</v>
      </c>
      <c r="K2032" s="18">
        <f>VLOOKUP(D2032,Ingredients!C:G,5,0)</f>
        <v>1600</v>
      </c>
      <c r="L2032" s="52">
        <f t="shared" si="63"/>
        <v>16</v>
      </c>
    </row>
    <row r="2033" spans="1:12">
      <c r="A2033" t="s">
        <v>447</v>
      </c>
      <c r="B2033" t="s">
        <v>349</v>
      </c>
      <c r="C2033" t="s">
        <v>352</v>
      </c>
      <c r="D2033" s="3" t="s">
        <v>872</v>
      </c>
      <c r="E2033" s="14">
        <v>0.01</v>
      </c>
      <c r="F2033" s="4" t="s">
        <v>176</v>
      </c>
      <c r="G2033" s="9">
        <v>2100</v>
      </c>
      <c r="H2033" s="9">
        <f t="shared" si="62"/>
        <v>21</v>
      </c>
      <c r="I2033" t="s">
        <v>179</v>
      </c>
      <c r="J2033" s="33" t="s">
        <v>491</v>
      </c>
      <c r="K2033" s="18">
        <f>VLOOKUP(D2033,Ingredients!C:G,5,0)</f>
        <v>2150</v>
      </c>
      <c r="L2033" s="52">
        <f t="shared" si="63"/>
        <v>21.5</v>
      </c>
    </row>
    <row r="2034" spans="1:12">
      <c r="A2034" t="s">
        <v>447</v>
      </c>
      <c r="B2034" t="s">
        <v>349</v>
      </c>
      <c r="C2034" t="s">
        <v>352</v>
      </c>
      <c r="D2034" s="3" t="s">
        <v>29</v>
      </c>
      <c r="E2034" s="14">
        <v>0.05</v>
      </c>
      <c r="F2034" s="4" t="s">
        <v>176</v>
      </c>
      <c r="G2034" s="9">
        <v>60</v>
      </c>
      <c r="H2034" s="9">
        <f t="shared" si="62"/>
        <v>3</v>
      </c>
      <c r="I2034" t="s">
        <v>179</v>
      </c>
      <c r="J2034" s="33" t="s">
        <v>491</v>
      </c>
      <c r="K2034" s="18">
        <f>VLOOKUP(D2034,Ingredients!C:G,5,0)</f>
        <v>100</v>
      </c>
      <c r="L2034" s="52">
        <f t="shared" si="63"/>
        <v>5</v>
      </c>
    </row>
    <row r="2035" spans="1:12">
      <c r="A2035" t="s">
        <v>447</v>
      </c>
      <c r="B2035" t="s">
        <v>349</v>
      </c>
      <c r="C2035" t="s">
        <v>352</v>
      </c>
      <c r="D2035" s="3" t="s">
        <v>853</v>
      </c>
      <c r="E2035" s="14">
        <v>2.5000000000000001E-2</v>
      </c>
      <c r="F2035" s="4" t="s">
        <v>315</v>
      </c>
      <c r="G2035" s="9">
        <v>30</v>
      </c>
      <c r="H2035" s="9">
        <f t="shared" si="62"/>
        <v>0.75</v>
      </c>
      <c r="I2035" t="s">
        <v>179</v>
      </c>
      <c r="J2035" s="33" t="s">
        <v>491</v>
      </c>
      <c r="K2035" s="18">
        <f>VLOOKUP(D2035,Ingredients!C:G,5,0)</f>
        <v>55</v>
      </c>
      <c r="L2035" s="52">
        <f t="shared" si="63"/>
        <v>1.375</v>
      </c>
    </row>
    <row r="2036" spans="1:12">
      <c r="A2036" t="s">
        <v>447</v>
      </c>
      <c r="B2036" t="s">
        <v>349</v>
      </c>
      <c r="C2036" t="s">
        <v>352</v>
      </c>
      <c r="D2036" s="3" t="s">
        <v>23</v>
      </c>
      <c r="E2036" s="14">
        <v>6.2500000000000003E-3</v>
      </c>
      <c r="F2036" s="4" t="s">
        <v>179</v>
      </c>
      <c r="G2036" s="9">
        <v>740</v>
      </c>
      <c r="H2036" s="9">
        <f t="shared" si="62"/>
        <v>4.625</v>
      </c>
      <c r="I2036" t="s">
        <v>179</v>
      </c>
      <c r="J2036" s="33" t="s">
        <v>491</v>
      </c>
      <c r="K2036" s="18">
        <f>VLOOKUP(D2036,Ingredients!C:G,5,0)</f>
        <v>780</v>
      </c>
      <c r="L2036" s="52">
        <f t="shared" si="63"/>
        <v>4.875</v>
      </c>
    </row>
    <row r="2037" spans="1:12">
      <c r="A2037" t="s">
        <v>447</v>
      </c>
      <c r="B2037" t="s">
        <v>349</v>
      </c>
      <c r="C2037" t="s">
        <v>352</v>
      </c>
      <c r="D2037" s="3" t="s">
        <v>16</v>
      </c>
      <c r="E2037" s="14">
        <v>6.2500000000000003E-3</v>
      </c>
      <c r="F2037" s="4" t="s">
        <v>179</v>
      </c>
      <c r="G2037" s="9">
        <v>270</v>
      </c>
      <c r="H2037" s="9">
        <f t="shared" si="62"/>
        <v>1.6875</v>
      </c>
      <c r="I2037" t="s">
        <v>179</v>
      </c>
      <c r="J2037" s="33" t="s">
        <v>491</v>
      </c>
      <c r="K2037" s="18">
        <f>VLOOKUP(D2037,Ingredients!C:G,5,0)</f>
        <v>310</v>
      </c>
      <c r="L2037" s="52">
        <f t="shared" si="63"/>
        <v>1.9375</v>
      </c>
    </row>
    <row r="2038" spans="1:12">
      <c r="A2038" t="s">
        <v>447</v>
      </c>
      <c r="B2038" t="s">
        <v>349</v>
      </c>
      <c r="C2038" t="s">
        <v>352</v>
      </c>
      <c r="D2038" s="3" t="s">
        <v>35</v>
      </c>
      <c r="E2038" s="14">
        <v>0.2</v>
      </c>
      <c r="F2038" s="4" t="s">
        <v>408</v>
      </c>
      <c r="G2038" s="9">
        <v>13</v>
      </c>
      <c r="H2038" s="9">
        <f t="shared" si="62"/>
        <v>2.6</v>
      </c>
      <c r="I2038" t="s">
        <v>179</v>
      </c>
      <c r="J2038" s="33" t="s">
        <v>491</v>
      </c>
      <c r="K2038" s="18">
        <f>VLOOKUP(D2038,Ingredients!C:G,5,0)</f>
        <v>15</v>
      </c>
      <c r="L2038" s="52">
        <f t="shared" si="63"/>
        <v>3</v>
      </c>
    </row>
    <row r="2039" spans="1:12">
      <c r="A2039" t="s">
        <v>447</v>
      </c>
      <c r="B2039" t="s">
        <v>349</v>
      </c>
      <c r="C2039" t="s">
        <v>352</v>
      </c>
      <c r="D2039" s="3" t="s">
        <v>73</v>
      </c>
      <c r="E2039" s="14">
        <v>0.3</v>
      </c>
      <c r="F2039" s="4" t="s">
        <v>176</v>
      </c>
      <c r="G2039" s="9">
        <v>305</v>
      </c>
      <c r="H2039" s="9">
        <f t="shared" si="62"/>
        <v>91.5</v>
      </c>
      <c r="I2039" t="s">
        <v>179</v>
      </c>
      <c r="J2039" s="33" t="s">
        <v>491</v>
      </c>
      <c r="K2039" s="18">
        <f>VLOOKUP(D2039,Ingredients!C:G,5,0)</f>
        <v>300</v>
      </c>
      <c r="L2039" s="52">
        <f t="shared" si="63"/>
        <v>90</v>
      </c>
    </row>
    <row r="2040" spans="1:12">
      <c r="A2040" t="s">
        <v>448</v>
      </c>
      <c r="B2040" t="s">
        <v>349</v>
      </c>
      <c r="C2040" t="s">
        <v>352</v>
      </c>
      <c r="D2040" s="3" t="s">
        <v>852</v>
      </c>
      <c r="E2040" s="14">
        <v>0.12</v>
      </c>
      <c r="F2040" s="4" t="s">
        <v>176</v>
      </c>
      <c r="G2040" s="9">
        <v>520.63</v>
      </c>
      <c r="H2040" s="9">
        <f t="shared" si="62"/>
        <v>62.4756</v>
      </c>
      <c r="I2040" t="s">
        <v>179</v>
      </c>
      <c r="J2040" s="33" t="s">
        <v>489</v>
      </c>
      <c r="K2040" s="18">
        <v>550</v>
      </c>
      <c r="L2040" s="52">
        <f t="shared" si="63"/>
        <v>66</v>
      </c>
    </row>
    <row r="2041" spans="1:12">
      <c r="A2041" t="s">
        <v>448</v>
      </c>
      <c r="B2041" t="s">
        <v>349</v>
      </c>
      <c r="C2041" t="s">
        <v>352</v>
      </c>
      <c r="D2041" s="3" t="s">
        <v>831</v>
      </c>
      <c r="E2041" s="14">
        <v>1</v>
      </c>
      <c r="F2041" s="4" t="s">
        <v>176</v>
      </c>
      <c r="G2041" s="9">
        <v>908</v>
      </c>
      <c r="H2041" s="9">
        <f t="shared" si="62"/>
        <v>908</v>
      </c>
      <c r="I2041" t="s">
        <v>179</v>
      </c>
      <c r="J2041" s="33" t="s">
        <v>489</v>
      </c>
      <c r="K2041" s="18">
        <f>VLOOKUP(D2041,Ingredients!C:G,5,0)</f>
        <v>908</v>
      </c>
      <c r="L2041" s="52">
        <f t="shared" si="63"/>
        <v>908</v>
      </c>
    </row>
    <row r="2042" spans="1:12">
      <c r="A2042" t="s">
        <v>448</v>
      </c>
      <c r="B2042" t="s">
        <v>349</v>
      </c>
      <c r="C2042" t="s">
        <v>352</v>
      </c>
      <c r="D2042" s="3" t="s">
        <v>895</v>
      </c>
      <c r="E2042" s="14">
        <v>5.0000000000000001E-3</v>
      </c>
      <c r="F2042" s="4" t="s">
        <v>179</v>
      </c>
      <c r="G2042" s="9">
        <v>400</v>
      </c>
      <c r="H2042" s="9">
        <f t="shared" si="62"/>
        <v>2</v>
      </c>
      <c r="I2042" t="s">
        <v>179</v>
      </c>
      <c r="J2042" s="33" t="s">
        <v>489</v>
      </c>
      <c r="K2042" s="18">
        <f>VLOOKUP(D2042,Ingredients!C:G,5,0)</f>
        <v>400</v>
      </c>
      <c r="L2042" s="52">
        <f t="shared" si="63"/>
        <v>2</v>
      </c>
    </row>
    <row r="2043" spans="1:12">
      <c r="A2043" t="s">
        <v>448</v>
      </c>
      <c r="B2043" t="s">
        <v>349</v>
      </c>
      <c r="C2043" t="s">
        <v>352</v>
      </c>
      <c r="D2043" s="3" t="s">
        <v>855</v>
      </c>
      <c r="E2043" s="14">
        <v>0.01</v>
      </c>
      <c r="F2043" s="4" t="s">
        <v>179</v>
      </c>
      <c r="G2043" s="9">
        <v>2400</v>
      </c>
      <c r="H2043" s="9">
        <f t="shared" si="62"/>
        <v>24</v>
      </c>
      <c r="I2043" t="s">
        <v>179</v>
      </c>
      <c r="J2043" s="33" t="s">
        <v>489</v>
      </c>
      <c r="K2043" s="18">
        <f>VLOOKUP(D2043,Ingredients!C:G,5,0)</f>
        <v>1600</v>
      </c>
      <c r="L2043" s="52">
        <f t="shared" si="63"/>
        <v>16</v>
      </c>
    </row>
    <row r="2044" spans="1:12">
      <c r="A2044" t="s">
        <v>448</v>
      </c>
      <c r="B2044" t="s">
        <v>349</v>
      </c>
      <c r="C2044" t="s">
        <v>352</v>
      </c>
      <c r="D2044" s="3" t="s">
        <v>857</v>
      </c>
      <c r="E2044" s="14">
        <v>0.01</v>
      </c>
      <c r="F2044" s="4" t="s">
        <v>179</v>
      </c>
      <c r="G2044" s="9">
        <v>520</v>
      </c>
      <c r="H2044" s="9">
        <f t="shared" si="62"/>
        <v>5.2</v>
      </c>
      <c r="I2044" t="s">
        <v>179</v>
      </c>
      <c r="J2044" s="33" t="s">
        <v>489</v>
      </c>
      <c r="K2044" s="18">
        <f>VLOOKUP(D2044,Ingredients!C:G,5,0)</f>
        <v>880</v>
      </c>
      <c r="L2044" s="52">
        <f t="shared" si="63"/>
        <v>8.8000000000000007</v>
      </c>
    </row>
    <row r="2045" spans="1:12">
      <c r="A2045" t="s">
        <v>448</v>
      </c>
      <c r="B2045" t="s">
        <v>349</v>
      </c>
      <c r="C2045" t="s">
        <v>352</v>
      </c>
      <c r="D2045" s="3" t="s">
        <v>853</v>
      </c>
      <c r="E2045" s="14">
        <v>2.5000000000000001E-2</v>
      </c>
      <c r="F2045" s="4" t="s">
        <v>315</v>
      </c>
      <c r="G2045" s="9">
        <v>30</v>
      </c>
      <c r="H2045" s="9">
        <f t="shared" si="62"/>
        <v>0.75</v>
      </c>
      <c r="I2045" t="s">
        <v>179</v>
      </c>
      <c r="J2045" s="33" t="s">
        <v>489</v>
      </c>
      <c r="K2045" s="18">
        <f>VLOOKUP(D2045,Ingredients!C:G,5,0)</f>
        <v>55</v>
      </c>
      <c r="L2045" s="52">
        <f t="shared" si="63"/>
        <v>1.375</v>
      </c>
    </row>
    <row r="2046" spans="1:12">
      <c r="A2046" t="s">
        <v>448</v>
      </c>
      <c r="B2046" t="s">
        <v>349</v>
      </c>
      <c r="C2046" t="s">
        <v>352</v>
      </c>
      <c r="D2046" s="3" t="s">
        <v>23</v>
      </c>
      <c r="E2046" s="14">
        <v>2.5000000000000001E-2</v>
      </c>
      <c r="F2046" s="4" t="s">
        <v>176</v>
      </c>
      <c r="G2046" s="9">
        <v>740</v>
      </c>
      <c r="H2046" s="9">
        <f t="shared" ref="H2046:H2109" si="64">G2046*E2046</f>
        <v>18.5</v>
      </c>
      <c r="I2046" t="s">
        <v>179</v>
      </c>
      <c r="J2046" s="33" t="s">
        <v>489</v>
      </c>
      <c r="K2046" s="18">
        <f>VLOOKUP(D2046,Ingredients!C:G,5,0)</f>
        <v>780</v>
      </c>
      <c r="L2046" s="52">
        <f t="shared" si="63"/>
        <v>19.5</v>
      </c>
    </row>
    <row r="2047" spans="1:12">
      <c r="A2047" t="s">
        <v>448</v>
      </c>
      <c r="B2047" t="s">
        <v>349</v>
      </c>
      <c r="C2047" t="s">
        <v>352</v>
      </c>
      <c r="D2047" s="3" t="s">
        <v>16</v>
      </c>
      <c r="E2047" s="14">
        <v>6.2500000000000003E-3</v>
      </c>
      <c r="F2047" s="4" t="s">
        <v>179</v>
      </c>
      <c r="G2047" s="9">
        <v>270</v>
      </c>
      <c r="H2047" s="9">
        <f t="shared" si="64"/>
        <v>1.6875</v>
      </c>
      <c r="I2047" t="s">
        <v>179</v>
      </c>
      <c r="J2047" s="33" t="s">
        <v>489</v>
      </c>
      <c r="K2047" s="18">
        <f>VLOOKUP(D2047,Ingredients!C:G,5,0)</f>
        <v>310</v>
      </c>
      <c r="L2047" s="52">
        <f t="shared" si="63"/>
        <v>1.9375</v>
      </c>
    </row>
    <row r="2048" spans="1:12">
      <c r="A2048" t="s">
        <v>448</v>
      </c>
      <c r="B2048" t="s">
        <v>349</v>
      </c>
      <c r="C2048" t="s">
        <v>352</v>
      </c>
      <c r="D2048" s="3" t="s">
        <v>865</v>
      </c>
      <c r="E2048" s="14">
        <v>0.05</v>
      </c>
      <c r="F2048" s="4" t="s">
        <v>176</v>
      </c>
      <c r="G2048" s="9">
        <v>1400</v>
      </c>
      <c r="H2048" s="9">
        <f t="shared" si="64"/>
        <v>70</v>
      </c>
      <c r="I2048" t="s">
        <v>179</v>
      </c>
      <c r="J2048" s="33" t="s">
        <v>489</v>
      </c>
      <c r="K2048" s="18">
        <f>VLOOKUP(D2048,Ingredients!C:G,5,0)</f>
        <v>1400</v>
      </c>
      <c r="L2048" s="52">
        <f t="shared" si="63"/>
        <v>70</v>
      </c>
    </row>
    <row r="2049" spans="1:12">
      <c r="A2049" t="s">
        <v>448</v>
      </c>
      <c r="B2049" t="s">
        <v>349</v>
      </c>
      <c r="C2049" t="s">
        <v>352</v>
      </c>
      <c r="D2049" s="3" t="s">
        <v>887</v>
      </c>
      <c r="E2049" s="14">
        <v>5.0000000000000001E-3</v>
      </c>
      <c r="F2049" s="4" t="s">
        <v>179</v>
      </c>
      <c r="G2049" s="9">
        <v>1600</v>
      </c>
      <c r="H2049" s="9">
        <f t="shared" si="64"/>
        <v>8</v>
      </c>
      <c r="I2049" t="s">
        <v>179</v>
      </c>
      <c r="J2049" s="33" t="s">
        <v>489</v>
      </c>
      <c r="K2049" s="18">
        <f>VLOOKUP(D2049,Ingredients!C:G,5,0)</f>
        <v>1830</v>
      </c>
      <c r="L2049" s="52">
        <f t="shared" si="63"/>
        <v>9.15</v>
      </c>
    </row>
    <row r="2050" spans="1:12">
      <c r="A2050" t="s">
        <v>448</v>
      </c>
      <c r="B2050" t="s">
        <v>349</v>
      </c>
      <c r="C2050" t="s">
        <v>352</v>
      </c>
      <c r="D2050" s="3" t="s">
        <v>73</v>
      </c>
      <c r="E2050" s="14">
        <v>0.3</v>
      </c>
      <c r="F2050" s="4" t="s">
        <v>176</v>
      </c>
      <c r="G2050" s="9">
        <v>305</v>
      </c>
      <c r="H2050" s="9">
        <f t="shared" si="64"/>
        <v>91.5</v>
      </c>
      <c r="I2050" t="s">
        <v>179</v>
      </c>
      <c r="J2050" s="33" t="s">
        <v>489</v>
      </c>
      <c r="K2050" s="18">
        <f>VLOOKUP(D2050,Ingredients!C:G,5,0)</f>
        <v>300</v>
      </c>
      <c r="L2050" s="52">
        <f t="shared" si="63"/>
        <v>90</v>
      </c>
    </row>
    <row r="2051" spans="1:12">
      <c r="A2051" t="s">
        <v>448</v>
      </c>
      <c r="B2051" t="s">
        <v>349</v>
      </c>
      <c r="C2051" t="s">
        <v>352</v>
      </c>
      <c r="D2051" s="3" t="s">
        <v>851</v>
      </c>
      <c r="E2051" s="14">
        <v>0.6</v>
      </c>
      <c r="F2051" s="13" t="s">
        <v>176</v>
      </c>
      <c r="G2051" s="9">
        <v>177</v>
      </c>
      <c r="H2051" s="9">
        <f t="shared" si="64"/>
        <v>106.2</v>
      </c>
      <c r="I2051" t="s">
        <v>179</v>
      </c>
      <c r="J2051" s="33" t="s">
        <v>489</v>
      </c>
      <c r="K2051" s="18">
        <f>VLOOKUP(D2051,Ingredients!C:G,5,0)</f>
        <v>920</v>
      </c>
      <c r="L2051" s="52">
        <f t="shared" si="63"/>
        <v>552</v>
      </c>
    </row>
    <row r="2052" spans="1:12">
      <c r="A2052" t="s">
        <v>448</v>
      </c>
      <c r="B2052" t="s">
        <v>349</v>
      </c>
      <c r="C2052" t="s">
        <v>352</v>
      </c>
      <c r="D2052" s="3" t="s">
        <v>887</v>
      </c>
      <c r="E2052" s="14">
        <v>5.0000000000000001E-3</v>
      </c>
      <c r="F2052" s="4" t="s">
        <v>179</v>
      </c>
      <c r="G2052" s="9">
        <v>1600</v>
      </c>
      <c r="H2052" s="9">
        <f t="shared" si="64"/>
        <v>8</v>
      </c>
      <c r="I2052" t="s">
        <v>179</v>
      </c>
      <c r="J2052" s="33" t="s">
        <v>489</v>
      </c>
      <c r="K2052" s="18">
        <f>VLOOKUP(D2052,Ingredients!C:G,5,0)</f>
        <v>1830</v>
      </c>
      <c r="L2052" s="52">
        <f t="shared" ref="L2052:L2115" si="65">K2052*E2052</f>
        <v>9.15</v>
      </c>
    </row>
    <row r="2053" spans="1:12">
      <c r="A2053" t="s">
        <v>449</v>
      </c>
      <c r="B2053" t="s">
        <v>349</v>
      </c>
      <c r="C2053" t="s">
        <v>352</v>
      </c>
      <c r="D2053" s="3" t="s">
        <v>852</v>
      </c>
      <c r="E2053" s="14">
        <v>0.2</v>
      </c>
      <c r="F2053" s="4" t="s">
        <v>176</v>
      </c>
      <c r="G2053" s="9">
        <v>520.63</v>
      </c>
      <c r="H2053" s="9">
        <f t="shared" si="64"/>
        <v>104.126</v>
      </c>
      <c r="I2053" t="s">
        <v>179</v>
      </c>
      <c r="J2053" s="33" t="s">
        <v>504</v>
      </c>
      <c r="K2053" s="18">
        <v>550</v>
      </c>
      <c r="L2053" s="52">
        <f t="shared" si="65"/>
        <v>110</v>
      </c>
    </row>
    <row r="2054" spans="1:12">
      <c r="A2054" t="s">
        <v>449</v>
      </c>
      <c r="B2054" t="s">
        <v>349</v>
      </c>
      <c r="C2054" t="s">
        <v>352</v>
      </c>
      <c r="D2054" s="3" t="s">
        <v>836</v>
      </c>
      <c r="E2054" s="14">
        <v>1</v>
      </c>
      <c r="F2054" s="4" t="s">
        <v>176</v>
      </c>
      <c r="G2054" s="9">
        <v>1957.5</v>
      </c>
      <c r="H2054" s="9">
        <f t="shared" si="64"/>
        <v>1957.5</v>
      </c>
      <c r="I2054" t="s">
        <v>179</v>
      </c>
      <c r="J2054" s="33" t="s">
        <v>504</v>
      </c>
      <c r="K2054" s="18">
        <f>VLOOKUP(D2054,Ingredients!C:G,5,0)</f>
        <v>2200</v>
      </c>
      <c r="L2054" s="52">
        <f t="shared" si="65"/>
        <v>2200</v>
      </c>
    </row>
    <row r="2055" spans="1:12">
      <c r="A2055" t="s">
        <v>449</v>
      </c>
      <c r="B2055" t="s">
        <v>349</v>
      </c>
      <c r="C2055" t="s">
        <v>352</v>
      </c>
      <c r="D2055" s="3" t="s">
        <v>895</v>
      </c>
      <c r="E2055" s="14">
        <v>5.0000000000000001E-3</v>
      </c>
      <c r="F2055" s="4" t="s">
        <v>179</v>
      </c>
      <c r="G2055" s="9">
        <v>400</v>
      </c>
      <c r="H2055" s="9">
        <f t="shared" si="64"/>
        <v>2</v>
      </c>
      <c r="I2055" t="s">
        <v>179</v>
      </c>
      <c r="J2055" s="33" t="s">
        <v>504</v>
      </c>
      <c r="K2055" s="18">
        <f>VLOOKUP(D2055,Ingredients!C:G,5,0)</f>
        <v>400</v>
      </c>
      <c r="L2055" s="52">
        <f t="shared" si="65"/>
        <v>2</v>
      </c>
    </row>
    <row r="2056" spans="1:12">
      <c r="A2056" t="s">
        <v>449</v>
      </c>
      <c r="B2056" t="s">
        <v>349</v>
      </c>
      <c r="C2056" t="s">
        <v>352</v>
      </c>
      <c r="D2056" s="3" t="s">
        <v>855</v>
      </c>
      <c r="E2056" s="14">
        <v>0.01</v>
      </c>
      <c r="F2056" s="4" t="s">
        <v>179</v>
      </c>
      <c r="G2056" s="9">
        <v>2400</v>
      </c>
      <c r="H2056" s="9">
        <f t="shared" si="64"/>
        <v>24</v>
      </c>
      <c r="I2056" t="s">
        <v>179</v>
      </c>
      <c r="J2056" s="33" t="s">
        <v>504</v>
      </c>
      <c r="K2056" s="18">
        <f>VLOOKUP(D2056,Ingredients!C:G,5,0)</f>
        <v>1600</v>
      </c>
      <c r="L2056" s="52">
        <f t="shared" si="65"/>
        <v>16</v>
      </c>
    </row>
    <row r="2057" spans="1:12">
      <c r="A2057" t="s">
        <v>449</v>
      </c>
      <c r="B2057" t="s">
        <v>349</v>
      </c>
      <c r="C2057" t="s">
        <v>352</v>
      </c>
      <c r="D2057" s="3" t="s">
        <v>857</v>
      </c>
      <c r="E2057" s="14">
        <v>0.01</v>
      </c>
      <c r="F2057" s="4" t="s">
        <v>179</v>
      </c>
      <c r="G2057" s="9">
        <v>520</v>
      </c>
      <c r="H2057" s="9">
        <f t="shared" si="64"/>
        <v>5.2</v>
      </c>
      <c r="I2057" t="s">
        <v>179</v>
      </c>
      <c r="J2057" s="33" t="s">
        <v>504</v>
      </c>
      <c r="K2057" s="18">
        <f>VLOOKUP(D2057,Ingredients!C:G,5,0)</f>
        <v>880</v>
      </c>
      <c r="L2057" s="52">
        <f t="shared" si="65"/>
        <v>8.8000000000000007</v>
      </c>
    </row>
    <row r="2058" spans="1:12">
      <c r="A2058" t="s">
        <v>449</v>
      </c>
      <c r="B2058" t="s">
        <v>349</v>
      </c>
      <c r="C2058" t="s">
        <v>352</v>
      </c>
      <c r="D2058" s="3" t="s">
        <v>853</v>
      </c>
      <c r="E2058" s="14">
        <v>2.5000000000000001E-2</v>
      </c>
      <c r="F2058" s="4" t="s">
        <v>315</v>
      </c>
      <c r="G2058" s="9">
        <v>30</v>
      </c>
      <c r="H2058" s="9">
        <f t="shared" si="64"/>
        <v>0.75</v>
      </c>
      <c r="I2058" t="s">
        <v>179</v>
      </c>
      <c r="J2058" s="33" t="s">
        <v>504</v>
      </c>
      <c r="K2058" s="18">
        <f>VLOOKUP(D2058,Ingredients!C:G,5,0)</f>
        <v>55</v>
      </c>
      <c r="L2058" s="52">
        <f t="shared" si="65"/>
        <v>1.375</v>
      </c>
    </row>
    <row r="2059" spans="1:12">
      <c r="A2059" t="s">
        <v>449</v>
      </c>
      <c r="B2059" t="s">
        <v>349</v>
      </c>
      <c r="C2059" t="s">
        <v>352</v>
      </c>
      <c r="D2059" s="3" t="s">
        <v>23</v>
      </c>
      <c r="E2059" s="14">
        <v>2.5000000000000001E-2</v>
      </c>
      <c r="F2059" s="4" t="s">
        <v>176</v>
      </c>
      <c r="G2059" s="9">
        <v>740</v>
      </c>
      <c r="H2059" s="9">
        <f t="shared" si="64"/>
        <v>18.5</v>
      </c>
      <c r="I2059" t="s">
        <v>179</v>
      </c>
      <c r="J2059" s="33" t="s">
        <v>504</v>
      </c>
      <c r="K2059" s="18">
        <f>VLOOKUP(D2059,Ingredients!C:G,5,0)</f>
        <v>780</v>
      </c>
      <c r="L2059" s="52">
        <f t="shared" si="65"/>
        <v>19.5</v>
      </c>
    </row>
    <row r="2060" spans="1:12">
      <c r="A2060" t="s">
        <v>449</v>
      </c>
      <c r="B2060" t="s">
        <v>349</v>
      </c>
      <c r="C2060" t="s">
        <v>352</v>
      </c>
      <c r="D2060" s="3" t="s">
        <v>16</v>
      </c>
      <c r="E2060" s="14">
        <v>6.2500000000000003E-3</v>
      </c>
      <c r="F2060" s="4" t="s">
        <v>179</v>
      </c>
      <c r="G2060" s="9">
        <v>270</v>
      </c>
      <c r="H2060" s="9">
        <f t="shared" si="64"/>
        <v>1.6875</v>
      </c>
      <c r="I2060" t="s">
        <v>179</v>
      </c>
      <c r="J2060" s="33" t="s">
        <v>504</v>
      </c>
      <c r="K2060" s="18">
        <f>VLOOKUP(D2060,Ingredients!C:G,5,0)</f>
        <v>310</v>
      </c>
      <c r="L2060" s="52">
        <f t="shared" si="65"/>
        <v>1.9375</v>
      </c>
    </row>
    <row r="2061" spans="1:12">
      <c r="A2061" t="s">
        <v>449</v>
      </c>
      <c r="B2061" t="s">
        <v>349</v>
      </c>
      <c r="C2061" t="s">
        <v>352</v>
      </c>
      <c r="D2061" s="3" t="s">
        <v>865</v>
      </c>
      <c r="E2061" s="14">
        <v>0.05</v>
      </c>
      <c r="F2061" s="4" t="s">
        <v>176</v>
      </c>
      <c r="G2061" s="9">
        <v>1400</v>
      </c>
      <c r="H2061" s="9">
        <f t="shared" si="64"/>
        <v>70</v>
      </c>
      <c r="I2061" t="s">
        <v>179</v>
      </c>
      <c r="J2061" s="33" t="s">
        <v>504</v>
      </c>
      <c r="K2061" s="18">
        <f>VLOOKUP(D2061,Ingredients!C:G,5,0)</f>
        <v>1400</v>
      </c>
      <c r="L2061" s="52">
        <f t="shared" si="65"/>
        <v>70</v>
      </c>
    </row>
    <row r="2062" spans="1:12">
      <c r="A2062" t="s">
        <v>449</v>
      </c>
      <c r="B2062" t="s">
        <v>349</v>
      </c>
      <c r="C2062" t="s">
        <v>352</v>
      </c>
      <c r="D2062" s="3" t="s">
        <v>887</v>
      </c>
      <c r="E2062" s="14">
        <v>5.0000000000000001E-3</v>
      </c>
      <c r="F2062" s="4" t="s">
        <v>179</v>
      </c>
      <c r="G2062" s="9">
        <v>1600</v>
      </c>
      <c r="H2062" s="9">
        <f t="shared" si="64"/>
        <v>8</v>
      </c>
      <c r="I2062" t="s">
        <v>179</v>
      </c>
      <c r="J2062" s="33" t="s">
        <v>504</v>
      </c>
      <c r="K2062" s="18">
        <f>VLOOKUP(D2062,Ingredients!C:G,5,0)</f>
        <v>1830</v>
      </c>
      <c r="L2062" s="52">
        <f t="shared" si="65"/>
        <v>9.15</v>
      </c>
    </row>
    <row r="2063" spans="1:12">
      <c r="A2063" t="s">
        <v>449</v>
      </c>
      <c r="B2063" t="s">
        <v>349</v>
      </c>
      <c r="C2063" t="s">
        <v>352</v>
      </c>
      <c r="D2063" s="3" t="s">
        <v>887</v>
      </c>
      <c r="E2063" s="14">
        <v>5.0000000000000001E-3</v>
      </c>
      <c r="F2063" s="4" t="s">
        <v>179</v>
      </c>
      <c r="G2063" s="9">
        <v>1600</v>
      </c>
      <c r="H2063" s="9">
        <f t="shared" si="64"/>
        <v>8</v>
      </c>
      <c r="I2063" t="s">
        <v>179</v>
      </c>
      <c r="J2063" s="33" t="s">
        <v>504</v>
      </c>
      <c r="K2063" s="18">
        <f>VLOOKUP(D2063,Ingredients!C:G,5,0)</f>
        <v>1830</v>
      </c>
      <c r="L2063" s="52">
        <f t="shared" si="65"/>
        <v>9.15</v>
      </c>
    </row>
    <row r="2064" spans="1:12">
      <c r="A2064" t="s">
        <v>449</v>
      </c>
      <c r="B2064" t="s">
        <v>349</v>
      </c>
      <c r="C2064" t="s">
        <v>352</v>
      </c>
      <c r="D2064" s="3" t="s">
        <v>851</v>
      </c>
      <c r="E2064" s="14">
        <v>0.6</v>
      </c>
      <c r="F2064" s="13" t="s">
        <v>176</v>
      </c>
      <c r="G2064" s="9">
        <v>177</v>
      </c>
      <c r="H2064" s="9">
        <f t="shared" si="64"/>
        <v>106.2</v>
      </c>
      <c r="I2064" t="s">
        <v>179</v>
      </c>
      <c r="J2064" s="33" t="s">
        <v>504</v>
      </c>
      <c r="K2064" s="18">
        <f>VLOOKUP(D2064,Ingredients!C:G,5,0)</f>
        <v>920</v>
      </c>
      <c r="L2064" s="52">
        <f t="shared" si="65"/>
        <v>552</v>
      </c>
    </row>
    <row r="2065" spans="1:12">
      <c r="A2065" t="s">
        <v>449</v>
      </c>
      <c r="B2065" t="s">
        <v>349</v>
      </c>
      <c r="C2065" t="s">
        <v>352</v>
      </c>
      <c r="D2065" s="3" t="s">
        <v>73</v>
      </c>
      <c r="E2065" s="14">
        <v>0.3</v>
      </c>
      <c r="F2065" s="4" t="s">
        <v>176</v>
      </c>
      <c r="G2065" s="9">
        <v>305</v>
      </c>
      <c r="H2065" s="9">
        <f t="shared" si="64"/>
        <v>91.5</v>
      </c>
      <c r="I2065" t="s">
        <v>179</v>
      </c>
      <c r="J2065" s="33" t="s">
        <v>504</v>
      </c>
      <c r="K2065" s="18">
        <f>VLOOKUP(D2065,Ingredients!C:G,5,0)</f>
        <v>300</v>
      </c>
      <c r="L2065" s="52">
        <f t="shared" si="65"/>
        <v>90</v>
      </c>
    </row>
    <row r="2066" spans="1:12">
      <c r="A2066" t="s">
        <v>451</v>
      </c>
      <c r="B2066" t="s">
        <v>349</v>
      </c>
      <c r="C2066" t="s">
        <v>351</v>
      </c>
      <c r="D2066" s="3" t="s">
        <v>428</v>
      </c>
      <c r="E2066" s="14">
        <v>1</v>
      </c>
      <c r="F2066" s="4" t="s">
        <v>176</v>
      </c>
      <c r="G2066" s="9">
        <v>1600</v>
      </c>
      <c r="H2066" s="9">
        <f t="shared" si="64"/>
        <v>1600</v>
      </c>
      <c r="I2066" t="s">
        <v>179</v>
      </c>
      <c r="J2066" s="33" t="s">
        <v>428</v>
      </c>
      <c r="K2066" s="18">
        <f>VLOOKUP(D2066,Ingredients!C:G,5,0)</f>
        <v>1514.78</v>
      </c>
      <c r="L2066" s="52">
        <f t="shared" si="65"/>
        <v>1514.78</v>
      </c>
    </row>
    <row r="2067" spans="1:12">
      <c r="A2067" t="s">
        <v>451</v>
      </c>
      <c r="B2067" t="s">
        <v>349</v>
      </c>
      <c r="C2067" t="s">
        <v>351</v>
      </c>
      <c r="D2067" s="3" t="s">
        <v>853</v>
      </c>
      <c r="E2067" s="14">
        <v>5.0000000000000001E-3</v>
      </c>
      <c r="F2067" s="4" t="s">
        <v>452</v>
      </c>
      <c r="G2067" s="9">
        <v>30</v>
      </c>
      <c r="H2067" s="9">
        <f t="shared" si="64"/>
        <v>0.15</v>
      </c>
      <c r="I2067" t="s">
        <v>179</v>
      </c>
      <c r="J2067" s="33" t="s">
        <v>428</v>
      </c>
      <c r="K2067" s="18">
        <f>VLOOKUP(D2067,Ingredients!C:G,5,0)</f>
        <v>55</v>
      </c>
      <c r="L2067" s="52">
        <f t="shared" si="65"/>
        <v>0.27500000000000002</v>
      </c>
    </row>
    <row r="2068" spans="1:12">
      <c r="A2068" t="s">
        <v>451</v>
      </c>
      <c r="B2068" t="s">
        <v>349</v>
      </c>
      <c r="C2068" t="s">
        <v>351</v>
      </c>
      <c r="D2068" s="3" t="s">
        <v>864</v>
      </c>
      <c r="E2068" s="14">
        <v>2.5000000000000001E-3</v>
      </c>
      <c r="F2068" s="4" t="s">
        <v>176</v>
      </c>
      <c r="G2068" s="9">
        <v>1400</v>
      </c>
      <c r="H2068" s="9">
        <f t="shared" si="64"/>
        <v>3.5</v>
      </c>
      <c r="I2068" t="s">
        <v>179</v>
      </c>
      <c r="J2068" s="33" t="s">
        <v>428</v>
      </c>
      <c r="K2068" s="18">
        <f>VLOOKUP(D2068,Ingredients!C:G,5,0)</f>
        <v>1400</v>
      </c>
      <c r="L2068" s="52">
        <f t="shared" si="65"/>
        <v>3.5</v>
      </c>
    </row>
    <row r="2069" spans="1:12">
      <c r="A2069" t="s">
        <v>451</v>
      </c>
      <c r="B2069" t="s">
        <v>349</v>
      </c>
      <c r="C2069" t="s">
        <v>351</v>
      </c>
      <c r="D2069" s="3" t="s">
        <v>872</v>
      </c>
      <c r="E2069" s="14">
        <v>2.5000000000000001E-3</v>
      </c>
      <c r="F2069" s="4" t="s">
        <v>176</v>
      </c>
      <c r="G2069" s="9">
        <v>2100</v>
      </c>
      <c r="H2069" s="9">
        <f t="shared" si="64"/>
        <v>5.25</v>
      </c>
      <c r="I2069" t="s">
        <v>179</v>
      </c>
      <c r="J2069" s="33" t="s">
        <v>428</v>
      </c>
      <c r="K2069" s="18">
        <f>VLOOKUP(D2069,Ingredients!C:G,5,0)</f>
        <v>2150</v>
      </c>
      <c r="L2069" s="52">
        <f t="shared" si="65"/>
        <v>5.375</v>
      </c>
    </row>
    <row r="2070" spans="1:12">
      <c r="A2070" t="s">
        <v>451</v>
      </c>
      <c r="B2070" t="s">
        <v>349</v>
      </c>
      <c r="C2070" t="s">
        <v>351</v>
      </c>
      <c r="D2070" s="3" t="s">
        <v>835</v>
      </c>
      <c r="E2070" s="14">
        <v>0.01</v>
      </c>
      <c r="F2070" s="4" t="s">
        <v>176</v>
      </c>
      <c r="G2070" s="9">
        <v>389.34</v>
      </c>
      <c r="H2070" s="9">
        <f t="shared" si="64"/>
        <v>3.8933999999999997</v>
      </c>
      <c r="I2070" t="s">
        <v>179</v>
      </c>
      <c r="J2070" s="33" t="s">
        <v>428</v>
      </c>
      <c r="K2070" s="18">
        <f>VLOOKUP(D2070,Ingredients!C:G,5,0)</f>
        <v>394.63</v>
      </c>
      <c r="L2070" s="52">
        <f t="shared" si="65"/>
        <v>3.9462999999999999</v>
      </c>
    </row>
    <row r="2071" spans="1:12">
      <c r="A2071" t="s">
        <v>451</v>
      </c>
      <c r="B2071" t="s">
        <v>349</v>
      </c>
      <c r="C2071" t="s">
        <v>351</v>
      </c>
      <c r="D2071" s="3" t="s">
        <v>866</v>
      </c>
      <c r="E2071" s="14">
        <v>0.01</v>
      </c>
      <c r="F2071" s="4" t="s">
        <v>176</v>
      </c>
      <c r="G2071" s="9">
        <v>153.97999999999999</v>
      </c>
      <c r="H2071" s="9">
        <f t="shared" si="64"/>
        <v>1.5397999999999998</v>
      </c>
      <c r="I2071" t="s">
        <v>179</v>
      </c>
      <c r="J2071" s="33" t="s">
        <v>428</v>
      </c>
      <c r="K2071" s="18">
        <f>VLOOKUP(D2071,Ingredients!C:G,5,0)</f>
        <v>142.13999999999999</v>
      </c>
      <c r="L2071" s="52">
        <f t="shared" si="65"/>
        <v>1.4214</v>
      </c>
    </row>
    <row r="2072" spans="1:12">
      <c r="A2072" t="s">
        <v>451</v>
      </c>
      <c r="B2072" t="s">
        <v>349</v>
      </c>
      <c r="C2072" t="s">
        <v>351</v>
      </c>
      <c r="D2072" s="3" t="s">
        <v>310</v>
      </c>
      <c r="E2072" s="14">
        <v>0.01</v>
      </c>
      <c r="F2072" s="4" t="s">
        <v>452</v>
      </c>
      <c r="G2072" s="9">
        <v>425</v>
      </c>
      <c r="H2072" s="9">
        <f t="shared" si="64"/>
        <v>4.25</v>
      </c>
      <c r="I2072" t="s">
        <v>179</v>
      </c>
      <c r="J2072" s="33" t="s">
        <v>428</v>
      </c>
      <c r="K2072" s="18">
        <f>VLOOKUP(D2072,Ingredients!C:G,5,0)</f>
        <v>850</v>
      </c>
      <c r="L2072" s="52">
        <f t="shared" si="65"/>
        <v>8.5</v>
      </c>
    </row>
    <row r="2073" spans="1:12">
      <c r="A2073" t="s">
        <v>451</v>
      </c>
      <c r="B2073" t="s">
        <v>349</v>
      </c>
      <c r="C2073" t="s">
        <v>351</v>
      </c>
      <c r="D2073" s="3" t="s">
        <v>867</v>
      </c>
      <c r="E2073" s="14">
        <v>0.01</v>
      </c>
      <c r="F2073" s="4" t="s">
        <v>176</v>
      </c>
      <c r="G2073" s="9">
        <v>900</v>
      </c>
      <c r="H2073" s="9">
        <f t="shared" si="64"/>
        <v>9</v>
      </c>
      <c r="I2073" t="s">
        <v>179</v>
      </c>
      <c r="J2073" s="33" t="s">
        <v>428</v>
      </c>
      <c r="K2073" s="18">
        <f>VLOOKUP(D2073,Ingredients!C:G,5,0)</f>
        <v>950</v>
      </c>
      <c r="L2073" s="52">
        <f t="shared" si="65"/>
        <v>9.5</v>
      </c>
    </row>
    <row r="2074" spans="1:12">
      <c r="A2074" t="s">
        <v>451</v>
      </c>
      <c r="B2074" t="s">
        <v>349</v>
      </c>
      <c r="C2074" t="s">
        <v>351</v>
      </c>
      <c r="D2074" s="3" t="s">
        <v>900</v>
      </c>
      <c r="E2074" s="14">
        <v>0.2</v>
      </c>
      <c r="F2074" s="4" t="s">
        <v>176</v>
      </c>
      <c r="G2074" s="9">
        <v>440</v>
      </c>
      <c r="H2074" s="9">
        <f t="shared" si="64"/>
        <v>88</v>
      </c>
      <c r="I2074" t="s">
        <v>179</v>
      </c>
      <c r="J2074" s="33" t="s">
        <v>428</v>
      </c>
      <c r="K2074" s="18">
        <f>VLOOKUP(D2074,Ingredients!C:G,5,0)</f>
        <v>440</v>
      </c>
      <c r="L2074" s="52">
        <f t="shared" si="65"/>
        <v>88</v>
      </c>
    </row>
    <row r="2075" spans="1:12">
      <c r="A2075" t="s">
        <v>451</v>
      </c>
      <c r="B2075" t="s">
        <v>349</v>
      </c>
      <c r="C2075" t="s">
        <v>351</v>
      </c>
      <c r="D2075" s="3" t="s">
        <v>852</v>
      </c>
      <c r="E2075" s="14">
        <v>0.3</v>
      </c>
      <c r="F2075" s="4" t="s">
        <v>176</v>
      </c>
      <c r="G2075" s="9">
        <v>520.63</v>
      </c>
      <c r="H2075" s="9">
        <f t="shared" si="64"/>
        <v>156.18899999999999</v>
      </c>
      <c r="I2075" t="s">
        <v>179</v>
      </c>
      <c r="J2075" s="33" t="s">
        <v>428</v>
      </c>
      <c r="K2075" s="18">
        <v>550</v>
      </c>
      <c r="L2075" s="52">
        <f t="shared" si="65"/>
        <v>165</v>
      </c>
    </row>
    <row r="2076" spans="1:12">
      <c r="A2076" t="s">
        <v>453</v>
      </c>
      <c r="B2076" t="s">
        <v>356</v>
      </c>
      <c r="C2076" t="s">
        <v>356</v>
      </c>
      <c r="D2076" s="3" t="s">
        <v>918</v>
      </c>
      <c r="E2076" s="14">
        <v>1</v>
      </c>
      <c r="F2076" s="4" t="s">
        <v>176</v>
      </c>
      <c r="G2076" s="9">
        <v>54</v>
      </c>
      <c r="H2076" s="9">
        <f t="shared" si="64"/>
        <v>54</v>
      </c>
      <c r="I2076" t="s">
        <v>179</v>
      </c>
      <c r="J2076" s="33">
        <v>0</v>
      </c>
      <c r="K2076" s="18">
        <f>VLOOKUP(D2076,Ingredients!C:G,5,0)</f>
        <v>308.57142857142861</v>
      </c>
      <c r="L2076" s="52">
        <f t="shared" si="65"/>
        <v>308.57142857142861</v>
      </c>
    </row>
    <row r="2077" spans="1:12">
      <c r="A2077" t="s">
        <v>453</v>
      </c>
      <c r="B2077" t="s">
        <v>356</v>
      </c>
      <c r="C2077" t="s">
        <v>356</v>
      </c>
      <c r="D2077" s="3" t="s">
        <v>915</v>
      </c>
      <c r="E2077" s="14">
        <v>0.2</v>
      </c>
      <c r="F2077" s="4" t="s">
        <v>408</v>
      </c>
      <c r="G2077" s="9">
        <v>5000</v>
      </c>
      <c r="H2077" s="9">
        <f t="shared" si="64"/>
        <v>1000</v>
      </c>
      <c r="I2077" t="s">
        <v>179</v>
      </c>
      <c r="J2077" s="33">
        <v>0</v>
      </c>
      <c r="K2077" s="18">
        <f>VLOOKUP(D2077,Ingredients!C:G,5,0)</f>
        <v>3200</v>
      </c>
      <c r="L2077" s="52">
        <f t="shared" si="65"/>
        <v>640</v>
      </c>
    </row>
    <row r="2078" spans="1:12">
      <c r="A2078" t="s">
        <v>453</v>
      </c>
      <c r="B2078" t="s">
        <v>356</v>
      </c>
      <c r="C2078" t="s">
        <v>356</v>
      </c>
      <c r="D2078" s="3" t="s">
        <v>916</v>
      </c>
      <c r="E2078" s="14">
        <v>0.02</v>
      </c>
      <c r="F2078" s="4" t="s">
        <v>179</v>
      </c>
      <c r="G2078" s="9">
        <v>6500</v>
      </c>
      <c r="H2078" s="9">
        <f t="shared" si="64"/>
        <v>130</v>
      </c>
      <c r="I2078" t="s">
        <v>179</v>
      </c>
      <c r="J2078" s="33">
        <v>0</v>
      </c>
      <c r="K2078" s="18">
        <f>VLOOKUP(D2078,Ingredients!C:G,5,0)</f>
        <v>6200</v>
      </c>
      <c r="L2078" s="52">
        <f t="shared" si="65"/>
        <v>124</v>
      </c>
    </row>
    <row r="2079" spans="1:12">
      <c r="A2079" t="s">
        <v>453</v>
      </c>
      <c r="B2079" t="s">
        <v>356</v>
      </c>
      <c r="C2079" t="s">
        <v>356</v>
      </c>
      <c r="D2079" s="3" t="s">
        <v>892</v>
      </c>
      <c r="E2079" s="14">
        <v>0.02</v>
      </c>
      <c r="F2079" s="4" t="s">
        <v>179</v>
      </c>
      <c r="G2079" s="9">
        <v>2000</v>
      </c>
      <c r="H2079" s="9">
        <f t="shared" si="64"/>
        <v>40</v>
      </c>
      <c r="I2079" t="s">
        <v>179</v>
      </c>
      <c r="J2079" s="33">
        <v>0</v>
      </c>
      <c r="K2079" s="18">
        <f>VLOOKUP(D2079,Ingredients!C:G,5,0)</f>
        <v>2080</v>
      </c>
      <c r="L2079" s="52">
        <f t="shared" si="65"/>
        <v>41.6</v>
      </c>
    </row>
    <row r="2080" spans="1:12">
      <c r="A2080" t="s">
        <v>453</v>
      </c>
      <c r="B2080" t="s">
        <v>356</v>
      </c>
      <c r="C2080" t="s">
        <v>356</v>
      </c>
      <c r="D2080" s="3" t="s">
        <v>830</v>
      </c>
      <c r="E2080" s="14">
        <v>1</v>
      </c>
      <c r="F2080" s="4" t="s">
        <v>176</v>
      </c>
      <c r="G2080" s="9">
        <v>149</v>
      </c>
      <c r="H2080" s="9">
        <f t="shared" si="64"/>
        <v>149</v>
      </c>
      <c r="I2080" t="s">
        <v>179</v>
      </c>
      <c r="J2080" s="33">
        <v>0</v>
      </c>
      <c r="K2080" s="18">
        <f>VLOOKUP(D2080,Ingredients!C:G,5,0)</f>
        <v>123</v>
      </c>
      <c r="L2080" s="52">
        <f t="shared" si="65"/>
        <v>123</v>
      </c>
    </row>
    <row r="2081" spans="1:12">
      <c r="A2081" t="s">
        <v>453</v>
      </c>
      <c r="B2081" t="s">
        <v>356</v>
      </c>
      <c r="C2081" t="s">
        <v>356</v>
      </c>
      <c r="D2081" s="3" t="s">
        <v>924</v>
      </c>
      <c r="E2081" s="14">
        <v>0.02</v>
      </c>
      <c r="F2081" s="4" t="s">
        <v>179</v>
      </c>
      <c r="G2081" s="9">
        <v>850</v>
      </c>
      <c r="H2081" s="9">
        <f t="shared" si="64"/>
        <v>17</v>
      </c>
      <c r="I2081" t="s">
        <v>179</v>
      </c>
      <c r="J2081" s="33">
        <v>0</v>
      </c>
      <c r="K2081" s="18">
        <f>VLOOKUP(D2081,Ingredients!C:G,5,0)</f>
        <v>720</v>
      </c>
      <c r="L2081" s="52">
        <f t="shared" si="65"/>
        <v>14.4</v>
      </c>
    </row>
    <row r="2082" spans="1:12">
      <c r="A2082" t="s">
        <v>59</v>
      </c>
      <c r="B2082" t="s">
        <v>349</v>
      </c>
      <c r="C2082" t="s">
        <v>352</v>
      </c>
      <c r="D2082" s="3" t="s">
        <v>29</v>
      </c>
      <c r="E2082" s="10">
        <v>5.0000000000000001E-3</v>
      </c>
      <c r="F2082" s="13" t="s">
        <v>176</v>
      </c>
      <c r="G2082" s="9">
        <v>60</v>
      </c>
      <c r="H2082" s="9">
        <f t="shared" si="64"/>
        <v>0.3</v>
      </c>
      <c r="I2082" t="s">
        <v>463</v>
      </c>
      <c r="J2082" s="33">
        <v>0</v>
      </c>
      <c r="K2082" s="18">
        <f>VLOOKUP(D2082,Ingredients!C:G,5,0)</f>
        <v>100</v>
      </c>
      <c r="L2082" s="52">
        <f t="shared" si="65"/>
        <v>0.5</v>
      </c>
    </row>
    <row r="2083" spans="1:12">
      <c r="A2083" t="s">
        <v>59</v>
      </c>
      <c r="B2083" t="s">
        <v>349</v>
      </c>
      <c r="C2083" t="s">
        <v>352</v>
      </c>
      <c r="D2083" s="3" t="s">
        <v>878</v>
      </c>
      <c r="E2083" s="10">
        <v>2E-3</v>
      </c>
      <c r="F2083" s="13" t="s">
        <v>176</v>
      </c>
      <c r="G2083" s="9">
        <v>270</v>
      </c>
      <c r="H2083" s="9">
        <f t="shared" si="64"/>
        <v>0.54</v>
      </c>
      <c r="I2083" t="s">
        <v>463</v>
      </c>
      <c r="J2083" s="33">
        <v>0</v>
      </c>
      <c r="K2083" s="18">
        <f>VLOOKUP(D2083,Ingredients!C:G,5,0)</f>
        <v>1260.55</v>
      </c>
      <c r="L2083" s="52">
        <f t="shared" si="65"/>
        <v>2.5211000000000001</v>
      </c>
    </row>
    <row r="2084" spans="1:12">
      <c r="A2084" t="s">
        <v>59</v>
      </c>
      <c r="B2084" t="s">
        <v>349</v>
      </c>
      <c r="C2084" t="s">
        <v>352</v>
      </c>
      <c r="D2084" s="3" t="s">
        <v>849</v>
      </c>
      <c r="E2084" s="10">
        <v>2E-3</v>
      </c>
      <c r="F2084" s="13" t="s">
        <v>176</v>
      </c>
      <c r="G2084" s="9">
        <v>1000</v>
      </c>
      <c r="H2084" s="9">
        <f t="shared" si="64"/>
        <v>2</v>
      </c>
      <c r="I2084" t="s">
        <v>463</v>
      </c>
      <c r="J2084" s="33">
        <v>0</v>
      </c>
      <c r="K2084" s="18">
        <f>VLOOKUP(D2084,Ingredients!C:G,5,0)</f>
        <v>950</v>
      </c>
      <c r="L2084" s="52">
        <f t="shared" si="65"/>
        <v>1.9000000000000001</v>
      </c>
    </row>
    <row r="2085" spans="1:12">
      <c r="A2085" t="s">
        <v>59</v>
      </c>
      <c r="B2085" t="s">
        <v>349</v>
      </c>
      <c r="C2085" t="s">
        <v>352</v>
      </c>
      <c r="D2085" s="3" t="s">
        <v>880</v>
      </c>
      <c r="E2085" s="10">
        <v>5.0000000000000001E-3</v>
      </c>
      <c r="F2085" s="13" t="s">
        <v>176</v>
      </c>
      <c r="G2085" s="9">
        <v>650</v>
      </c>
      <c r="H2085" s="9">
        <f t="shared" si="64"/>
        <v>3.25</v>
      </c>
      <c r="I2085" t="s">
        <v>463</v>
      </c>
      <c r="J2085" s="33">
        <v>0</v>
      </c>
      <c r="K2085" s="18">
        <f>VLOOKUP(D2085,Ingredients!C:G,5,0)</f>
        <v>520</v>
      </c>
      <c r="L2085" s="52">
        <f t="shared" si="65"/>
        <v>2.6</v>
      </c>
    </row>
    <row r="2086" spans="1:12">
      <c r="A2086" t="s">
        <v>59</v>
      </c>
      <c r="B2086" t="s">
        <v>349</v>
      </c>
      <c r="C2086" t="s">
        <v>352</v>
      </c>
      <c r="D2086" s="3" t="s">
        <v>853</v>
      </c>
      <c r="E2086" s="10">
        <v>3.0000000000000001E-3</v>
      </c>
      <c r="F2086" s="13" t="s">
        <v>176</v>
      </c>
      <c r="G2086" s="9">
        <v>30</v>
      </c>
      <c r="H2086" s="9">
        <f t="shared" si="64"/>
        <v>0.09</v>
      </c>
      <c r="I2086" t="s">
        <v>463</v>
      </c>
      <c r="J2086" s="33">
        <v>0</v>
      </c>
      <c r="K2086" s="18">
        <f>VLOOKUP(D2086,Ingredients!C:G,5,0)</f>
        <v>55</v>
      </c>
      <c r="L2086" s="52">
        <f t="shared" si="65"/>
        <v>0.16500000000000001</v>
      </c>
    </row>
    <row r="2087" spans="1:12">
      <c r="A2087" t="s">
        <v>59</v>
      </c>
      <c r="B2087" t="s">
        <v>349</v>
      </c>
      <c r="C2087" t="s">
        <v>352</v>
      </c>
      <c r="D2087" s="3" t="s">
        <v>16</v>
      </c>
      <c r="E2087" s="10">
        <v>5.0000000000000001E-3</v>
      </c>
      <c r="F2087" s="13" t="s">
        <v>176</v>
      </c>
      <c r="G2087" s="9">
        <v>270</v>
      </c>
      <c r="H2087" s="9">
        <f t="shared" si="64"/>
        <v>1.35</v>
      </c>
      <c r="I2087" t="s">
        <v>463</v>
      </c>
      <c r="J2087" s="33">
        <v>0</v>
      </c>
      <c r="K2087" s="18">
        <f>VLOOKUP(D2087,Ingredients!C:G,5,0)</f>
        <v>310</v>
      </c>
      <c r="L2087" s="52">
        <f t="shared" si="65"/>
        <v>1.55</v>
      </c>
    </row>
    <row r="2088" spans="1:12">
      <c r="A2088" t="s">
        <v>59</v>
      </c>
      <c r="B2088" t="s">
        <v>349</v>
      </c>
      <c r="C2088" t="s">
        <v>352</v>
      </c>
      <c r="D2088" s="3" t="s">
        <v>23</v>
      </c>
      <c r="E2088" s="10">
        <v>5.0000000000000001E-3</v>
      </c>
      <c r="F2088" s="13" t="s">
        <v>176</v>
      </c>
      <c r="G2088" s="9">
        <v>740</v>
      </c>
      <c r="H2088" s="9">
        <f t="shared" si="64"/>
        <v>3.7</v>
      </c>
      <c r="I2088" t="s">
        <v>463</v>
      </c>
      <c r="J2088" s="33">
        <v>0</v>
      </c>
      <c r="K2088" s="18">
        <f>VLOOKUP(D2088,Ingredients!C:G,5,0)</f>
        <v>780</v>
      </c>
      <c r="L2088" s="52">
        <f t="shared" si="65"/>
        <v>3.9</v>
      </c>
    </row>
    <row r="2089" spans="1:12">
      <c r="A2089" t="s">
        <v>59</v>
      </c>
      <c r="B2089" t="s">
        <v>349</v>
      </c>
      <c r="C2089" t="s">
        <v>352</v>
      </c>
      <c r="D2089" s="3" t="s">
        <v>28</v>
      </c>
      <c r="E2089" s="10">
        <v>0.1</v>
      </c>
      <c r="F2089" s="13" t="s">
        <v>176</v>
      </c>
      <c r="G2089" s="9">
        <v>85</v>
      </c>
      <c r="H2089" s="9">
        <f t="shared" si="64"/>
        <v>8.5</v>
      </c>
      <c r="I2089" t="s">
        <v>463</v>
      </c>
      <c r="J2089" s="33">
        <v>0</v>
      </c>
      <c r="K2089" s="18">
        <f>VLOOKUP(D2089,Ingredients!C:G,5,0)</f>
        <v>70</v>
      </c>
      <c r="L2089" s="52">
        <f t="shared" si="65"/>
        <v>7</v>
      </c>
    </row>
    <row r="2090" spans="1:12">
      <c r="A2090" t="s">
        <v>59</v>
      </c>
      <c r="B2090" t="s">
        <v>349</v>
      </c>
      <c r="C2090" t="s">
        <v>352</v>
      </c>
      <c r="D2090" s="3" t="s">
        <v>852</v>
      </c>
      <c r="E2090" s="10">
        <v>0.03</v>
      </c>
      <c r="F2090" s="13" t="s">
        <v>177</v>
      </c>
      <c r="G2090" s="9">
        <v>520.63</v>
      </c>
      <c r="H2090" s="9">
        <f t="shared" si="64"/>
        <v>15.6189</v>
      </c>
      <c r="I2090" t="s">
        <v>463</v>
      </c>
      <c r="J2090" s="33">
        <v>0</v>
      </c>
      <c r="K2090" s="18">
        <v>550</v>
      </c>
      <c r="L2090" s="52">
        <f t="shared" si="65"/>
        <v>16.5</v>
      </c>
    </row>
    <row r="2091" spans="1:12">
      <c r="A2091" t="s">
        <v>59</v>
      </c>
      <c r="B2091" t="s">
        <v>349</v>
      </c>
      <c r="C2091" t="s">
        <v>352</v>
      </c>
      <c r="D2091" s="3" t="s">
        <v>58</v>
      </c>
      <c r="E2091" s="10">
        <v>1</v>
      </c>
      <c r="F2091" s="13" t="s">
        <v>253</v>
      </c>
      <c r="G2091" s="9">
        <v>400</v>
      </c>
      <c r="H2091" s="9">
        <f t="shared" si="64"/>
        <v>400</v>
      </c>
      <c r="I2091" t="s">
        <v>463</v>
      </c>
      <c r="J2091" s="33">
        <v>0</v>
      </c>
      <c r="K2091" s="18">
        <f>VLOOKUP(D2091,Ingredients!C:G,5,0)</f>
        <v>400</v>
      </c>
      <c r="L2091" s="52">
        <f t="shared" si="65"/>
        <v>400</v>
      </c>
    </row>
    <row r="2092" spans="1:12">
      <c r="A2092" t="s">
        <v>110</v>
      </c>
      <c r="B2092" t="s">
        <v>346</v>
      </c>
      <c r="C2092" t="s">
        <v>993</v>
      </c>
      <c r="D2092" s="3" t="s">
        <v>855</v>
      </c>
      <c r="E2092" s="10">
        <v>0.04</v>
      </c>
      <c r="F2092" s="13" t="s">
        <v>176</v>
      </c>
      <c r="G2092" s="9">
        <v>2400</v>
      </c>
      <c r="H2092" s="9">
        <f t="shared" si="64"/>
        <v>96</v>
      </c>
      <c r="I2092" t="s">
        <v>179</v>
      </c>
      <c r="J2092" s="33">
        <v>0</v>
      </c>
      <c r="K2092" s="18">
        <f>VLOOKUP(D2092,Ingredients!C:G,5,0)</f>
        <v>1600</v>
      </c>
      <c r="L2092" s="52">
        <f t="shared" si="65"/>
        <v>64</v>
      </c>
    </row>
    <row r="2093" spans="1:12">
      <c r="A2093" t="s">
        <v>110</v>
      </c>
      <c r="B2093" t="s">
        <v>346</v>
      </c>
      <c r="C2093" t="s">
        <v>993</v>
      </c>
      <c r="D2093" s="3" t="s">
        <v>880</v>
      </c>
      <c r="E2093" s="10">
        <v>1.2E-2</v>
      </c>
      <c r="F2093" s="13" t="s">
        <v>176</v>
      </c>
      <c r="G2093" s="9">
        <v>650</v>
      </c>
      <c r="H2093" s="9">
        <f t="shared" si="64"/>
        <v>7.8</v>
      </c>
      <c r="I2093" t="s">
        <v>179</v>
      </c>
      <c r="J2093" s="33">
        <v>0</v>
      </c>
      <c r="K2093" s="18">
        <f>VLOOKUP(D2093,Ingredients!C:G,5,0)</f>
        <v>520</v>
      </c>
      <c r="L2093" s="52">
        <f t="shared" si="65"/>
        <v>6.24</v>
      </c>
    </row>
    <row r="2094" spans="1:12">
      <c r="A2094" t="s">
        <v>110</v>
      </c>
      <c r="B2094" t="s">
        <v>346</v>
      </c>
      <c r="C2094" t="s">
        <v>993</v>
      </c>
      <c r="D2094" s="3" t="s">
        <v>856</v>
      </c>
      <c r="E2094" s="10">
        <v>0.02</v>
      </c>
      <c r="F2094" s="13" t="s">
        <v>176</v>
      </c>
      <c r="G2094" s="9">
        <v>850</v>
      </c>
      <c r="H2094" s="9">
        <f t="shared" si="64"/>
        <v>17</v>
      </c>
      <c r="I2094" t="s">
        <v>179</v>
      </c>
      <c r="J2094" s="33">
        <v>0</v>
      </c>
      <c r="K2094" s="18">
        <f>VLOOKUP(D2094,Ingredients!C:G,5,0)</f>
        <v>980</v>
      </c>
      <c r="L2094" s="52">
        <f t="shared" si="65"/>
        <v>19.600000000000001</v>
      </c>
    </row>
    <row r="2095" spans="1:12">
      <c r="A2095" t="s">
        <v>110</v>
      </c>
      <c r="B2095" t="s">
        <v>346</v>
      </c>
      <c r="C2095" t="s">
        <v>993</v>
      </c>
      <c r="D2095" s="3" t="s">
        <v>16</v>
      </c>
      <c r="E2095" s="10">
        <v>0.06</v>
      </c>
      <c r="F2095" s="13" t="s">
        <v>176</v>
      </c>
      <c r="G2095" s="9">
        <v>270</v>
      </c>
      <c r="H2095" s="9">
        <f t="shared" si="64"/>
        <v>16.2</v>
      </c>
      <c r="I2095" t="s">
        <v>179</v>
      </c>
      <c r="J2095" s="33">
        <v>0</v>
      </c>
      <c r="K2095" s="18">
        <f>VLOOKUP(D2095,Ingredients!C:G,5,0)</f>
        <v>310</v>
      </c>
      <c r="L2095" s="52">
        <f t="shared" si="65"/>
        <v>18.599999999999998</v>
      </c>
    </row>
    <row r="2096" spans="1:12">
      <c r="A2096" t="s">
        <v>110</v>
      </c>
      <c r="B2096" t="s">
        <v>346</v>
      </c>
      <c r="C2096" t="s">
        <v>993</v>
      </c>
      <c r="D2096" s="3" t="s">
        <v>24</v>
      </c>
      <c r="E2096" s="10">
        <v>0.6</v>
      </c>
      <c r="F2096" s="13" t="s">
        <v>176</v>
      </c>
      <c r="G2096" s="9">
        <v>55</v>
      </c>
      <c r="H2096" s="9">
        <f t="shared" si="64"/>
        <v>33</v>
      </c>
      <c r="I2096" t="s">
        <v>179</v>
      </c>
      <c r="J2096" s="33">
        <v>0</v>
      </c>
      <c r="K2096" s="18">
        <f>VLOOKUP(D2096,Ingredients!C:G,5,0)</f>
        <v>80</v>
      </c>
      <c r="L2096" s="52">
        <f t="shared" si="65"/>
        <v>48</v>
      </c>
    </row>
    <row r="2097" spans="1:12">
      <c r="A2097" t="s">
        <v>110</v>
      </c>
      <c r="B2097" t="s">
        <v>346</v>
      </c>
      <c r="C2097" t="s">
        <v>993</v>
      </c>
      <c r="D2097" s="3" t="s">
        <v>28</v>
      </c>
      <c r="E2097" s="10">
        <v>0.4</v>
      </c>
      <c r="F2097" s="13" t="s">
        <v>176</v>
      </c>
      <c r="G2097" s="9">
        <v>85</v>
      </c>
      <c r="H2097" s="9">
        <f t="shared" si="64"/>
        <v>34</v>
      </c>
      <c r="I2097" t="s">
        <v>179</v>
      </c>
      <c r="J2097" s="33">
        <v>0</v>
      </c>
      <c r="K2097" s="18">
        <f>VLOOKUP(D2097,Ingredients!C:G,5,0)</f>
        <v>70</v>
      </c>
      <c r="L2097" s="52">
        <f t="shared" si="65"/>
        <v>28</v>
      </c>
    </row>
    <row r="2098" spans="1:12">
      <c r="A2098" t="s">
        <v>110</v>
      </c>
      <c r="B2098" t="s">
        <v>346</v>
      </c>
      <c r="C2098" t="s">
        <v>993</v>
      </c>
      <c r="D2098" s="3" t="s">
        <v>852</v>
      </c>
      <c r="E2098" s="10">
        <v>0.4</v>
      </c>
      <c r="F2098" s="13" t="s">
        <v>177</v>
      </c>
      <c r="G2098" s="9">
        <v>520.63</v>
      </c>
      <c r="H2098" s="9">
        <f t="shared" si="64"/>
        <v>208.25200000000001</v>
      </c>
      <c r="I2098" t="s">
        <v>179</v>
      </c>
      <c r="J2098" s="33">
        <v>0</v>
      </c>
      <c r="K2098" s="18">
        <v>550</v>
      </c>
      <c r="L2098" s="52">
        <f t="shared" si="65"/>
        <v>220</v>
      </c>
    </row>
    <row r="2099" spans="1:12">
      <c r="A2099" t="s">
        <v>110</v>
      </c>
      <c r="B2099" t="s">
        <v>346</v>
      </c>
      <c r="C2099" t="s">
        <v>993</v>
      </c>
      <c r="D2099" s="3" t="s">
        <v>936</v>
      </c>
      <c r="E2099" s="10">
        <v>1</v>
      </c>
      <c r="F2099" s="13" t="s">
        <v>176</v>
      </c>
      <c r="G2099" s="9">
        <v>260</v>
      </c>
      <c r="H2099" s="9">
        <f t="shared" si="64"/>
        <v>260</v>
      </c>
      <c r="I2099" t="s">
        <v>179</v>
      </c>
      <c r="J2099" s="33">
        <v>0</v>
      </c>
      <c r="K2099" s="18">
        <f>VLOOKUP(D2099,Ingredients!C:G,5,0)</f>
        <v>230</v>
      </c>
      <c r="L2099" s="52">
        <f t="shared" si="65"/>
        <v>230</v>
      </c>
    </row>
    <row r="2100" spans="1:12">
      <c r="A2100" t="s">
        <v>120</v>
      </c>
      <c r="B2100" t="s">
        <v>349</v>
      </c>
      <c r="C2100" t="s">
        <v>352</v>
      </c>
      <c r="D2100" s="3" t="s">
        <v>874</v>
      </c>
      <c r="E2100" s="10">
        <v>6.6800000000000002E-3</v>
      </c>
      <c r="F2100" s="13" t="s">
        <v>177</v>
      </c>
      <c r="G2100" s="9">
        <v>110</v>
      </c>
      <c r="H2100" s="9">
        <f t="shared" si="64"/>
        <v>0.73480000000000001</v>
      </c>
      <c r="I2100" t="s">
        <v>179</v>
      </c>
      <c r="J2100" s="33">
        <v>0</v>
      </c>
      <c r="K2100" s="18">
        <f>VLOOKUP(D2100,Ingredients!C:G,5,0)</f>
        <v>179</v>
      </c>
      <c r="L2100" s="52">
        <f t="shared" si="65"/>
        <v>1.1957200000000001</v>
      </c>
    </row>
    <row r="2101" spans="1:12">
      <c r="A2101" t="s">
        <v>120</v>
      </c>
      <c r="B2101" t="s">
        <v>349</v>
      </c>
      <c r="C2101" t="s">
        <v>352</v>
      </c>
      <c r="D2101" s="3" t="s">
        <v>16</v>
      </c>
      <c r="E2101" s="10">
        <v>1.336E-2</v>
      </c>
      <c r="F2101" s="13" t="s">
        <v>176</v>
      </c>
      <c r="G2101" s="9">
        <v>270</v>
      </c>
      <c r="H2101" s="9">
        <f t="shared" si="64"/>
        <v>3.6072000000000002</v>
      </c>
      <c r="I2101" t="s">
        <v>179</v>
      </c>
      <c r="J2101" s="33">
        <v>0</v>
      </c>
      <c r="K2101" s="18">
        <f>VLOOKUP(D2101,Ingredients!C:G,5,0)</f>
        <v>310</v>
      </c>
      <c r="L2101" s="52">
        <f t="shared" si="65"/>
        <v>4.1416000000000004</v>
      </c>
    </row>
    <row r="2102" spans="1:12">
      <c r="A2102" t="s">
        <v>120</v>
      </c>
      <c r="B2102" t="s">
        <v>349</v>
      </c>
      <c r="C2102" t="s">
        <v>352</v>
      </c>
      <c r="D2102" s="3" t="s">
        <v>23</v>
      </c>
      <c r="E2102" s="10">
        <v>2.6720000000000001E-2</v>
      </c>
      <c r="F2102" s="13" t="s">
        <v>176</v>
      </c>
      <c r="G2102" s="9">
        <v>740</v>
      </c>
      <c r="H2102" s="9">
        <f t="shared" si="64"/>
        <v>19.7728</v>
      </c>
      <c r="I2102" t="s">
        <v>179</v>
      </c>
      <c r="J2102" s="33">
        <v>0</v>
      </c>
      <c r="K2102" s="18">
        <f>VLOOKUP(D2102,Ingredients!C:G,5,0)</f>
        <v>780</v>
      </c>
      <c r="L2102" s="52">
        <f t="shared" si="65"/>
        <v>20.8416</v>
      </c>
    </row>
    <row r="2103" spans="1:12">
      <c r="A2103" t="s">
        <v>120</v>
      </c>
      <c r="B2103" t="s">
        <v>349</v>
      </c>
      <c r="C2103" t="s">
        <v>352</v>
      </c>
      <c r="D2103" s="3" t="s">
        <v>310</v>
      </c>
      <c r="E2103" s="10">
        <v>3.3399999999999999E-2</v>
      </c>
      <c r="F2103" s="13" t="s">
        <v>177</v>
      </c>
      <c r="G2103" s="9">
        <v>425</v>
      </c>
      <c r="H2103" s="9">
        <f t="shared" si="64"/>
        <v>14.195</v>
      </c>
      <c r="I2103" t="s">
        <v>179</v>
      </c>
      <c r="J2103" s="33">
        <v>0</v>
      </c>
      <c r="K2103" s="18">
        <f>VLOOKUP(D2103,Ingredients!C:G,5,0)</f>
        <v>850</v>
      </c>
      <c r="L2103" s="52">
        <f t="shared" si="65"/>
        <v>28.39</v>
      </c>
    </row>
    <row r="2104" spans="1:12">
      <c r="A2104" t="s">
        <v>120</v>
      </c>
      <c r="B2104" t="s">
        <v>349</v>
      </c>
      <c r="C2104" t="s">
        <v>352</v>
      </c>
      <c r="D2104" s="3" t="s">
        <v>872</v>
      </c>
      <c r="E2104" s="10">
        <v>1.0019999999999999E-2</v>
      </c>
      <c r="F2104" s="13" t="s">
        <v>176</v>
      </c>
      <c r="G2104" s="9">
        <v>2100</v>
      </c>
      <c r="H2104" s="9">
        <f t="shared" si="64"/>
        <v>21.041999999999998</v>
      </c>
      <c r="I2104" t="s">
        <v>179</v>
      </c>
      <c r="J2104" s="33">
        <v>0</v>
      </c>
      <c r="K2104" s="18">
        <f>VLOOKUP(D2104,Ingredients!C:G,5,0)</f>
        <v>2150</v>
      </c>
      <c r="L2104" s="52">
        <f t="shared" si="65"/>
        <v>21.542999999999999</v>
      </c>
    </row>
    <row r="2105" spans="1:12">
      <c r="A2105" t="s">
        <v>120</v>
      </c>
      <c r="B2105" t="s">
        <v>349</v>
      </c>
      <c r="C2105" t="s">
        <v>352</v>
      </c>
      <c r="D2105" s="3" t="s">
        <v>867</v>
      </c>
      <c r="E2105" s="10">
        <v>5.0099999999999999E-2</v>
      </c>
      <c r="F2105" s="13" t="s">
        <v>176</v>
      </c>
      <c r="G2105" s="9">
        <v>900</v>
      </c>
      <c r="H2105" s="9">
        <f t="shared" si="64"/>
        <v>45.089999999999996</v>
      </c>
      <c r="I2105" t="s">
        <v>179</v>
      </c>
      <c r="J2105" s="33">
        <v>0</v>
      </c>
      <c r="K2105" s="18">
        <f>VLOOKUP(D2105,Ingredients!C:G,5,0)</f>
        <v>950</v>
      </c>
      <c r="L2105" s="52">
        <f t="shared" si="65"/>
        <v>47.594999999999999</v>
      </c>
    </row>
    <row r="2106" spans="1:12">
      <c r="A2106" t="s">
        <v>120</v>
      </c>
      <c r="B2106" t="s">
        <v>349</v>
      </c>
      <c r="C2106" t="s">
        <v>352</v>
      </c>
      <c r="D2106" s="3" t="s">
        <v>853</v>
      </c>
      <c r="E2106" s="10">
        <v>1.336E-2</v>
      </c>
      <c r="F2106" s="13" t="s">
        <v>176</v>
      </c>
      <c r="G2106" s="9">
        <v>30</v>
      </c>
      <c r="H2106" s="9">
        <f t="shared" si="64"/>
        <v>0.40079999999999999</v>
      </c>
      <c r="I2106" t="s">
        <v>179</v>
      </c>
      <c r="J2106" s="33">
        <v>0</v>
      </c>
      <c r="K2106" s="18">
        <f>VLOOKUP(D2106,Ingredients!C:G,5,0)</f>
        <v>55</v>
      </c>
      <c r="L2106" s="52">
        <f t="shared" si="65"/>
        <v>0.73480000000000001</v>
      </c>
    </row>
    <row r="2107" spans="1:12">
      <c r="A2107" t="s">
        <v>120</v>
      </c>
      <c r="B2107" t="s">
        <v>349</v>
      </c>
      <c r="C2107" t="s">
        <v>352</v>
      </c>
      <c r="D2107" s="3" t="s">
        <v>119</v>
      </c>
      <c r="E2107" s="10">
        <v>1.002</v>
      </c>
      <c r="F2107" s="13" t="s">
        <v>176</v>
      </c>
      <c r="G2107" s="9">
        <v>400</v>
      </c>
      <c r="H2107" s="9">
        <f t="shared" si="64"/>
        <v>400.8</v>
      </c>
      <c r="I2107" t="s">
        <v>179</v>
      </c>
      <c r="J2107" s="33">
        <v>0</v>
      </c>
      <c r="K2107" s="18">
        <f>VLOOKUP(D2107,Ingredients!C:G,5,0)</f>
        <v>400</v>
      </c>
      <c r="L2107" s="52">
        <f t="shared" si="65"/>
        <v>400.8</v>
      </c>
    </row>
    <row r="2108" spans="1:12">
      <c r="A2108" t="s">
        <v>139</v>
      </c>
      <c r="B2108" t="s">
        <v>349</v>
      </c>
      <c r="C2108" t="s">
        <v>352</v>
      </c>
      <c r="D2108" s="3" t="s">
        <v>32</v>
      </c>
      <c r="E2108" s="10">
        <v>0.01</v>
      </c>
      <c r="F2108" s="13" t="s">
        <v>176</v>
      </c>
      <c r="G2108" s="9">
        <v>154.99</v>
      </c>
      <c r="H2108" s="9">
        <f t="shared" si="64"/>
        <v>1.5499000000000001</v>
      </c>
      <c r="I2108" t="s">
        <v>463</v>
      </c>
      <c r="J2108" s="33">
        <v>0</v>
      </c>
      <c r="K2108" s="18">
        <f>VLOOKUP(D2108,Ingredients!C:G,5,0)</f>
        <v>14870</v>
      </c>
      <c r="L2108" s="52">
        <f t="shared" si="65"/>
        <v>148.70000000000002</v>
      </c>
    </row>
    <row r="2109" spans="1:12">
      <c r="A2109" t="s">
        <v>139</v>
      </c>
      <c r="B2109" t="s">
        <v>349</v>
      </c>
      <c r="C2109" t="s">
        <v>352</v>
      </c>
      <c r="D2109" s="3" t="s">
        <v>867</v>
      </c>
      <c r="E2109" s="10">
        <v>5.0000000000000001E-3</v>
      </c>
      <c r="F2109" s="13" t="s">
        <v>176</v>
      </c>
      <c r="G2109" s="9">
        <v>900</v>
      </c>
      <c r="H2109" s="9">
        <f t="shared" si="64"/>
        <v>4.5</v>
      </c>
      <c r="I2109" t="s">
        <v>463</v>
      </c>
      <c r="J2109" s="33">
        <v>0</v>
      </c>
      <c r="K2109" s="18">
        <f>VLOOKUP(D2109,Ingredients!C:G,5,0)</f>
        <v>950</v>
      </c>
      <c r="L2109" s="52">
        <f t="shared" si="65"/>
        <v>4.75</v>
      </c>
    </row>
    <row r="2110" spans="1:12">
      <c r="A2110" t="s">
        <v>139</v>
      </c>
      <c r="B2110" t="s">
        <v>349</v>
      </c>
      <c r="C2110" t="s">
        <v>352</v>
      </c>
      <c r="D2110" s="3" t="s">
        <v>73</v>
      </c>
      <c r="E2110" s="10">
        <v>0.05</v>
      </c>
      <c r="F2110" s="13" t="s">
        <v>176</v>
      </c>
      <c r="G2110" s="9">
        <v>305</v>
      </c>
      <c r="H2110" s="9">
        <f t="shared" ref="H2110:H2155" si="66">G2110*E2110</f>
        <v>15.25</v>
      </c>
      <c r="I2110" t="s">
        <v>463</v>
      </c>
      <c r="J2110" s="33">
        <v>0</v>
      </c>
      <c r="K2110" s="18">
        <f>VLOOKUP(D2110,Ingredients!C:G,5,0)</f>
        <v>300</v>
      </c>
      <c r="L2110" s="52">
        <f t="shared" si="65"/>
        <v>15</v>
      </c>
    </row>
    <row r="2111" spans="1:12">
      <c r="A2111" t="s">
        <v>139</v>
      </c>
      <c r="B2111" t="s">
        <v>349</v>
      </c>
      <c r="C2111" t="s">
        <v>352</v>
      </c>
      <c r="D2111" s="3" t="s">
        <v>28</v>
      </c>
      <c r="E2111" s="10">
        <v>0.02</v>
      </c>
      <c r="F2111" s="13" t="s">
        <v>176</v>
      </c>
      <c r="G2111" s="9">
        <v>85</v>
      </c>
      <c r="H2111" s="9">
        <f t="shared" si="66"/>
        <v>1.7</v>
      </c>
      <c r="I2111" t="s">
        <v>463</v>
      </c>
      <c r="J2111" s="33">
        <v>0</v>
      </c>
      <c r="K2111" s="18">
        <f>VLOOKUP(D2111,Ingredients!C:G,5,0)</f>
        <v>70</v>
      </c>
      <c r="L2111" s="52">
        <f t="shared" si="65"/>
        <v>1.4000000000000001</v>
      </c>
    </row>
    <row r="2112" spans="1:12">
      <c r="A2112" t="s">
        <v>139</v>
      </c>
      <c r="B2112" t="s">
        <v>349</v>
      </c>
      <c r="C2112" t="s">
        <v>352</v>
      </c>
      <c r="D2112" s="3" t="s">
        <v>852</v>
      </c>
      <c r="E2112" s="10">
        <v>0.1</v>
      </c>
      <c r="F2112" s="13" t="s">
        <v>177</v>
      </c>
      <c r="G2112" s="9">
        <v>520.63</v>
      </c>
      <c r="H2112" s="9">
        <f t="shared" si="66"/>
        <v>52.063000000000002</v>
      </c>
      <c r="I2112" t="s">
        <v>463</v>
      </c>
      <c r="J2112" s="33">
        <v>0</v>
      </c>
      <c r="K2112" s="18">
        <v>550</v>
      </c>
      <c r="L2112" s="52">
        <f t="shared" si="65"/>
        <v>55</v>
      </c>
    </row>
    <row r="2113" spans="1:12">
      <c r="A2113" t="s">
        <v>139</v>
      </c>
      <c r="B2113" t="s">
        <v>349</v>
      </c>
      <c r="C2113" t="s">
        <v>352</v>
      </c>
      <c r="D2113" s="3" t="s">
        <v>136</v>
      </c>
      <c r="E2113" s="10">
        <v>1</v>
      </c>
      <c r="F2113" s="13" t="s">
        <v>173</v>
      </c>
      <c r="G2113" s="9">
        <v>55</v>
      </c>
      <c r="H2113" s="9">
        <f t="shared" si="66"/>
        <v>55</v>
      </c>
      <c r="I2113" t="s">
        <v>463</v>
      </c>
      <c r="J2113" s="33">
        <v>0</v>
      </c>
      <c r="K2113" s="18">
        <f>VLOOKUP(D2113,Ingredients!C:G,5,0)</f>
        <v>60</v>
      </c>
      <c r="L2113" s="52">
        <f t="shared" si="65"/>
        <v>60</v>
      </c>
    </row>
    <row r="2114" spans="1:12">
      <c r="A2114" t="s">
        <v>139</v>
      </c>
      <c r="B2114" t="s">
        <v>349</v>
      </c>
      <c r="C2114" t="s">
        <v>352</v>
      </c>
      <c r="D2114" s="3" t="s">
        <v>137</v>
      </c>
      <c r="E2114" s="10">
        <v>1</v>
      </c>
      <c r="F2114" s="13" t="s">
        <v>173</v>
      </c>
      <c r="G2114" s="9">
        <v>190</v>
      </c>
      <c r="H2114" s="9">
        <f t="shared" si="66"/>
        <v>190</v>
      </c>
      <c r="I2114" t="s">
        <v>463</v>
      </c>
      <c r="J2114" s="33">
        <v>0</v>
      </c>
      <c r="K2114" s="18">
        <f>VLOOKUP(D2114,Ingredients!C:G,5,0)</f>
        <v>200</v>
      </c>
      <c r="L2114" s="52">
        <f t="shared" si="65"/>
        <v>200</v>
      </c>
    </row>
    <row r="2115" spans="1:12">
      <c r="A2115" t="s">
        <v>139</v>
      </c>
      <c r="B2115" t="s">
        <v>349</v>
      </c>
      <c r="C2115" t="s">
        <v>352</v>
      </c>
      <c r="D2115" s="3" t="s">
        <v>138</v>
      </c>
      <c r="E2115" s="10">
        <v>5</v>
      </c>
      <c r="F2115" s="13" t="s">
        <v>173</v>
      </c>
      <c r="G2115" s="9">
        <v>50</v>
      </c>
      <c r="H2115" s="9">
        <f t="shared" si="66"/>
        <v>250</v>
      </c>
      <c r="I2115" t="s">
        <v>463</v>
      </c>
      <c r="J2115" s="33">
        <v>0</v>
      </c>
      <c r="K2115" s="18">
        <f>VLOOKUP(D2115,Ingredients!C:G,5,0)</f>
        <v>50</v>
      </c>
      <c r="L2115" s="52">
        <f t="shared" si="65"/>
        <v>250</v>
      </c>
    </row>
    <row r="2116" spans="1:12">
      <c r="A2116" t="s">
        <v>145</v>
      </c>
      <c r="B2116" t="s">
        <v>346</v>
      </c>
      <c r="C2116" t="s">
        <v>352</v>
      </c>
      <c r="D2116" s="3" t="s">
        <v>856</v>
      </c>
      <c r="E2116" s="10">
        <v>1.6E-2</v>
      </c>
      <c r="F2116" s="13" t="s">
        <v>176</v>
      </c>
      <c r="G2116" s="9">
        <v>850</v>
      </c>
      <c r="H2116" s="9">
        <f t="shared" si="66"/>
        <v>13.6</v>
      </c>
      <c r="I2116" t="s">
        <v>179</v>
      </c>
      <c r="J2116" s="33">
        <v>0</v>
      </c>
      <c r="K2116" s="18">
        <f>VLOOKUP(D2116,Ingredients!C:G,5,0)</f>
        <v>980</v>
      </c>
      <c r="L2116" s="52">
        <f t="shared" ref="L2116:L2179" si="67">K2116*E2116</f>
        <v>15.68</v>
      </c>
    </row>
    <row r="2117" spans="1:12">
      <c r="A2117" t="s">
        <v>145</v>
      </c>
      <c r="B2117" t="s">
        <v>346</v>
      </c>
      <c r="C2117" t="s">
        <v>352</v>
      </c>
      <c r="D2117" s="3" t="s">
        <v>855</v>
      </c>
      <c r="E2117" s="10">
        <v>8.0000000000000002E-3</v>
      </c>
      <c r="F2117" s="13" t="s">
        <v>176</v>
      </c>
      <c r="G2117" s="9">
        <v>2400</v>
      </c>
      <c r="H2117" s="9">
        <f t="shared" si="66"/>
        <v>19.2</v>
      </c>
      <c r="I2117" t="s">
        <v>179</v>
      </c>
      <c r="J2117" s="33">
        <v>0</v>
      </c>
      <c r="K2117" s="18">
        <f>VLOOKUP(D2117,Ingredients!C:G,5,0)</f>
        <v>1600</v>
      </c>
      <c r="L2117" s="52">
        <f t="shared" si="67"/>
        <v>12.8</v>
      </c>
    </row>
    <row r="2118" spans="1:12">
      <c r="A2118" t="s">
        <v>145</v>
      </c>
      <c r="B2118" t="s">
        <v>346</v>
      </c>
      <c r="C2118" t="s">
        <v>352</v>
      </c>
      <c r="D2118" s="3" t="s">
        <v>853</v>
      </c>
      <c r="E2118" s="10">
        <v>0.01</v>
      </c>
      <c r="F2118" s="13" t="s">
        <v>176</v>
      </c>
      <c r="G2118" s="9">
        <v>30</v>
      </c>
      <c r="H2118" s="9">
        <f t="shared" si="66"/>
        <v>0.3</v>
      </c>
      <c r="I2118" t="s">
        <v>179</v>
      </c>
      <c r="J2118" s="33">
        <v>0</v>
      </c>
      <c r="K2118" s="18">
        <f>VLOOKUP(D2118,Ingredients!C:G,5,0)</f>
        <v>55</v>
      </c>
      <c r="L2118" s="52">
        <f t="shared" si="67"/>
        <v>0.55000000000000004</v>
      </c>
    </row>
    <row r="2119" spans="1:12">
      <c r="A2119" t="s">
        <v>145</v>
      </c>
      <c r="B2119" t="s">
        <v>346</v>
      </c>
      <c r="C2119" t="s">
        <v>352</v>
      </c>
      <c r="D2119" s="3" t="s">
        <v>28</v>
      </c>
      <c r="E2119" s="10">
        <v>0.26</v>
      </c>
      <c r="F2119" s="13" t="s">
        <v>176</v>
      </c>
      <c r="G2119" s="9">
        <v>85</v>
      </c>
      <c r="H2119" s="9">
        <f t="shared" si="66"/>
        <v>22.1</v>
      </c>
      <c r="I2119" t="s">
        <v>179</v>
      </c>
      <c r="J2119" s="33">
        <v>0</v>
      </c>
      <c r="K2119" s="18">
        <f>VLOOKUP(D2119,Ingredients!C:G,5,0)</f>
        <v>70</v>
      </c>
      <c r="L2119" s="52">
        <f t="shared" si="67"/>
        <v>18.2</v>
      </c>
    </row>
    <row r="2120" spans="1:12">
      <c r="A2120" t="s">
        <v>145</v>
      </c>
      <c r="B2120" t="s">
        <v>346</v>
      </c>
      <c r="C2120" t="s">
        <v>352</v>
      </c>
      <c r="D2120" s="3" t="s">
        <v>852</v>
      </c>
      <c r="E2120" s="10">
        <v>0.2</v>
      </c>
      <c r="F2120" s="13" t="s">
        <v>177</v>
      </c>
      <c r="G2120" s="9">
        <v>520.63</v>
      </c>
      <c r="H2120" s="9">
        <f t="shared" si="66"/>
        <v>104.126</v>
      </c>
      <c r="I2120" t="s">
        <v>179</v>
      </c>
      <c r="J2120" s="33">
        <v>0</v>
      </c>
      <c r="K2120" s="18">
        <v>550</v>
      </c>
      <c r="L2120" s="52">
        <f t="shared" si="67"/>
        <v>110</v>
      </c>
    </row>
    <row r="2121" spans="1:12">
      <c r="A2121" t="s">
        <v>145</v>
      </c>
      <c r="B2121" t="s">
        <v>346</v>
      </c>
      <c r="C2121" t="s">
        <v>352</v>
      </c>
      <c r="D2121" s="3" t="s">
        <v>142</v>
      </c>
      <c r="E2121" s="10">
        <v>0.15</v>
      </c>
      <c r="F2121" s="13" t="s">
        <v>176</v>
      </c>
      <c r="G2121" s="9">
        <v>70</v>
      </c>
      <c r="H2121" s="9">
        <f t="shared" si="66"/>
        <v>10.5</v>
      </c>
      <c r="I2121" t="s">
        <v>179</v>
      </c>
      <c r="J2121" s="33">
        <v>0</v>
      </c>
      <c r="K2121" s="18">
        <f>VLOOKUP(D2121,Ingredients!C:G,5,0)</f>
        <v>80</v>
      </c>
      <c r="L2121" s="52">
        <f t="shared" si="67"/>
        <v>12</v>
      </c>
    </row>
    <row r="2122" spans="1:12">
      <c r="A2122" t="s">
        <v>145</v>
      </c>
      <c r="B2122" t="s">
        <v>346</v>
      </c>
      <c r="C2122" t="s">
        <v>352</v>
      </c>
      <c r="D2122" s="3" t="s">
        <v>12</v>
      </c>
      <c r="E2122" s="10">
        <v>0.25</v>
      </c>
      <c r="F2122" s="13" t="s">
        <v>176</v>
      </c>
      <c r="G2122" s="9">
        <v>140</v>
      </c>
      <c r="H2122" s="9">
        <f t="shared" si="66"/>
        <v>35</v>
      </c>
      <c r="I2122" t="s">
        <v>179</v>
      </c>
      <c r="J2122" s="33">
        <v>0</v>
      </c>
      <c r="K2122" s="18">
        <f>VLOOKUP(D2122,Ingredients!C:G,5,0)</f>
        <v>200</v>
      </c>
      <c r="L2122" s="52">
        <f t="shared" si="67"/>
        <v>50</v>
      </c>
    </row>
    <row r="2123" spans="1:12">
      <c r="A2123" t="s">
        <v>145</v>
      </c>
      <c r="B2123" t="s">
        <v>346</v>
      </c>
      <c r="C2123" t="s">
        <v>352</v>
      </c>
      <c r="D2123" s="3" t="s">
        <v>95</v>
      </c>
      <c r="E2123" s="10">
        <v>0.12</v>
      </c>
      <c r="F2123" s="13" t="s">
        <v>176</v>
      </c>
      <c r="G2123" s="9">
        <v>140</v>
      </c>
      <c r="H2123" s="9">
        <f t="shared" si="66"/>
        <v>16.8</v>
      </c>
      <c r="I2123" t="s">
        <v>179</v>
      </c>
      <c r="J2123" s="33">
        <v>0</v>
      </c>
      <c r="K2123" s="18">
        <f>VLOOKUP(D2123,Ingredients!C:G,5,0)</f>
        <v>90</v>
      </c>
      <c r="L2123" s="52">
        <f t="shared" si="67"/>
        <v>10.799999999999999</v>
      </c>
    </row>
    <row r="2124" spans="1:12">
      <c r="A2124" t="s">
        <v>145</v>
      </c>
      <c r="B2124" t="s">
        <v>346</v>
      </c>
      <c r="C2124" t="s">
        <v>352</v>
      </c>
      <c r="D2124" s="3" t="s">
        <v>143</v>
      </c>
      <c r="E2124" s="10">
        <v>0.2</v>
      </c>
      <c r="F2124" s="13" t="s">
        <v>176</v>
      </c>
      <c r="G2124" s="9">
        <v>80</v>
      </c>
      <c r="H2124" s="9">
        <f t="shared" si="66"/>
        <v>16</v>
      </c>
      <c r="I2124" t="s">
        <v>179</v>
      </c>
      <c r="J2124" s="33">
        <v>0</v>
      </c>
      <c r="K2124" s="18">
        <f>VLOOKUP(D2124,Ingredients!C:G,5,0)</f>
        <v>90</v>
      </c>
      <c r="L2124" s="52">
        <f t="shared" si="67"/>
        <v>18</v>
      </c>
    </row>
    <row r="2125" spans="1:12">
      <c r="A2125" t="s">
        <v>145</v>
      </c>
      <c r="B2125" t="s">
        <v>346</v>
      </c>
      <c r="C2125" t="s">
        <v>352</v>
      </c>
      <c r="D2125" s="3" t="s">
        <v>144</v>
      </c>
      <c r="E2125" s="10">
        <v>0.2</v>
      </c>
      <c r="F2125" s="13" t="s">
        <v>176</v>
      </c>
      <c r="G2125" s="9">
        <v>110</v>
      </c>
      <c r="H2125" s="9">
        <f t="shared" si="66"/>
        <v>22</v>
      </c>
      <c r="I2125" t="s">
        <v>179</v>
      </c>
      <c r="J2125" s="33">
        <v>0</v>
      </c>
      <c r="K2125" s="18">
        <f>VLOOKUP(D2125,Ingredients!C:G,5,0)</f>
        <v>100</v>
      </c>
      <c r="L2125" s="52">
        <f t="shared" si="67"/>
        <v>20</v>
      </c>
    </row>
    <row r="2126" spans="1:12">
      <c r="A2126" t="s">
        <v>145</v>
      </c>
      <c r="B2126" t="s">
        <v>346</v>
      </c>
      <c r="C2126" t="s">
        <v>352</v>
      </c>
      <c r="D2126" s="3" t="s">
        <v>24</v>
      </c>
      <c r="E2126" s="10">
        <v>0.16</v>
      </c>
      <c r="F2126" s="13" t="s">
        <v>176</v>
      </c>
      <c r="G2126" s="9">
        <v>55</v>
      </c>
      <c r="H2126" s="9">
        <f t="shared" si="66"/>
        <v>8.8000000000000007</v>
      </c>
      <c r="I2126" t="s">
        <v>179</v>
      </c>
      <c r="J2126" s="33">
        <v>0</v>
      </c>
      <c r="K2126" s="18">
        <f>VLOOKUP(D2126,Ingredients!C:G,5,0)</f>
        <v>80</v>
      </c>
      <c r="L2126" s="52">
        <f t="shared" si="67"/>
        <v>12.8</v>
      </c>
    </row>
    <row r="2127" spans="1:12">
      <c r="A2127" t="s">
        <v>145</v>
      </c>
      <c r="B2127" t="s">
        <v>346</v>
      </c>
      <c r="C2127" t="s">
        <v>352</v>
      </c>
      <c r="D2127" s="3" t="s">
        <v>15</v>
      </c>
      <c r="E2127" s="10">
        <v>0.2</v>
      </c>
      <c r="F2127" s="13" t="s">
        <v>176</v>
      </c>
      <c r="G2127" s="9">
        <v>130</v>
      </c>
      <c r="H2127" s="9">
        <f t="shared" si="66"/>
        <v>26</v>
      </c>
      <c r="I2127" t="s">
        <v>179</v>
      </c>
      <c r="J2127" s="33">
        <v>0</v>
      </c>
      <c r="K2127" s="18">
        <f>VLOOKUP(D2127,Ingredients!C:G,5,0)</f>
        <v>90</v>
      </c>
      <c r="L2127" s="52">
        <f t="shared" si="67"/>
        <v>18</v>
      </c>
    </row>
    <row r="2128" spans="1:12">
      <c r="A2128" t="s">
        <v>172</v>
      </c>
      <c r="B2128" t="s">
        <v>346</v>
      </c>
      <c r="C2128" t="s">
        <v>350</v>
      </c>
      <c r="D2128" s="3" t="s">
        <v>169</v>
      </c>
      <c r="E2128" s="10">
        <v>0.1</v>
      </c>
      <c r="F2128" s="13" t="s">
        <v>176</v>
      </c>
      <c r="G2128" s="9">
        <v>200</v>
      </c>
      <c r="H2128" s="9">
        <f t="shared" si="66"/>
        <v>20</v>
      </c>
      <c r="I2128" t="s">
        <v>179</v>
      </c>
      <c r="J2128" s="33">
        <v>0</v>
      </c>
      <c r="K2128" s="18">
        <f>VLOOKUP(D2128,Ingredients!C:G,5,0)</f>
        <v>200</v>
      </c>
      <c r="L2128" s="52">
        <f t="shared" si="67"/>
        <v>20</v>
      </c>
    </row>
    <row r="2129" spans="1:12">
      <c r="A2129" t="s">
        <v>172</v>
      </c>
      <c r="B2129" t="s">
        <v>346</v>
      </c>
      <c r="C2129" t="s">
        <v>350</v>
      </c>
      <c r="D2129" s="3" t="s">
        <v>867</v>
      </c>
      <c r="E2129" s="10">
        <v>6.0000000000000001E-3</v>
      </c>
      <c r="F2129" s="13" t="s">
        <v>176</v>
      </c>
      <c r="G2129" s="9">
        <v>900</v>
      </c>
      <c r="H2129" s="9">
        <f t="shared" si="66"/>
        <v>5.4</v>
      </c>
      <c r="I2129" t="s">
        <v>179</v>
      </c>
      <c r="J2129" s="33">
        <v>0</v>
      </c>
      <c r="K2129" s="18">
        <f>VLOOKUP(D2129,Ingredients!C:G,5,0)</f>
        <v>950</v>
      </c>
      <c r="L2129" s="52">
        <f t="shared" si="67"/>
        <v>5.7</v>
      </c>
    </row>
    <row r="2130" spans="1:12">
      <c r="A2130" t="s">
        <v>172</v>
      </c>
      <c r="B2130" t="s">
        <v>346</v>
      </c>
      <c r="C2130" t="s">
        <v>350</v>
      </c>
      <c r="D2130" s="3" t="s">
        <v>878</v>
      </c>
      <c r="E2130" s="10">
        <v>4.0000000000000001E-3</v>
      </c>
      <c r="F2130" s="13" t="s">
        <v>176</v>
      </c>
      <c r="G2130" s="9">
        <v>270</v>
      </c>
      <c r="H2130" s="9">
        <f t="shared" si="66"/>
        <v>1.08</v>
      </c>
      <c r="I2130" t="s">
        <v>179</v>
      </c>
      <c r="J2130" s="33">
        <v>0</v>
      </c>
      <c r="K2130" s="18">
        <f>VLOOKUP(D2130,Ingredients!C:G,5,0)</f>
        <v>1260.55</v>
      </c>
      <c r="L2130" s="52">
        <f t="shared" si="67"/>
        <v>5.0422000000000002</v>
      </c>
    </row>
    <row r="2131" spans="1:12">
      <c r="A2131" t="s">
        <v>172</v>
      </c>
      <c r="B2131" t="s">
        <v>346</v>
      </c>
      <c r="C2131" t="s">
        <v>350</v>
      </c>
      <c r="D2131" s="3" t="s">
        <v>32</v>
      </c>
      <c r="E2131" s="10">
        <v>4.0000000000000001E-3</v>
      </c>
      <c r="F2131" s="13" t="s">
        <v>176</v>
      </c>
      <c r="G2131" s="9">
        <v>154.99</v>
      </c>
      <c r="H2131" s="9">
        <f t="shared" si="66"/>
        <v>0.61996000000000007</v>
      </c>
      <c r="I2131" t="s">
        <v>179</v>
      </c>
      <c r="J2131" s="33">
        <v>0</v>
      </c>
      <c r="K2131" s="18">
        <f>VLOOKUP(D2131,Ingredients!C:G,5,0)</f>
        <v>14870</v>
      </c>
      <c r="L2131" s="52">
        <f t="shared" si="67"/>
        <v>59.480000000000004</v>
      </c>
    </row>
    <row r="2132" spans="1:12">
      <c r="A2132" t="s">
        <v>172</v>
      </c>
      <c r="B2132" t="s">
        <v>346</v>
      </c>
      <c r="C2132" t="s">
        <v>350</v>
      </c>
      <c r="D2132" s="3" t="s">
        <v>853</v>
      </c>
      <c r="E2132" s="10">
        <v>8.0000000000000002E-3</v>
      </c>
      <c r="F2132" s="13" t="s">
        <v>176</v>
      </c>
      <c r="G2132" s="9">
        <v>30</v>
      </c>
      <c r="H2132" s="9">
        <f t="shared" si="66"/>
        <v>0.24</v>
      </c>
      <c r="I2132" t="s">
        <v>179</v>
      </c>
      <c r="J2132" s="33">
        <v>0</v>
      </c>
      <c r="K2132" s="18">
        <f>VLOOKUP(D2132,Ingredients!C:G,5,0)</f>
        <v>55</v>
      </c>
      <c r="L2132" s="52">
        <f t="shared" si="67"/>
        <v>0.44</v>
      </c>
    </row>
    <row r="2133" spans="1:12">
      <c r="A2133" t="s">
        <v>172</v>
      </c>
      <c r="B2133" t="s">
        <v>346</v>
      </c>
      <c r="C2133" t="s">
        <v>350</v>
      </c>
      <c r="D2133" s="3" t="s">
        <v>35</v>
      </c>
      <c r="E2133" s="10">
        <v>6.0000000000000001E-3</v>
      </c>
      <c r="F2133" s="13" t="s">
        <v>176</v>
      </c>
      <c r="G2133" s="9">
        <v>13</v>
      </c>
      <c r="H2133" s="9">
        <f t="shared" si="66"/>
        <v>7.8E-2</v>
      </c>
      <c r="I2133" t="s">
        <v>179</v>
      </c>
      <c r="J2133" s="33">
        <v>0</v>
      </c>
      <c r="K2133" s="18">
        <f>VLOOKUP(D2133,Ingredients!C:G,5,0)</f>
        <v>15</v>
      </c>
      <c r="L2133" s="52">
        <f t="shared" si="67"/>
        <v>0.09</v>
      </c>
    </row>
    <row r="2134" spans="1:12">
      <c r="A2134" t="s">
        <v>172</v>
      </c>
      <c r="B2134" t="s">
        <v>346</v>
      </c>
      <c r="C2134" t="s">
        <v>350</v>
      </c>
      <c r="D2134" s="3" t="s">
        <v>855</v>
      </c>
      <c r="E2134" s="10">
        <v>8.0000000000000002E-3</v>
      </c>
      <c r="F2134" s="13" t="s">
        <v>176</v>
      </c>
      <c r="G2134" s="9">
        <v>2400</v>
      </c>
      <c r="H2134" s="9">
        <f t="shared" si="66"/>
        <v>19.2</v>
      </c>
      <c r="I2134" t="s">
        <v>179</v>
      </c>
      <c r="J2134" s="33">
        <v>0</v>
      </c>
      <c r="K2134" s="18">
        <f>VLOOKUP(D2134,Ingredients!C:G,5,0)</f>
        <v>1600</v>
      </c>
      <c r="L2134" s="52">
        <f t="shared" si="67"/>
        <v>12.8</v>
      </c>
    </row>
    <row r="2135" spans="1:12">
      <c r="A2135" t="s">
        <v>172</v>
      </c>
      <c r="B2135" t="s">
        <v>346</v>
      </c>
      <c r="C2135" t="s">
        <v>350</v>
      </c>
      <c r="D2135" s="3" t="s">
        <v>95</v>
      </c>
      <c r="E2135" s="10">
        <v>0.1</v>
      </c>
      <c r="F2135" s="13" t="s">
        <v>176</v>
      </c>
      <c r="G2135" s="9">
        <v>140</v>
      </c>
      <c r="H2135" s="9">
        <f t="shared" si="66"/>
        <v>14</v>
      </c>
      <c r="I2135" t="s">
        <v>179</v>
      </c>
      <c r="J2135" s="33">
        <v>0</v>
      </c>
      <c r="K2135" s="18">
        <f>VLOOKUP(D2135,Ingredients!C:G,5,0)</f>
        <v>90</v>
      </c>
      <c r="L2135" s="52">
        <f t="shared" si="67"/>
        <v>9</v>
      </c>
    </row>
    <row r="2136" spans="1:12">
      <c r="A2136" t="s">
        <v>172</v>
      </c>
      <c r="B2136" t="s">
        <v>346</v>
      </c>
      <c r="C2136" t="s">
        <v>350</v>
      </c>
      <c r="D2136" s="3" t="s">
        <v>94</v>
      </c>
      <c r="E2136" s="10">
        <v>0.1</v>
      </c>
      <c r="F2136" s="13" t="s">
        <v>176</v>
      </c>
      <c r="G2136" s="9">
        <v>90</v>
      </c>
      <c r="H2136" s="9">
        <f t="shared" si="66"/>
        <v>9</v>
      </c>
      <c r="I2136" t="s">
        <v>179</v>
      </c>
      <c r="J2136" s="33">
        <v>0</v>
      </c>
      <c r="K2136" s="18">
        <f>VLOOKUP(D2136,Ingredients!C:G,5,0)</f>
        <v>40</v>
      </c>
      <c r="L2136" s="52">
        <f t="shared" si="67"/>
        <v>4</v>
      </c>
    </row>
    <row r="2137" spans="1:12">
      <c r="A2137" t="s">
        <v>172</v>
      </c>
      <c r="B2137" t="s">
        <v>346</v>
      </c>
      <c r="C2137" t="s">
        <v>350</v>
      </c>
      <c r="D2137" s="3" t="s">
        <v>24</v>
      </c>
      <c r="E2137" s="10">
        <v>0.15</v>
      </c>
      <c r="F2137" s="13" t="s">
        <v>176</v>
      </c>
      <c r="G2137" s="9">
        <v>55</v>
      </c>
      <c r="H2137" s="9">
        <f t="shared" si="66"/>
        <v>8.25</v>
      </c>
      <c r="I2137" t="s">
        <v>179</v>
      </c>
      <c r="J2137" s="33">
        <v>0</v>
      </c>
      <c r="K2137" s="18">
        <f>VLOOKUP(D2137,Ingredients!C:G,5,0)</f>
        <v>80</v>
      </c>
      <c r="L2137" s="52">
        <f t="shared" si="67"/>
        <v>12</v>
      </c>
    </row>
    <row r="2138" spans="1:12">
      <c r="A2138" t="s">
        <v>172</v>
      </c>
      <c r="B2138" t="s">
        <v>346</v>
      </c>
      <c r="C2138" t="s">
        <v>350</v>
      </c>
      <c r="D2138" s="3" t="s">
        <v>15</v>
      </c>
      <c r="E2138" s="10">
        <v>0.2</v>
      </c>
      <c r="F2138" s="13" t="s">
        <v>176</v>
      </c>
      <c r="G2138" s="9">
        <v>130</v>
      </c>
      <c r="H2138" s="9">
        <f t="shared" si="66"/>
        <v>26</v>
      </c>
      <c r="I2138" t="s">
        <v>179</v>
      </c>
      <c r="J2138" s="33">
        <v>0</v>
      </c>
      <c r="K2138" s="18">
        <f>VLOOKUP(D2138,Ingredients!C:G,5,0)</f>
        <v>90</v>
      </c>
      <c r="L2138" s="52">
        <f t="shared" si="67"/>
        <v>18</v>
      </c>
    </row>
    <row r="2139" spans="1:12">
      <c r="A2139" t="s">
        <v>172</v>
      </c>
      <c r="B2139" t="s">
        <v>346</v>
      </c>
      <c r="C2139" t="s">
        <v>350</v>
      </c>
      <c r="D2139" s="3" t="s">
        <v>170</v>
      </c>
      <c r="E2139" s="10">
        <v>0.1</v>
      </c>
      <c r="F2139" s="13" t="s">
        <v>176</v>
      </c>
      <c r="G2139" s="9">
        <v>240</v>
      </c>
      <c r="H2139" s="9">
        <f t="shared" si="66"/>
        <v>24</v>
      </c>
      <c r="I2139" t="s">
        <v>179</v>
      </c>
      <c r="J2139" s="33">
        <v>0</v>
      </c>
      <c r="K2139" s="18">
        <f>VLOOKUP(D2139,Ingredients!C:G,5,0)</f>
        <v>240</v>
      </c>
      <c r="L2139" s="52">
        <f t="shared" si="67"/>
        <v>24</v>
      </c>
    </row>
    <row r="2140" spans="1:12">
      <c r="A2140" t="s">
        <v>172</v>
      </c>
      <c r="B2140" t="s">
        <v>346</v>
      </c>
      <c r="C2140" t="s">
        <v>350</v>
      </c>
      <c r="D2140" s="3" t="s">
        <v>171</v>
      </c>
      <c r="E2140" s="10">
        <v>0.2</v>
      </c>
      <c r="F2140" s="13" t="s">
        <v>176</v>
      </c>
      <c r="G2140" s="9">
        <v>65</v>
      </c>
      <c r="H2140" s="9">
        <f t="shared" si="66"/>
        <v>13</v>
      </c>
      <c r="I2140" t="s">
        <v>179</v>
      </c>
      <c r="J2140" s="33">
        <v>0</v>
      </c>
      <c r="K2140" s="18">
        <f>VLOOKUP(D2140,Ingredients!C:G,5,0)</f>
        <v>80</v>
      </c>
      <c r="L2140" s="52">
        <f t="shared" si="67"/>
        <v>16</v>
      </c>
    </row>
    <row r="2141" spans="1:12">
      <c r="A2141" t="s">
        <v>464</v>
      </c>
      <c r="B2141" t="s">
        <v>346</v>
      </c>
      <c r="C2141" t="s">
        <v>353</v>
      </c>
      <c r="D2141" s="3" t="s">
        <v>831</v>
      </c>
      <c r="E2141" s="11">
        <v>0.2</v>
      </c>
      <c r="F2141" s="7" t="s">
        <v>176</v>
      </c>
      <c r="G2141" s="9">
        <v>908</v>
      </c>
      <c r="H2141" s="9">
        <f t="shared" si="66"/>
        <v>181.60000000000002</v>
      </c>
      <c r="I2141" t="s">
        <v>179</v>
      </c>
      <c r="J2141" s="33">
        <v>0</v>
      </c>
      <c r="K2141" s="18">
        <f>VLOOKUP(D2141,Ingredients!C:G,5,0)</f>
        <v>908</v>
      </c>
      <c r="L2141" s="52">
        <f t="shared" si="67"/>
        <v>181.60000000000002</v>
      </c>
    </row>
    <row r="2142" spans="1:12">
      <c r="A2142" t="s">
        <v>464</v>
      </c>
      <c r="B2142" t="s">
        <v>346</v>
      </c>
      <c r="C2142" t="s">
        <v>353</v>
      </c>
      <c r="D2142" s="3" t="s">
        <v>884</v>
      </c>
      <c r="E2142" s="11">
        <v>1</v>
      </c>
      <c r="F2142" s="7" t="s">
        <v>176</v>
      </c>
      <c r="G2142" s="9">
        <v>344</v>
      </c>
      <c r="H2142" s="9">
        <f t="shared" si="66"/>
        <v>344</v>
      </c>
      <c r="I2142" t="s">
        <v>179</v>
      </c>
      <c r="J2142" s="33">
        <v>0</v>
      </c>
      <c r="K2142" s="18">
        <f>VLOOKUP(D2142,Ingredients!C:G,5,0)</f>
        <v>344</v>
      </c>
      <c r="L2142" s="52">
        <f t="shared" si="67"/>
        <v>344</v>
      </c>
    </row>
    <row r="2143" spans="1:12">
      <c r="A2143" t="s">
        <v>464</v>
      </c>
      <c r="B2143" t="s">
        <v>346</v>
      </c>
      <c r="C2143" t="s">
        <v>353</v>
      </c>
      <c r="D2143" s="3" t="s">
        <v>882</v>
      </c>
      <c r="E2143" s="11">
        <v>2.0000000000000004E-2</v>
      </c>
      <c r="F2143" s="7" t="s">
        <v>179</v>
      </c>
      <c r="G2143" s="9">
        <v>1500</v>
      </c>
      <c r="H2143" s="9">
        <f t="shared" si="66"/>
        <v>30.000000000000007</v>
      </c>
      <c r="I2143" t="s">
        <v>179</v>
      </c>
      <c r="J2143" s="33">
        <v>0</v>
      </c>
      <c r="K2143" s="18">
        <f>VLOOKUP(D2143,Ingredients!C:G,5,0)</f>
        <v>1450</v>
      </c>
      <c r="L2143" s="52">
        <f t="shared" si="67"/>
        <v>29.000000000000007</v>
      </c>
    </row>
    <row r="2144" spans="1:12">
      <c r="A2144" t="s">
        <v>464</v>
      </c>
      <c r="B2144" t="s">
        <v>346</v>
      </c>
      <c r="C2144" t="s">
        <v>353</v>
      </c>
      <c r="D2144" s="3" t="s">
        <v>872</v>
      </c>
      <c r="E2144" s="11">
        <v>2.0000000000000004E-2</v>
      </c>
      <c r="F2144" s="7" t="s">
        <v>179</v>
      </c>
      <c r="G2144" s="9">
        <v>2100</v>
      </c>
      <c r="H2144" s="9">
        <f t="shared" si="66"/>
        <v>42.000000000000007</v>
      </c>
      <c r="I2144" t="s">
        <v>179</v>
      </c>
      <c r="J2144" s="33">
        <v>0</v>
      </c>
      <c r="K2144" s="18">
        <f>VLOOKUP(D2144,Ingredients!C:G,5,0)</f>
        <v>2150</v>
      </c>
      <c r="L2144" s="52">
        <f t="shared" si="67"/>
        <v>43.000000000000007</v>
      </c>
    </row>
    <row r="2145" spans="1:12">
      <c r="A2145" t="s">
        <v>464</v>
      </c>
      <c r="B2145" t="s">
        <v>346</v>
      </c>
      <c r="C2145" t="s">
        <v>353</v>
      </c>
      <c r="D2145" s="3" t="s">
        <v>930</v>
      </c>
      <c r="E2145" s="11">
        <v>0.05</v>
      </c>
      <c r="F2145" s="7" t="s">
        <v>314</v>
      </c>
      <c r="G2145" s="9">
        <v>305</v>
      </c>
      <c r="H2145" s="9">
        <f t="shared" si="66"/>
        <v>15.25</v>
      </c>
      <c r="I2145" t="s">
        <v>179</v>
      </c>
      <c r="J2145" s="33">
        <v>0</v>
      </c>
      <c r="K2145" s="18">
        <f>VLOOKUP(D2145,Ingredients!C:G,5,0)</f>
        <v>300</v>
      </c>
      <c r="L2145" s="52">
        <f t="shared" si="67"/>
        <v>15</v>
      </c>
    </row>
    <row r="2146" spans="1:12">
      <c r="A2146" t="s">
        <v>464</v>
      </c>
      <c r="B2146" t="s">
        <v>346</v>
      </c>
      <c r="C2146" t="s">
        <v>353</v>
      </c>
      <c r="D2146" s="3" t="s">
        <v>853</v>
      </c>
      <c r="E2146" s="11">
        <v>0.05</v>
      </c>
      <c r="F2146" s="7" t="s">
        <v>314</v>
      </c>
      <c r="G2146" s="9">
        <v>30</v>
      </c>
      <c r="H2146" s="9">
        <f t="shared" si="66"/>
        <v>1.5</v>
      </c>
      <c r="I2146" t="s">
        <v>179</v>
      </c>
      <c r="J2146" s="33">
        <v>0</v>
      </c>
      <c r="K2146" s="18">
        <f>VLOOKUP(D2146,Ingredients!C:G,5,0)</f>
        <v>55</v>
      </c>
      <c r="L2146" s="52">
        <f t="shared" si="67"/>
        <v>2.75</v>
      </c>
    </row>
    <row r="2147" spans="1:12">
      <c r="A2147" t="s">
        <v>464</v>
      </c>
      <c r="B2147" t="s">
        <v>346</v>
      </c>
      <c r="C2147" t="s">
        <v>353</v>
      </c>
      <c r="D2147" s="3" t="s">
        <v>883</v>
      </c>
      <c r="E2147" s="11">
        <v>1.0000000000000002E-2</v>
      </c>
      <c r="F2147" s="7" t="s">
        <v>317</v>
      </c>
      <c r="G2147" s="9">
        <v>950</v>
      </c>
      <c r="H2147" s="9">
        <f t="shared" si="66"/>
        <v>9.5000000000000018</v>
      </c>
      <c r="I2147" t="s">
        <v>179</v>
      </c>
      <c r="J2147" s="33">
        <v>0</v>
      </c>
      <c r="K2147" s="18">
        <f>VLOOKUP(D2147,Ingredients!C:G,5,0)</f>
        <v>313</v>
      </c>
      <c r="L2147" s="52">
        <f t="shared" si="67"/>
        <v>3.1300000000000008</v>
      </c>
    </row>
    <row r="2148" spans="1:12">
      <c r="A2148" t="s">
        <v>464</v>
      </c>
      <c r="B2148" t="s">
        <v>346</v>
      </c>
      <c r="C2148" t="s">
        <v>353</v>
      </c>
      <c r="D2148" s="3" t="s">
        <v>16</v>
      </c>
      <c r="E2148" s="11">
        <v>2.5000000000000001E-2</v>
      </c>
      <c r="F2148" s="7" t="s">
        <v>176</v>
      </c>
      <c r="G2148" s="9">
        <v>270</v>
      </c>
      <c r="H2148" s="9">
        <f t="shared" si="66"/>
        <v>6.75</v>
      </c>
      <c r="I2148" t="s">
        <v>179</v>
      </c>
      <c r="J2148" s="33">
        <v>0</v>
      </c>
      <c r="K2148" s="18">
        <f>VLOOKUP(D2148,Ingredients!C:G,5,0)</f>
        <v>310</v>
      </c>
      <c r="L2148" s="52">
        <f t="shared" si="67"/>
        <v>7.75</v>
      </c>
    </row>
    <row r="2149" spans="1:12">
      <c r="A2149" t="s">
        <v>464</v>
      </c>
      <c r="B2149" t="s">
        <v>346</v>
      </c>
      <c r="C2149" t="s">
        <v>353</v>
      </c>
      <c r="D2149" s="3" t="s">
        <v>94</v>
      </c>
      <c r="E2149" s="11">
        <v>0.30000000000000004</v>
      </c>
      <c r="F2149" s="7" t="s">
        <v>176</v>
      </c>
      <c r="G2149" s="9">
        <v>90</v>
      </c>
      <c r="H2149" s="9">
        <f t="shared" si="66"/>
        <v>27.000000000000004</v>
      </c>
      <c r="I2149" t="s">
        <v>179</v>
      </c>
      <c r="J2149" s="33">
        <v>0</v>
      </c>
      <c r="K2149" s="18">
        <f>VLOOKUP(D2149,Ingredients!C:G,5,0)</f>
        <v>40</v>
      </c>
      <c r="L2149" s="52">
        <f t="shared" si="67"/>
        <v>12.000000000000002</v>
      </c>
    </row>
    <row r="2150" spans="1:12">
      <c r="A2150" t="s">
        <v>464</v>
      </c>
      <c r="B2150" t="s">
        <v>346</v>
      </c>
      <c r="C2150" t="s">
        <v>353</v>
      </c>
      <c r="D2150" s="3" t="s">
        <v>15</v>
      </c>
      <c r="E2150" s="11">
        <v>0.1</v>
      </c>
      <c r="F2150" s="7" t="s">
        <v>176</v>
      </c>
      <c r="G2150" s="9">
        <v>130</v>
      </c>
      <c r="H2150" s="9">
        <f t="shared" si="66"/>
        <v>13</v>
      </c>
      <c r="I2150" t="s">
        <v>179</v>
      </c>
      <c r="J2150" s="33">
        <v>0</v>
      </c>
      <c r="K2150" s="18">
        <f>VLOOKUP(D2150,Ingredients!C:G,5,0)</f>
        <v>90</v>
      </c>
      <c r="L2150" s="52">
        <f t="shared" si="67"/>
        <v>9</v>
      </c>
    </row>
    <row r="2151" spans="1:12">
      <c r="A2151" t="s">
        <v>464</v>
      </c>
      <c r="B2151" t="s">
        <v>346</v>
      </c>
      <c r="C2151" t="s">
        <v>353</v>
      </c>
      <c r="D2151" s="3" t="s">
        <v>95</v>
      </c>
      <c r="E2151" s="11">
        <v>0.2</v>
      </c>
      <c r="F2151" s="7" t="s">
        <v>176</v>
      </c>
      <c r="G2151" s="9">
        <v>140</v>
      </c>
      <c r="H2151" s="9">
        <f t="shared" si="66"/>
        <v>28</v>
      </c>
      <c r="I2151" t="s">
        <v>179</v>
      </c>
      <c r="J2151" s="33">
        <v>0</v>
      </c>
      <c r="K2151" s="18">
        <f>VLOOKUP(D2151,Ingredients!C:G,5,0)</f>
        <v>90</v>
      </c>
      <c r="L2151" s="52">
        <f t="shared" si="67"/>
        <v>18</v>
      </c>
    </row>
    <row r="2152" spans="1:12">
      <c r="A2152" t="s">
        <v>464</v>
      </c>
      <c r="B2152" t="s">
        <v>346</v>
      </c>
      <c r="C2152" t="s">
        <v>353</v>
      </c>
      <c r="D2152" s="3" t="s">
        <v>96</v>
      </c>
      <c r="E2152" s="11">
        <v>0.05</v>
      </c>
      <c r="F2152" s="7" t="s">
        <v>176</v>
      </c>
      <c r="G2152" s="9">
        <v>160</v>
      </c>
      <c r="H2152" s="9">
        <f t="shared" si="66"/>
        <v>8</v>
      </c>
      <c r="I2152" t="s">
        <v>179</v>
      </c>
      <c r="J2152" s="33">
        <v>0</v>
      </c>
      <c r="K2152" s="18">
        <f>VLOOKUP(D2152,Ingredients!C:G,5,0)</f>
        <v>120</v>
      </c>
      <c r="L2152" s="52">
        <f t="shared" si="67"/>
        <v>6</v>
      </c>
    </row>
    <row r="2153" spans="1:12">
      <c r="A2153" t="s">
        <v>464</v>
      </c>
      <c r="B2153" t="s">
        <v>346</v>
      </c>
      <c r="C2153" t="s">
        <v>353</v>
      </c>
      <c r="D2153" s="3" t="s">
        <v>852</v>
      </c>
      <c r="E2153" s="11">
        <v>0.05</v>
      </c>
      <c r="F2153" s="7" t="s">
        <v>176</v>
      </c>
      <c r="G2153" s="9">
        <v>520.63</v>
      </c>
      <c r="H2153" s="9">
        <f t="shared" si="66"/>
        <v>26.031500000000001</v>
      </c>
      <c r="I2153" t="s">
        <v>179</v>
      </c>
      <c r="J2153" s="33">
        <v>0</v>
      </c>
      <c r="K2153" s="18">
        <v>550</v>
      </c>
      <c r="L2153" s="52">
        <f t="shared" si="67"/>
        <v>27.5</v>
      </c>
    </row>
    <row r="2154" spans="1:12">
      <c r="A2154" t="s">
        <v>321</v>
      </c>
      <c r="B2154" t="s">
        <v>346</v>
      </c>
      <c r="C2154" t="s">
        <v>352</v>
      </c>
      <c r="D2154" s="3" t="s">
        <v>957</v>
      </c>
      <c r="E2154" s="11">
        <v>1</v>
      </c>
      <c r="F2154" s="7" t="s">
        <v>176</v>
      </c>
      <c r="G2154" s="9">
        <v>645</v>
      </c>
      <c r="H2154" s="9">
        <f t="shared" si="66"/>
        <v>645</v>
      </c>
      <c r="I2154" t="s">
        <v>179</v>
      </c>
      <c r="J2154" s="33">
        <v>0</v>
      </c>
      <c r="K2154" s="18">
        <f>VLOOKUP(D2154,Ingredients!C:G,5,0)</f>
        <v>1375</v>
      </c>
      <c r="L2154" s="52">
        <f t="shared" si="67"/>
        <v>1375</v>
      </c>
    </row>
    <row r="2155" spans="1:12">
      <c r="A2155" t="s">
        <v>321</v>
      </c>
      <c r="B2155" t="s">
        <v>346</v>
      </c>
      <c r="C2155" t="s">
        <v>352</v>
      </c>
      <c r="D2155" s="3" t="s">
        <v>913</v>
      </c>
      <c r="E2155" s="11">
        <v>1.875</v>
      </c>
      <c r="F2155" s="7" t="s">
        <v>176</v>
      </c>
      <c r="G2155" s="9">
        <v>229.16666666666666</v>
      </c>
      <c r="H2155" s="9">
        <f t="shared" si="66"/>
        <v>429.6875</v>
      </c>
      <c r="I2155" t="s">
        <v>179</v>
      </c>
      <c r="J2155" s="33">
        <v>0</v>
      </c>
      <c r="K2155" s="18">
        <f>VLOOKUP(D2155,Ingredients!C:F,3,0)</f>
        <v>343.75</v>
      </c>
      <c r="L2155" s="52">
        <f t="shared" si="67"/>
        <v>644.53125</v>
      </c>
    </row>
    <row r="2156" spans="1:12">
      <c r="A2156" t="s">
        <v>321</v>
      </c>
      <c r="B2156" t="s">
        <v>346</v>
      </c>
      <c r="C2156" t="s">
        <v>352</v>
      </c>
      <c r="D2156" s="3" t="s">
        <v>885</v>
      </c>
      <c r="E2156" s="11">
        <v>0.2</v>
      </c>
      <c r="F2156" s="7" t="s">
        <v>253</v>
      </c>
      <c r="G2156" s="9">
        <v>1620</v>
      </c>
      <c r="H2156" s="9">
        <f t="shared" ref="H2156:H2219" si="68">G2156*E2156</f>
        <v>324</v>
      </c>
      <c r="I2156" t="s">
        <v>179</v>
      </c>
      <c r="J2156" s="33">
        <v>0</v>
      </c>
      <c r="K2156" s="18">
        <f>VLOOKUP(D2156,Ingredients!C:F,3,0)</f>
        <v>1296</v>
      </c>
      <c r="L2156" s="52">
        <f t="shared" si="67"/>
        <v>259.2</v>
      </c>
    </row>
    <row r="2157" spans="1:12">
      <c r="A2157" t="s">
        <v>321</v>
      </c>
      <c r="B2157" t="s">
        <v>346</v>
      </c>
      <c r="C2157" t="s">
        <v>352</v>
      </c>
      <c r="D2157" s="3" t="s">
        <v>879</v>
      </c>
      <c r="E2157" s="11">
        <v>3.125E-2</v>
      </c>
      <c r="F2157" s="7" t="s">
        <v>179</v>
      </c>
      <c r="G2157" s="9">
        <v>1113.51</v>
      </c>
      <c r="H2157" s="9">
        <f t="shared" si="68"/>
        <v>34.7971875</v>
      </c>
      <c r="I2157" t="s">
        <v>179</v>
      </c>
      <c r="J2157" s="33">
        <v>0</v>
      </c>
      <c r="K2157" s="18">
        <f>VLOOKUP(D2157,Ingredients!C:G,5,0)</f>
        <v>1066.33</v>
      </c>
      <c r="L2157" s="52">
        <f t="shared" si="67"/>
        <v>33.322812499999998</v>
      </c>
    </row>
    <row r="2158" spans="1:12">
      <c r="A2158" t="s">
        <v>321</v>
      </c>
      <c r="B2158" t="s">
        <v>346</v>
      </c>
      <c r="C2158" t="s">
        <v>352</v>
      </c>
      <c r="D2158" s="3" t="s">
        <v>853</v>
      </c>
      <c r="E2158" s="11">
        <v>3.125E-2</v>
      </c>
      <c r="F2158" s="7" t="s">
        <v>179</v>
      </c>
      <c r="G2158" s="9">
        <v>30</v>
      </c>
      <c r="H2158" s="9">
        <f t="shared" si="68"/>
        <v>0.9375</v>
      </c>
      <c r="I2158" t="s">
        <v>179</v>
      </c>
      <c r="J2158" s="33">
        <v>0</v>
      </c>
      <c r="K2158" s="18">
        <f>VLOOKUP(D2158,Ingredients!C:G,5,0)</f>
        <v>55</v>
      </c>
      <c r="L2158" s="52">
        <f t="shared" si="67"/>
        <v>1.71875</v>
      </c>
    </row>
    <row r="2159" spans="1:12">
      <c r="A2159" t="s">
        <v>321</v>
      </c>
      <c r="B2159" t="s">
        <v>346</v>
      </c>
      <c r="C2159" t="s">
        <v>352</v>
      </c>
      <c r="D2159" s="3" t="s">
        <v>323</v>
      </c>
      <c r="E2159" s="11">
        <v>1.5625E-2</v>
      </c>
      <c r="F2159" s="7" t="s">
        <v>179</v>
      </c>
      <c r="G2159" s="9">
        <v>5000</v>
      </c>
      <c r="H2159" s="9">
        <f t="shared" si="68"/>
        <v>78.125</v>
      </c>
      <c r="I2159" t="s">
        <v>179</v>
      </c>
      <c r="J2159" s="33">
        <v>0</v>
      </c>
      <c r="K2159" s="18">
        <f>VLOOKUP(D2159,Ingredients!C:G,5,0)</f>
        <v>5000</v>
      </c>
      <c r="L2159" s="52">
        <f t="shared" si="67"/>
        <v>78.125</v>
      </c>
    </row>
    <row r="2160" spans="1:12">
      <c r="A2160" t="s">
        <v>321</v>
      </c>
      <c r="B2160" t="s">
        <v>346</v>
      </c>
      <c r="C2160" t="s">
        <v>352</v>
      </c>
      <c r="D2160" s="3" t="s">
        <v>851</v>
      </c>
      <c r="E2160" s="11">
        <v>0.125</v>
      </c>
      <c r="F2160" s="13" t="s">
        <v>176</v>
      </c>
      <c r="G2160" s="9">
        <v>177</v>
      </c>
      <c r="H2160" s="9">
        <f t="shared" si="68"/>
        <v>22.125</v>
      </c>
      <c r="I2160" t="s">
        <v>179</v>
      </c>
      <c r="J2160" s="33">
        <v>0</v>
      </c>
      <c r="K2160" s="18">
        <f>VLOOKUP(D2160,Ingredients!C:G,5,0)</f>
        <v>920</v>
      </c>
      <c r="L2160" s="52">
        <f t="shared" si="67"/>
        <v>115</v>
      </c>
    </row>
    <row r="2161" spans="1:12">
      <c r="A2161" t="s">
        <v>343</v>
      </c>
      <c r="B2161" t="s">
        <v>346</v>
      </c>
      <c r="C2161" t="s">
        <v>353</v>
      </c>
      <c r="D2161" s="3" t="s">
        <v>884</v>
      </c>
      <c r="E2161" s="11">
        <v>1</v>
      </c>
      <c r="F2161" s="7" t="s">
        <v>176</v>
      </c>
      <c r="G2161" s="9">
        <v>344</v>
      </c>
      <c r="H2161" s="9">
        <f t="shared" si="68"/>
        <v>344</v>
      </c>
      <c r="I2161" t="s">
        <v>179</v>
      </c>
      <c r="J2161" s="33">
        <v>0</v>
      </c>
      <c r="K2161" s="18">
        <f>VLOOKUP(D2161,Ingredients!C:G,5,0)</f>
        <v>344</v>
      </c>
      <c r="L2161" s="52">
        <f t="shared" si="67"/>
        <v>344</v>
      </c>
    </row>
    <row r="2162" spans="1:12">
      <c r="A2162" t="s">
        <v>343</v>
      </c>
      <c r="B2162" t="s">
        <v>346</v>
      </c>
      <c r="C2162" t="s">
        <v>353</v>
      </c>
      <c r="D2162" s="3" t="s">
        <v>865</v>
      </c>
      <c r="E2162" s="11">
        <v>1.0000000000000002E-2</v>
      </c>
      <c r="F2162" s="7" t="s">
        <v>176</v>
      </c>
      <c r="G2162" s="9">
        <v>1400</v>
      </c>
      <c r="H2162" s="9">
        <f t="shared" si="68"/>
        <v>14.000000000000004</v>
      </c>
      <c r="I2162" t="s">
        <v>179</v>
      </c>
      <c r="J2162" s="33">
        <v>0</v>
      </c>
      <c r="K2162" s="18">
        <f>VLOOKUP(D2162,Ingredients!C:G,5,0)</f>
        <v>1400</v>
      </c>
      <c r="L2162" s="52">
        <f t="shared" si="67"/>
        <v>14.000000000000004</v>
      </c>
    </row>
    <row r="2163" spans="1:12">
      <c r="A2163" t="s">
        <v>343</v>
      </c>
      <c r="B2163" t="s">
        <v>346</v>
      </c>
      <c r="C2163" t="s">
        <v>353</v>
      </c>
      <c r="D2163" s="3" t="s">
        <v>853</v>
      </c>
      <c r="E2163" s="11">
        <v>2.0000000000000004E-2</v>
      </c>
      <c r="F2163" s="7" t="s">
        <v>176</v>
      </c>
      <c r="G2163" s="9">
        <v>30</v>
      </c>
      <c r="H2163" s="9">
        <f t="shared" si="68"/>
        <v>0.60000000000000009</v>
      </c>
      <c r="I2163" t="s">
        <v>179</v>
      </c>
      <c r="J2163" s="33">
        <v>0</v>
      </c>
      <c r="K2163" s="18">
        <f>VLOOKUP(D2163,Ingredients!C:G,5,0)</f>
        <v>55</v>
      </c>
      <c r="L2163" s="52">
        <f t="shared" si="67"/>
        <v>1.1000000000000003</v>
      </c>
    </row>
    <row r="2164" spans="1:12">
      <c r="A2164" t="s">
        <v>343</v>
      </c>
      <c r="B2164" t="s">
        <v>346</v>
      </c>
      <c r="C2164" t="s">
        <v>353</v>
      </c>
      <c r="D2164" s="3" t="s">
        <v>852</v>
      </c>
      <c r="E2164" s="11">
        <v>2.0000000000000004E-2</v>
      </c>
      <c r="F2164" s="7" t="s">
        <v>176</v>
      </c>
      <c r="G2164" s="9">
        <v>520.63</v>
      </c>
      <c r="H2164" s="9">
        <f t="shared" si="68"/>
        <v>10.412600000000001</v>
      </c>
      <c r="I2164" t="s">
        <v>179</v>
      </c>
      <c r="J2164" s="33">
        <v>0</v>
      </c>
      <c r="K2164" s="18">
        <v>550</v>
      </c>
      <c r="L2164" s="52">
        <f t="shared" si="67"/>
        <v>11.000000000000002</v>
      </c>
    </row>
    <row r="2165" spans="1:12">
      <c r="A2165" t="s">
        <v>343</v>
      </c>
      <c r="B2165" t="s">
        <v>346</v>
      </c>
      <c r="C2165" t="s">
        <v>353</v>
      </c>
      <c r="D2165" s="3" t="s">
        <v>127</v>
      </c>
      <c r="E2165" s="11">
        <v>2.0000000000000001E-4</v>
      </c>
      <c r="F2165" s="7" t="s">
        <v>176</v>
      </c>
      <c r="G2165" s="9">
        <v>280</v>
      </c>
      <c r="H2165" s="9">
        <f t="shared" si="68"/>
        <v>5.6000000000000001E-2</v>
      </c>
      <c r="I2165" t="s">
        <v>179</v>
      </c>
      <c r="J2165" s="33">
        <v>0</v>
      </c>
      <c r="K2165" s="18">
        <f>VLOOKUP(D2165,Ingredients!C:G,5,0)</f>
        <v>14870</v>
      </c>
      <c r="L2165" s="52">
        <f t="shared" si="67"/>
        <v>2.9740000000000002</v>
      </c>
    </row>
    <row r="2166" spans="1:12">
      <c r="A2166" t="s">
        <v>494</v>
      </c>
      <c r="B2166" t="s">
        <v>349</v>
      </c>
      <c r="C2166" t="s">
        <v>352</v>
      </c>
      <c r="D2166" s="3" t="s">
        <v>838</v>
      </c>
      <c r="E2166" s="10">
        <v>1</v>
      </c>
      <c r="F2166" s="7" t="s">
        <v>179</v>
      </c>
      <c r="G2166" s="9">
        <v>800</v>
      </c>
      <c r="H2166" s="9">
        <f t="shared" si="68"/>
        <v>800</v>
      </c>
      <c r="I2166" t="s">
        <v>179</v>
      </c>
      <c r="J2166" s="33" t="s">
        <v>516</v>
      </c>
      <c r="K2166" s="18">
        <f>VLOOKUP(D2166,Ingredients!C:G,5,0)</f>
        <v>950</v>
      </c>
      <c r="L2166" s="52">
        <f t="shared" si="67"/>
        <v>950</v>
      </c>
    </row>
    <row r="2167" spans="1:12">
      <c r="A2167" t="s">
        <v>494</v>
      </c>
      <c r="B2167" t="s">
        <v>349</v>
      </c>
      <c r="C2167" t="s">
        <v>352</v>
      </c>
      <c r="D2167" s="3" t="s">
        <v>852</v>
      </c>
      <c r="E2167" s="10">
        <v>0.125</v>
      </c>
      <c r="F2167" s="7" t="s">
        <v>179</v>
      </c>
      <c r="G2167" s="9">
        <v>520.63</v>
      </c>
      <c r="H2167" s="9">
        <f t="shared" si="68"/>
        <v>65.078749999999999</v>
      </c>
      <c r="I2167" t="s">
        <v>179</v>
      </c>
      <c r="J2167" s="33" t="s">
        <v>516</v>
      </c>
      <c r="K2167" s="18">
        <v>550</v>
      </c>
      <c r="L2167" s="52">
        <f t="shared" si="67"/>
        <v>68.75</v>
      </c>
    </row>
    <row r="2168" spans="1:12">
      <c r="A2168" t="s">
        <v>494</v>
      </c>
      <c r="B2168" t="s">
        <v>349</v>
      </c>
      <c r="C2168" t="s">
        <v>352</v>
      </c>
      <c r="D2168" s="3" t="s">
        <v>24</v>
      </c>
      <c r="E2168" s="10">
        <v>0.125</v>
      </c>
      <c r="F2168" s="7" t="s">
        <v>179</v>
      </c>
      <c r="G2168" s="9">
        <v>55</v>
      </c>
      <c r="H2168" s="9">
        <f t="shared" si="68"/>
        <v>6.875</v>
      </c>
      <c r="I2168" t="s">
        <v>179</v>
      </c>
      <c r="J2168" s="33" t="s">
        <v>516</v>
      </c>
      <c r="K2168" s="18">
        <f>VLOOKUP(D2168,Ingredients!C:G,5,0)</f>
        <v>80</v>
      </c>
      <c r="L2168" s="52">
        <f t="shared" si="67"/>
        <v>10</v>
      </c>
    </row>
    <row r="2169" spans="1:12">
      <c r="A2169" t="s">
        <v>494</v>
      </c>
      <c r="B2169" t="s">
        <v>349</v>
      </c>
      <c r="C2169" t="s">
        <v>352</v>
      </c>
      <c r="D2169" s="3" t="s">
        <v>16</v>
      </c>
      <c r="E2169" s="10">
        <v>2.5000000000000001E-2</v>
      </c>
      <c r="F2169" s="7" t="s">
        <v>179</v>
      </c>
      <c r="G2169" s="9">
        <v>270</v>
      </c>
      <c r="H2169" s="9">
        <f t="shared" si="68"/>
        <v>6.75</v>
      </c>
      <c r="I2169" t="s">
        <v>179</v>
      </c>
      <c r="J2169" s="33" t="s">
        <v>516</v>
      </c>
      <c r="K2169" s="18">
        <f>VLOOKUP(D2169,Ingredients!C:G,5,0)</f>
        <v>310</v>
      </c>
      <c r="L2169" s="52">
        <f t="shared" si="67"/>
        <v>7.75</v>
      </c>
    </row>
    <row r="2170" spans="1:12">
      <c r="A2170" t="s">
        <v>494</v>
      </c>
      <c r="B2170" t="s">
        <v>349</v>
      </c>
      <c r="C2170" t="s">
        <v>352</v>
      </c>
      <c r="D2170" s="3" t="s">
        <v>23</v>
      </c>
      <c r="E2170" s="10">
        <v>2.5000000000000001E-2</v>
      </c>
      <c r="F2170" s="7" t="s">
        <v>179</v>
      </c>
      <c r="G2170" s="9">
        <v>740</v>
      </c>
      <c r="H2170" s="9">
        <f t="shared" si="68"/>
        <v>18.5</v>
      </c>
      <c r="I2170" t="s">
        <v>179</v>
      </c>
      <c r="J2170" s="33" t="s">
        <v>516</v>
      </c>
      <c r="K2170" s="18">
        <f>VLOOKUP(D2170,Ingredients!C:G,5,0)</f>
        <v>780</v>
      </c>
      <c r="L2170" s="52">
        <f t="shared" si="67"/>
        <v>19.5</v>
      </c>
    </row>
    <row r="2171" spans="1:12">
      <c r="A2171" t="s">
        <v>494</v>
      </c>
      <c r="B2171" t="s">
        <v>349</v>
      </c>
      <c r="C2171" t="s">
        <v>352</v>
      </c>
      <c r="D2171" s="3" t="s">
        <v>867</v>
      </c>
      <c r="E2171" s="10">
        <v>0.03</v>
      </c>
      <c r="F2171" s="7" t="s">
        <v>179</v>
      </c>
      <c r="G2171" s="9">
        <v>900</v>
      </c>
      <c r="H2171" s="9">
        <f t="shared" si="68"/>
        <v>27</v>
      </c>
      <c r="I2171" t="s">
        <v>179</v>
      </c>
      <c r="J2171" s="33" t="s">
        <v>516</v>
      </c>
      <c r="K2171" s="18">
        <f>VLOOKUP(D2171,Ingredients!C:G,5,0)</f>
        <v>950</v>
      </c>
      <c r="L2171" s="52">
        <f t="shared" si="67"/>
        <v>28.5</v>
      </c>
    </row>
    <row r="2172" spans="1:12">
      <c r="A2172" t="s">
        <v>494</v>
      </c>
      <c r="B2172" t="s">
        <v>349</v>
      </c>
      <c r="C2172" t="s">
        <v>352</v>
      </c>
      <c r="D2172" s="3" t="s">
        <v>880</v>
      </c>
      <c r="E2172" s="10">
        <v>1.4999999999999999E-2</v>
      </c>
      <c r="F2172" s="7" t="s">
        <v>179</v>
      </c>
      <c r="G2172" s="9">
        <v>650</v>
      </c>
      <c r="H2172" s="9">
        <f t="shared" si="68"/>
        <v>9.75</v>
      </c>
      <c r="I2172" t="s">
        <v>179</v>
      </c>
      <c r="J2172" s="33" t="s">
        <v>516</v>
      </c>
      <c r="K2172" s="18">
        <f>VLOOKUP(D2172,Ingredients!C:G,5,0)</f>
        <v>520</v>
      </c>
      <c r="L2172" s="52">
        <f t="shared" si="67"/>
        <v>7.8</v>
      </c>
    </row>
    <row r="2173" spans="1:12">
      <c r="A2173" t="s">
        <v>494</v>
      </c>
      <c r="B2173" t="s">
        <v>349</v>
      </c>
      <c r="C2173" t="s">
        <v>352</v>
      </c>
      <c r="D2173" s="3" t="s">
        <v>887</v>
      </c>
      <c r="E2173" s="10">
        <v>0.03</v>
      </c>
      <c r="F2173" s="7" t="s">
        <v>179</v>
      </c>
      <c r="G2173" s="9">
        <v>1600</v>
      </c>
      <c r="H2173" s="9">
        <f t="shared" si="68"/>
        <v>48</v>
      </c>
      <c r="I2173" t="s">
        <v>179</v>
      </c>
      <c r="J2173" s="33" t="s">
        <v>516</v>
      </c>
      <c r="K2173" s="18">
        <f>VLOOKUP(D2173,Ingredients!C:G,5,0)</f>
        <v>1830</v>
      </c>
      <c r="L2173" s="52">
        <f t="shared" si="67"/>
        <v>54.9</v>
      </c>
    </row>
    <row r="2174" spans="1:12">
      <c r="A2174" t="s">
        <v>494</v>
      </c>
      <c r="B2174" t="s">
        <v>349</v>
      </c>
      <c r="C2174" t="s">
        <v>352</v>
      </c>
      <c r="D2174" s="3" t="s">
        <v>895</v>
      </c>
      <c r="E2174" s="10">
        <v>0.03</v>
      </c>
      <c r="F2174" s="7" t="s">
        <v>179</v>
      </c>
      <c r="G2174" s="9">
        <v>400</v>
      </c>
      <c r="H2174" s="9">
        <f t="shared" si="68"/>
        <v>12</v>
      </c>
      <c r="I2174" t="s">
        <v>179</v>
      </c>
      <c r="J2174" s="33" t="s">
        <v>516</v>
      </c>
      <c r="K2174" s="18">
        <f>VLOOKUP(D2174,Ingredients!C:G,5,0)</f>
        <v>400</v>
      </c>
      <c r="L2174" s="52">
        <f t="shared" si="67"/>
        <v>12</v>
      </c>
    </row>
    <row r="2175" spans="1:12">
      <c r="A2175" t="s">
        <v>494</v>
      </c>
      <c r="B2175" t="s">
        <v>349</v>
      </c>
      <c r="C2175" t="s">
        <v>352</v>
      </c>
      <c r="D2175" s="3" t="s">
        <v>853</v>
      </c>
      <c r="E2175" s="10">
        <v>0.03</v>
      </c>
      <c r="F2175" s="7" t="s">
        <v>179</v>
      </c>
      <c r="G2175" s="9">
        <v>30</v>
      </c>
      <c r="H2175" s="9">
        <f t="shared" si="68"/>
        <v>0.89999999999999991</v>
      </c>
      <c r="I2175" t="s">
        <v>179</v>
      </c>
      <c r="J2175" s="33" t="s">
        <v>516</v>
      </c>
      <c r="K2175" s="18">
        <f>VLOOKUP(D2175,Ingredients!C:G,5,0)</f>
        <v>55</v>
      </c>
      <c r="L2175" s="52">
        <f t="shared" si="67"/>
        <v>1.65</v>
      </c>
    </row>
    <row r="2176" spans="1:12">
      <c r="A2176" t="s">
        <v>494</v>
      </c>
      <c r="B2176" t="s">
        <v>349</v>
      </c>
      <c r="C2176" t="s">
        <v>352</v>
      </c>
      <c r="D2176" s="3" t="s">
        <v>28</v>
      </c>
      <c r="E2176" s="10">
        <v>0.1875</v>
      </c>
      <c r="F2176" s="7" t="s">
        <v>179</v>
      </c>
      <c r="G2176" s="9">
        <v>85</v>
      </c>
      <c r="H2176" s="9">
        <f t="shared" si="68"/>
        <v>15.9375</v>
      </c>
      <c r="I2176" t="s">
        <v>179</v>
      </c>
      <c r="J2176" s="33" t="s">
        <v>516</v>
      </c>
      <c r="K2176" s="18">
        <f>VLOOKUP(D2176,Ingredients!C:G,5,0)</f>
        <v>70</v>
      </c>
      <c r="L2176" s="52">
        <f t="shared" si="67"/>
        <v>13.125</v>
      </c>
    </row>
    <row r="2177" spans="1:12">
      <c r="A2177" t="s">
        <v>494</v>
      </c>
      <c r="B2177" t="s">
        <v>349</v>
      </c>
      <c r="C2177" t="s">
        <v>352</v>
      </c>
      <c r="D2177" s="3" t="s">
        <v>158</v>
      </c>
      <c r="E2177" s="10">
        <v>0.75</v>
      </c>
      <c r="F2177" s="7" t="s">
        <v>179</v>
      </c>
      <c r="G2177" s="9">
        <v>40</v>
      </c>
      <c r="H2177" s="9">
        <f t="shared" si="68"/>
        <v>30</v>
      </c>
      <c r="I2177" t="s">
        <v>179</v>
      </c>
      <c r="J2177" s="33" t="s">
        <v>516</v>
      </c>
      <c r="K2177" s="18">
        <f>VLOOKUP(D2177,Ingredients!C:G,5,0)</f>
        <v>45</v>
      </c>
      <c r="L2177" s="52">
        <f t="shared" si="67"/>
        <v>33.75</v>
      </c>
    </row>
    <row r="2178" spans="1:12">
      <c r="A2178" t="s">
        <v>495</v>
      </c>
      <c r="B2178" t="s">
        <v>348</v>
      </c>
      <c r="C2178" t="s">
        <v>365</v>
      </c>
      <c r="D2178" s="3" t="s">
        <v>836</v>
      </c>
      <c r="E2178" s="14">
        <v>8.8235294117647058E-3</v>
      </c>
      <c r="F2178" s="4" t="s">
        <v>179</v>
      </c>
      <c r="G2178" s="9">
        <v>1957.5</v>
      </c>
      <c r="H2178" s="9">
        <f t="shared" si="68"/>
        <v>17.272058823529413</v>
      </c>
      <c r="I2178" t="s">
        <v>253</v>
      </c>
      <c r="J2178" s="33">
        <v>0</v>
      </c>
      <c r="K2178" s="18">
        <f>VLOOKUP(D2178,Ingredients!C:G,5,0)</f>
        <v>2200</v>
      </c>
      <c r="L2178" s="52">
        <f t="shared" si="67"/>
        <v>19.411764705882351</v>
      </c>
    </row>
    <row r="2179" spans="1:12">
      <c r="A2179" t="s">
        <v>495</v>
      </c>
      <c r="B2179" t="s">
        <v>348</v>
      </c>
      <c r="C2179" t="s">
        <v>365</v>
      </c>
      <c r="D2179" s="3" t="s">
        <v>24</v>
      </c>
      <c r="E2179" s="14">
        <v>1.1764705882352941E-2</v>
      </c>
      <c r="F2179" s="4" t="s">
        <v>179</v>
      </c>
      <c r="G2179" s="9">
        <v>55</v>
      </c>
      <c r="H2179" s="9">
        <f t="shared" si="68"/>
        <v>0.6470588235294118</v>
      </c>
      <c r="I2179" t="s">
        <v>253</v>
      </c>
      <c r="J2179" s="33">
        <v>0</v>
      </c>
      <c r="K2179" s="18">
        <f>VLOOKUP(D2179,Ingredients!C:G,5,0)</f>
        <v>80</v>
      </c>
      <c r="L2179" s="52">
        <f t="shared" si="67"/>
        <v>0.94117647058823528</v>
      </c>
    </row>
    <row r="2180" spans="1:12">
      <c r="A2180" t="s">
        <v>495</v>
      </c>
      <c r="B2180" t="s">
        <v>348</v>
      </c>
      <c r="C2180" t="s">
        <v>365</v>
      </c>
      <c r="D2180" s="3" t="s">
        <v>887</v>
      </c>
      <c r="E2180" s="14">
        <v>2.9411764705882356E-4</v>
      </c>
      <c r="F2180" s="4" t="s">
        <v>179</v>
      </c>
      <c r="G2180" s="9">
        <v>1600</v>
      </c>
      <c r="H2180" s="9">
        <f t="shared" si="68"/>
        <v>0.4705882352941177</v>
      </c>
      <c r="I2180" t="s">
        <v>253</v>
      </c>
      <c r="J2180" s="33">
        <v>0</v>
      </c>
      <c r="K2180" s="18">
        <f>VLOOKUP(D2180,Ingredients!C:G,5,0)</f>
        <v>1830</v>
      </c>
      <c r="L2180" s="52">
        <f t="shared" ref="L2180:L2243" si="69">K2180*E2180</f>
        <v>0.53823529411764715</v>
      </c>
    </row>
    <row r="2181" spans="1:12">
      <c r="A2181" t="s">
        <v>495</v>
      </c>
      <c r="B2181" t="s">
        <v>348</v>
      </c>
      <c r="C2181" t="s">
        <v>365</v>
      </c>
      <c r="D2181" s="3" t="s">
        <v>895</v>
      </c>
      <c r="E2181" s="14">
        <v>2.9411764705882356E-4</v>
      </c>
      <c r="F2181" s="4" t="s">
        <v>179</v>
      </c>
      <c r="G2181" s="9">
        <v>400</v>
      </c>
      <c r="H2181" s="9">
        <f t="shared" si="68"/>
        <v>0.11764705882352942</v>
      </c>
      <c r="I2181" t="s">
        <v>253</v>
      </c>
      <c r="J2181" s="33">
        <v>0</v>
      </c>
      <c r="K2181" s="18">
        <f>VLOOKUP(D2181,Ingredients!C:G,5,0)</f>
        <v>400</v>
      </c>
      <c r="L2181" s="52">
        <f t="shared" si="69"/>
        <v>0.11764705882352942</v>
      </c>
    </row>
    <row r="2182" spans="1:12">
      <c r="A2182" t="s">
        <v>495</v>
      </c>
      <c r="B2182" t="s">
        <v>348</v>
      </c>
      <c r="C2182" t="s">
        <v>365</v>
      </c>
      <c r="D2182" s="3" t="s">
        <v>853</v>
      </c>
      <c r="E2182" s="14">
        <v>2.9411764705882356E-4</v>
      </c>
      <c r="F2182" s="4" t="s">
        <v>179</v>
      </c>
      <c r="G2182" s="9">
        <v>30</v>
      </c>
      <c r="H2182" s="9">
        <f t="shared" si="68"/>
        <v>8.8235294117647075E-3</v>
      </c>
      <c r="I2182" t="s">
        <v>253</v>
      </c>
      <c r="J2182" s="33">
        <v>0</v>
      </c>
      <c r="K2182" s="18">
        <f>VLOOKUP(D2182,Ingredients!C:G,5,0)</f>
        <v>55</v>
      </c>
      <c r="L2182" s="52">
        <f t="shared" si="69"/>
        <v>1.6176470588235296E-2</v>
      </c>
    </row>
    <row r="2183" spans="1:12">
      <c r="A2183" t="s">
        <v>495</v>
      </c>
      <c r="B2183" t="s">
        <v>348</v>
      </c>
      <c r="C2183" t="s">
        <v>365</v>
      </c>
      <c r="D2183" s="3" t="s">
        <v>35</v>
      </c>
      <c r="E2183" s="14">
        <v>0.1</v>
      </c>
      <c r="F2183" s="4" t="s">
        <v>252</v>
      </c>
      <c r="G2183" s="9">
        <v>13</v>
      </c>
      <c r="H2183" s="9">
        <f t="shared" si="68"/>
        <v>1.3</v>
      </c>
      <c r="I2183" t="s">
        <v>253</v>
      </c>
      <c r="J2183" s="33">
        <v>0</v>
      </c>
      <c r="K2183" s="18">
        <f>VLOOKUP(D2183,Ingredients!C:G,5,0)</f>
        <v>15</v>
      </c>
      <c r="L2183" s="52">
        <f t="shared" si="69"/>
        <v>1.5</v>
      </c>
    </row>
    <row r="2184" spans="1:12">
      <c r="A2184" t="s">
        <v>495</v>
      </c>
      <c r="B2184" t="s">
        <v>348</v>
      </c>
      <c r="C2184" t="s">
        <v>365</v>
      </c>
      <c r="D2184" s="3" t="s">
        <v>29</v>
      </c>
      <c r="E2184" s="14">
        <v>4.7058823529411766E-4</v>
      </c>
      <c r="F2184" s="4" t="s">
        <v>176</v>
      </c>
      <c r="G2184" s="9">
        <v>60</v>
      </c>
      <c r="H2184" s="9">
        <f t="shared" si="68"/>
        <v>2.823529411764706E-2</v>
      </c>
      <c r="I2184" t="s">
        <v>253</v>
      </c>
      <c r="J2184" s="33">
        <v>0</v>
      </c>
      <c r="K2184" s="18">
        <f>VLOOKUP(D2184,Ingredients!C:G,5,0)</f>
        <v>100</v>
      </c>
      <c r="L2184" s="52">
        <f t="shared" si="69"/>
        <v>4.7058823529411764E-2</v>
      </c>
    </row>
    <row r="2185" spans="1:12">
      <c r="A2185" t="s">
        <v>495</v>
      </c>
      <c r="B2185" t="s">
        <v>348</v>
      </c>
      <c r="C2185" t="s">
        <v>365</v>
      </c>
      <c r="D2185" s="3" t="s">
        <v>73</v>
      </c>
      <c r="E2185" s="14">
        <v>1.1764705882352941E-2</v>
      </c>
      <c r="F2185" s="4" t="s">
        <v>176</v>
      </c>
      <c r="G2185" s="9">
        <v>305</v>
      </c>
      <c r="H2185" s="9">
        <f t="shared" si="68"/>
        <v>3.5882352941176472</v>
      </c>
      <c r="I2185" t="s">
        <v>253</v>
      </c>
      <c r="J2185" s="33">
        <v>0</v>
      </c>
      <c r="K2185" s="18">
        <f>VLOOKUP(D2185,Ingredients!C:G,5,0)</f>
        <v>300</v>
      </c>
      <c r="L2185" s="52">
        <f t="shared" si="69"/>
        <v>3.5294117647058822</v>
      </c>
    </row>
    <row r="2186" spans="1:12">
      <c r="A2186" t="s">
        <v>495</v>
      </c>
      <c r="B2186" t="s">
        <v>348</v>
      </c>
      <c r="C2186" t="s">
        <v>365</v>
      </c>
      <c r="D2186" s="3" t="s">
        <v>16</v>
      </c>
      <c r="E2186" s="14">
        <v>1.1764705882352942E-3</v>
      </c>
      <c r="F2186" s="4" t="s">
        <v>176</v>
      </c>
      <c r="G2186" s="9">
        <v>270</v>
      </c>
      <c r="H2186" s="9">
        <f t="shared" si="68"/>
        <v>0.31764705882352945</v>
      </c>
      <c r="I2186" t="s">
        <v>253</v>
      </c>
      <c r="J2186" s="33">
        <v>0</v>
      </c>
      <c r="K2186" s="18">
        <f>VLOOKUP(D2186,Ingredients!C:G,5,0)</f>
        <v>310</v>
      </c>
      <c r="L2186" s="52">
        <f t="shared" si="69"/>
        <v>0.36470588235294121</v>
      </c>
    </row>
    <row r="2187" spans="1:12">
      <c r="A2187" t="s">
        <v>496</v>
      </c>
      <c r="B2187" t="s">
        <v>362</v>
      </c>
      <c r="C2187" t="s">
        <v>354</v>
      </c>
      <c r="D2187" s="3" t="s">
        <v>14</v>
      </c>
      <c r="E2187" s="4">
        <v>0.5</v>
      </c>
      <c r="F2187" s="4" t="s">
        <v>176</v>
      </c>
      <c r="G2187" s="9">
        <v>120</v>
      </c>
      <c r="H2187" s="9">
        <f t="shared" si="68"/>
        <v>60</v>
      </c>
      <c r="I2187" t="s">
        <v>179</v>
      </c>
      <c r="J2187" s="33">
        <v>0</v>
      </c>
      <c r="K2187" s="18">
        <f>VLOOKUP(D2187,Ingredients!C:G,5,0)</f>
        <v>60</v>
      </c>
      <c r="L2187" s="52">
        <f t="shared" si="69"/>
        <v>30</v>
      </c>
    </row>
    <row r="2188" spans="1:12">
      <c r="A2188" t="s">
        <v>496</v>
      </c>
      <c r="B2188" t="s">
        <v>362</v>
      </c>
      <c r="C2188" t="s">
        <v>354</v>
      </c>
      <c r="D2188" s="3" t="s">
        <v>28</v>
      </c>
      <c r="E2188" s="4">
        <v>0.2</v>
      </c>
      <c r="F2188" s="4" t="s">
        <v>176</v>
      </c>
      <c r="G2188" s="9">
        <v>85</v>
      </c>
      <c r="H2188" s="9">
        <f t="shared" si="68"/>
        <v>17</v>
      </c>
      <c r="I2188" t="s">
        <v>179</v>
      </c>
      <c r="J2188" s="33">
        <v>0</v>
      </c>
      <c r="K2188" s="18">
        <f>VLOOKUP(D2188,Ingredients!C:G,5,0)</f>
        <v>70</v>
      </c>
      <c r="L2188" s="52">
        <f t="shared" si="69"/>
        <v>14</v>
      </c>
    </row>
    <row r="2189" spans="1:12">
      <c r="A2189" t="s">
        <v>496</v>
      </c>
      <c r="B2189" t="s">
        <v>362</v>
      </c>
      <c r="C2189" t="s">
        <v>354</v>
      </c>
      <c r="D2189" s="3" t="s">
        <v>95</v>
      </c>
      <c r="E2189" s="4">
        <v>0.1</v>
      </c>
      <c r="F2189" s="4" t="s">
        <v>176</v>
      </c>
      <c r="G2189" s="9">
        <v>140</v>
      </c>
      <c r="H2189" s="9">
        <f t="shared" si="68"/>
        <v>14</v>
      </c>
      <c r="I2189" t="s">
        <v>179</v>
      </c>
      <c r="J2189" s="33">
        <v>0</v>
      </c>
      <c r="K2189" s="18">
        <f>VLOOKUP(D2189,Ingredients!C:G,5,0)</f>
        <v>90</v>
      </c>
      <c r="L2189" s="52">
        <f t="shared" si="69"/>
        <v>9</v>
      </c>
    </row>
    <row r="2190" spans="1:12">
      <c r="A2190" t="s">
        <v>496</v>
      </c>
      <c r="B2190" t="s">
        <v>362</v>
      </c>
      <c r="C2190" t="s">
        <v>354</v>
      </c>
      <c r="D2190" s="3" t="s">
        <v>24</v>
      </c>
      <c r="E2190" s="4">
        <v>0.1</v>
      </c>
      <c r="F2190" s="4" t="s">
        <v>176</v>
      </c>
      <c r="G2190" s="9">
        <v>55</v>
      </c>
      <c r="H2190" s="9">
        <f t="shared" si="68"/>
        <v>5.5</v>
      </c>
      <c r="I2190" t="s">
        <v>179</v>
      </c>
      <c r="J2190" s="33">
        <v>0</v>
      </c>
      <c r="K2190" s="18">
        <f>VLOOKUP(D2190,Ingredients!C:G,5,0)</f>
        <v>80</v>
      </c>
      <c r="L2190" s="52">
        <f t="shared" si="69"/>
        <v>8</v>
      </c>
    </row>
    <row r="2191" spans="1:12">
      <c r="A2191" t="s">
        <v>496</v>
      </c>
      <c r="B2191" t="s">
        <v>362</v>
      </c>
      <c r="C2191" t="s">
        <v>354</v>
      </c>
      <c r="D2191" s="3" t="s">
        <v>35</v>
      </c>
      <c r="E2191" s="4">
        <v>2</v>
      </c>
      <c r="F2191" s="4" t="s">
        <v>252</v>
      </c>
      <c r="G2191" s="9">
        <v>13</v>
      </c>
      <c r="H2191" s="9">
        <f t="shared" si="68"/>
        <v>26</v>
      </c>
      <c r="I2191" t="s">
        <v>179</v>
      </c>
      <c r="J2191" s="33">
        <v>0</v>
      </c>
      <c r="K2191" s="18">
        <f>VLOOKUP(D2191,Ingredients!C:G,5,0)</f>
        <v>15</v>
      </c>
      <c r="L2191" s="52">
        <f t="shared" si="69"/>
        <v>30</v>
      </c>
    </row>
    <row r="2192" spans="1:12">
      <c r="A2192" t="s">
        <v>496</v>
      </c>
      <c r="B2192" t="s">
        <v>362</v>
      </c>
      <c r="C2192" t="s">
        <v>354</v>
      </c>
      <c r="D2192" s="3" t="s">
        <v>7</v>
      </c>
      <c r="E2192" s="4">
        <v>1</v>
      </c>
      <c r="F2192" s="4" t="s">
        <v>252</v>
      </c>
      <c r="G2192" s="9">
        <v>8</v>
      </c>
      <c r="H2192" s="9">
        <f t="shared" si="68"/>
        <v>8</v>
      </c>
      <c r="I2192" t="s">
        <v>179</v>
      </c>
      <c r="J2192" s="33">
        <v>0</v>
      </c>
      <c r="K2192" s="18">
        <f>VLOOKUP(D2192,Ingredients!C:G,5,0)</f>
        <v>6</v>
      </c>
      <c r="L2192" s="52">
        <f t="shared" si="69"/>
        <v>6</v>
      </c>
    </row>
    <row r="2193" spans="1:12">
      <c r="A2193" t="s">
        <v>496</v>
      </c>
      <c r="B2193" t="s">
        <v>362</v>
      </c>
      <c r="C2193" t="s">
        <v>354</v>
      </c>
      <c r="D2193" s="3" t="s">
        <v>497</v>
      </c>
      <c r="E2193" s="4">
        <v>0.05</v>
      </c>
      <c r="F2193" s="4" t="s">
        <v>176</v>
      </c>
      <c r="G2193" s="9">
        <v>350</v>
      </c>
      <c r="H2193" s="9">
        <f t="shared" si="68"/>
        <v>17.5</v>
      </c>
      <c r="I2193" t="s">
        <v>179</v>
      </c>
      <c r="J2193" s="33">
        <v>0</v>
      </c>
      <c r="K2193" s="18">
        <f>VLOOKUP(D2193,Ingredients!C:G,5,0)</f>
        <v>400</v>
      </c>
      <c r="L2193" s="52">
        <f t="shared" si="69"/>
        <v>20</v>
      </c>
    </row>
    <row r="2194" spans="1:12">
      <c r="A2194" t="s">
        <v>496</v>
      </c>
      <c r="B2194" t="s">
        <v>362</v>
      </c>
      <c r="C2194" t="s">
        <v>354</v>
      </c>
      <c r="D2194" s="3" t="s">
        <v>958</v>
      </c>
      <c r="E2194" s="4">
        <v>0.1</v>
      </c>
      <c r="F2194" s="4" t="s">
        <v>176</v>
      </c>
      <c r="G2194" s="9">
        <v>510</v>
      </c>
      <c r="H2194" s="9">
        <f t="shared" si="68"/>
        <v>51</v>
      </c>
      <c r="I2194" t="s">
        <v>179</v>
      </c>
      <c r="J2194" s="33">
        <v>0</v>
      </c>
      <c r="K2194" s="18">
        <f>VLOOKUP(D2194,Ingredients!C:G,5,0)</f>
        <v>520</v>
      </c>
      <c r="L2194" s="52">
        <f t="shared" si="69"/>
        <v>52</v>
      </c>
    </row>
    <row r="2195" spans="1:12">
      <c r="A2195" t="s">
        <v>496</v>
      </c>
      <c r="B2195" t="s">
        <v>362</v>
      </c>
      <c r="C2195" t="s">
        <v>354</v>
      </c>
      <c r="D2195" s="3" t="s">
        <v>310</v>
      </c>
      <c r="E2195" s="4">
        <v>7.0000000000000007E-2</v>
      </c>
      <c r="F2195" s="4" t="s">
        <v>176</v>
      </c>
      <c r="G2195" s="9">
        <v>425</v>
      </c>
      <c r="H2195" s="9">
        <f t="shared" si="68"/>
        <v>29.750000000000004</v>
      </c>
      <c r="I2195" t="s">
        <v>179</v>
      </c>
      <c r="J2195" s="33">
        <v>0</v>
      </c>
      <c r="K2195" s="18">
        <f>VLOOKUP(D2195,Ingredients!C:G,5,0)</f>
        <v>850</v>
      </c>
      <c r="L2195" s="52">
        <f t="shared" si="69"/>
        <v>59.500000000000007</v>
      </c>
    </row>
    <row r="2196" spans="1:12">
      <c r="A2196" t="s">
        <v>496</v>
      </c>
      <c r="B2196" t="s">
        <v>362</v>
      </c>
      <c r="C2196" t="s">
        <v>354</v>
      </c>
      <c r="D2196" s="3" t="s">
        <v>853</v>
      </c>
      <c r="E2196" s="4">
        <v>0.02</v>
      </c>
      <c r="F2196" s="4" t="s">
        <v>176</v>
      </c>
      <c r="G2196" s="9">
        <v>30</v>
      </c>
      <c r="H2196" s="9">
        <f t="shared" si="68"/>
        <v>0.6</v>
      </c>
      <c r="I2196" t="s">
        <v>179</v>
      </c>
      <c r="J2196" s="33">
        <v>0</v>
      </c>
      <c r="K2196" s="18">
        <f>VLOOKUP(D2196,Ingredients!C:G,5,0)</f>
        <v>55</v>
      </c>
      <c r="L2196" s="52">
        <f t="shared" si="69"/>
        <v>1.1000000000000001</v>
      </c>
    </row>
    <row r="2197" spans="1:12">
      <c r="A2197" t="s">
        <v>496</v>
      </c>
      <c r="B2197" t="s">
        <v>362</v>
      </c>
      <c r="C2197" t="s">
        <v>354</v>
      </c>
      <c r="D2197" s="3" t="s">
        <v>872</v>
      </c>
      <c r="E2197" s="4">
        <v>0.02</v>
      </c>
      <c r="F2197" s="4" t="s">
        <v>176</v>
      </c>
      <c r="G2197" s="9">
        <v>2100</v>
      </c>
      <c r="H2197" s="9">
        <f t="shared" si="68"/>
        <v>42</v>
      </c>
      <c r="I2197" t="s">
        <v>179</v>
      </c>
      <c r="J2197" s="33">
        <v>0</v>
      </c>
      <c r="K2197" s="18">
        <f>VLOOKUP(D2197,Ingredients!C:G,5,0)</f>
        <v>2150</v>
      </c>
      <c r="L2197" s="52">
        <f t="shared" si="69"/>
        <v>43</v>
      </c>
    </row>
    <row r="2198" spans="1:12">
      <c r="A2198" t="s">
        <v>496</v>
      </c>
      <c r="B2198" t="s">
        <v>362</v>
      </c>
      <c r="C2198" t="s">
        <v>354</v>
      </c>
      <c r="D2198" s="3" t="s">
        <v>868</v>
      </c>
      <c r="E2198" s="4">
        <v>0.1</v>
      </c>
      <c r="F2198" s="4" t="s">
        <v>176</v>
      </c>
      <c r="G2198" s="9">
        <v>5432.77</v>
      </c>
      <c r="H2198" s="9">
        <f t="shared" si="68"/>
        <v>543.27700000000004</v>
      </c>
      <c r="I2198" t="s">
        <v>179</v>
      </c>
      <c r="J2198" s="33">
        <v>0</v>
      </c>
      <c r="K2198" s="18">
        <f>VLOOKUP(D2198,Ingredients!C:G,5,0)</f>
        <v>3200</v>
      </c>
      <c r="L2198" s="52">
        <f t="shared" si="69"/>
        <v>320</v>
      </c>
    </row>
    <row r="2199" spans="1:12">
      <c r="A2199" t="s">
        <v>498</v>
      </c>
      <c r="B2199" t="s">
        <v>362</v>
      </c>
      <c r="C2199" t="s">
        <v>354</v>
      </c>
      <c r="D2199" s="3" t="s">
        <v>14</v>
      </c>
      <c r="E2199" s="4">
        <v>0.5</v>
      </c>
      <c r="F2199" s="4" t="s">
        <v>176</v>
      </c>
      <c r="G2199" s="9">
        <v>120</v>
      </c>
      <c r="H2199" s="9">
        <f t="shared" si="68"/>
        <v>60</v>
      </c>
      <c r="I2199" t="s">
        <v>179</v>
      </c>
      <c r="J2199" s="33">
        <v>0</v>
      </c>
      <c r="K2199" s="18">
        <f>VLOOKUP(D2199,Ingredients!C:G,5,0)</f>
        <v>60</v>
      </c>
      <c r="L2199" s="52">
        <f t="shared" si="69"/>
        <v>30</v>
      </c>
    </row>
    <row r="2200" spans="1:12">
      <c r="A2200" t="s">
        <v>498</v>
      </c>
      <c r="B2200" t="s">
        <v>362</v>
      </c>
      <c r="C2200" t="s">
        <v>354</v>
      </c>
      <c r="D2200" s="3" t="s">
        <v>28</v>
      </c>
      <c r="E2200" s="4">
        <v>0.2</v>
      </c>
      <c r="F2200" s="4" t="s">
        <v>176</v>
      </c>
      <c r="G2200" s="9">
        <v>85</v>
      </c>
      <c r="H2200" s="9">
        <f t="shared" si="68"/>
        <v>17</v>
      </c>
      <c r="I2200" t="s">
        <v>179</v>
      </c>
      <c r="J2200" s="33">
        <v>0</v>
      </c>
      <c r="K2200" s="18">
        <f>VLOOKUP(D2200,Ingredients!C:G,5,0)</f>
        <v>70</v>
      </c>
      <c r="L2200" s="52">
        <f t="shared" si="69"/>
        <v>14</v>
      </c>
    </row>
    <row r="2201" spans="1:12">
      <c r="A2201" t="s">
        <v>498</v>
      </c>
      <c r="B2201" t="s">
        <v>362</v>
      </c>
      <c r="C2201" t="s">
        <v>354</v>
      </c>
      <c r="D2201" s="3" t="s">
        <v>95</v>
      </c>
      <c r="E2201" s="4">
        <v>0.1</v>
      </c>
      <c r="F2201" s="4" t="s">
        <v>176</v>
      </c>
      <c r="G2201" s="9">
        <v>140</v>
      </c>
      <c r="H2201" s="9">
        <f t="shared" si="68"/>
        <v>14</v>
      </c>
      <c r="I2201" t="s">
        <v>179</v>
      </c>
      <c r="J2201" s="33">
        <v>0</v>
      </c>
      <c r="K2201" s="18">
        <f>VLOOKUP(D2201,Ingredients!C:G,5,0)</f>
        <v>90</v>
      </c>
      <c r="L2201" s="52">
        <f t="shared" si="69"/>
        <v>9</v>
      </c>
    </row>
    <row r="2202" spans="1:12">
      <c r="A2202" t="s">
        <v>498</v>
      </c>
      <c r="B2202" t="s">
        <v>362</v>
      </c>
      <c r="C2202" t="s">
        <v>354</v>
      </c>
      <c r="D2202" s="3" t="s">
        <v>24</v>
      </c>
      <c r="E2202" s="4">
        <v>0.1</v>
      </c>
      <c r="F2202" s="4" t="s">
        <v>176</v>
      </c>
      <c r="G2202" s="9">
        <v>55</v>
      </c>
      <c r="H2202" s="9">
        <f t="shared" si="68"/>
        <v>5.5</v>
      </c>
      <c r="I2202" t="s">
        <v>179</v>
      </c>
      <c r="J2202" s="33">
        <v>0</v>
      </c>
      <c r="K2202" s="18">
        <f>VLOOKUP(D2202,Ingredients!C:G,5,0)</f>
        <v>80</v>
      </c>
      <c r="L2202" s="52">
        <f t="shared" si="69"/>
        <v>8</v>
      </c>
    </row>
    <row r="2203" spans="1:12">
      <c r="A2203" t="s">
        <v>498</v>
      </c>
      <c r="B2203" t="s">
        <v>362</v>
      </c>
      <c r="C2203" t="s">
        <v>354</v>
      </c>
      <c r="D2203" s="3" t="s">
        <v>35</v>
      </c>
      <c r="E2203" s="4">
        <v>2</v>
      </c>
      <c r="F2203" s="4" t="s">
        <v>252</v>
      </c>
      <c r="G2203" s="9">
        <v>13</v>
      </c>
      <c r="H2203" s="9">
        <f t="shared" si="68"/>
        <v>26</v>
      </c>
      <c r="I2203" t="s">
        <v>179</v>
      </c>
      <c r="J2203" s="33">
        <v>0</v>
      </c>
      <c r="K2203" s="18">
        <f>VLOOKUP(D2203,Ingredients!C:G,5,0)</f>
        <v>15</v>
      </c>
      <c r="L2203" s="52">
        <f t="shared" si="69"/>
        <v>30</v>
      </c>
    </row>
    <row r="2204" spans="1:12">
      <c r="A2204" t="s">
        <v>498</v>
      </c>
      <c r="B2204" t="s">
        <v>362</v>
      </c>
      <c r="C2204" t="s">
        <v>354</v>
      </c>
      <c r="D2204" s="3" t="s">
        <v>7</v>
      </c>
      <c r="E2204" s="4">
        <v>1</v>
      </c>
      <c r="F2204" s="4" t="s">
        <v>252</v>
      </c>
      <c r="G2204" s="9">
        <v>8</v>
      </c>
      <c r="H2204" s="9">
        <f t="shared" si="68"/>
        <v>8</v>
      </c>
      <c r="I2204" t="s">
        <v>179</v>
      </c>
      <c r="J2204" s="33">
        <v>0</v>
      </c>
      <c r="K2204" s="18">
        <f>VLOOKUP(D2204,Ingredients!C:G,5,0)</f>
        <v>6</v>
      </c>
      <c r="L2204" s="52">
        <f t="shared" si="69"/>
        <v>6</v>
      </c>
    </row>
    <row r="2205" spans="1:12">
      <c r="A2205" t="s">
        <v>498</v>
      </c>
      <c r="B2205" t="s">
        <v>362</v>
      </c>
      <c r="C2205" t="s">
        <v>354</v>
      </c>
      <c r="D2205" s="3" t="s">
        <v>497</v>
      </c>
      <c r="E2205" s="4">
        <v>0.05</v>
      </c>
      <c r="F2205" s="4" t="s">
        <v>176</v>
      </c>
      <c r="G2205" s="9">
        <v>350</v>
      </c>
      <c r="H2205" s="9">
        <f t="shared" si="68"/>
        <v>17.5</v>
      </c>
      <c r="I2205" t="s">
        <v>179</v>
      </c>
      <c r="J2205" s="33">
        <v>0</v>
      </c>
      <c r="K2205" s="18">
        <f>VLOOKUP(D2205,Ingredients!C:G,5,0)</f>
        <v>400</v>
      </c>
      <c r="L2205" s="52">
        <f t="shared" si="69"/>
        <v>20</v>
      </c>
    </row>
    <row r="2206" spans="1:12">
      <c r="A2206" t="s">
        <v>498</v>
      </c>
      <c r="B2206" t="s">
        <v>362</v>
      </c>
      <c r="C2206" t="s">
        <v>354</v>
      </c>
      <c r="D2206" s="3" t="s">
        <v>13</v>
      </c>
      <c r="E2206" s="4">
        <v>0.1</v>
      </c>
      <c r="F2206" s="4" t="s">
        <v>176</v>
      </c>
      <c r="G2206" s="9">
        <v>30</v>
      </c>
      <c r="H2206" s="9">
        <f t="shared" si="68"/>
        <v>3</v>
      </c>
      <c r="I2206" t="s">
        <v>179</v>
      </c>
      <c r="J2206" s="33">
        <v>0</v>
      </c>
      <c r="K2206" s="18">
        <f>VLOOKUP(D2206,Ingredients!C:G,5,0)</f>
        <v>60</v>
      </c>
      <c r="L2206" s="52">
        <f t="shared" si="69"/>
        <v>6</v>
      </c>
    </row>
    <row r="2207" spans="1:12">
      <c r="A2207" t="s">
        <v>498</v>
      </c>
      <c r="B2207" t="s">
        <v>362</v>
      </c>
      <c r="C2207" t="s">
        <v>354</v>
      </c>
      <c r="D2207" s="3" t="s">
        <v>310</v>
      </c>
      <c r="E2207" s="4">
        <v>0.08</v>
      </c>
      <c r="F2207" s="4" t="s">
        <v>176</v>
      </c>
      <c r="G2207" s="9">
        <v>425</v>
      </c>
      <c r="H2207" s="9">
        <f t="shared" si="68"/>
        <v>34</v>
      </c>
      <c r="I2207" t="s">
        <v>179</v>
      </c>
      <c r="J2207" s="33">
        <v>0</v>
      </c>
      <c r="K2207" s="18">
        <f>VLOOKUP(D2207,Ingredients!C:G,5,0)</f>
        <v>850</v>
      </c>
      <c r="L2207" s="52">
        <f t="shared" si="69"/>
        <v>68</v>
      </c>
    </row>
    <row r="2208" spans="1:12">
      <c r="A2208" t="s">
        <v>498</v>
      </c>
      <c r="B2208" t="s">
        <v>362</v>
      </c>
      <c r="C2208" t="s">
        <v>354</v>
      </c>
      <c r="D2208" s="3" t="s">
        <v>853</v>
      </c>
      <c r="E2208" s="4">
        <v>0.03</v>
      </c>
      <c r="F2208" s="4" t="s">
        <v>176</v>
      </c>
      <c r="G2208" s="9">
        <v>30</v>
      </c>
      <c r="H2208" s="9">
        <f t="shared" si="68"/>
        <v>0.89999999999999991</v>
      </c>
      <c r="I2208" t="s">
        <v>179</v>
      </c>
      <c r="J2208" s="33">
        <v>0</v>
      </c>
      <c r="K2208" s="18">
        <f>VLOOKUP(D2208,Ingredients!C:G,5,0)</f>
        <v>55</v>
      </c>
      <c r="L2208" s="52">
        <f t="shared" si="69"/>
        <v>1.65</v>
      </c>
    </row>
    <row r="2209" spans="1:12">
      <c r="A2209" t="s">
        <v>498</v>
      </c>
      <c r="B2209" t="s">
        <v>362</v>
      </c>
      <c r="C2209" t="s">
        <v>354</v>
      </c>
      <c r="D2209" s="3" t="s">
        <v>882</v>
      </c>
      <c r="E2209" s="4">
        <v>0.03</v>
      </c>
      <c r="F2209" s="4" t="s">
        <v>176</v>
      </c>
      <c r="G2209" s="9">
        <v>1500</v>
      </c>
      <c r="H2209" s="9">
        <f t="shared" si="68"/>
        <v>45</v>
      </c>
      <c r="I2209" t="s">
        <v>179</v>
      </c>
      <c r="J2209" s="33">
        <v>0</v>
      </c>
      <c r="K2209" s="18">
        <f>VLOOKUP(D2209,Ingredients!C:G,5,0)</f>
        <v>1450</v>
      </c>
      <c r="L2209" s="52">
        <f t="shared" si="69"/>
        <v>43.5</v>
      </c>
    </row>
    <row r="2210" spans="1:12">
      <c r="A2210" t="s">
        <v>498</v>
      </c>
      <c r="B2210" t="s">
        <v>362</v>
      </c>
      <c r="C2210" t="s">
        <v>354</v>
      </c>
      <c r="D2210" s="3" t="s">
        <v>868</v>
      </c>
      <c r="E2210" s="4">
        <v>0.2</v>
      </c>
      <c r="F2210" s="4" t="s">
        <v>176</v>
      </c>
      <c r="G2210" s="9">
        <v>5432.77</v>
      </c>
      <c r="H2210" s="9">
        <f t="shared" si="68"/>
        <v>1086.5540000000001</v>
      </c>
      <c r="I2210" t="s">
        <v>179</v>
      </c>
      <c r="J2210" s="33">
        <v>0</v>
      </c>
      <c r="K2210" s="18">
        <f>VLOOKUP(D2210,Ingredients!C:G,5,0)</f>
        <v>3200</v>
      </c>
      <c r="L2210" s="52">
        <f t="shared" si="69"/>
        <v>640</v>
      </c>
    </row>
    <row r="2211" spans="1:12">
      <c r="A2211" t="s">
        <v>499</v>
      </c>
      <c r="B2211" t="s">
        <v>362</v>
      </c>
      <c r="C2211" t="s">
        <v>354</v>
      </c>
      <c r="D2211" s="3" t="s">
        <v>14</v>
      </c>
      <c r="E2211" s="4">
        <v>0.46542553191489366</v>
      </c>
      <c r="F2211" s="4" t="s">
        <v>176</v>
      </c>
      <c r="G2211" s="9">
        <v>120</v>
      </c>
      <c r="H2211" s="9">
        <f t="shared" si="68"/>
        <v>55.851063829787236</v>
      </c>
      <c r="I2211" t="s">
        <v>179</v>
      </c>
      <c r="J2211" s="33">
        <v>0</v>
      </c>
      <c r="K2211" s="18">
        <f>VLOOKUP(D2211,Ingredients!C:G,5,0)</f>
        <v>60</v>
      </c>
      <c r="L2211" s="52">
        <f t="shared" si="69"/>
        <v>27.925531914893618</v>
      </c>
    </row>
    <row r="2212" spans="1:12">
      <c r="A2212" t="s">
        <v>499</v>
      </c>
      <c r="B2212" t="s">
        <v>362</v>
      </c>
      <c r="C2212" t="s">
        <v>354</v>
      </c>
      <c r="D2212" s="3" t="s">
        <v>95</v>
      </c>
      <c r="E2212" s="4">
        <v>0.13962765957446807</v>
      </c>
      <c r="F2212" s="4" t="s">
        <v>176</v>
      </c>
      <c r="G2212" s="9">
        <v>140</v>
      </c>
      <c r="H2212" s="9">
        <f t="shared" si="68"/>
        <v>19.547872340425531</v>
      </c>
      <c r="I2212" t="s">
        <v>179</v>
      </c>
      <c r="J2212" s="33">
        <v>0</v>
      </c>
      <c r="K2212" s="18">
        <f>VLOOKUP(D2212,Ingredients!C:G,5,0)</f>
        <v>90</v>
      </c>
      <c r="L2212" s="52">
        <f t="shared" si="69"/>
        <v>12.566489361702127</v>
      </c>
    </row>
    <row r="2213" spans="1:12">
      <c r="A2213" t="s">
        <v>499</v>
      </c>
      <c r="B2213" t="s">
        <v>362</v>
      </c>
      <c r="C2213" t="s">
        <v>354</v>
      </c>
      <c r="D2213" s="3" t="s">
        <v>28</v>
      </c>
      <c r="E2213" s="4">
        <v>0.13962765957446807</v>
      </c>
      <c r="F2213" s="4" t="s">
        <v>176</v>
      </c>
      <c r="G2213" s="9">
        <v>85</v>
      </c>
      <c r="H2213" s="9">
        <f t="shared" si="68"/>
        <v>11.868351063829786</v>
      </c>
      <c r="I2213" t="s">
        <v>179</v>
      </c>
      <c r="J2213" s="33">
        <v>0</v>
      </c>
      <c r="K2213" s="18">
        <f>VLOOKUP(D2213,Ingredients!C:G,5,0)</f>
        <v>70</v>
      </c>
      <c r="L2213" s="52">
        <f t="shared" si="69"/>
        <v>9.7739361702127656</v>
      </c>
    </row>
    <row r="2214" spans="1:12">
      <c r="A2214" t="s">
        <v>499</v>
      </c>
      <c r="B2214" t="s">
        <v>362</v>
      </c>
      <c r="C2214" t="s">
        <v>354</v>
      </c>
      <c r="D2214" s="3" t="s">
        <v>502</v>
      </c>
      <c r="E2214" s="4">
        <v>0.14000000000000001</v>
      </c>
      <c r="F2214" s="4" t="s">
        <v>176</v>
      </c>
      <c r="G2214" s="9">
        <v>500</v>
      </c>
      <c r="H2214" s="9">
        <f t="shared" si="68"/>
        <v>70</v>
      </c>
      <c r="I2214" t="s">
        <v>179</v>
      </c>
      <c r="J2214" s="33">
        <v>0</v>
      </c>
      <c r="K2214" s="18">
        <f>VLOOKUP(D2214,Ingredients!C:G,5,0)</f>
        <v>130</v>
      </c>
      <c r="L2214" s="52">
        <f t="shared" si="69"/>
        <v>18.200000000000003</v>
      </c>
    </row>
    <row r="2215" spans="1:12">
      <c r="A2215" t="s">
        <v>499</v>
      </c>
      <c r="B2215" t="s">
        <v>362</v>
      </c>
      <c r="C2215" t="s">
        <v>354</v>
      </c>
      <c r="D2215" s="3" t="s">
        <v>310</v>
      </c>
      <c r="E2215" s="4">
        <v>4.6542553191489366E-2</v>
      </c>
      <c r="F2215" s="4" t="s">
        <v>176</v>
      </c>
      <c r="G2215" s="9">
        <v>425</v>
      </c>
      <c r="H2215" s="9">
        <f t="shared" si="68"/>
        <v>19.780585106382979</v>
      </c>
      <c r="I2215" t="s">
        <v>179</v>
      </c>
      <c r="J2215" s="33">
        <v>0</v>
      </c>
      <c r="K2215" s="18">
        <f>VLOOKUP(D2215,Ingredients!C:G,5,0)</f>
        <v>850</v>
      </c>
      <c r="L2215" s="52">
        <f t="shared" si="69"/>
        <v>39.561170212765958</v>
      </c>
    </row>
    <row r="2216" spans="1:12">
      <c r="A2216" t="s">
        <v>499</v>
      </c>
      <c r="B2216" t="s">
        <v>362</v>
      </c>
      <c r="C2216" t="s">
        <v>354</v>
      </c>
      <c r="D2216" s="3" t="s">
        <v>853</v>
      </c>
      <c r="E2216" s="4">
        <v>2.3271276595744683E-2</v>
      </c>
      <c r="F2216" s="4" t="s">
        <v>176</v>
      </c>
      <c r="G2216" s="9">
        <v>30</v>
      </c>
      <c r="H2216" s="9">
        <f t="shared" si="68"/>
        <v>0.6981382978723405</v>
      </c>
      <c r="I2216" t="s">
        <v>179</v>
      </c>
      <c r="J2216" s="33">
        <v>0</v>
      </c>
      <c r="K2216" s="18">
        <f>VLOOKUP(D2216,Ingredients!C:G,5,0)</f>
        <v>55</v>
      </c>
      <c r="L2216" s="52">
        <f t="shared" si="69"/>
        <v>1.2799202127659575</v>
      </c>
    </row>
    <row r="2217" spans="1:12">
      <c r="A2217" t="s">
        <v>499</v>
      </c>
      <c r="B2217" t="s">
        <v>362</v>
      </c>
      <c r="C2217" t="s">
        <v>354</v>
      </c>
      <c r="D2217" s="3" t="s">
        <v>868</v>
      </c>
      <c r="E2217" s="4">
        <v>2.3271276595744683E-2</v>
      </c>
      <c r="F2217" s="4" t="s">
        <v>176</v>
      </c>
      <c r="G2217" s="9">
        <v>5432.77</v>
      </c>
      <c r="H2217" s="9">
        <f t="shared" si="68"/>
        <v>126.42749335106386</v>
      </c>
      <c r="I2217" t="s">
        <v>179</v>
      </c>
      <c r="J2217" s="33">
        <v>0</v>
      </c>
      <c r="K2217" s="18">
        <f>VLOOKUP(D2217,Ingredients!C:G,5,0)</f>
        <v>3200</v>
      </c>
      <c r="L2217" s="52">
        <f t="shared" si="69"/>
        <v>74.468085106382986</v>
      </c>
    </row>
    <row r="2218" spans="1:12">
      <c r="A2218" t="s">
        <v>499</v>
      </c>
      <c r="B2218" t="s">
        <v>362</v>
      </c>
      <c r="C2218" t="s">
        <v>354</v>
      </c>
      <c r="D2218" s="3" t="s">
        <v>882</v>
      </c>
      <c r="E2218" s="4">
        <v>3.4906914893617018E-2</v>
      </c>
      <c r="F2218" s="4" t="s">
        <v>176</v>
      </c>
      <c r="G2218" s="9">
        <v>1500</v>
      </c>
      <c r="H2218" s="9">
        <f t="shared" si="68"/>
        <v>52.360372340425528</v>
      </c>
      <c r="I2218" t="s">
        <v>179</v>
      </c>
      <c r="J2218" s="33">
        <v>0</v>
      </c>
      <c r="K2218" s="18">
        <f>VLOOKUP(D2218,Ingredients!C:G,5,0)</f>
        <v>1450</v>
      </c>
      <c r="L2218" s="52">
        <f t="shared" si="69"/>
        <v>50.615026595744673</v>
      </c>
    </row>
    <row r="2219" spans="1:12">
      <c r="A2219" t="s">
        <v>499</v>
      </c>
      <c r="B2219" t="s">
        <v>362</v>
      </c>
      <c r="C2219" t="s">
        <v>354</v>
      </c>
      <c r="D2219" s="3" t="s">
        <v>500</v>
      </c>
      <c r="E2219" s="4">
        <v>2.3271276595744683E-2</v>
      </c>
      <c r="F2219" s="4" t="s">
        <v>176</v>
      </c>
      <c r="G2219" s="9">
        <v>208.33</v>
      </c>
      <c r="H2219" s="9">
        <f t="shared" si="68"/>
        <v>4.8481050531914898</v>
      </c>
      <c r="I2219" t="s">
        <v>179</v>
      </c>
      <c r="J2219" s="33">
        <v>0</v>
      </c>
      <c r="K2219" s="18">
        <f>VLOOKUP(D2219,Ingredients!C:G,5,0)</f>
        <v>208.33</v>
      </c>
      <c r="L2219" s="52">
        <f t="shared" si="69"/>
        <v>4.8481050531914898</v>
      </c>
    </row>
    <row r="2220" spans="1:12">
      <c r="A2220" t="s">
        <v>499</v>
      </c>
      <c r="B2220" t="s">
        <v>362</v>
      </c>
      <c r="C2220" t="s">
        <v>354</v>
      </c>
      <c r="D2220" s="3" t="s">
        <v>834</v>
      </c>
      <c r="E2220" s="4">
        <v>4.6542553191489366E-2</v>
      </c>
      <c r="F2220" s="4" t="s">
        <v>176</v>
      </c>
      <c r="G2220" s="9">
        <v>515</v>
      </c>
      <c r="H2220" s="9">
        <f t="shared" ref="H2220:H2283" si="70">G2220*E2220</f>
        <v>23.969414893617024</v>
      </c>
      <c r="I2220" t="s">
        <v>179</v>
      </c>
      <c r="J2220" s="33">
        <v>0</v>
      </c>
      <c r="K2220" s="18">
        <f>VLOOKUP(D2220,Ingredients!C:G,5,0)</f>
        <v>540</v>
      </c>
      <c r="L2220" s="52">
        <f t="shared" si="69"/>
        <v>25.132978723404257</v>
      </c>
    </row>
    <row r="2221" spans="1:12">
      <c r="A2221" t="s">
        <v>499</v>
      </c>
      <c r="B2221" t="s">
        <v>362</v>
      </c>
      <c r="C2221" t="s">
        <v>354</v>
      </c>
      <c r="D2221" s="3" t="s">
        <v>888</v>
      </c>
      <c r="E2221" s="4">
        <v>3.4906914893617018E-2</v>
      </c>
      <c r="F2221" s="4" t="s">
        <v>176</v>
      </c>
      <c r="G2221" s="9">
        <v>580</v>
      </c>
      <c r="H2221" s="9">
        <f t="shared" si="70"/>
        <v>20.246010638297872</v>
      </c>
      <c r="I2221" t="s">
        <v>179</v>
      </c>
      <c r="J2221" s="33">
        <v>0</v>
      </c>
      <c r="K2221" s="18">
        <f>VLOOKUP(D2221,Ingredients!C:G,5,0)</f>
        <v>580</v>
      </c>
      <c r="L2221" s="52">
        <f t="shared" si="69"/>
        <v>20.246010638297872</v>
      </c>
    </row>
    <row r="2222" spans="1:12">
      <c r="A2222" t="s">
        <v>499</v>
      </c>
      <c r="B2222" t="s">
        <v>362</v>
      </c>
      <c r="C2222" t="s">
        <v>354</v>
      </c>
      <c r="D2222" s="3" t="s">
        <v>839</v>
      </c>
      <c r="E2222" s="4">
        <v>2.3271276595744683E-2</v>
      </c>
      <c r="F2222" s="4" t="s">
        <v>176</v>
      </c>
      <c r="G2222" s="9">
        <v>1100</v>
      </c>
      <c r="H2222" s="9">
        <f t="shared" si="70"/>
        <v>25.598404255319153</v>
      </c>
      <c r="I2222" t="s">
        <v>179</v>
      </c>
      <c r="J2222" s="33">
        <v>0</v>
      </c>
      <c r="K2222" s="18">
        <f>VLOOKUP(D2222,Ingredients!C:G,5,0)</f>
        <v>1100</v>
      </c>
      <c r="L2222" s="52">
        <f t="shared" si="69"/>
        <v>25.598404255319153</v>
      </c>
    </row>
    <row r="2223" spans="1:12">
      <c r="A2223" t="s">
        <v>503</v>
      </c>
      <c r="B2223" t="s">
        <v>349</v>
      </c>
      <c r="C2223" t="s">
        <v>350</v>
      </c>
      <c r="D2223" s="3" t="s">
        <v>856</v>
      </c>
      <c r="E2223" s="10">
        <v>6.6666666666666671E-3</v>
      </c>
      <c r="F2223" s="13" t="s">
        <v>176</v>
      </c>
      <c r="G2223" s="9">
        <v>850</v>
      </c>
      <c r="H2223" s="9">
        <f t="shared" si="70"/>
        <v>5.666666666666667</v>
      </c>
      <c r="I2223" t="s">
        <v>179</v>
      </c>
      <c r="J2223" s="33" t="s">
        <v>504</v>
      </c>
      <c r="K2223" s="18">
        <f>VLOOKUP(D2223,Ingredients!C:G,5,0)</f>
        <v>980</v>
      </c>
      <c r="L2223" s="52">
        <f t="shared" si="69"/>
        <v>6.5333333333333341</v>
      </c>
    </row>
    <row r="2224" spans="1:12">
      <c r="A2224" t="s">
        <v>503</v>
      </c>
      <c r="B2224" t="s">
        <v>349</v>
      </c>
      <c r="C2224" t="s">
        <v>350</v>
      </c>
      <c r="D2224" s="3" t="s">
        <v>857</v>
      </c>
      <c r="E2224" s="10">
        <v>0.01</v>
      </c>
      <c r="F2224" s="13" t="s">
        <v>176</v>
      </c>
      <c r="G2224" s="9">
        <v>520</v>
      </c>
      <c r="H2224" s="9">
        <f t="shared" si="70"/>
        <v>5.2</v>
      </c>
      <c r="I2224" t="s">
        <v>179</v>
      </c>
      <c r="J2224" s="33" t="s">
        <v>504</v>
      </c>
      <c r="K2224" s="18">
        <f>VLOOKUP(D2224,Ingredients!C:G,5,0)</f>
        <v>880</v>
      </c>
      <c r="L2224" s="52">
        <f t="shared" si="69"/>
        <v>8.8000000000000007</v>
      </c>
    </row>
    <row r="2225" spans="1:12">
      <c r="A2225" t="s">
        <v>503</v>
      </c>
      <c r="B2225" t="s">
        <v>349</v>
      </c>
      <c r="C2225" t="s">
        <v>350</v>
      </c>
      <c r="D2225" s="3" t="s">
        <v>858</v>
      </c>
      <c r="E2225" s="10">
        <v>6.6666666666666671E-3</v>
      </c>
      <c r="F2225" s="13" t="s">
        <v>176</v>
      </c>
      <c r="G2225" s="9">
        <v>1900</v>
      </c>
      <c r="H2225" s="9">
        <f t="shared" si="70"/>
        <v>12.666666666666668</v>
      </c>
      <c r="I2225" t="s">
        <v>179</v>
      </c>
      <c r="J2225" s="33" t="s">
        <v>504</v>
      </c>
      <c r="K2225" s="18">
        <f>VLOOKUP(D2225,Ingredients!C:G,5,0)</f>
        <v>1900</v>
      </c>
      <c r="L2225" s="52">
        <f t="shared" si="69"/>
        <v>12.666666666666668</v>
      </c>
    </row>
    <row r="2226" spans="1:12">
      <c r="A2226" t="s">
        <v>503</v>
      </c>
      <c r="B2226" t="s">
        <v>349</v>
      </c>
      <c r="C2226" t="s">
        <v>350</v>
      </c>
      <c r="D2226" s="3" t="s">
        <v>41</v>
      </c>
      <c r="E2226" s="10">
        <v>0.01</v>
      </c>
      <c r="F2226" s="13" t="s">
        <v>176</v>
      </c>
      <c r="G2226" s="9">
        <v>550</v>
      </c>
      <c r="H2226" s="9">
        <f t="shared" si="70"/>
        <v>5.5</v>
      </c>
      <c r="I2226" t="s">
        <v>179</v>
      </c>
      <c r="J2226" s="33" t="s">
        <v>504</v>
      </c>
      <c r="K2226" s="18">
        <f>VLOOKUP(D2226,Ingredients!C:G,5,0)</f>
        <v>550</v>
      </c>
      <c r="L2226" s="52">
        <f t="shared" si="69"/>
        <v>5.5</v>
      </c>
    </row>
    <row r="2227" spans="1:12">
      <c r="A2227" t="s">
        <v>503</v>
      </c>
      <c r="B2227" t="s">
        <v>349</v>
      </c>
      <c r="C2227" t="s">
        <v>350</v>
      </c>
      <c r="D2227" s="3" t="s">
        <v>832</v>
      </c>
      <c r="E2227" s="10">
        <v>0.01</v>
      </c>
      <c r="F2227" s="13" t="s">
        <v>176</v>
      </c>
      <c r="G2227" s="9">
        <v>128</v>
      </c>
      <c r="H2227" s="9">
        <f t="shared" si="70"/>
        <v>1.28</v>
      </c>
      <c r="I2227" t="s">
        <v>179</v>
      </c>
      <c r="J2227" s="33" t="s">
        <v>504</v>
      </c>
      <c r="K2227" s="18">
        <f>VLOOKUP(D2227,Ingredients!C:G,5,0)</f>
        <v>131.19999999999999</v>
      </c>
      <c r="L2227" s="52">
        <f t="shared" si="69"/>
        <v>1.3119999999999998</v>
      </c>
    </row>
    <row r="2228" spans="1:12">
      <c r="A2228" t="s">
        <v>503</v>
      </c>
      <c r="B2228" t="s">
        <v>349</v>
      </c>
      <c r="C2228" t="s">
        <v>350</v>
      </c>
      <c r="D2228" s="3" t="s">
        <v>859</v>
      </c>
      <c r="E2228" s="10">
        <v>6.6666666666666671E-3</v>
      </c>
      <c r="F2228" s="13" t="s">
        <v>176</v>
      </c>
      <c r="G2228" s="9">
        <v>650</v>
      </c>
      <c r="H2228" s="9">
        <f t="shared" si="70"/>
        <v>4.3333333333333339</v>
      </c>
      <c r="I2228" t="s">
        <v>179</v>
      </c>
      <c r="J2228" s="33" t="s">
        <v>504</v>
      </c>
      <c r="K2228" s="18">
        <f>VLOOKUP(D2228,Ingredients!C:G,5,0)</f>
        <v>700</v>
      </c>
      <c r="L2228" s="52">
        <f t="shared" si="69"/>
        <v>4.666666666666667</v>
      </c>
    </row>
    <row r="2229" spans="1:12">
      <c r="A2229" t="s">
        <v>503</v>
      </c>
      <c r="B2229" t="s">
        <v>349</v>
      </c>
      <c r="C2229" t="s">
        <v>350</v>
      </c>
      <c r="D2229" s="3" t="s">
        <v>860</v>
      </c>
      <c r="E2229" s="10">
        <v>6.6666666666666671E-3</v>
      </c>
      <c r="F2229" s="13" t="s">
        <v>176</v>
      </c>
      <c r="G2229" s="9">
        <v>2000</v>
      </c>
      <c r="H2229" s="9">
        <f t="shared" si="70"/>
        <v>13.333333333333334</v>
      </c>
      <c r="I2229" t="s">
        <v>179</v>
      </c>
      <c r="J2229" s="33" t="s">
        <v>504</v>
      </c>
      <c r="K2229" s="18">
        <f>VLOOKUP(D2229,Ingredients!C:G,5,0)</f>
        <v>1900</v>
      </c>
      <c r="L2229" s="52">
        <f t="shared" si="69"/>
        <v>12.666666666666668</v>
      </c>
    </row>
    <row r="2230" spans="1:12">
      <c r="A2230" t="s">
        <v>503</v>
      </c>
      <c r="B2230" t="s">
        <v>349</v>
      </c>
      <c r="C2230" t="s">
        <v>350</v>
      </c>
      <c r="D2230" s="3" t="s">
        <v>35</v>
      </c>
      <c r="E2230" s="10">
        <v>3.3333333333333333E-2</v>
      </c>
      <c r="F2230" s="13" t="s">
        <v>176</v>
      </c>
      <c r="G2230" s="9">
        <v>13</v>
      </c>
      <c r="H2230" s="9">
        <f t="shared" si="70"/>
        <v>0.43333333333333335</v>
      </c>
      <c r="I2230" t="s">
        <v>179</v>
      </c>
      <c r="J2230" s="33" t="s">
        <v>504</v>
      </c>
      <c r="K2230" s="18">
        <f>VLOOKUP(D2230,Ingredients!C:G,5,0)</f>
        <v>15</v>
      </c>
      <c r="L2230" s="52">
        <f t="shared" si="69"/>
        <v>0.5</v>
      </c>
    </row>
    <row r="2231" spans="1:12">
      <c r="A2231" t="s">
        <v>503</v>
      </c>
      <c r="B2231" t="s">
        <v>349</v>
      </c>
      <c r="C2231" t="s">
        <v>350</v>
      </c>
      <c r="D2231" s="3" t="s">
        <v>853</v>
      </c>
      <c r="E2231" s="10">
        <v>3.3333333333333333E-2</v>
      </c>
      <c r="F2231" s="13" t="s">
        <v>176</v>
      </c>
      <c r="G2231" s="9">
        <v>30</v>
      </c>
      <c r="H2231" s="9">
        <f t="shared" si="70"/>
        <v>1</v>
      </c>
      <c r="I2231" t="s">
        <v>179</v>
      </c>
      <c r="J2231" s="33" t="s">
        <v>504</v>
      </c>
      <c r="K2231" s="18">
        <f>VLOOKUP(D2231,Ingredients!C:G,5,0)</f>
        <v>55</v>
      </c>
      <c r="L2231" s="52">
        <f t="shared" si="69"/>
        <v>1.8333333333333333</v>
      </c>
    </row>
    <row r="2232" spans="1:12">
      <c r="A2232" t="s">
        <v>503</v>
      </c>
      <c r="B2232" t="s">
        <v>349</v>
      </c>
      <c r="C2232" t="s">
        <v>350</v>
      </c>
      <c r="D2232" s="3" t="s">
        <v>29</v>
      </c>
      <c r="E2232" s="10">
        <v>0.33333333333333337</v>
      </c>
      <c r="F2232" s="13" t="s">
        <v>176</v>
      </c>
      <c r="G2232" s="9">
        <v>60</v>
      </c>
      <c r="H2232" s="9">
        <f t="shared" si="70"/>
        <v>20.000000000000004</v>
      </c>
      <c r="I2232" t="s">
        <v>179</v>
      </c>
      <c r="J2232" s="33" t="s">
        <v>504</v>
      </c>
      <c r="K2232" s="18">
        <f>VLOOKUP(D2232,Ingredients!C:G,5,0)</f>
        <v>100</v>
      </c>
      <c r="L2232" s="52">
        <f t="shared" si="69"/>
        <v>33.333333333333336</v>
      </c>
    </row>
    <row r="2233" spans="1:12">
      <c r="A2233" t="s">
        <v>503</v>
      </c>
      <c r="B2233" t="s">
        <v>349</v>
      </c>
      <c r="C2233" t="s">
        <v>350</v>
      </c>
      <c r="D2233" s="3" t="s">
        <v>24</v>
      </c>
      <c r="E2233" s="10">
        <v>0.83333333333333337</v>
      </c>
      <c r="F2233" s="13" t="s">
        <v>176</v>
      </c>
      <c r="G2233" s="9">
        <v>55</v>
      </c>
      <c r="H2233" s="9">
        <f t="shared" si="70"/>
        <v>45.833333333333336</v>
      </c>
      <c r="I2233" t="s">
        <v>179</v>
      </c>
      <c r="J2233" s="33" t="s">
        <v>504</v>
      </c>
      <c r="K2233" s="18">
        <f>VLOOKUP(D2233,Ingredients!C:G,5,0)</f>
        <v>80</v>
      </c>
      <c r="L2233" s="52">
        <f t="shared" si="69"/>
        <v>66.666666666666671</v>
      </c>
    </row>
    <row r="2234" spans="1:12">
      <c r="A2234" t="s">
        <v>503</v>
      </c>
      <c r="B2234" t="s">
        <v>349</v>
      </c>
      <c r="C2234" t="s">
        <v>350</v>
      </c>
      <c r="D2234" s="3" t="s">
        <v>855</v>
      </c>
      <c r="E2234" s="10">
        <v>3.3333333333333333E-2</v>
      </c>
      <c r="F2234" s="13" t="s">
        <v>176</v>
      </c>
      <c r="G2234" s="9">
        <v>2400</v>
      </c>
      <c r="H2234" s="9">
        <f t="shared" si="70"/>
        <v>80</v>
      </c>
      <c r="I2234" t="s">
        <v>179</v>
      </c>
      <c r="J2234" s="33" t="s">
        <v>504</v>
      </c>
      <c r="K2234" s="18">
        <f>VLOOKUP(D2234,Ingredients!C:G,5,0)</f>
        <v>1600</v>
      </c>
      <c r="L2234" s="52">
        <f t="shared" si="69"/>
        <v>53.333333333333336</v>
      </c>
    </row>
    <row r="2235" spans="1:12">
      <c r="A2235" t="s">
        <v>503</v>
      </c>
      <c r="B2235" t="s">
        <v>349</v>
      </c>
      <c r="C2235" t="s">
        <v>350</v>
      </c>
      <c r="D2235" s="3" t="s">
        <v>861</v>
      </c>
      <c r="E2235" s="10">
        <v>0.66666666666666674</v>
      </c>
      <c r="F2235" s="13" t="s">
        <v>176</v>
      </c>
      <c r="G2235" s="9">
        <v>500</v>
      </c>
      <c r="H2235" s="9">
        <f t="shared" si="70"/>
        <v>333.33333333333337</v>
      </c>
      <c r="I2235" t="s">
        <v>179</v>
      </c>
      <c r="J2235" s="33" t="s">
        <v>504</v>
      </c>
      <c r="K2235" s="18">
        <f>VLOOKUP(D2235,Ingredients!C:G,5,0)</f>
        <v>500</v>
      </c>
      <c r="L2235" s="52">
        <f t="shared" si="69"/>
        <v>333.33333333333337</v>
      </c>
    </row>
    <row r="2236" spans="1:12">
      <c r="A2236" t="s">
        <v>503</v>
      </c>
      <c r="B2236" t="s">
        <v>349</v>
      </c>
      <c r="C2236" t="s">
        <v>350</v>
      </c>
      <c r="D2236" s="3" t="s">
        <v>862</v>
      </c>
      <c r="E2236" s="10">
        <v>3.3333333333333333E-2</v>
      </c>
      <c r="F2236" s="13" t="s">
        <v>176</v>
      </c>
      <c r="G2236" s="9">
        <v>6500</v>
      </c>
      <c r="H2236" s="9">
        <f t="shared" si="70"/>
        <v>216.66666666666666</v>
      </c>
      <c r="I2236" t="s">
        <v>179</v>
      </c>
      <c r="J2236" s="33" t="s">
        <v>504</v>
      </c>
      <c r="K2236" s="18">
        <f>VLOOKUP(D2236,Ingredients!C:G,5,0)</f>
        <v>6500</v>
      </c>
      <c r="L2236" s="52">
        <f t="shared" si="69"/>
        <v>216.66666666666666</v>
      </c>
    </row>
    <row r="2237" spans="1:12">
      <c r="A2237" t="s">
        <v>503</v>
      </c>
      <c r="B2237" t="s">
        <v>349</v>
      </c>
      <c r="C2237" t="s">
        <v>350</v>
      </c>
      <c r="D2237" s="3" t="s">
        <v>836</v>
      </c>
      <c r="E2237" s="10">
        <v>1</v>
      </c>
      <c r="F2237" s="7" t="s">
        <v>179</v>
      </c>
      <c r="G2237" s="9">
        <v>1957.5</v>
      </c>
      <c r="H2237" s="9">
        <f t="shared" si="70"/>
        <v>1957.5</v>
      </c>
      <c r="I2237" t="s">
        <v>179</v>
      </c>
      <c r="J2237" s="33" t="s">
        <v>504</v>
      </c>
      <c r="K2237" s="18">
        <f>VLOOKUP(D2237,Ingredients!C:G,5,0)</f>
        <v>2200</v>
      </c>
      <c r="L2237" s="52">
        <f t="shared" si="69"/>
        <v>2200</v>
      </c>
    </row>
    <row r="2238" spans="1:12">
      <c r="A2238" t="s">
        <v>505</v>
      </c>
      <c r="B2238" t="s">
        <v>348</v>
      </c>
      <c r="C2238" t="s">
        <v>354</v>
      </c>
      <c r="D2238" s="3" t="s">
        <v>959</v>
      </c>
      <c r="E2238" s="4">
        <v>0.25</v>
      </c>
      <c r="F2238" s="4" t="s">
        <v>253</v>
      </c>
      <c r="G2238" s="9">
        <v>7.4204166666666653</v>
      </c>
      <c r="H2238" s="9">
        <f t="shared" si="70"/>
        <v>1.8551041666666663</v>
      </c>
      <c r="I2238" t="s">
        <v>253</v>
      </c>
      <c r="J2238" s="33">
        <v>0</v>
      </c>
      <c r="K2238" s="18">
        <f>VLOOKUP(D2238,Ingredients!C:G,5,0)</f>
        <v>7.4204166666666653</v>
      </c>
      <c r="L2238" s="52">
        <f t="shared" si="69"/>
        <v>1.8551041666666663</v>
      </c>
    </row>
    <row r="2239" spans="1:12">
      <c r="A2239" t="s">
        <v>505</v>
      </c>
      <c r="B2239" t="s">
        <v>348</v>
      </c>
      <c r="C2239" t="s">
        <v>354</v>
      </c>
      <c r="D2239" s="3" t="s">
        <v>14</v>
      </c>
      <c r="E2239" s="4">
        <v>5.0000000000000001E-3</v>
      </c>
      <c r="F2239" s="4" t="s">
        <v>176</v>
      </c>
      <c r="G2239" s="9">
        <v>120</v>
      </c>
      <c r="H2239" s="9">
        <f t="shared" si="70"/>
        <v>0.6</v>
      </c>
      <c r="I2239" t="s">
        <v>253</v>
      </c>
      <c r="J2239" s="33">
        <v>0</v>
      </c>
      <c r="K2239" s="18">
        <f>VLOOKUP(D2239,Ingredients!C:G,5,0)</f>
        <v>60</v>
      </c>
      <c r="L2239" s="52">
        <f t="shared" si="69"/>
        <v>0.3</v>
      </c>
    </row>
    <row r="2240" spans="1:12">
      <c r="A2240" t="s">
        <v>505</v>
      </c>
      <c r="B2240" t="s">
        <v>348</v>
      </c>
      <c r="C2240" t="s">
        <v>354</v>
      </c>
      <c r="D2240" s="3" t="s">
        <v>15</v>
      </c>
      <c r="E2240" s="4">
        <v>5.0000000000000001E-3</v>
      </c>
      <c r="F2240" s="4" t="s">
        <v>176</v>
      </c>
      <c r="G2240" s="9">
        <v>130</v>
      </c>
      <c r="H2240" s="9">
        <f t="shared" si="70"/>
        <v>0.65</v>
      </c>
      <c r="I2240" t="s">
        <v>253</v>
      </c>
      <c r="J2240" s="33">
        <v>0</v>
      </c>
      <c r="K2240" s="18">
        <f>VLOOKUP(D2240,Ingredients!C:G,5,0)</f>
        <v>90</v>
      </c>
      <c r="L2240" s="52">
        <f t="shared" si="69"/>
        <v>0.45</v>
      </c>
    </row>
    <row r="2241" spans="1:12">
      <c r="A2241" t="s">
        <v>505</v>
      </c>
      <c r="B2241" t="s">
        <v>348</v>
      </c>
      <c r="C2241" t="s">
        <v>354</v>
      </c>
      <c r="D2241" s="3" t="s">
        <v>95</v>
      </c>
      <c r="E2241" s="4">
        <v>5.0000000000000001E-3</v>
      </c>
      <c r="F2241" s="4" t="s">
        <v>176</v>
      </c>
      <c r="G2241" s="9">
        <v>140</v>
      </c>
      <c r="H2241" s="9">
        <f t="shared" si="70"/>
        <v>0.70000000000000007</v>
      </c>
      <c r="I2241" t="s">
        <v>253</v>
      </c>
      <c r="J2241" s="33">
        <v>0</v>
      </c>
      <c r="K2241" s="18">
        <f>VLOOKUP(D2241,Ingredients!C:G,5,0)</f>
        <v>90</v>
      </c>
      <c r="L2241" s="52">
        <f t="shared" si="69"/>
        <v>0.45</v>
      </c>
    </row>
    <row r="2242" spans="1:12">
      <c r="A2242" t="s">
        <v>505</v>
      </c>
      <c r="B2242" t="s">
        <v>348</v>
      </c>
      <c r="C2242" t="s">
        <v>354</v>
      </c>
      <c r="D2242" s="3" t="s">
        <v>502</v>
      </c>
      <c r="E2242" s="4">
        <v>7.4999999999999997E-3</v>
      </c>
      <c r="F2242" s="4" t="s">
        <v>176</v>
      </c>
      <c r="G2242" s="9">
        <v>500</v>
      </c>
      <c r="H2242" s="9">
        <f t="shared" si="70"/>
        <v>3.75</v>
      </c>
      <c r="I2242" t="s">
        <v>253</v>
      </c>
      <c r="J2242" s="33">
        <v>0</v>
      </c>
      <c r="K2242" s="18">
        <f>VLOOKUP(D2242,Ingredients!C:G,5,0)</f>
        <v>130</v>
      </c>
      <c r="L2242" s="52">
        <f t="shared" si="69"/>
        <v>0.97499999999999998</v>
      </c>
    </row>
    <row r="2243" spans="1:12">
      <c r="A2243" t="s">
        <v>505</v>
      </c>
      <c r="B2243" t="s">
        <v>348</v>
      </c>
      <c r="C2243" t="s">
        <v>354</v>
      </c>
      <c r="D2243" s="3" t="s">
        <v>975</v>
      </c>
      <c r="E2243" s="4">
        <v>7.4999999999999997E-3</v>
      </c>
      <c r="F2243" s="4" t="s">
        <v>176</v>
      </c>
      <c r="G2243" s="9">
        <v>142.85</v>
      </c>
      <c r="H2243" s="9">
        <f t="shared" si="70"/>
        <v>1.071375</v>
      </c>
      <c r="I2243" t="s">
        <v>253</v>
      </c>
      <c r="J2243" s="33">
        <v>0</v>
      </c>
      <c r="K2243" s="18">
        <f>VLOOKUP(D2243,Ingredients!C:G,5,0)</f>
        <v>142.85</v>
      </c>
      <c r="L2243" s="52">
        <f t="shared" si="69"/>
        <v>1.071375</v>
      </c>
    </row>
    <row r="2244" spans="1:12">
      <c r="A2244" t="s">
        <v>505</v>
      </c>
      <c r="B2244" t="s">
        <v>348</v>
      </c>
      <c r="C2244" t="s">
        <v>354</v>
      </c>
      <c r="D2244" s="3" t="s">
        <v>272</v>
      </c>
      <c r="E2244" s="4">
        <v>5.0000000000000001E-3</v>
      </c>
      <c r="F2244" s="4" t="s">
        <v>176</v>
      </c>
      <c r="G2244" s="9">
        <v>200</v>
      </c>
      <c r="H2244" s="9">
        <f t="shared" si="70"/>
        <v>1</v>
      </c>
      <c r="I2244" t="s">
        <v>253</v>
      </c>
      <c r="J2244" s="33">
        <v>0</v>
      </c>
      <c r="K2244" s="18">
        <f>VLOOKUP(D2244,Ingredients!C:G,5,0)</f>
        <v>166.66</v>
      </c>
      <c r="L2244" s="52">
        <f t="shared" ref="L2244:L2307" si="71">K2244*E2244</f>
        <v>0.83330000000000004</v>
      </c>
    </row>
    <row r="2245" spans="1:12">
      <c r="A2245" t="s">
        <v>505</v>
      </c>
      <c r="B2245" t="s">
        <v>348</v>
      </c>
      <c r="C2245" t="s">
        <v>354</v>
      </c>
      <c r="D2245" s="3" t="s">
        <v>273</v>
      </c>
      <c r="E2245" s="4">
        <v>5.0000000000000001E-3</v>
      </c>
      <c r="F2245" s="4" t="s">
        <v>176</v>
      </c>
      <c r="G2245" s="9">
        <v>175</v>
      </c>
      <c r="H2245" s="9">
        <f t="shared" si="70"/>
        <v>0.875</v>
      </c>
      <c r="I2245" t="s">
        <v>253</v>
      </c>
      <c r="J2245" s="33">
        <v>0</v>
      </c>
      <c r="K2245" s="18">
        <f>VLOOKUP(D2245,Ingredients!C:G,5,0)</f>
        <v>200</v>
      </c>
      <c r="L2245" s="52">
        <f t="shared" si="71"/>
        <v>1</v>
      </c>
    </row>
    <row r="2246" spans="1:12">
      <c r="A2246" t="s">
        <v>505</v>
      </c>
      <c r="B2246" t="s">
        <v>348</v>
      </c>
      <c r="C2246" t="s">
        <v>354</v>
      </c>
      <c r="D2246" s="3" t="s">
        <v>960</v>
      </c>
      <c r="E2246" s="4">
        <v>5.0000000000000001E-3</v>
      </c>
      <c r="F2246" s="4" t="s">
        <v>176</v>
      </c>
      <c r="G2246" s="9">
        <v>350</v>
      </c>
      <c r="H2246" s="9">
        <f t="shared" si="70"/>
        <v>1.75</v>
      </c>
      <c r="I2246" t="s">
        <v>253</v>
      </c>
      <c r="J2246" s="33">
        <v>0</v>
      </c>
      <c r="K2246" s="18">
        <f>VLOOKUP(D2246,Ingredients!C:G,5,0)</f>
        <v>270</v>
      </c>
      <c r="L2246" s="52">
        <f t="shared" si="71"/>
        <v>1.35</v>
      </c>
    </row>
    <row r="2247" spans="1:12">
      <c r="A2247" t="s">
        <v>505</v>
      </c>
      <c r="B2247" t="s">
        <v>348</v>
      </c>
      <c r="C2247" t="s">
        <v>354</v>
      </c>
      <c r="D2247" s="3" t="s">
        <v>907</v>
      </c>
      <c r="E2247" s="4">
        <v>2.5000000000000001E-3</v>
      </c>
      <c r="F2247" s="4" t="s">
        <v>507</v>
      </c>
      <c r="G2247" s="9">
        <v>485</v>
      </c>
      <c r="H2247" s="9">
        <f t="shared" si="70"/>
        <v>1.2125000000000001</v>
      </c>
      <c r="I2247" t="s">
        <v>253</v>
      </c>
      <c r="J2247" s="33">
        <v>0</v>
      </c>
      <c r="K2247" s="18">
        <f>VLOOKUP(D2247,Ingredients!C:G,5,0)</f>
        <v>550</v>
      </c>
      <c r="L2247" s="52">
        <f t="shared" si="71"/>
        <v>1.375</v>
      </c>
    </row>
    <row r="2248" spans="1:12">
      <c r="A2248" t="s">
        <v>505</v>
      </c>
      <c r="B2248" t="s">
        <v>348</v>
      </c>
      <c r="C2248" t="s">
        <v>354</v>
      </c>
      <c r="D2248" s="3" t="s">
        <v>888</v>
      </c>
      <c r="E2248" s="4">
        <v>0.01</v>
      </c>
      <c r="F2248" s="4" t="s">
        <v>176</v>
      </c>
      <c r="G2248" s="9">
        <v>580</v>
      </c>
      <c r="H2248" s="9">
        <f t="shared" si="70"/>
        <v>5.8</v>
      </c>
      <c r="I2248" t="s">
        <v>253</v>
      </c>
      <c r="J2248" s="33">
        <v>0</v>
      </c>
      <c r="K2248" s="18">
        <f>VLOOKUP(D2248,Ingredients!C:G,5,0)</f>
        <v>580</v>
      </c>
      <c r="L2248" s="52">
        <f t="shared" si="71"/>
        <v>5.8</v>
      </c>
    </row>
    <row r="2249" spans="1:12">
      <c r="A2249" t="s">
        <v>505</v>
      </c>
      <c r="B2249" t="s">
        <v>348</v>
      </c>
      <c r="C2249" t="s">
        <v>354</v>
      </c>
      <c r="D2249" s="3" t="s">
        <v>863</v>
      </c>
      <c r="E2249" s="4">
        <v>1E-3</v>
      </c>
      <c r="F2249" s="4" t="s">
        <v>176</v>
      </c>
      <c r="G2249" s="9">
        <v>675</v>
      </c>
      <c r="H2249" s="9">
        <f t="shared" si="70"/>
        <v>0.67500000000000004</v>
      </c>
      <c r="I2249" t="s">
        <v>253</v>
      </c>
      <c r="J2249" s="33">
        <v>0</v>
      </c>
      <c r="K2249" s="18">
        <f>VLOOKUP(D2249,Ingredients!C:G,5,0)</f>
        <v>675</v>
      </c>
      <c r="L2249" s="52">
        <f t="shared" si="71"/>
        <v>0.67500000000000004</v>
      </c>
    </row>
    <row r="2250" spans="1:12">
      <c r="A2250" t="s">
        <v>505</v>
      </c>
      <c r="B2250" t="s">
        <v>348</v>
      </c>
      <c r="C2250" t="s">
        <v>354</v>
      </c>
      <c r="D2250" s="3" t="s">
        <v>834</v>
      </c>
      <c r="E2250" s="4">
        <v>1E-3</v>
      </c>
      <c r="F2250" s="4" t="s">
        <v>508</v>
      </c>
      <c r="G2250" s="9">
        <v>515</v>
      </c>
      <c r="H2250" s="9">
        <f t="shared" si="70"/>
        <v>0.51500000000000001</v>
      </c>
      <c r="I2250" t="s">
        <v>253</v>
      </c>
      <c r="J2250" s="33">
        <v>0</v>
      </c>
      <c r="K2250" s="18">
        <f>VLOOKUP(D2250,Ingredients!C:G,5,0)</f>
        <v>540</v>
      </c>
      <c r="L2250" s="52">
        <f t="shared" si="71"/>
        <v>0.54</v>
      </c>
    </row>
    <row r="2251" spans="1:12">
      <c r="A2251" t="s">
        <v>505</v>
      </c>
      <c r="B2251" t="s">
        <v>348</v>
      </c>
      <c r="C2251" t="s">
        <v>354</v>
      </c>
      <c r="D2251" s="3" t="s">
        <v>323</v>
      </c>
      <c r="E2251" s="4">
        <v>7.5000000000000002E-4</v>
      </c>
      <c r="F2251" s="4" t="s">
        <v>176</v>
      </c>
      <c r="G2251" s="9">
        <v>5000</v>
      </c>
      <c r="H2251" s="9">
        <f t="shared" si="70"/>
        <v>3.75</v>
      </c>
      <c r="I2251" t="s">
        <v>253</v>
      </c>
      <c r="J2251" s="33">
        <v>0</v>
      </c>
      <c r="K2251" s="18">
        <f>VLOOKUP(D2251,Ingredients!C:G,5,0)</f>
        <v>5000</v>
      </c>
      <c r="L2251" s="52">
        <f t="shared" si="71"/>
        <v>3.75</v>
      </c>
    </row>
    <row r="2252" spans="1:12">
      <c r="A2252" t="s">
        <v>505</v>
      </c>
      <c r="B2252" t="s">
        <v>348</v>
      </c>
      <c r="C2252" t="s">
        <v>354</v>
      </c>
      <c r="D2252" s="3" t="s">
        <v>885</v>
      </c>
      <c r="E2252" s="4">
        <v>2E-3</v>
      </c>
      <c r="F2252" s="4" t="s">
        <v>176</v>
      </c>
      <c r="G2252" s="9">
        <v>1620</v>
      </c>
      <c r="H2252" s="9">
        <f t="shared" si="70"/>
        <v>3.24</v>
      </c>
      <c r="I2252" t="s">
        <v>253</v>
      </c>
      <c r="J2252" s="33">
        <v>0</v>
      </c>
      <c r="K2252" s="18">
        <f>VLOOKUP(D2252,Ingredients!C:F,3,0)</f>
        <v>1296</v>
      </c>
      <c r="L2252" s="52">
        <f t="shared" si="71"/>
        <v>2.5920000000000001</v>
      </c>
    </row>
    <row r="2253" spans="1:12">
      <c r="A2253" t="s">
        <v>505</v>
      </c>
      <c r="B2253" t="s">
        <v>348</v>
      </c>
      <c r="C2253" t="s">
        <v>354</v>
      </c>
      <c r="D2253" s="3" t="s">
        <v>896</v>
      </c>
      <c r="E2253" s="4">
        <v>1.5E-3</v>
      </c>
      <c r="F2253" s="4" t="s">
        <v>176</v>
      </c>
      <c r="G2253" s="9">
        <v>330</v>
      </c>
      <c r="H2253" s="9">
        <f t="shared" si="70"/>
        <v>0.495</v>
      </c>
      <c r="I2253" t="s">
        <v>253</v>
      </c>
      <c r="J2253" s="33">
        <v>0</v>
      </c>
      <c r="K2253" s="18">
        <f>VLOOKUP(D2253,Ingredients!C:G,5,0)</f>
        <v>1650</v>
      </c>
      <c r="L2253" s="52">
        <f t="shared" si="71"/>
        <v>2.4750000000000001</v>
      </c>
    </row>
    <row r="2254" spans="1:12">
      <c r="A2254" t="s">
        <v>505</v>
      </c>
      <c r="B2254" t="s">
        <v>348</v>
      </c>
      <c r="C2254" t="s">
        <v>354</v>
      </c>
      <c r="D2254" s="3" t="s">
        <v>882</v>
      </c>
      <c r="E2254" s="4">
        <v>1.4999999999999999E-4</v>
      </c>
      <c r="F2254" s="4" t="s">
        <v>176</v>
      </c>
      <c r="G2254" s="9">
        <v>1500</v>
      </c>
      <c r="H2254" s="9">
        <f t="shared" si="70"/>
        <v>0.22499999999999998</v>
      </c>
      <c r="I2254" t="s">
        <v>253</v>
      </c>
      <c r="J2254" s="33">
        <v>0</v>
      </c>
      <c r="K2254" s="18">
        <f>VLOOKUP(D2254,Ingredients!C:G,5,0)</f>
        <v>1450</v>
      </c>
      <c r="L2254" s="52">
        <f t="shared" si="71"/>
        <v>0.21749999999999997</v>
      </c>
    </row>
    <row r="2255" spans="1:12">
      <c r="A2255" t="s">
        <v>505</v>
      </c>
      <c r="B2255" t="s">
        <v>348</v>
      </c>
      <c r="C2255" t="s">
        <v>354</v>
      </c>
      <c r="D2255" s="3" t="s">
        <v>853</v>
      </c>
      <c r="E2255" s="4">
        <v>2.9999999999999997E-4</v>
      </c>
      <c r="F2255" s="4" t="s">
        <v>176</v>
      </c>
      <c r="G2255" s="9">
        <v>30</v>
      </c>
      <c r="H2255" s="9">
        <f t="shared" si="70"/>
        <v>8.9999999999999993E-3</v>
      </c>
      <c r="I2255" t="s">
        <v>253</v>
      </c>
      <c r="J2255" s="33">
        <v>0</v>
      </c>
      <c r="K2255" s="18">
        <f>VLOOKUP(D2255,Ingredients!C:G,5,0)</f>
        <v>55</v>
      </c>
      <c r="L2255" s="52">
        <f t="shared" si="71"/>
        <v>1.6499999999999997E-2</v>
      </c>
    </row>
    <row r="2256" spans="1:12">
      <c r="A2256" t="s">
        <v>505</v>
      </c>
      <c r="B2256" t="s">
        <v>348</v>
      </c>
      <c r="C2256" t="s">
        <v>354</v>
      </c>
      <c r="D2256" s="3" t="s">
        <v>310</v>
      </c>
      <c r="E2256" s="4">
        <v>1.25E-3</v>
      </c>
      <c r="F2256" s="4" t="s">
        <v>176</v>
      </c>
      <c r="G2256" s="9">
        <v>425</v>
      </c>
      <c r="H2256" s="9">
        <f t="shared" si="70"/>
        <v>0.53125</v>
      </c>
      <c r="I2256" t="s">
        <v>253</v>
      </c>
      <c r="J2256" s="33">
        <v>0</v>
      </c>
      <c r="K2256" s="18">
        <f>VLOOKUP(D2256,Ingredients!C:G,5,0)</f>
        <v>850</v>
      </c>
      <c r="L2256" s="52">
        <f t="shared" si="71"/>
        <v>1.0625</v>
      </c>
    </row>
    <row r="2257" spans="1:12">
      <c r="A2257" t="s">
        <v>509</v>
      </c>
      <c r="B2257" t="s">
        <v>362</v>
      </c>
      <c r="C2257" t="s">
        <v>365</v>
      </c>
      <c r="D2257" s="3" t="s">
        <v>831</v>
      </c>
      <c r="E2257" s="4">
        <v>0.2</v>
      </c>
      <c r="F2257" s="4" t="s">
        <v>176</v>
      </c>
      <c r="G2257" s="9">
        <v>908</v>
      </c>
      <c r="H2257" s="9">
        <f t="shared" si="70"/>
        <v>181.60000000000002</v>
      </c>
      <c r="I2257" t="s">
        <v>179</v>
      </c>
      <c r="J2257" s="33">
        <v>0</v>
      </c>
      <c r="K2257" s="18">
        <f>VLOOKUP(D2257,Ingredients!C:G,5,0)</f>
        <v>908</v>
      </c>
      <c r="L2257" s="52">
        <f t="shared" si="71"/>
        <v>181.60000000000002</v>
      </c>
    </row>
    <row r="2258" spans="1:12">
      <c r="A2258" t="s">
        <v>509</v>
      </c>
      <c r="B2258" t="s">
        <v>362</v>
      </c>
      <c r="C2258" t="s">
        <v>365</v>
      </c>
      <c r="D2258" s="3" t="s">
        <v>260</v>
      </c>
      <c r="E2258" s="4">
        <v>0.25</v>
      </c>
      <c r="F2258" s="4" t="s">
        <v>176</v>
      </c>
      <c r="G2258" s="9">
        <v>400</v>
      </c>
      <c r="H2258" s="9">
        <f t="shared" si="70"/>
        <v>100</v>
      </c>
      <c r="I2258" t="s">
        <v>179</v>
      </c>
      <c r="J2258" s="33">
        <v>0</v>
      </c>
      <c r="K2258" s="18">
        <f>VLOOKUP(D2258,Ingredients!C:G,5,0)</f>
        <v>370</v>
      </c>
      <c r="L2258" s="52">
        <f t="shared" si="71"/>
        <v>92.5</v>
      </c>
    </row>
    <row r="2259" spans="1:12">
      <c r="A2259" t="s">
        <v>509</v>
      </c>
      <c r="B2259" t="s">
        <v>362</v>
      </c>
      <c r="C2259" t="s">
        <v>365</v>
      </c>
      <c r="D2259" s="3" t="s">
        <v>889</v>
      </c>
      <c r="E2259" s="4">
        <v>0.06</v>
      </c>
      <c r="F2259" s="4" t="s">
        <v>176</v>
      </c>
      <c r="G2259" s="9">
        <v>1648.3235294117644</v>
      </c>
      <c r="H2259" s="9">
        <f t="shared" si="70"/>
        <v>98.89941176470586</v>
      </c>
      <c r="I2259" t="s">
        <v>179</v>
      </c>
      <c r="J2259" s="33">
        <v>0</v>
      </c>
      <c r="K2259" s="18">
        <f>VLOOKUP(D2259,Ingredients!C:F,3,0)</f>
        <v>560.42999999999995</v>
      </c>
      <c r="L2259" s="52">
        <f t="shared" si="71"/>
        <v>33.625799999999998</v>
      </c>
    </row>
    <row r="2260" spans="1:12">
      <c r="A2260" t="s">
        <v>509</v>
      </c>
      <c r="B2260" t="s">
        <v>362</v>
      </c>
      <c r="C2260" t="s">
        <v>365</v>
      </c>
      <c r="D2260" s="3" t="s">
        <v>900</v>
      </c>
      <c r="E2260" s="4">
        <v>0.1</v>
      </c>
      <c r="F2260" s="4" t="s">
        <v>176</v>
      </c>
      <c r="G2260" s="9">
        <v>440</v>
      </c>
      <c r="H2260" s="9">
        <f t="shared" si="70"/>
        <v>44</v>
      </c>
      <c r="I2260" t="s">
        <v>179</v>
      </c>
      <c r="J2260" s="33">
        <v>0</v>
      </c>
      <c r="K2260" s="18">
        <f>VLOOKUP(D2260,Ingredients!C:G,5,0)</f>
        <v>440</v>
      </c>
      <c r="L2260" s="52">
        <f t="shared" si="71"/>
        <v>44</v>
      </c>
    </row>
    <row r="2261" spans="1:12">
      <c r="A2261" t="s">
        <v>509</v>
      </c>
      <c r="B2261" t="s">
        <v>362</v>
      </c>
      <c r="C2261" t="s">
        <v>365</v>
      </c>
      <c r="D2261" s="3" t="s">
        <v>888</v>
      </c>
      <c r="E2261" s="4">
        <v>0.1</v>
      </c>
      <c r="F2261" s="4" t="s">
        <v>176</v>
      </c>
      <c r="G2261" s="9">
        <v>580</v>
      </c>
      <c r="H2261" s="9">
        <f t="shared" si="70"/>
        <v>58</v>
      </c>
      <c r="I2261" t="s">
        <v>179</v>
      </c>
      <c r="J2261" s="33">
        <v>0</v>
      </c>
      <c r="K2261" s="18">
        <f>VLOOKUP(D2261,Ingredients!C:G,5,0)</f>
        <v>580</v>
      </c>
      <c r="L2261" s="52">
        <f t="shared" si="71"/>
        <v>58</v>
      </c>
    </row>
    <row r="2262" spans="1:12">
      <c r="A2262" t="s">
        <v>509</v>
      </c>
      <c r="B2262" t="s">
        <v>362</v>
      </c>
      <c r="C2262" t="s">
        <v>365</v>
      </c>
      <c r="D2262" s="3" t="s">
        <v>863</v>
      </c>
      <c r="E2262" s="4">
        <v>0.02</v>
      </c>
      <c r="F2262" s="4" t="s">
        <v>176</v>
      </c>
      <c r="G2262" s="9">
        <v>675</v>
      </c>
      <c r="H2262" s="9">
        <f t="shared" si="70"/>
        <v>13.5</v>
      </c>
      <c r="I2262" t="s">
        <v>179</v>
      </c>
      <c r="J2262" s="33">
        <v>0</v>
      </c>
      <c r="K2262" s="18">
        <f>VLOOKUP(D2262,Ingredients!C:G,5,0)</f>
        <v>675</v>
      </c>
      <c r="L2262" s="52">
        <f t="shared" si="71"/>
        <v>13.5</v>
      </c>
    </row>
    <row r="2263" spans="1:12">
      <c r="A2263" t="s">
        <v>509</v>
      </c>
      <c r="B2263" t="s">
        <v>362</v>
      </c>
      <c r="C2263" t="s">
        <v>365</v>
      </c>
      <c r="D2263" s="3" t="s">
        <v>853</v>
      </c>
      <c r="E2263" s="4">
        <v>1.4999999999999999E-2</v>
      </c>
      <c r="F2263" s="4" t="s">
        <v>176</v>
      </c>
      <c r="G2263" s="9">
        <v>30</v>
      </c>
      <c r="H2263" s="9">
        <f t="shared" si="70"/>
        <v>0.44999999999999996</v>
      </c>
      <c r="I2263" t="s">
        <v>179</v>
      </c>
      <c r="J2263" s="33">
        <v>0</v>
      </c>
      <c r="K2263" s="18">
        <f>VLOOKUP(D2263,Ingredients!C:G,5,0)</f>
        <v>55</v>
      </c>
      <c r="L2263" s="52">
        <f t="shared" si="71"/>
        <v>0.82499999999999996</v>
      </c>
    </row>
    <row r="2264" spans="1:12">
      <c r="A2264" t="s">
        <v>509</v>
      </c>
      <c r="B2264" t="s">
        <v>362</v>
      </c>
      <c r="C2264" t="s">
        <v>365</v>
      </c>
      <c r="D2264" s="3" t="s">
        <v>882</v>
      </c>
      <c r="E2264" s="4">
        <v>1.4999999999999999E-2</v>
      </c>
      <c r="F2264" s="4" t="s">
        <v>176</v>
      </c>
      <c r="G2264" s="9">
        <v>1500</v>
      </c>
      <c r="H2264" s="9">
        <f t="shared" si="70"/>
        <v>22.5</v>
      </c>
      <c r="I2264" t="s">
        <v>179</v>
      </c>
      <c r="J2264" s="33">
        <v>0</v>
      </c>
      <c r="K2264" s="18">
        <f>VLOOKUP(D2264,Ingredients!C:G,5,0)</f>
        <v>1450</v>
      </c>
      <c r="L2264" s="52">
        <f t="shared" si="71"/>
        <v>21.75</v>
      </c>
    </row>
    <row r="2265" spans="1:12">
      <c r="A2265" t="s">
        <v>509</v>
      </c>
      <c r="B2265" t="s">
        <v>362</v>
      </c>
      <c r="C2265" t="s">
        <v>365</v>
      </c>
      <c r="D2265" s="3" t="s">
        <v>830</v>
      </c>
      <c r="E2265" s="4">
        <v>0.02</v>
      </c>
      <c r="F2265" s="4" t="s">
        <v>176</v>
      </c>
      <c r="G2265" s="9">
        <v>149</v>
      </c>
      <c r="H2265" s="9">
        <f t="shared" si="70"/>
        <v>2.98</v>
      </c>
      <c r="I2265" t="s">
        <v>179</v>
      </c>
      <c r="J2265" s="33">
        <v>0</v>
      </c>
      <c r="K2265" s="18">
        <f>VLOOKUP(D2265,Ingredients!C:G,5,0)</f>
        <v>123</v>
      </c>
      <c r="L2265" s="52">
        <f t="shared" si="71"/>
        <v>2.46</v>
      </c>
    </row>
    <row r="2266" spans="1:12">
      <c r="A2266" t="s">
        <v>509</v>
      </c>
      <c r="B2266" t="s">
        <v>362</v>
      </c>
      <c r="C2266" t="s">
        <v>365</v>
      </c>
      <c r="D2266" s="3" t="s">
        <v>510</v>
      </c>
      <c r="E2266" s="4">
        <v>0.03</v>
      </c>
      <c r="F2266" s="4" t="s">
        <v>176</v>
      </c>
      <c r="G2266" s="9">
        <v>200</v>
      </c>
      <c r="H2266" s="9">
        <f t="shared" si="70"/>
        <v>6</v>
      </c>
      <c r="I2266" t="s">
        <v>179</v>
      </c>
      <c r="J2266" s="33">
        <v>0</v>
      </c>
      <c r="K2266" s="18">
        <f>VLOOKUP(D2266,Ingredients!C:G,5,0)</f>
        <v>171.46</v>
      </c>
      <c r="L2266" s="52">
        <f t="shared" si="71"/>
        <v>5.1437999999999997</v>
      </c>
    </row>
    <row r="2267" spans="1:12">
      <c r="A2267" t="s">
        <v>509</v>
      </c>
      <c r="B2267" t="s">
        <v>362</v>
      </c>
      <c r="C2267" t="s">
        <v>365</v>
      </c>
      <c r="D2267" s="3" t="s">
        <v>310</v>
      </c>
      <c r="E2267" s="4">
        <v>0.04</v>
      </c>
      <c r="F2267" s="4" t="s">
        <v>176</v>
      </c>
      <c r="G2267" s="9">
        <v>425</v>
      </c>
      <c r="H2267" s="9">
        <f t="shared" si="70"/>
        <v>17</v>
      </c>
      <c r="I2267" t="s">
        <v>179</v>
      </c>
      <c r="J2267" s="33">
        <v>0</v>
      </c>
      <c r="K2267" s="18">
        <f>VLOOKUP(D2267,Ingredients!C:G,5,0)</f>
        <v>850</v>
      </c>
      <c r="L2267" s="52">
        <f t="shared" si="71"/>
        <v>34</v>
      </c>
    </row>
    <row r="2268" spans="1:12">
      <c r="A2268" t="s">
        <v>509</v>
      </c>
      <c r="B2268" t="s">
        <v>362</v>
      </c>
      <c r="C2268" t="s">
        <v>365</v>
      </c>
      <c r="D2268" s="3" t="s">
        <v>868</v>
      </c>
      <c r="E2268" s="4">
        <v>2.5000000000000001E-2</v>
      </c>
      <c r="F2268" s="4" t="s">
        <v>176</v>
      </c>
      <c r="G2268" s="9">
        <v>5432.77</v>
      </c>
      <c r="H2268" s="9">
        <f t="shared" si="70"/>
        <v>135.81925000000001</v>
      </c>
      <c r="I2268" t="s">
        <v>179</v>
      </c>
      <c r="J2268" s="33">
        <v>0</v>
      </c>
      <c r="K2268" s="18">
        <f>VLOOKUP(D2268,Ingredients!C:G,5,0)</f>
        <v>3200</v>
      </c>
      <c r="L2268" s="52">
        <f t="shared" si="71"/>
        <v>80</v>
      </c>
    </row>
    <row r="2269" spans="1:12">
      <c r="A2269" t="s">
        <v>523</v>
      </c>
      <c r="B2269" t="s">
        <v>355</v>
      </c>
      <c r="C2269" t="s">
        <v>523</v>
      </c>
      <c r="D2269" s="3" t="s">
        <v>903</v>
      </c>
      <c r="E2269" s="4">
        <v>0.1125</v>
      </c>
      <c r="F2269" s="4" t="s">
        <v>176</v>
      </c>
      <c r="G2269" s="9">
        <v>153.97999999999999</v>
      </c>
      <c r="H2269" s="9">
        <f t="shared" si="70"/>
        <v>17.322749999999999</v>
      </c>
      <c r="I2269" t="s">
        <v>253</v>
      </c>
      <c r="J2269" s="33">
        <v>0</v>
      </c>
      <c r="K2269" s="18">
        <f>VLOOKUP(D2269,Ingredients!C:G,5,0)</f>
        <v>152</v>
      </c>
      <c r="L2269" s="52">
        <f t="shared" si="71"/>
        <v>17.100000000000001</v>
      </c>
    </row>
    <row r="2270" spans="1:12">
      <c r="A2270" t="s">
        <v>523</v>
      </c>
      <c r="B2270" t="s">
        <v>355</v>
      </c>
      <c r="C2270" t="s">
        <v>523</v>
      </c>
      <c r="D2270" s="3" t="s">
        <v>853</v>
      </c>
      <c r="E2270" s="4">
        <v>3.7500000000000001E-4</v>
      </c>
      <c r="F2270" s="4" t="s">
        <v>176</v>
      </c>
      <c r="G2270" s="9">
        <v>30</v>
      </c>
      <c r="H2270" s="9">
        <f t="shared" si="70"/>
        <v>1.125E-2</v>
      </c>
      <c r="I2270" t="s">
        <v>253</v>
      </c>
      <c r="J2270" s="33">
        <v>0</v>
      </c>
      <c r="K2270" s="18">
        <f>VLOOKUP(D2270,Ingredients!C:G,5,0)</f>
        <v>55</v>
      </c>
      <c r="L2270" s="52">
        <f t="shared" si="71"/>
        <v>2.0625000000000001E-2</v>
      </c>
    </row>
    <row r="2271" spans="1:12">
      <c r="A2271" t="s">
        <v>524</v>
      </c>
      <c r="B2271" t="s">
        <v>349</v>
      </c>
      <c r="C2271" t="s">
        <v>353</v>
      </c>
      <c r="D2271" s="33" t="s">
        <v>491</v>
      </c>
      <c r="E2271" s="4">
        <v>1</v>
      </c>
      <c r="F2271" s="4" t="s">
        <v>176</v>
      </c>
      <c r="G2271" s="9">
        <v>614</v>
      </c>
      <c r="H2271" s="9">
        <f t="shared" si="70"/>
        <v>614</v>
      </c>
      <c r="I2271" t="s">
        <v>179</v>
      </c>
      <c r="J2271" s="33" t="s">
        <v>491</v>
      </c>
      <c r="K2271" s="18">
        <f>VLOOKUP(D2271,Ingredients!C:G,5,0)</f>
        <v>650</v>
      </c>
      <c r="L2271" s="52">
        <f t="shared" si="71"/>
        <v>650</v>
      </c>
    </row>
    <row r="2272" spans="1:12">
      <c r="A2272" t="s">
        <v>524</v>
      </c>
      <c r="B2272" t="s">
        <v>349</v>
      </c>
      <c r="C2272" t="s">
        <v>353</v>
      </c>
      <c r="D2272" s="3" t="s">
        <v>870</v>
      </c>
      <c r="E2272" s="4">
        <v>0.06</v>
      </c>
      <c r="F2272" s="4" t="s">
        <v>176</v>
      </c>
      <c r="G2272" s="9">
        <v>440</v>
      </c>
      <c r="H2272" s="9">
        <f t="shared" si="70"/>
        <v>26.4</v>
      </c>
      <c r="I2272" t="s">
        <v>179</v>
      </c>
      <c r="J2272" s="33" t="s">
        <v>491</v>
      </c>
      <c r="K2272" s="18">
        <f>VLOOKUP(D2272,Ingredients!C:G,5,0)</f>
        <v>450</v>
      </c>
      <c r="L2272" s="52">
        <f t="shared" si="71"/>
        <v>27</v>
      </c>
    </row>
    <row r="2273" spans="1:12">
      <c r="A2273" t="s">
        <v>524</v>
      </c>
      <c r="B2273" t="s">
        <v>349</v>
      </c>
      <c r="C2273" t="s">
        <v>353</v>
      </c>
      <c r="D2273" s="3" t="s">
        <v>864</v>
      </c>
      <c r="E2273" s="4">
        <v>0.06</v>
      </c>
      <c r="F2273" s="4" t="s">
        <v>176</v>
      </c>
      <c r="G2273" s="9">
        <v>1400</v>
      </c>
      <c r="H2273" s="9">
        <f t="shared" si="70"/>
        <v>84</v>
      </c>
      <c r="I2273" t="s">
        <v>179</v>
      </c>
      <c r="J2273" s="33" t="s">
        <v>491</v>
      </c>
      <c r="K2273" s="18">
        <f>VLOOKUP(D2273,Ingredients!C:G,5,0)</f>
        <v>1400</v>
      </c>
      <c r="L2273" s="52">
        <f t="shared" si="71"/>
        <v>84</v>
      </c>
    </row>
    <row r="2274" spans="1:12">
      <c r="A2274" t="s">
        <v>524</v>
      </c>
      <c r="B2274" t="s">
        <v>349</v>
      </c>
      <c r="C2274" t="s">
        <v>353</v>
      </c>
      <c r="D2274" s="3" t="s">
        <v>16</v>
      </c>
      <c r="E2274" s="4">
        <v>0.08</v>
      </c>
      <c r="F2274" s="4" t="s">
        <v>176</v>
      </c>
      <c r="G2274" s="9">
        <v>270</v>
      </c>
      <c r="H2274" s="9">
        <f t="shared" si="70"/>
        <v>21.6</v>
      </c>
      <c r="I2274" t="s">
        <v>179</v>
      </c>
      <c r="J2274" s="33" t="s">
        <v>491</v>
      </c>
      <c r="K2274" s="18">
        <f>VLOOKUP(D2274,Ingredients!C:G,5,0)</f>
        <v>310</v>
      </c>
      <c r="L2274" s="52">
        <f t="shared" si="71"/>
        <v>24.8</v>
      </c>
    </row>
    <row r="2275" spans="1:12">
      <c r="A2275" t="s">
        <v>524</v>
      </c>
      <c r="B2275" t="s">
        <v>349</v>
      </c>
      <c r="C2275" t="s">
        <v>353</v>
      </c>
      <c r="D2275" s="3" t="s">
        <v>148</v>
      </c>
      <c r="E2275" s="4">
        <v>2</v>
      </c>
      <c r="F2275" s="4" t="s">
        <v>253</v>
      </c>
      <c r="G2275" s="9">
        <v>5</v>
      </c>
      <c r="H2275" s="9">
        <f t="shared" si="70"/>
        <v>10</v>
      </c>
      <c r="I2275" t="s">
        <v>179</v>
      </c>
      <c r="J2275" s="33" t="s">
        <v>491</v>
      </c>
      <c r="K2275" s="18">
        <f>VLOOKUP(D2275,Ingredients!C:G,5,0)</f>
        <v>5</v>
      </c>
      <c r="L2275" s="52">
        <f t="shared" si="71"/>
        <v>10</v>
      </c>
    </row>
    <row r="2276" spans="1:12">
      <c r="A2276" t="s">
        <v>524</v>
      </c>
      <c r="B2276" t="s">
        <v>349</v>
      </c>
      <c r="C2276" t="s">
        <v>353</v>
      </c>
      <c r="D2276" s="3" t="s">
        <v>928</v>
      </c>
      <c r="E2276" s="4">
        <v>8.9999999999999993E-3</v>
      </c>
      <c r="F2276" s="4" t="s">
        <v>179</v>
      </c>
      <c r="G2276" s="9">
        <v>850</v>
      </c>
      <c r="H2276" s="9">
        <f t="shared" si="70"/>
        <v>7.6499999999999995</v>
      </c>
      <c r="I2276" t="s">
        <v>179</v>
      </c>
      <c r="J2276" s="33" t="s">
        <v>491</v>
      </c>
      <c r="K2276" s="18">
        <f>VLOOKUP(D2276,Ingredients!C:G,5,0)</f>
        <v>900</v>
      </c>
      <c r="L2276" s="52">
        <f t="shared" si="71"/>
        <v>8.1</v>
      </c>
    </row>
    <row r="2277" spans="1:12">
      <c r="A2277" t="s">
        <v>524</v>
      </c>
      <c r="B2277" t="s">
        <v>349</v>
      </c>
      <c r="C2277" t="s">
        <v>353</v>
      </c>
      <c r="D2277" s="3" t="s">
        <v>931</v>
      </c>
      <c r="E2277" s="4">
        <v>2.5000000000000001E-2</v>
      </c>
      <c r="F2277" s="4" t="s">
        <v>179</v>
      </c>
      <c r="G2277" s="9">
        <v>4000</v>
      </c>
      <c r="H2277" s="9">
        <f t="shared" si="70"/>
        <v>100</v>
      </c>
      <c r="I2277" t="s">
        <v>179</v>
      </c>
      <c r="J2277" s="33" t="s">
        <v>491</v>
      </c>
      <c r="K2277" s="18">
        <f>VLOOKUP(D2277,Ingredients!C:G,5,0)</f>
        <v>2900</v>
      </c>
      <c r="L2277" s="52">
        <f t="shared" si="71"/>
        <v>72.5</v>
      </c>
    </row>
    <row r="2278" spans="1:12">
      <c r="A2278" t="s">
        <v>524</v>
      </c>
      <c r="B2278" t="s">
        <v>349</v>
      </c>
      <c r="C2278" t="s">
        <v>353</v>
      </c>
      <c r="D2278" s="3" t="s">
        <v>915</v>
      </c>
      <c r="E2278" s="4">
        <v>2.5000000000000001E-2</v>
      </c>
      <c r="F2278" s="4" t="s">
        <v>179</v>
      </c>
      <c r="G2278" s="9">
        <v>5000</v>
      </c>
      <c r="H2278" s="9">
        <f t="shared" si="70"/>
        <v>125</v>
      </c>
      <c r="I2278" t="s">
        <v>179</v>
      </c>
      <c r="J2278" s="33" t="s">
        <v>491</v>
      </c>
      <c r="K2278" s="18">
        <f>VLOOKUP(D2278,Ingredients!C:G,5,0)</f>
        <v>3200</v>
      </c>
      <c r="L2278" s="52">
        <f t="shared" si="71"/>
        <v>80</v>
      </c>
    </row>
    <row r="2279" spans="1:12">
      <c r="A2279" t="s">
        <v>524</v>
      </c>
      <c r="B2279" t="s">
        <v>349</v>
      </c>
      <c r="C2279" t="s">
        <v>353</v>
      </c>
      <c r="D2279" s="3" t="s">
        <v>955</v>
      </c>
      <c r="E2279" s="4">
        <v>2.5000000000000001E-2</v>
      </c>
      <c r="F2279" s="4" t="s">
        <v>179</v>
      </c>
      <c r="G2279" s="9">
        <v>3600</v>
      </c>
      <c r="H2279" s="9">
        <f t="shared" si="70"/>
        <v>90</v>
      </c>
      <c r="I2279" t="s">
        <v>179</v>
      </c>
      <c r="J2279" s="33" t="s">
        <v>491</v>
      </c>
      <c r="K2279" s="18">
        <f>VLOOKUP(D2279,Ingredients!C:G,5,0)</f>
        <v>3400</v>
      </c>
      <c r="L2279" s="52">
        <f t="shared" si="71"/>
        <v>85</v>
      </c>
    </row>
    <row r="2280" spans="1:12">
      <c r="A2280" t="s">
        <v>524</v>
      </c>
      <c r="B2280" t="s">
        <v>349</v>
      </c>
      <c r="C2280" t="s">
        <v>353</v>
      </c>
      <c r="D2280" s="3" t="s">
        <v>954</v>
      </c>
      <c r="E2280" s="4">
        <v>8.0000000000000002E-3</v>
      </c>
      <c r="F2280" s="4" t="s">
        <v>179</v>
      </c>
      <c r="G2280" s="9">
        <v>1900</v>
      </c>
      <c r="H2280" s="9">
        <f t="shared" si="70"/>
        <v>15.200000000000001</v>
      </c>
      <c r="I2280" t="s">
        <v>179</v>
      </c>
      <c r="J2280" s="33" t="s">
        <v>491</v>
      </c>
      <c r="K2280" s="18">
        <f>VLOOKUP(D2280,Ingredients!C:G,5,0)</f>
        <v>2000</v>
      </c>
      <c r="L2280" s="52">
        <f t="shared" si="71"/>
        <v>16</v>
      </c>
    </row>
    <row r="2281" spans="1:12">
      <c r="A2281" t="s">
        <v>524</v>
      </c>
      <c r="B2281" t="s">
        <v>349</v>
      </c>
      <c r="C2281" t="s">
        <v>353</v>
      </c>
      <c r="D2281" s="3" t="s">
        <v>24</v>
      </c>
      <c r="E2281" s="4">
        <v>0.2</v>
      </c>
      <c r="F2281" s="4" t="s">
        <v>179</v>
      </c>
      <c r="G2281" s="9">
        <v>55</v>
      </c>
      <c r="H2281" s="9">
        <f t="shared" si="70"/>
        <v>11</v>
      </c>
      <c r="I2281" t="s">
        <v>179</v>
      </c>
      <c r="J2281" s="33" t="s">
        <v>491</v>
      </c>
      <c r="K2281" s="18">
        <f>VLOOKUP(D2281,Ingredients!C:G,5,0)</f>
        <v>80</v>
      </c>
      <c r="L2281" s="52">
        <f t="shared" si="71"/>
        <v>16</v>
      </c>
    </row>
    <row r="2282" spans="1:12">
      <c r="A2282" t="s">
        <v>524</v>
      </c>
      <c r="B2282" t="s">
        <v>349</v>
      </c>
      <c r="C2282" t="s">
        <v>353</v>
      </c>
      <c r="D2282" s="3" t="s">
        <v>852</v>
      </c>
      <c r="E2282" s="4">
        <v>0.12</v>
      </c>
      <c r="F2282" s="4" t="s">
        <v>179</v>
      </c>
      <c r="G2282" s="9">
        <v>520.63</v>
      </c>
      <c r="H2282" s="9">
        <f t="shared" si="70"/>
        <v>62.4756</v>
      </c>
      <c r="I2282" t="s">
        <v>179</v>
      </c>
      <c r="J2282" s="33" t="s">
        <v>491</v>
      </c>
      <c r="K2282" s="18">
        <v>550</v>
      </c>
      <c r="L2282" s="52">
        <f t="shared" si="71"/>
        <v>66</v>
      </c>
    </row>
    <row r="2283" spans="1:12">
      <c r="A2283" t="s">
        <v>524</v>
      </c>
      <c r="B2283" t="s">
        <v>349</v>
      </c>
      <c r="C2283" t="s">
        <v>353</v>
      </c>
      <c r="D2283" s="3" t="s">
        <v>884</v>
      </c>
      <c r="E2283" s="4">
        <v>0.8</v>
      </c>
      <c r="F2283" s="4" t="s">
        <v>179</v>
      </c>
      <c r="G2283" s="9">
        <v>344</v>
      </c>
      <c r="H2283" s="9">
        <f t="shared" si="70"/>
        <v>275.2</v>
      </c>
      <c r="I2283" t="s">
        <v>179</v>
      </c>
      <c r="J2283" s="33" t="s">
        <v>491</v>
      </c>
      <c r="K2283" s="18">
        <f>VLOOKUP(D2283,Ingredients!C:G,5,0)</f>
        <v>344</v>
      </c>
      <c r="L2283" s="52">
        <f t="shared" si="71"/>
        <v>275.2</v>
      </c>
    </row>
    <row r="2284" spans="1:12">
      <c r="A2284" t="s">
        <v>524</v>
      </c>
      <c r="B2284" t="s">
        <v>349</v>
      </c>
      <c r="C2284" t="s">
        <v>353</v>
      </c>
      <c r="D2284" s="3" t="s">
        <v>853</v>
      </c>
      <c r="E2284" s="4">
        <v>0.08</v>
      </c>
      <c r="F2284" s="4" t="s">
        <v>179</v>
      </c>
      <c r="G2284" s="9">
        <v>30</v>
      </c>
      <c r="H2284" s="9">
        <f t="shared" ref="H2284:H2347" si="72">G2284*E2284</f>
        <v>2.4</v>
      </c>
      <c r="I2284" t="s">
        <v>179</v>
      </c>
      <c r="J2284" s="33" t="s">
        <v>491</v>
      </c>
      <c r="K2284" s="18">
        <f>VLOOKUP(D2284,Ingredients!C:G,5,0)</f>
        <v>55</v>
      </c>
      <c r="L2284" s="52">
        <f t="shared" si="71"/>
        <v>4.4000000000000004</v>
      </c>
    </row>
    <row r="2285" spans="1:12">
      <c r="A2285" t="s">
        <v>524</v>
      </c>
      <c r="B2285" t="s">
        <v>349</v>
      </c>
      <c r="C2285" t="s">
        <v>353</v>
      </c>
      <c r="D2285" s="3" t="s">
        <v>855</v>
      </c>
      <c r="E2285" s="4">
        <v>0.03</v>
      </c>
      <c r="F2285" s="4" t="s">
        <v>179</v>
      </c>
      <c r="G2285" s="9">
        <v>2400</v>
      </c>
      <c r="H2285" s="9">
        <f t="shared" si="72"/>
        <v>72</v>
      </c>
      <c r="I2285" t="s">
        <v>179</v>
      </c>
      <c r="J2285" s="33" t="s">
        <v>491</v>
      </c>
      <c r="K2285" s="18">
        <f>VLOOKUP(D2285,Ingredients!C:G,5,0)</f>
        <v>1600</v>
      </c>
      <c r="L2285" s="52">
        <f t="shared" si="71"/>
        <v>48</v>
      </c>
    </row>
    <row r="2286" spans="1:12">
      <c r="A2286" t="s">
        <v>525</v>
      </c>
      <c r="B2286" t="s">
        <v>349</v>
      </c>
      <c r="C2286" t="s">
        <v>353</v>
      </c>
      <c r="D2286" s="3" t="s">
        <v>838</v>
      </c>
      <c r="E2286" s="4">
        <v>1</v>
      </c>
      <c r="F2286" s="4" t="s">
        <v>176</v>
      </c>
      <c r="G2286" s="9">
        <v>800</v>
      </c>
      <c r="H2286" s="9">
        <f t="shared" si="72"/>
        <v>800</v>
      </c>
      <c r="I2286" t="s">
        <v>179</v>
      </c>
      <c r="J2286" s="33" t="s">
        <v>516</v>
      </c>
      <c r="K2286" s="18">
        <f>VLOOKUP(D2286,Ingredients!C:G,5,0)</f>
        <v>950</v>
      </c>
      <c r="L2286" s="52">
        <f t="shared" si="71"/>
        <v>950</v>
      </c>
    </row>
    <row r="2287" spans="1:12">
      <c r="A2287" t="s">
        <v>525</v>
      </c>
      <c r="B2287" t="s">
        <v>349</v>
      </c>
      <c r="C2287" t="s">
        <v>353</v>
      </c>
      <c r="D2287" s="3" t="s">
        <v>870</v>
      </c>
      <c r="E2287" s="4">
        <v>0.06</v>
      </c>
      <c r="F2287" s="4" t="s">
        <v>176</v>
      </c>
      <c r="G2287" s="9">
        <v>440</v>
      </c>
      <c r="H2287" s="9">
        <f t="shared" si="72"/>
        <v>26.4</v>
      </c>
      <c r="I2287" t="s">
        <v>179</v>
      </c>
      <c r="J2287" s="33" t="s">
        <v>516</v>
      </c>
      <c r="K2287" s="18">
        <f>VLOOKUP(D2287,Ingredients!C:G,5,0)</f>
        <v>450</v>
      </c>
      <c r="L2287" s="52">
        <f t="shared" si="71"/>
        <v>27</v>
      </c>
    </row>
    <row r="2288" spans="1:12">
      <c r="A2288" t="s">
        <v>525</v>
      </c>
      <c r="B2288" t="s">
        <v>349</v>
      </c>
      <c r="C2288" t="s">
        <v>353</v>
      </c>
      <c r="D2288" s="3" t="s">
        <v>864</v>
      </c>
      <c r="E2288" s="4">
        <v>0.06</v>
      </c>
      <c r="F2288" s="4" t="s">
        <v>176</v>
      </c>
      <c r="G2288" s="9">
        <v>1400</v>
      </c>
      <c r="H2288" s="9">
        <f t="shared" si="72"/>
        <v>84</v>
      </c>
      <c r="I2288" t="s">
        <v>179</v>
      </c>
      <c r="J2288" s="33" t="s">
        <v>516</v>
      </c>
      <c r="K2288" s="18">
        <f>VLOOKUP(D2288,Ingredients!C:G,5,0)</f>
        <v>1400</v>
      </c>
      <c r="L2288" s="52">
        <f t="shared" si="71"/>
        <v>84</v>
      </c>
    </row>
    <row r="2289" spans="1:12">
      <c r="A2289" t="s">
        <v>525</v>
      </c>
      <c r="B2289" t="s">
        <v>349</v>
      </c>
      <c r="C2289" t="s">
        <v>353</v>
      </c>
      <c r="D2289" s="3" t="s">
        <v>16</v>
      </c>
      <c r="E2289" s="4">
        <v>0.08</v>
      </c>
      <c r="F2289" s="4" t="s">
        <v>176</v>
      </c>
      <c r="G2289" s="9">
        <v>270</v>
      </c>
      <c r="H2289" s="9">
        <f t="shared" si="72"/>
        <v>21.6</v>
      </c>
      <c r="I2289" t="s">
        <v>179</v>
      </c>
      <c r="J2289" s="33" t="s">
        <v>516</v>
      </c>
      <c r="K2289" s="18">
        <f>VLOOKUP(D2289,Ingredients!C:G,5,0)</f>
        <v>310</v>
      </c>
      <c r="L2289" s="52">
        <f t="shared" si="71"/>
        <v>24.8</v>
      </c>
    </row>
    <row r="2290" spans="1:12">
      <c r="A2290" t="s">
        <v>525</v>
      </c>
      <c r="B2290" t="s">
        <v>349</v>
      </c>
      <c r="C2290" t="s">
        <v>353</v>
      </c>
      <c r="D2290" s="3" t="s">
        <v>148</v>
      </c>
      <c r="E2290" s="4">
        <v>2</v>
      </c>
      <c r="F2290" s="4" t="s">
        <v>253</v>
      </c>
      <c r="G2290" s="9">
        <v>5</v>
      </c>
      <c r="H2290" s="9">
        <f t="shared" si="72"/>
        <v>10</v>
      </c>
      <c r="I2290" t="s">
        <v>179</v>
      </c>
      <c r="J2290" s="33" t="s">
        <v>516</v>
      </c>
      <c r="K2290" s="18">
        <f>VLOOKUP(D2290,Ingredients!C:G,5,0)</f>
        <v>5</v>
      </c>
      <c r="L2290" s="52">
        <f t="shared" si="71"/>
        <v>10</v>
      </c>
    </row>
    <row r="2291" spans="1:12">
      <c r="A2291" t="s">
        <v>525</v>
      </c>
      <c r="B2291" t="s">
        <v>349</v>
      </c>
      <c r="C2291" t="s">
        <v>353</v>
      </c>
      <c r="D2291" s="3" t="s">
        <v>928</v>
      </c>
      <c r="E2291" s="4">
        <v>0.02</v>
      </c>
      <c r="F2291" s="4" t="s">
        <v>179</v>
      </c>
      <c r="G2291" s="9">
        <v>850</v>
      </c>
      <c r="H2291" s="9">
        <f t="shared" si="72"/>
        <v>17</v>
      </c>
      <c r="I2291" t="s">
        <v>179</v>
      </c>
      <c r="J2291" s="33" t="s">
        <v>516</v>
      </c>
      <c r="K2291" s="18">
        <f>VLOOKUP(D2291,Ingredients!C:G,5,0)</f>
        <v>900</v>
      </c>
      <c r="L2291" s="52">
        <f t="shared" si="71"/>
        <v>18</v>
      </c>
    </row>
    <row r="2292" spans="1:12">
      <c r="A2292" t="s">
        <v>525</v>
      </c>
      <c r="B2292" t="s">
        <v>349</v>
      </c>
      <c r="C2292" t="s">
        <v>353</v>
      </c>
      <c r="D2292" s="3" t="s">
        <v>931</v>
      </c>
      <c r="E2292" s="4">
        <v>0.03</v>
      </c>
      <c r="F2292" s="4" t="s">
        <v>179</v>
      </c>
      <c r="G2292" s="9">
        <v>4000</v>
      </c>
      <c r="H2292" s="9">
        <f t="shared" si="72"/>
        <v>120</v>
      </c>
      <c r="I2292" t="s">
        <v>179</v>
      </c>
      <c r="J2292" s="33" t="s">
        <v>516</v>
      </c>
      <c r="K2292" s="18">
        <f>VLOOKUP(D2292,Ingredients!C:G,5,0)</f>
        <v>2900</v>
      </c>
      <c r="L2292" s="52">
        <f t="shared" si="71"/>
        <v>87</v>
      </c>
    </row>
    <row r="2293" spans="1:12">
      <c r="A2293" t="s">
        <v>525</v>
      </c>
      <c r="B2293" t="s">
        <v>349</v>
      </c>
      <c r="C2293" t="s">
        <v>353</v>
      </c>
      <c r="D2293" s="3" t="s">
        <v>915</v>
      </c>
      <c r="E2293" s="4">
        <v>0.04</v>
      </c>
      <c r="F2293" s="4" t="s">
        <v>179</v>
      </c>
      <c r="G2293" s="9">
        <v>5000</v>
      </c>
      <c r="H2293" s="9">
        <f t="shared" si="72"/>
        <v>200</v>
      </c>
      <c r="I2293" t="s">
        <v>179</v>
      </c>
      <c r="J2293" s="33" t="s">
        <v>516</v>
      </c>
      <c r="K2293" s="18">
        <f>VLOOKUP(D2293,Ingredients!C:G,5,0)</f>
        <v>3200</v>
      </c>
      <c r="L2293" s="52">
        <f t="shared" si="71"/>
        <v>128</v>
      </c>
    </row>
    <row r="2294" spans="1:12">
      <c r="A2294" t="s">
        <v>525</v>
      </c>
      <c r="B2294" t="s">
        <v>349</v>
      </c>
      <c r="C2294" t="s">
        <v>353</v>
      </c>
      <c r="D2294" s="3" t="s">
        <v>955</v>
      </c>
      <c r="E2294" s="4">
        <v>2.5000000000000001E-2</v>
      </c>
      <c r="F2294" s="4" t="s">
        <v>179</v>
      </c>
      <c r="G2294" s="9">
        <v>3600</v>
      </c>
      <c r="H2294" s="9">
        <f t="shared" si="72"/>
        <v>90</v>
      </c>
      <c r="I2294" t="s">
        <v>179</v>
      </c>
      <c r="J2294" s="33" t="s">
        <v>516</v>
      </c>
      <c r="K2294" s="18">
        <f>VLOOKUP(D2294,Ingredients!C:G,5,0)</f>
        <v>3400</v>
      </c>
      <c r="L2294" s="52">
        <f t="shared" si="71"/>
        <v>85</v>
      </c>
    </row>
    <row r="2295" spans="1:12">
      <c r="A2295" t="s">
        <v>525</v>
      </c>
      <c r="B2295" t="s">
        <v>349</v>
      </c>
      <c r="C2295" t="s">
        <v>353</v>
      </c>
      <c r="D2295" s="3" t="s">
        <v>954</v>
      </c>
      <c r="E2295" s="4">
        <v>8.0000000000000002E-3</v>
      </c>
      <c r="F2295" s="4" t="s">
        <v>179</v>
      </c>
      <c r="G2295" s="9">
        <v>1900</v>
      </c>
      <c r="H2295" s="9">
        <f t="shared" si="72"/>
        <v>15.200000000000001</v>
      </c>
      <c r="I2295" t="s">
        <v>179</v>
      </c>
      <c r="J2295" s="33" t="s">
        <v>516</v>
      </c>
      <c r="K2295" s="18">
        <f>VLOOKUP(D2295,Ingredients!C:G,5,0)</f>
        <v>2000</v>
      </c>
      <c r="L2295" s="52">
        <f t="shared" si="71"/>
        <v>16</v>
      </c>
    </row>
    <row r="2296" spans="1:12">
      <c r="A2296" t="s">
        <v>525</v>
      </c>
      <c r="B2296" t="s">
        <v>349</v>
      </c>
      <c r="C2296" t="s">
        <v>353</v>
      </c>
      <c r="D2296" s="3" t="s">
        <v>24</v>
      </c>
      <c r="E2296" s="4">
        <v>0.2</v>
      </c>
      <c r="F2296" s="4" t="s">
        <v>179</v>
      </c>
      <c r="G2296" s="9">
        <v>55</v>
      </c>
      <c r="H2296" s="9">
        <f t="shared" si="72"/>
        <v>11</v>
      </c>
      <c r="I2296" t="s">
        <v>179</v>
      </c>
      <c r="J2296" s="33" t="s">
        <v>516</v>
      </c>
      <c r="K2296" s="18">
        <f>VLOOKUP(D2296,Ingredients!C:G,5,0)</f>
        <v>80</v>
      </c>
      <c r="L2296" s="52">
        <f t="shared" si="71"/>
        <v>16</v>
      </c>
    </row>
    <row r="2297" spans="1:12">
      <c r="A2297" t="s">
        <v>525</v>
      </c>
      <c r="B2297" t="s">
        <v>349</v>
      </c>
      <c r="C2297" t="s">
        <v>353</v>
      </c>
      <c r="D2297" s="3" t="s">
        <v>852</v>
      </c>
      <c r="E2297" s="4">
        <v>0.12</v>
      </c>
      <c r="F2297" s="4" t="s">
        <v>179</v>
      </c>
      <c r="G2297" s="9">
        <v>520.63</v>
      </c>
      <c r="H2297" s="9">
        <f t="shared" si="72"/>
        <v>62.4756</v>
      </c>
      <c r="I2297" t="s">
        <v>179</v>
      </c>
      <c r="J2297" s="33" t="s">
        <v>516</v>
      </c>
      <c r="K2297" s="18">
        <v>550</v>
      </c>
      <c r="L2297" s="52">
        <f t="shared" si="71"/>
        <v>66</v>
      </c>
    </row>
    <row r="2298" spans="1:12">
      <c r="A2298" t="s">
        <v>525</v>
      </c>
      <c r="B2298" t="s">
        <v>349</v>
      </c>
      <c r="C2298" t="s">
        <v>353</v>
      </c>
      <c r="D2298" s="3" t="s">
        <v>884</v>
      </c>
      <c r="E2298" s="4">
        <v>0.8</v>
      </c>
      <c r="F2298" s="4" t="s">
        <v>179</v>
      </c>
      <c r="G2298" s="9">
        <v>344</v>
      </c>
      <c r="H2298" s="9">
        <f t="shared" si="72"/>
        <v>275.2</v>
      </c>
      <c r="I2298" t="s">
        <v>179</v>
      </c>
      <c r="J2298" s="33" t="s">
        <v>516</v>
      </c>
      <c r="K2298" s="18">
        <f>VLOOKUP(D2298,Ingredients!C:G,5,0)</f>
        <v>344</v>
      </c>
      <c r="L2298" s="52">
        <f t="shared" si="71"/>
        <v>275.2</v>
      </c>
    </row>
    <row r="2299" spans="1:12">
      <c r="A2299" t="s">
        <v>525</v>
      </c>
      <c r="B2299" t="s">
        <v>349</v>
      </c>
      <c r="C2299" t="s">
        <v>353</v>
      </c>
      <c r="D2299" s="3" t="s">
        <v>853</v>
      </c>
      <c r="E2299" s="4">
        <v>0.08</v>
      </c>
      <c r="F2299" s="4" t="s">
        <v>179</v>
      </c>
      <c r="G2299" s="9">
        <v>30</v>
      </c>
      <c r="H2299" s="9">
        <f t="shared" si="72"/>
        <v>2.4</v>
      </c>
      <c r="I2299" t="s">
        <v>179</v>
      </c>
      <c r="J2299" s="33" t="s">
        <v>516</v>
      </c>
      <c r="K2299" s="18">
        <f>VLOOKUP(D2299,Ingredients!C:G,5,0)</f>
        <v>55</v>
      </c>
      <c r="L2299" s="52">
        <f t="shared" si="71"/>
        <v>4.4000000000000004</v>
      </c>
    </row>
    <row r="2300" spans="1:12">
      <c r="A2300" t="s">
        <v>525</v>
      </c>
      <c r="B2300" t="s">
        <v>349</v>
      </c>
      <c r="C2300" t="s">
        <v>353</v>
      </c>
      <c r="D2300" s="3" t="s">
        <v>855</v>
      </c>
      <c r="E2300" s="4">
        <v>0.03</v>
      </c>
      <c r="F2300" s="4" t="s">
        <v>179</v>
      </c>
      <c r="G2300" s="9">
        <v>2400</v>
      </c>
      <c r="H2300" s="9">
        <f t="shared" si="72"/>
        <v>72</v>
      </c>
      <c r="I2300" t="s">
        <v>179</v>
      </c>
      <c r="J2300" s="33" t="s">
        <v>516</v>
      </c>
      <c r="K2300" s="18">
        <f>VLOOKUP(D2300,Ingredients!C:G,5,0)</f>
        <v>1600</v>
      </c>
      <c r="L2300" s="52">
        <f t="shared" si="71"/>
        <v>48</v>
      </c>
    </row>
    <row r="2301" spans="1:12">
      <c r="A2301" t="s">
        <v>526</v>
      </c>
      <c r="B2301" t="s">
        <v>349</v>
      </c>
      <c r="C2301" t="s">
        <v>353</v>
      </c>
      <c r="D2301" s="3" t="s">
        <v>837</v>
      </c>
      <c r="E2301" s="4">
        <v>1</v>
      </c>
      <c r="F2301" s="4" t="s">
        <v>176</v>
      </c>
      <c r="G2301" s="9">
        <v>1700</v>
      </c>
      <c r="H2301" s="9">
        <f t="shared" si="72"/>
        <v>1700</v>
      </c>
      <c r="I2301" t="s">
        <v>179</v>
      </c>
      <c r="J2301" s="33" t="s">
        <v>514</v>
      </c>
      <c r="K2301" s="18">
        <f>VLOOKUP(D2301,Ingredients!C:G,5,0)</f>
        <v>1800</v>
      </c>
      <c r="L2301" s="52">
        <f t="shared" si="71"/>
        <v>1800</v>
      </c>
    </row>
    <row r="2302" spans="1:12">
      <c r="A2302" t="s">
        <v>526</v>
      </c>
      <c r="B2302" t="s">
        <v>349</v>
      </c>
      <c r="C2302" t="s">
        <v>353</v>
      </c>
      <c r="D2302" s="3" t="s">
        <v>870</v>
      </c>
      <c r="E2302" s="4">
        <v>0.06</v>
      </c>
      <c r="F2302" s="4" t="s">
        <v>176</v>
      </c>
      <c r="G2302" s="9">
        <v>440</v>
      </c>
      <c r="H2302" s="9">
        <f t="shared" si="72"/>
        <v>26.4</v>
      </c>
      <c r="I2302" t="s">
        <v>179</v>
      </c>
      <c r="J2302" s="33" t="s">
        <v>514</v>
      </c>
      <c r="K2302" s="18">
        <f>VLOOKUP(D2302,Ingredients!C:G,5,0)</f>
        <v>450</v>
      </c>
      <c r="L2302" s="52">
        <f t="shared" si="71"/>
        <v>27</v>
      </c>
    </row>
    <row r="2303" spans="1:12">
      <c r="A2303" t="s">
        <v>526</v>
      </c>
      <c r="B2303" t="s">
        <v>349</v>
      </c>
      <c r="C2303" t="s">
        <v>353</v>
      </c>
      <c r="D2303" s="3" t="s">
        <v>864</v>
      </c>
      <c r="E2303" s="4">
        <v>0.06</v>
      </c>
      <c r="F2303" s="4" t="s">
        <v>176</v>
      </c>
      <c r="G2303" s="9">
        <v>1400</v>
      </c>
      <c r="H2303" s="9">
        <f t="shared" si="72"/>
        <v>84</v>
      </c>
      <c r="I2303" t="s">
        <v>179</v>
      </c>
      <c r="J2303" s="33" t="s">
        <v>514</v>
      </c>
      <c r="K2303" s="18">
        <f>VLOOKUP(D2303,Ingredients!C:G,5,0)</f>
        <v>1400</v>
      </c>
      <c r="L2303" s="52">
        <f t="shared" si="71"/>
        <v>84</v>
      </c>
    </row>
    <row r="2304" spans="1:12">
      <c r="A2304" t="s">
        <v>526</v>
      </c>
      <c r="B2304" t="s">
        <v>349</v>
      </c>
      <c r="C2304" t="s">
        <v>353</v>
      </c>
      <c r="D2304" s="3" t="s">
        <v>16</v>
      </c>
      <c r="E2304" s="4">
        <v>0.08</v>
      </c>
      <c r="F2304" s="4" t="s">
        <v>176</v>
      </c>
      <c r="G2304" s="9">
        <v>270</v>
      </c>
      <c r="H2304" s="9">
        <f t="shared" si="72"/>
        <v>21.6</v>
      </c>
      <c r="I2304" t="s">
        <v>179</v>
      </c>
      <c r="J2304" s="33" t="s">
        <v>514</v>
      </c>
      <c r="K2304" s="18">
        <f>VLOOKUP(D2304,Ingredients!C:G,5,0)</f>
        <v>310</v>
      </c>
      <c r="L2304" s="52">
        <f t="shared" si="71"/>
        <v>24.8</v>
      </c>
    </row>
    <row r="2305" spans="1:12">
      <c r="A2305" t="s">
        <v>526</v>
      </c>
      <c r="B2305" t="s">
        <v>349</v>
      </c>
      <c r="C2305" t="s">
        <v>353</v>
      </c>
      <c r="D2305" s="3" t="s">
        <v>148</v>
      </c>
      <c r="E2305" s="4">
        <v>2</v>
      </c>
      <c r="F2305" s="4" t="s">
        <v>253</v>
      </c>
      <c r="G2305" s="9">
        <v>5</v>
      </c>
      <c r="H2305" s="9">
        <f t="shared" si="72"/>
        <v>10</v>
      </c>
      <c r="I2305" t="s">
        <v>179</v>
      </c>
      <c r="J2305" s="33" t="s">
        <v>514</v>
      </c>
      <c r="K2305" s="18">
        <f>VLOOKUP(D2305,Ingredients!C:G,5,0)</f>
        <v>5</v>
      </c>
      <c r="L2305" s="52">
        <f t="shared" si="71"/>
        <v>10</v>
      </c>
    </row>
    <row r="2306" spans="1:12">
      <c r="A2306" t="s">
        <v>526</v>
      </c>
      <c r="B2306" t="s">
        <v>349</v>
      </c>
      <c r="C2306" t="s">
        <v>353</v>
      </c>
      <c r="D2306" s="3" t="s">
        <v>928</v>
      </c>
      <c r="E2306" s="4">
        <v>0.02</v>
      </c>
      <c r="F2306" s="4" t="s">
        <v>179</v>
      </c>
      <c r="G2306" s="9">
        <v>850</v>
      </c>
      <c r="H2306" s="9">
        <f t="shared" si="72"/>
        <v>17</v>
      </c>
      <c r="I2306" t="s">
        <v>179</v>
      </c>
      <c r="J2306" s="33" t="s">
        <v>514</v>
      </c>
      <c r="K2306" s="18">
        <f>VLOOKUP(D2306,Ingredients!C:G,5,0)</f>
        <v>900</v>
      </c>
      <c r="L2306" s="52">
        <f t="shared" si="71"/>
        <v>18</v>
      </c>
    </row>
    <row r="2307" spans="1:12">
      <c r="A2307" t="s">
        <v>526</v>
      </c>
      <c r="B2307" t="s">
        <v>349</v>
      </c>
      <c r="C2307" t="s">
        <v>353</v>
      </c>
      <c r="D2307" s="3" t="s">
        <v>931</v>
      </c>
      <c r="E2307" s="4">
        <v>0.03</v>
      </c>
      <c r="F2307" s="4" t="s">
        <v>179</v>
      </c>
      <c r="G2307" s="9">
        <v>4000</v>
      </c>
      <c r="H2307" s="9">
        <f t="shared" si="72"/>
        <v>120</v>
      </c>
      <c r="I2307" t="s">
        <v>179</v>
      </c>
      <c r="J2307" s="33" t="s">
        <v>514</v>
      </c>
      <c r="K2307" s="18">
        <f>VLOOKUP(D2307,Ingredients!C:G,5,0)</f>
        <v>2900</v>
      </c>
      <c r="L2307" s="52">
        <f t="shared" si="71"/>
        <v>87</v>
      </c>
    </row>
    <row r="2308" spans="1:12">
      <c r="A2308" t="s">
        <v>526</v>
      </c>
      <c r="B2308" t="s">
        <v>349</v>
      </c>
      <c r="C2308" t="s">
        <v>353</v>
      </c>
      <c r="D2308" s="3" t="s">
        <v>915</v>
      </c>
      <c r="E2308" s="4">
        <v>0.04</v>
      </c>
      <c r="F2308" s="4" t="s">
        <v>179</v>
      </c>
      <c r="G2308" s="9">
        <v>5000</v>
      </c>
      <c r="H2308" s="9">
        <f t="shared" si="72"/>
        <v>200</v>
      </c>
      <c r="I2308" t="s">
        <v>179</v>
      </c>
      <c r="J2308" s="33" t="s">
        <v>514</v>
      </c>
      <c r="K2308" s="18">
        <f>VLOOKUP(D2308,Ingredients!C:G,5,0)</f>
        <v>3200</v>
      </c>
      <c r="L2308" s="52">
        <f t="shared" ref="L2308:L2371" si="73">K2308*E2308</f>
        <v>128</v>
      </c>
    </row>
    <row r="2309" spans="1:12">
      <c r="A2309" t="s">
        <v>526</v>
      </c>
      <c r="B2309" t="s">
        <v>349</v>
      </c>
      <c r="C2309" t="s">
        <v>353</v>
      </c>
      <c r="D2309" s="3" t="s">
        <v>955</v>
      </c>
      <c r="E2309" s="4">
        <v>2.5000000000000001E-2</v>
      </c>
      <c r="F2309" s="4" t="s">
        <v>179</v>
      </c>
      <c r="G2309" s="9">
        <v>3600</v>
      </c>
      <c r="H2309" s="9">
        <f t="shared" si="72"/>
        <v>90</v>
      </c>
      <c r="I2309" t="s">
        <v>179</v>
      </c>
      <c r="J2309" s="33" t="s">
        <v>514</v>
      </c>
      <c r="K2309" s="18">
        <f>VLOOKUP(D2309,Ingredients!C:G,5,0)</f>
        <v>3400</v>
      </c>
      <c r="L2309" s="52">
        <f t="shared" si="73"/>
        <v>85</v>
      </c>
    </row>
    <row r="2310" spans="1:12">
      <c r="A2310" t="s">
        <v>526</v>
      </c>
      <c r="B2310" t="s">
        <v>349</v>
      </c>
      <c r="C2310" t="s">
        <v>353</v>
      </c>
      <c r="D2310" s="3" t="s">
        <v>954</v>
      </c>
      <c r="E2310" s="4">
        <v>8.0000000000000002E-3</v>
      </c>
      <c r="F2310" s="4" t="s">
        <v>179</v>
      </c>
      <c r="G2310" s="9">
        <v>1900</v>
      </c>
      <c r="H2310" s="9">
        <f t="shared" si="72"/>
        <v>15.200000000000001</v>
      </c>
      <c r="I2310" t="s">
        <v>179</v>
      </c>
      <c r="J2310" s="33" t="s">
        <v>514</v>
      </c>
      <c r="K2310" s="18">
        <f>VLOOKUP(D2310,Ingredients!C:G,5,0)</f>
        <v>2000</v>
      </c>
      <c r="L2310" s="52">
        <f t="shared" si="73"/>
        <v>16</v>
      </c>
    </row>
    <row r="2311" spans="1:12">
      <c r="A2311" t="s">
        <v>526</v>
      </c>
      <c r="B2311" t="s">
        <v>349</v>
      </c>
      <c r="C2311" t="s">
        <v>353</v>
      </c>
      <c r="D2311" s="3" t="s">
        <v>24</v>
      </c>
      <c r="E2311" s="4">
        <v>0.2</v>
      </c>
      <c r="F2311" s="4" t="s">
        <v>179</v>
      </c>
      <c r="G2311" s="9">
        <v>55</v>
      </c>
      <c r="H2311" s="9">
        <f t="shared" si="72"/>
        <v>11</v>
      </c>
      <c r="I2311" t="s">
        <v>179</v>
      </c>
      <c r="J2311" s="33" t="s">
        <v>514</v>
      </c>
      <c r="K2311" s="18">
        <f>VLOOKUP(D2311,Ingredients!C:G,5,0)</f>
        <v>80</v>
      </c>
      <c r="L2311" s="52">
        <f t="shared" si="73"/>
        <v>16</v>
      </c>
    </row>
    <row r="2312" spans="1:12">
      <c r="A2312" t="s">
        <v>526</v>
      </c>
      <c r="B2312" t="s">
        <v>349</v>
      </c>
      <c r="C2312" t="s">
        <v>353</v>
      </c>
      <c r="D2312" s="3" t="s">
        <v>852</v>
      </c>
      <c r="E2312" s="4">
        <v>0.12</v>
      </c>
      <c r="F2312" s="4" t="s">
        <v>179</v>
      </c>
      <c r="G2312" s="9">
        <v>520.63</v>
      </c>
      <c r="H2312" s="9">
        <f t="shared" si="72"/>
        <v>62.4756</v>
      </c>
      <c r="I2312" t="s">
        <v>179</v>
      </c>
      <c r="J2312" s="33" t="s">
        <v>514</v>
      </c>
      <c r="K2312" s="18">
        <v>550</v>
      </c>
      <c r="L2312" s="52">
        <f t="shared" si="73"/>
        <v>66</v>
      </c>
    </row>
    <row r="2313" spans="1:12">
      <c r="A2313" t="s">
        <v>526</v>
      </c>
      <c r="B2313" t="s">
        <v>349</v>
      </c>
      <c r="C2313" t="s">
        <v>353</v>
      </c>
      <c r="D2313" s="3" t="s">
        <v>884</v>
      </c>
      <c r="E2313" s="4">
        <v>0.8</v>
      </c>
      <c r="F2313" s="4" t="s">
        <v>179</v>
      </c>
      <c r="G2313" s="9">
        <v>344</v>
      </c>
      <c r="H2313" s="9">
        <f t="shared" si="72"/>
        <v>275.2</v>
      </c>
      <c r="I2313" t="s">
        <v>179</v>
      </c>
      <c r="J2313" s="33" t="s">
        <v>514</v>
      </c>
      <c r="K2313" s="18">
        <f>VLOOKUP(D2313,Ingredients!C:G,5,0)</f>
        <v>344</v>
      </c>
      <c r="L2313" s="52">
        <f t="shared" si="73"/>
        <v>275.2</v>
      </c>
    </row>
    <row r="2314" spans="1:12">
      <c r="A2314" t="s">
        <v>526</v>
      </c>
      <c r="B2314" t="s">
        <v>349</v>
      </c>
      <c r="C2314" t="s">
        <v>353</v>
      </c>
      <c r="D2314" s="3" t="s">
        <v>853</v>
      </c>
      <c r="E2314" s="4">
        <v>0.08</v>
      </c>
      <c r="F2314" s="4" t="s">
        <v>179</v>
      </c>
      <c r="G2314" s="9">
        <v>30</v>
      </c>
      <c r="H2314" s="9">
        <f t="shared" si="72"/>
        <v>2.4</v>
      </c>
      <c r="I2314" t="s">
        <v>179</v>
      </c>
      <c r="J2314" s="33" t="s">
        <v>514</v>
      </c>
      <c r="K2314" s="18">
        <f>VLOOKUP(D2314,Ingredients!C:G,5,0)</f>
        <v>55</v>
      </c>
      <c r="L2314" s="52">
        <f t="shared" si="73"/>
        <v>4.4000000000000004</v>
      </c>
    </row>
    <row r="2315" spans="1:12">
      <c r="A2315" t="s">
        <v>526</v>
      </c>
      <c r="B2315" t="s">
        <v>349</v>
      </c>
      <c r="C2315" t="s">
        <v>353</v>
      </c>
      <c r="D2315" s="3" t="s">
        <v>855</v>
      </c>
      <c r="E2315" s="4">
        <v>0.03</v>
      </c>
      <c r="F2315" s="4" t="s">
        <v>179</v>
      </c>
      <c r="G2315" s="9">
        <v>2400</v>
      </c>
      <c r="H2315" s="9">
        <f t="shared" si="72"/>
        <v>72</v>
      </c>
      <c r="I2315" t="s">
        <v>179</v>
      </c>
      <c r="J2315" s="33" t="s">
        <v>514</v>
      </c>
      <c r="K2315" s="18">
        <f>VLOOKUP(D2315,Ingredients!C:G,5,0)</f>
        <v>1600</v>
      </c>
      <c r="L2315" s="52">
        <f t="shared" si="73"/>
        <v>48</v>
      </c>
    </row>
    <row r="2316" spans="1:12">
      <c r="A2316" t="s">
        <v>527</v>
      </c>
      <c r="B2316" t="s">
        <v>349</v>
      </c>
      <c r="C2316" t="s">
        <v>352</v>
      </c>
      <c r="D2316" s="3" t="s">
        <v>838</v>
      </c>
      <c r="E2316" s="10">
        <v>1</v>
      </c>
      <c r="F2316" s="7" t="s">
        <v>176</v>
      </c>
      <c r="G2316" s="9">
        <v>800</v>
      </c>
      <c r="H2316" s="9">
        <f t="shared" si="72"/>
        <v>800</v>
      </c>
      <c r="I2316" t="s">
        <v>179</v>
      </c>
      <c r="J2316" s="33" t="s">
        <v>516</v>
      </c>
      <c r="K2316" s="18">
        <f>VLOOKUP(D2316,Ingredients!C:G,5,0)</f>
        <v>950</v>
      </c>
      <c r="L2316" s="52">
        <f t="shared" si="73"/>
        <v>950</v>
      </c>
    </row>
    <row r="2317" spans="1:12">
      <c r="A2317" t="s">
        <v>527</v>
      </c>
      <c r="B2317" t="s">
        <v>349</v>
      </c>
      <c r="C2317" t="s">
        <v>352</v>
      </c>
      <c r="D2317" s="3" t="s">
        <v>852</v>
      </c>
      <c r="E2317" s="10">
        <v>0.2</v>
      </c>
      <c r="F2317" s="7" t="s">
        <v>176</v>
      </c>
      <c r="G2317" s="9">
        <v>520.63</v>
      </c>
      <c r="H2317" s="9">
        <f t="shared" si="72"/>
        <v>104.126</v>
      </c>
      <c r="I2317" t="s">
        <v>179</v>
      </c>
      <c r="J2317" s="33" t="s">
        <v>516</v>
      </c>
      <c r="K2317" s="18">
        <v>550</v>
      </c>
      <c r="L2317" s="52">
        <f t="shared" si="73"/>
        <v>110</v>
      </c>
    </row>
    <row r="2318" spans="1:12">
      <c r="A2318" t="s">
        <v>527</v>
      </c>
      <c r="B2318" t="s">
        <v>349</v>
      </c>
      <c r="C2318" t="s">
        <v>352</v>
      </c>
      <c r="D2318" s="3" t="s">
        <v>24</v>
      </c>
      <c r="E2318" s="10">
        <v>0.15</v>
      </c>
      <c r="F2318" s="7" t="s">
        <v>176</v>
      </c>
      <c r="G2318" s="9">
        <v>55</v>
      </c>
      <c r="H2318" s="9">
        <f t="shared" si="72"/>
        <v>8.25</v>
      </c>
      <c r="I2318" t="s">
        <v>179</v>
      </c>
      <c r="J2318" s="33" t="s">
        <v>516</v>
      </c>
      <c r="K2318" s="18">
        <f>VLOOKUP(D2318,Ingredients!C:G,5,0)</f>
        <v>80</v>
      </c>
      <c r="L2318" s="52">
        <f t="shared" si="73"/>
        <v>12</v>
      </c>
    </row>
    <row r="2319" spans="1:12">
      <c r="A2319" t="s">
        <v>527</v>
      </c>
      <c r="B2319" t="s">
        <v>349</v>
      </c>
      <c r="C2319" t="s">
        <v>352</v>
      </c>
      <c r="D2319" s="3" t="s">
        <v>28</v>
      </c>
      <c r="E2319" s="10">
        <v>0.2</v>
      </c>
      <c r="F2319" s="7" t="s">
        <v>176</v>
      </c>
      <c r="G2319" s="9">
        <v>85</v>
      </c>
      <c r="H2319" s="9">
        <f t="shared" si="72"/>
        <v>17</v>
      </c>
      <c r="I2319" t="s">
        <v>179</v>
      </c>
      <c r="J2319" s="33" t="s">
        <v>516</v>
      </c>
      <c r="K2319" s="18">
        <f>VLOOKUP(D2319,Ingredients!C:G,5,0)</f>
        <v>70</v>
      </c>
      <c r="L2319" s="52">
        <f t="shared" si="73"/>
        <v>14</v>
      </c>
    </row>
    <row r="2320" spans="1:12">
      <c r="A2320" t="s">
        <v>527</v>
      </c>
      <c r="B2320" t="s">
        <v>349</v>
      </c>
      <c r="C2320" t="s">
        <v>352</v>
      </c>
      <c r="D2320" s="3" t="s">
        <v>853</v>
      </c>
      <c r="E2320" s="10">
        <v>0.06</v>
      </c>
      <c r="F2320" s="7" t="s">
        <v>176</v>
      </c>
      <c r="G2320" s="9">
        <v>30</v>
      </c>
      <c r="H2320" s="9">
        <f t="shared" si="72"/>
        <v>1.7999999999999998</v>
      </c>
      <c r="I2320" t="s">
        <v>179</v>
      </c>
      <c r="J2320" s="33" t="s">
        <v>516</v>
      </c>
      <c r="K2320" s="18">
        <f>VLOOKUP(D2320,Ingredients!C:G,5,0)</f>
        <v>55</v>
      </c>
      <c r="L2320" s="52">
        <f t="shared" si="73"/>
        <v>3.3</v>
      </c>
    </row>
    <row r="2321" spans="1:12">
      <c r="A2321" t="s">
        <v>527</v>
      </c>
      <c r="B2321" t="s">
        <v>349</v>
      </c>
      <c r="C2321" t="s">
        <v>352</v>
      </c>
      <c r="D2321" s="3" t="s">
        <v>867</v>
      </c>
      <c r="E2321" s="10">
        <v>1.4999999999999999E-2</v>
      </c>
      <c r="F2321" s="7" t="s">
        <v>176</v>
      </c>
      <c r="G2321" s="9">
        <v>900</v>
      </c>
      <c r="H2321" s="9">
        <f t="shared" si="72"/>
        <v>13.5</v>
      </c>
      <c r="I2321" t="s">
        <v>179</v>
      </c>
      <c r="J2321" s="33" t="s">
        <v>516</v>
      </c>
      <c r="K2321" s="18">
        <f>VLOOKUP(D2321,Ingredients!C:G,5,0)</f>
        <v>950</v>
      </c>
      <c r="L2321" s="52">
        <f t="shared" si="73"/>
        <v>14.25</v>
      </c>
    </row>
    <row r="2322" spans="1:12">
      <c r="A2322" t="s">
        <v>527</v>
      </c>
      <c r="B2322" t="s">
        <v>349</v>
      </c>
      <c r="C2322" t="s">
        <v>352</v>
      </c>
      <c r="D2322" s="3" t="s">
        <v>849</v>
      </c>
      <c r="E2322" s="10">
        <v>1.4999999999999999E-2</v>
      </c>
      <c r="F2322" s="7" t="s">
        <v>176</v>
      </c>
      <c r="G2322" s="9">
        <v>1000</v>
      </c>
      <c r="H2322" s="9">
        <f t="shared" si="72"/>
        <v>15</v>
      </c>
      <c r="I2322" t="s">
        <v>179</v>
      </c>
      <c r="J2322" s="33" t="s">
        <v>516</v>
      </c>
      <c r="K2322" s="18">
        <f>VLOOKUP(D2322,Ingredients!C:G,5,0)</f>
        <v>950</v>
      </c>
      <c r="L2322" s="52">
        <f t="shared" si="73"/>
        <v>14.25</v>
      </c>
    </row>
    <row r="2323" spans="1:12">
      <c r="A2323" t="s">
        <v>527</v>
      </c>
      <c r="B2323" t="s">
        <v>349</v>
      </c>
      <c r="C2323" t="s">
        <v>352</v>
      </c>
      <c r="D2323" s="3" t="s">
        <v>895</v>
      </c>
      <c r="E2323" s="10">
        <v>0.06</v>
      </c>
      <c r="F2323" s="7" t="s">
        <v>176</v>
      </c>
      <c r="G2323" s="9">
        <v>400</v>
      </c>
      <c r="H2323" s="9">
        <f t="shared" si="72"/>
        <v>24</v>
      </c>
      <c r="I2323" t="s">
        <v>179</v>
      </c>
      <c r="J2323" s="33" t="s">
        <v>516</v>
      </c>
      <c r="K2323" s="18">
        <f>VLOOKUP(D2323,Ingredients!C:G,5,0)</f>
        <v>400</v>
      </c>
      <c r="L2323" s="52">
        <f t="shared" si="73"/>
        <v>24</v>
      </c>
    </row>
    <row r="2324" spans="1:12">
      <c r="A2324" t="s">
        <v>527</v>
      </c>
      <c r="B2324" t="s">
        <v>349</v>
      </c>
      <c r="C2324" t="s">
        <v>352</v>
      </c>
      <c r="D2324" s="3" t="s">
        <v>887</v>
      </c>
      <c r="E2324" s="10">
        <v>0.06</v>
      </c>
      <c r="F2324" s="7" t="s">
        <v>176</v>
      </c>
      <c r="G2324" s="9">
        <v>1600</v>
      </c>
      <c r="H2324" s="9">
        <f t="shared" si="72"/>
        <v>96</v>
      </c>
      <c r="I2324" t="s">
        <v>179</v>
      </c>
      <c r="J2324" s="33" t="s">
        <v>516</v>
      </c>
      <c r="K2324" s="18">
        <f>VLOOKUP(D2324,Ingredients!C:G,5,0)</f>
        <v>1830</v>
      </c>
      <c r="L2324" s="52">
        <f t="shared" si="73"/>
        <v>109.8</v>
      </c>
    </row>
    <row r="2325" spans="1:12">
      <c r="A2325" t="s">
        <v>527</v>
      </c>
      <c r="B2325" t="s">
        <v>349</v>
      </c>
      <c r="C2325" t="s">
        <v>352</v>
      </c>
      <c r="D2325" s="3" t="s">
        <v>880</v>
      </c>
      <c r="E2325" s="10">
        <v>1.4999999999999999E-2</v>
      </c>
      <c r="F2325" s="7" t="s">
        <v>176</v>
      </c>
      <c r="G2325" s="9">
        <v>650</v>
      </c>
      <c r="H2325" s="9">
        <f t="shared" si="72"/>
        <v>9.75</v>
      </c>
      <c r="I2325" t="s">
        <v>179</v>
      </c>
      <c r="J2325" s="33" t="s">
        <v>516</v>
      </c>
      <c r="K2325" s="18">
        <f>VLOOKUP(D2325,Ingredients!C:G,5,0)</f>
        <v>520</v>
      </c>
      <c r="L2325" s="52">
        <f t="shared" si="73"/>
        <v>7.8</v>
      </c>
    </row>
    <row r="2326" spans="1:12">
      <c r="A2326" t="s">
        <v>527</v>
      </c>
      <c r="B2326" t="s">
        <v>349</v>
      </c>
      <c r="C2326" t="s">
        <v>352</v>
      </c>
      <c r="D2326" s="3" t="s">
        <v>171</v>
      </c>
      <c r="E2326" s="10">
        <v>0.30000000000000004</v>
      </c>
      <c r="F2326" s="7" t="s">
        <v>176</v>
      </c>
      <c r="G2326" s="9">
        <v>65</v>
      </c>
      <c r="H2326" s="9">
        <f t="shared" si="72"/>
        <v>19.500000000000004</v>
      </c>
      <c r="I2326" t="s">
        <v>179</v>
      </c>
      <c r="J2326" s="33" t="s">
        <v>516</v>
      </c>
      <c r="K2326" s="18">
        <f>VLOOKUP(D2326,Ingredients!C:G,5,0)</f>
        <v>80</v>
      </c>
      <c r="L2326" s="52">
        <f t="shared" si="73"/>
        <v>24.000000000000004</v>
      </c>
    </row>
    <row r="2327" spans="1:12">
      <c r="A2327" t="s">
        <v>527</v>
      </c>
      <c r="B2327" t="s">
        <v>349</v>
      </c>
      <c r="C2327" t="s">
        <v>352</v>
      </c>
      <c r="D2327" s="3" t="s">
        <v>23</v>
      </c>
      <c r="E2327" s="4">
        <v>0.02</v>
      </c>
      <c r="F2327" s="4" t="s">
        <v>176</v>
      </c>
      <c r="G2327" s="9">
        <v>740</v>
      </c>
      <c r="H2327" s="9">
        <f t="shared" si="72"/>
        <v>14.8</v>
      </c>
      <c r="I2327" t="s">
        <v>179</v>
      </c>
      <c r="J2327" s="33" t="s">
        <v>516</v>
      </c>
      <c r="K2327" s="18">
        <f>VLOOKUP(D2327,Ingredients!C:G,5,0)</f>
        <v>780</v>
      </c>
      <c r="L2327" s="52">
        <f t="shared" si="73"/>
        <v>15.6</v>
      </c>
    </row>
    <row r="2328" spans="1:12">
      <c r="A2328" t="s">
        <v>527</v>
      </c>
      <c r="B2328" t="s">
        <v>349</v>
      </c>
      <c r="C2328" t="s">
        <v>352</v>
      </c>
      <c r="D2328" s="3" t="s">
        <v>16</v>
      </c>
      <c r="E2328" s="4">
        <v>0.04</v>
      </c>
      <c r="F2328" s="4" t="s">
        <v>176</v>
      </c>
      <c r="G2328" s="9">
        <v>270</v>
      </c>
      <c r="H2328" s="9">
        <f t="shared" si="72"/>
        <v>10.8</v>
      </c>
      <c r="I2328" t="s">
        <v>179</v>
      </c>
      <c r="J2328" s="33" t="s">
        <v>516</v>
      </c>
      <c r="K2328" s="18">
        <f>VLOOKUP(D2328,Ingredients!C:G,5,0)</f>
        <v>310</v>
      </c>
      <c r="L2328" s="52">
        <f t="shared" si="73"/>
        <v>12.4</v>
      </c>
    </row>
    <row r="2329" spans="1:12">
      <c r="A2329" t="s">
        <v>527</v>
      </c>
      <c r="B2329" t="s">
        <v>349</v>
      </c>
      <c r="C2329" t="s">
        <v>352</v>
      </c>
      <c r="D2329" s="3" t="s">
        <v>35</v>
      </c>
      <c r="E2329" s="4">
        <v>0.5</v>
      </c>
      <c r="F2329" s="4" t="s">
        <v>252</v>
      </c>
      <c r="G2329" s="9">
        <v>13</v>
      </c>
      <c r="H2329" s="9">
        <f t="shared" si="72"/>
        <v>6.5</v>
      </c>
      <c r="I2329" t="s">
        <v>179</v>
      </c>
      <c r="J2329" s="33" t="s">
        <v>516</v>
      </c>
      <c r="K2329" s="18">
        <f>VLOOKUP(D2329,Ingredients!C:G,5,0)</f>
        <v>15</v>
      </c>
      <c r="L2329" s="52">
        <f t="shared" si="73"/>
        <v>7.5</v>
      </c>
    </row>
    <row r="2330" spans="1:12">
      <c r="A2330" t="s">
        <v>311</v>
      </c>
      <c r="B2330" t="s">
        <v>346</v>
      </c>
      <c r="C2330" t="s">
        <v>993</v>
      </c>
      <c r="D2330" s="3" t="s">
        <v>938</v>
      </c>
      <c r="E2330" s="4">
        <v>1</v>
      </c>
      <c r="F2330" s="4" t="s">
        <v>176</v>
      </c>
      <c r="G2330" s="9">
        <v>475</v>
      </c>
      <c r="H2330" s="9">
        <f t="shared" si="72"/>
        <v>475</v>
      </c>
      <c r="I2330" t="s">
        <v>179</v>
      </c>
      <c r="J2330" s="33">
        <v>0</v>
      </c>
      <c r="K2330" s="18">
        <f>VLOOKUP(D2330,Ingredients!C:G,5,0)</f>
        <v>445</v>
      </c>
      <c r="L2330" s="52">
        <f t="shared" si="73"/>
        <v>445</v>
      </c>
    </row>
    <row r="2331" spans="1:12">
      <c r="A2331" t="s">
        <v>311</v>
      </c>
      <c r="B2331" t="s">
        <v>346</v>
      </c>
      <c r="C2331" t="s">
        <v>993</v>
      </c>
      <c r="D2331" s="3" t="s">
        <v>24</v>
      </c>
      <c r="E2331" s="4">
        <v>0.48</v>
      </c>
      <c r="F2331" s="4" t="s">
        <v>176</v>
      </c>
      <c r="G2331" s="9">
        <v>55</v>
      </c>
      <c r="H2331" s="9">
        <f t="shared" si="72"/>
        <v>26.4</v>
      </c>
      <c r="I2331" t="s">
        <v>179</v>
      </c>
      <c r="J2331" s="33">
        <v>0</v>
      </c>
      <c r="K2331" s="18">
        <f>VLOOKUP(D2331,Ingredients!C:G,5,0)</f>
        <v>80</v>
      </c>
      <c r="L2331" s="52">
        <f t="shared" si="73"/>
        <v>38.4</v>
      </c>
    </row>
    <row r="2332" spans="1:12">
      <c r="A2332" t="s">
        <v>311</v>
      </c>
      <c r="B2332" t="s">
        <v>346</v>
      </c>
      <c r="C2332" t="s">
        <v>993</v>
      </c>
      <c r="D2332" s="3" t="s">
        <v>16</v>
      </c>
      <c r="E2332" s="4">
        <v>0.06</v>
      </c>
      <c r="F2332" s="4" t="s">
        <v>176</v>
      </c>
      <c r="G2332" s="9">
        <v>270</v>
      </c>
      <c r="H2332" s="9">
        <f t="shared" si="72"/>
        <v>16.2</v>
      </c>
      <c r="I2332" t="s">
        <v>179</v>
      </c>
      <c r="J2332" s="33">
        <v>0</v>
      </c>
      <c r="K2332" s="18">
        <f>VLOOKUP(D2332,Ingredients!C:G,5,0)</f>
        <v>310</v>
      </c>
      <c r="L2332" s="52">
        <f t="shared" si="73"/>
        <v>18.599999999999998</v>
      </c>
    </row>
    <row r="2333" spans="1:12">
      <c r="A2333" t="s">
        <v>311</v>
      </c>
      <c r="B2333" t="s">
        <v>346</v>
      </c>
      <c r="C2333" t="s">
        <v>993</v>
      </c>
      <c r="D2333" s="3" t="s">
        <v>23</v>
      </c>
      <c r="E2333" s="4">
        <v>0.12</v>
      </c>
      <c r="F2333" s="4" t="s">
        <v>176</v>
      </c>
      <c r="G2333" s="9">
        <v>740</v>
      </c>
      <c r="H2333" s="9">
        <f t="shared" si="72"/>
        <v>88.8</v>
      </c>
      <c r="I2333" t="s">
        <v>179</v>
      </c>
      <c r="J2333" s="33">
        <v>0</v>
      </c>
      <c r="K2333" s="18">
        <f>VLOOKUP(D2333,Ingredients!C:G,5,0)</f>
        <v>780</v>
      </c>
      <c r="L2333" s="52">
        <f t="shared" si="73"/>
        <v>93.6</v>
      </c>
    </row>
    <row r="2334" spans="1:12">
      <c r="A2334" t="s">
        <v>311</v>
      </c>
      <c r="B2334" t="s">
        <v>346</v>
      </c>
      <c r="C2334" t="s">
        <v>993</v>
      </c>
      <c r="D2334" s="3" t="s">
        <v>867</v>
      </c>
      <c r="E2334" s="4">
        <v>0.06</v>
      </c>
      <c r="F2334" s="4" t="s">
        <v>176</v>
      </c>
      <c r="G2334" s="9">
        <v>900</v>
      </c>
      <c r="H2334" s="9">
        <f t="shared" si="72"/>
        <v>54</v>
      </c>
      <c r="I2334" t="s">
        <v>179</v>
      </c>
      <c r="J2334" s="33">
        <v>0</v>
      </c>
      <c r="K2334" s="18">
        <f>VLOOKUP(D2334,Ingredients!C:G,5,0)</f>
        <v>950</v>
      </c>
      <c r="L2334" s="52">
        <f t="shared" si="73"/>
        <v>57</v>
      </c>
    </row>
    <row r="2335" spans="1:12">
      <c r="A2335" t="s">
        <v>311</v>
      </c>
      <c r="B2335" t="s">
        <v>346</v>
      </c>
      <c r="C2335" t="s">
        <v>993</v>
      </c>
      <c r="D2335" s="3" t="s">
        <v>880</v>
      </c>
      <c r="E2335" s="4">
        <v>0.15</v>
      </c>
      <c r="F2335" s="4" t="s">
        <v>176</v>
      </c>
      <c r="G2335" s="9">
        <v>650</v>
      </c>
      <c r="H2335" s="9">
        <f t="shared" si="72"/>
        <v>97.5</v>
      </c>
      <c r="I2335" t="s">
        <v>179</v>
      </c>
      <c r="J2335" s="33">
        <v>0</v>
      </c>
      <c r="K2335" s="18">
        <f>VLOOKUP(D2335,Ingredients!C:G,5,0)</f>
        <v>520</v>
      </c>
      <c r="L2335" s="52">
        <f t="shared" si="73"/>
        <v>78</v>
      </c>
    </row>
    <row r="2336" spans="1:12">
      <c r="A2336" t="s">
        <v>311</v>
      </c>
      <c r="B2336" t="s">
        <v>346</v>
      </c>
      <c r="C2336" t="s">
        <v>993</v>
      </c>
      <c r="D2336" s="3" t="s">
        <v>853</v>
      </c>
      <c r="E2336" s="4">
        <v>0.06</v>
      </c>
      <c r="F2336" s="4" t="s">
        <v>176</v>
      </c>
      <c r="G2336" s="9">
        <v>30</v>
      </c>
      <c r="H2336" s="9">
        <f t="shared" si="72"/>
        <v>1.7999999999999998</v>
      </c>
      <c r="I2336" t="s">
        <v>179</v>
      </c>
      <c r="J2336" s="33">
        <v>0</v>
      </c>
      <c r="K2336" s="18">
        <f>VLOOKUP(D2336,Ingredients!C:G,5,0)</f>
        <v>55</v>
      </c>
      <c r="L2336" s="52">
        <f t="shared" si="73"/>
        <v>3.3</v>
      </c>
    </row>
    <row r="2337" spans="1:12">
      <c r="A2337" t="s">
        <v>311</v>
      </c>
      <c r="B2337" t="s">
        <v>346</v>
      </c>
      <c r="C2337" t="s">
        <v>993</v>
      </c>
      <c r="D2337" s="3" t="s">
        <v>28</v>
      </c>
      <c r="E2337" s="4">
        <v>0.48</v>
      </c>
      <c r="F2337" s="4" t="s">
        <v>176</v>
      </c>
      <c r="G2337" s="9">
        <v>85</v>
      </c>
      <c r="H2337" s="9">
        <f t="shared" si="72"/>
        <v>40.799999999999997</v>
      </c>
      <c r="I2337" t="s">
        <v>179</v>
      </c>
      <c r="J2337" s="33">
        <v>0</v>
      </c>
      <c r="K2337" s="18">
        <f>VLOOKUP(D2337,Ingredients!C:G,5,0)</f>
        <v>70</v>
      </c>
      <c r="L2337" s="52">
        <f t="shared" si="73"/>
        <v>33.6</v>
      </c>
    </row>
    <row r="2338" spans="1:12">
      <c r="A2338" t="s">
        <v>311</v>
      </c>
      <c r="B2338" t="s">
        <v>346</v>
      </c>
      <c r="C2338" t="s">
        <v>993</v>
      </c>
      <c r="D2338" s="3" t="s">
        <v>852</v>
      </c>
      <c r="E2338" s="4">
        <v>0.2</v>
      </c>
      <c r="F2338" s="4" t="s">
        <v>176</v>
      </c>
      <c r="G2338" s="9">
        <v>520.63</v>
      </c>
      <c r="H2338" s="9">
        <f t="shared" si="72"/>
        <v>104.126</v>
      </c>
      <c r="I2338" t="s">
        <v>179</v>
      </c>
      <c r="J2338" s="33">
        <v>0</v>
      </c>
      <c r="K2338" s="18">
        <v>550</v>
      </c>
      <c r="L2338" s="52">
        <f t="shared" si="73"/>
        <v>110</v>
      </c>
    </row>
    <row r="2339" spans="1:12">
      <c r="A2339" t="s">
        <v>311</v>
      </c>
      <c r="B2339" t="s">
        <v>346</v>
      </c>
      <c r="C2339" t="s">
        <v>993</v>
      </c>
      <c r="D2339" s="3" t="s">
        <v>860</v>
      </c>
      <c r="E2339" s="4">
        <v>0.03</v>
      </c>
      <c r="F2339" s="4" t="s">
        <v>176</v>
      </c>
      <c r="G2339" s="9">
        <v>2000</v>
      </c>
      <c r="H2339" s="9">
        <f t="shared" si="72"/>
        <v>60</v>
      </c>
      <c r="I2339" t="s">
        <v>179</v>
      </c>
      <c r="J2339" s="33">
        <v>0</v>
      </c>
      <c r="K2339" s="18">
        <f>VLOOKUP(D2339,Ingredients!C:G,5,0)</f>
        <v>1900</v>
      </c>
      <c r="L2339" s="52">
        <f t="shared" si="73"/>
        <v>57</v>
      </c>
    </row>
    <row r="2340" spans="1:12">
      <c r="A2340" t="s">
        <v>311</v>
      </c>
      <c r="B2340" t="s">
        <v>346</v>
      </c>
      <c r="C2340" t="s">
        <v>993</v>
      </c>
      <c r="D2340" s="3" t="s">
        <v>35</v>
      </c>
      <c r="E2340" s="4">
        <v>0.3</v>
      </c>
      <c r="F2340" s="4" t="s">
        <v>252</v>
      </c>
      <c r="G2340" s="9">
        <v>13</v>
      </c>
      <c r="H2340" s="9">
        <f t="shared" si="72"/>
        <v>3.9</v>
      </c>
      <c r="I2340" t="s">
        <v>179</v>
      </c>
      <c r="J2340" s="33">
        <v>0</v>
      </c>
      <c r="K2340" s="18">
        <f>VLOOKUP(D2340,Ingredients!C:G,5,0)</f>
        <v>15</v>
      </c>
      <c r="L2340" s="52">
        <f t="shared" si="73"/>
        <v>4.5</v>
      </c>
    </row>
    <row r="2341" spans="1:12">
      <c r="A2341" t="s">
        <v>311</v>
      </c>
      <c r="B2341" t="s">
        <v>346</v>
      </c>
      <c r="C2341" t="s">
        <v>993</v>
      </c>
      <c r="D2341" s="3" t="s">
        <v>29</v>
      </c>
      <c r="E2341" s="4">
        <v>0.12</v>
      </c>
      <c r="F2341" s="4" t="s">
        <v>176</v>
      </c>
      <c r="G2341" s="9">
        <v>60</v>
      </c>
      <c r="H2341" s="9">
        <f t="shared" si="72"/>
        <v>7.1999999999999993</v>
      </c>
      <c r="I2341" t="s">
        <v>179</v>
      </c>
      <c r="J2341" s="33">
        <v>0</v>
      </c>
      <c r="K2341" s="18">
        <f>VLOOKUP(D2341,Ingredients!C:G,5,0)</f>
        <v>100</v>
      </c>
      <c r="L2341" s="52">
        <f t="shared" si="73"/>
        <v>12</v>
      </c>
    </row>
    <row r="2342" spans="1:12">
      <c r="A2342" s="21" t="s">
        <v>528</v>
      </c>
      <c r="B2342" t="s">
        <v>356</v>
      </c>
      <c r="C2342" t="s">
        <v>454</v>
      </c>
      <c r="D2342" s="3" t="s">
        <v>528</v>
      </c>
      <c r="E2342" s="4">
        <v>1</v>
      </c>
      <c r="F2342" s="4" t="s">
        <v>179</v>
      </c>
      <c r="G2342" s="9">
        <v>300</v>
      </c>
      <c r="H2342" s="9">
        <f t="shared" si="72"/>
        <v>300</v>
      </c>
      <c r="I2342" t="s">
        <v>179</v>
      </c>
      <c r="J2342" s="33">
        <v>0</v>
      </c>
      <c r="K2342" s="18">
        <f>VLOOKUP(D2342,Ingredients!C:G,5,0)</f>
        <v>300</v>
      </c>
      <c r="L2342" s="52">
        <f t="shared" si="73"/>
        <v>300</v>
      </c>
    </row>
    <row r="2343" spans="1:12">
      <c r="A2343" t="s">
        <v>529</v>
      </c>
      <c r="B2343" t="s">
        <v>346</v>
      </c>
      <c r="C2343" t="s">
        <v>454</v>
      </c>
      <c r="D2343" s="3" t="s">
        <v>144</v>
      </c>
      <c r="E2343" s="4">
        <v>1</v>
      </c>
      <c r="F2343" s="4" t="s">
        <v>176</v>
      </c>
      <c r="G2343" s="9">
        <v>110</v>
      </c>
      <c r="H2343" s="9">
        <f t="shared" si="72"/>
        <v>110</v>
      </c>
      <c r="I2343" t="s">
        <v>179</v>
      </c>
      <c r="J2343" s="33">
        <v>0</v>
      </c>
      <c r="K2343" s="18">
        <f>VLOOKUP(D2343,Ingredients!C:G,5,0)</f>
        <v>100</v>
      </c>
      <c r="L2343" s="52">
        <f t="shared" si="73"/>
        <v>100</v>
      </c>
    </row>
    <row r="2344" spans="1:12">
      <c r="A2344" t="s">
        <v>529</v>
      </c>
      <c r="B2344" t="s">
        <v>346</v>
      </c>
      <c r="C2344" t="s">
        <v>454</v>
      </c>
      <c r="D2344" s="3" t="s">
        <v>24</v>
      </c>
      <c r="E2344" s="14">
        <v>7.1428571428571438E-2</v>
      </c>
      <c r="F2344" s="4" t="s">
        <v>176</v>
      </c>
      <c r="G2344" s="9">
        <v>55</v>
      </c>
      <c r="H2344" s="9">
        <f t="shared" si="72"/>
        <v>3.9285714285714293</v>
      </c>
      <c r="I2344" t="s">
        <v>179</v>
      </c>
      <c r="J2344" s="33">
        <v>0</v>
      </c>
      <c r="K2344" s="18">
        <f>VLOOKUP(D2344,Ingredients!C:G,5,0)</f>
        <v>80</v>
      </c>
      <c r="L2344" s="52">
        <f t="shared" si="73"/>
        <v>5.7142857142857153</v>
      </c>
    </row>
    <row r="2345" spans="1:12">
      <c r="A2345" t="s">
        <v>529</v>
      </c>
      <c r="B2345" t="s">
        <v>346</v>
      </c>
      <c r="C2345" t="s">
        <v>454</v>
      </c>
      <c r="D2345" s="3" t="s">
        <v>29</v>
      </c>
      <c r="E2345" s="14">
        <v>5.7142857142857148E-2</v>
      </c>
      <c r="F2345" s="4" t="s">
        <v>176</v>
      </c>
      <c r="G2345" s="9">
        <v>60</v>
      </c>
      <c r="H2345" s="9">
        <f t="shared" si="72"/>
        <v>3.4285714285714288</v>
      </c>
      <c r="I2345" t="s">
        <v>179</v>
      </c>
      <c r="J2345" s="33">
        <v>0</v>
      </c>
      <c r="K2345" s="18">
        <f>VLOOKUP(D2345,Ingredients!C:G,5,0)</f>
        <v>100</v>
      </c>
      <c r="L2345" s="52">
        <f t="shared" si="73"/>
        <v>5.7142857142857144</v>
      </c>
    </row>
    <row r="2346" spans="1:12">
      <c r="A2346" t="s">
        <v>529</v>
      </c>
      <c r="B2346" t="s">
        <v>346</v>
      </c>
      <c r="C2346" t="s">
        <v>454</v>
      </c>
      <c r="D2346" s="3" t="s">
        <v>855</v>
      </c>
      <c r="E2346" s="14">
        <v>8.5714285714285715E-2</v>
      </c>
      <c r="F2346" s="4" t="s">
        <v>176</v>
      </c>
      <c r="G2346" s="9">
        <v>2400</v>
      </c>
      <c r="H2346" s="9">
        <f t="shared" si="72"/>
        <v>205.71428571428572</v>
      </c>
      <c r="I2346" t="s">
        <v>179</v>
      </c>
      <c r="J2346" s="33">
        <v>0</v>
      </c>
      <c r="K2346" s="18">
        <f>VLOOKUP(D2346,Ingredients!C:G,5,0)</f>
        <v>1600</v>
      </c>
      <c r="L2346" s="52">
        <f t="shared" si="73"/>
        <v>137.14285714285714</v>
      </c>
    </row>
    <row r="2347" spans="1:12">
      <c r="A2347" t="s">
        <v>529</v>
      </c>
      <c r="B2347" t="s">
        <v>346</v>
      </c>
      <c r="C2347" t="s">
        <v>454</v>
      </c>
      <c r="D2347" s="3" t="s">
        <v>895</v>
      </c>
      <c r="E2347" s="14">
        <v>4.2857142857142858E-2</v>
      </c>
      <c r="F2347" s="4" t="s">
        <v>176</v>
      </c>
      <c r="G2347" s="9">
        <v>400</v>
      </c>
      <c r="H2347" s="9">
        <f t="shared" si="72"/>
        <v>17.142857142857142</v>
      </c>
      <c r="I2347" t="s">
        <v>179</v>
      </c>
      <c r="J2347" s="33">
        <v>0</v>
      </c>
      <c r="K2347" s="18">
        <f>VLOOKUP(D2347,Ingredients!C:G,5,0)</f>
        <v>400</v>
      </c>
      <c r="L2347" s="52">
        <f t="shared" si="73"/>
        <v>17.142857142857142</v>
      </c>
    </row>
    <row r="2348" spans="1:12">
      <c r="A2348" t="s">
        <v>529</v>
      </c>
      <c r="B2348" t="s">
        <v>346</v>
      </c>
      <c r="C2348" t="s">
        <v>454</v>
      </c>
      <c r="D2348" s="3" t="s">
        <v>880</v>
      </c>
      <c r="E2348" s="14">
        <v>2.2857142857142857E-2</v>
      </c>
      <c r="F2348" s="4" t="s">
        <v>176</v>
      </c>
      <c r="G2348" s="9">
        <v>650</v>
      </c>
      <c r="H2348" s="9">
        <f t="shared" ref="H2348:H2411" si="74">G2348*E2348</f>
        <v>14.857142857142858</v>
      </c>
      <c r="I2348" t="s">
        <v>179</v>
      </c>
      <c r="J2348" s="33">
        <v>0</v>
      </c>
      <c r="K2348" s="18">
        <f>VLOOKUP(D2348,Ingredients!C:G,5,0)</f>
        <v>520</v>
      </c>
      <c r="L2348" s="52">
        <f t="shared" si="73"/>
        <v>11.885714285714286</v>
      </c>
    </row>
    <row r="2349" spans="1:12">
      <c r="A2349" t="s">
        <v>529</v>
      </c>
      <c r="B2349" t="s">
        <v>346</v>
      </c>
      <c r="C2349" t="s">
        <v>454</v>
      </c>
      <c r="D2349" s="3" t="s">
        <v>853</v>
      </c>
      <c r="E2349" s="14">
        <v>8.5714285714285719E-3</v>
      </c>
      <c r="F2349" s="4" t="s">
        <v>176</v>
      </c>
      <c r="G2349" s="9">
        <v>30</v>
      </c>
      <c r="H2349" s="9">
        <f t="shared" si="74"/>
        <v>0.25714285714285717</v>
      </c>
      <c r="I2349" t="s">
        <v>179</v>
      </c>
      <c r="J2349" s="33">
        <v>0</v>
      </c>
      <c r="K2349" s="18">
        <f>VLOOKUP(D2349,Ingredients!C:G,5,0)</f>
        <v>55</v>
      </c>
      <c r="L2349" s="52">
        <f t="shared" si="73"/>
        <v>0.47142857142857147</v>
      </c>
    </row>
    <row r="2350" spans="1:12">
      <c r="A2350" t="s">
        <v>529</v>
      </c>
      <c r="B2350" t="s">
        <v>346</v>
      </c>
      <c r="C2350" t="s">
        <v>454</v>
      </c>
      <c r="D2350" s="3" t="s">
        <v>852</v>
      </c>
      <c r="E2350" s="14">
        <v>8.5714285714285715E-2</v>
      </c>
      <c r="F2350" s="4" t="s">
        <v>176</v>
      </c>
      <c r="G2350" s="9">
        <v>520.63</v>
      </c>
      <c r="H2350" s="9">
        <f t="shared" si="74"/>
        <v>44.625428571428571</v>
      </c>
      <c r="I2350" t="s">
        <v>179</v>
      </c>
      <c r="J2350" s="33">
        <v>0</v>
      </c>
      <c r="K2350" s="18">
        <v>550</v>
      </c>
      <c r="L2350" s="52">
        <f t="shared" si="73"/>
        <v>47.142857142857146</v>
      </c>
    </row>
    <row r="2351" spans="1:12">
      <c r="A2351" t="s">
        <v>530</v>
      </c>
      <c r="B2351" t="s">
        <v>346</v>
      </c>
      <c r="C2351" t="s">
        <v>353</v>
      </c>
      <c r="D2351" s="3" t="s">
        <v>884</v>
      </c>
      <c r="E2351" s="11">
        <v>1</v>
      </c>
      <c r="F2351" s="7" t="s">
        <v>176</v>
      </c>
      <c r="G2351" s="9">
        <v>344</v>
      </c>
      <c r="H2351" s="9">
        <f t="shared" si="74"/>
        <v>344</v>
      </c>
      <c r="I2351" t="s">
        <v>179</v>
      </c>
      <c r="J2351" s="33">
        <v>0</v>
      </c>
      <c r="K2351" s="18">
        <f>VLOOKUP(D2351,Ingredients!C:G,5,0)</f>
        <v>344</v>
      </c>
      <c r="L2351" s="52">
        <f t="shared" si="73"/>
        <v>344</v>
      </c>
    </row>
    <row r="2352" spans="1:12">
      <c r="A2352" t="s">
        <v>530</v>
      </c>
      <c r="B2352" t="s">
        <v>346</v>
      </c>
      <c r="C2352" t="s">
        <v>353</v>
      </c>
      <c r="D2352" s="3" t="s">
        <v>882</v>
      </c>
      <c r="E2352" s="11">
        <v>2.0000000000000004E-2</v>
      </c>
      <c r="F2352" s="7" t="s">
        <v>179</v>
      </c>
      <c r="G2352" s="9">
        <v>1500</v>
      </c>
      <c r="H2352" s="9">
        <f t="shared" si="74"/>
        <v>30.000000000000007</v>
      </c>
      <c r="I2352" t="s">
        <v>179</v>
      </c>
      <c r="J2352" s="33">
        <v>0</v>
      </c>
      <c r="K2352" s="18">
        <f>VLOOKUP(D2352,Ingredients!C:G,5,0)</f>
        <v>1450</v>
      </c>
      <c r="L2352" s="52">
        <f t="shared" si="73"/>
        <v>29.000000000000007</v>
      </c>
    </row>
    <row r="2353" spans="1:12">
      <c r="A2353" t="s">
        <v>530</v>
      </c>
      <c r="B2353" t="s">
        <v>346</v>
      </c>
      <c r="C2353" t="s">
        <v>353</v>
      </c>
      <c r="D2353" s="3" t="s">
        <v>872</v>
      </c>
      <c r="E2353" s="11">
        <v>2.0000000000000004E-2</v>
      </c>
      <c r="F2353" s="7" t="s">
        <v>179</v>
      </c>
      <c r="G2353" s="9">
        <v>2100</v>
      </c>
      <c r="H2353" s="9">
        <f t="shared" si="74"/>
        <v>42.000000000000007</v>
      </c>
      <c r="I2353" t="s">
        <v>179</v>
      </c>
      <c r="J2353" s="33">
        <v>0</v>
      </c>
      <c r="K2353" s="18">
        <f>VLOOKUP(D2353,Ingredients!C:G,5,0)</f>
        <v>2150</v>
      </c>
      <c r="L2353" s="52">
        <f t="shared" si="73"/>
        <v>43.000000000000007</v>
      </c>
    </row>
    <row r="2354" spans="1:12">
      <c r="A2354" t="s">
        <v>530</v>
      </c>
      <c r="B2354" t="s">
        <v>346</v>
      </c>
      <c r="C2354" t="s">
        <v>353</v>
      </c>
      <c r="D2354" s="3" t="s">
        <v>930</v>
      </c>
      <c r="E2354" s="11">
        <v>0.05</v>
      </c>
      <c r="F2354" s="7" t="s">
        <v>314</v>
      </c>
      <c r="G2354" s="9">
        <v>305</v>
      </c>
      <c r="H2354" s="9">
        <f t="shared" si="74"/>
        <v>15.25</v>
      </c>
      <c r="I2354" t="s">
        <v>179</v>
      </c>
      <c r="J2354" s="33">
        <v>0</v>
      </c>
      <c r="K2354" s="18">
        <f>VLOOKUP(D2354,Ingredients!C:G,5,0)</f>
        <v>300</v>
      </c>
      <c r="L2354" s="52">
        <f t="shared" si="73"/>
        <v>15</v>
      </c>
    </row>
    <row r="2355" spans="1:12">
      <c r="A2355" t="s">
        <v>530</v>
      </c>
      <c r="B2355" t="s">
        <v>346</v>
      </c>
      <c r="C2355" t="s">
        <v>353</v>
      </c>
      <c r="D2355" s="3" t="s">
        <v>853</v>
      </c>
      <c r="E2355" s="11">
        <v>0.05</v>
      </c>
      <c r="F2355" s="7" t="s">
        <v>314</v>
      </c>
      <c r="G2355" s="9">
        <v>30</v>
      </c>
      <c r="H2355" s="9">
        <f t="shared" si="74"/>
        <v>1.5</v>
      </c>
      <c r="I2355" t="s">
        <v>179</v>
      </c>
      <c r="J2355" s="33">
        <v>0</v>
      </c>
      <c r="K2355" s="18">
        <f>VLOOKUP(D2355,Ingredients!C:G,5,0)</f>
        <v>55</v>
      </c>
      <c r="L2355" s="52">
        <f t="shared" si="73"/>
        <v>2.75</v>
      </c>
    </row>
    <row r="2356" spans="1:12">
      <c r="A2356" t="s">
        <v>530</v>
      </c>
      <c r="B2356" t="s">
        <v>346</v>
      </c>
      <c r="C2356" t="s">
        <v>353</v>
      </c>
      <c r="D2356" s="3" t="s">
        <v>883</v>
      </c>
      <c r="E2356" s="11">
        <v>1.0000000000000002E-2</v>
      </c>
      <c r="F2356" s="7" t="s">
        <v>317</v>
      </c>
      <c r="G2356" s="9">
        <v>950</v>
      </c>
      <c r="H2356" s="9">
        <f t="shared" si="74"/>
        <v>9.5000000000000018</v>
      </c>
      <c r="I2356" t="s">
        <v>179</v>
      </c>
      <c r="J2356" s="33">
        <v>0</v>
      </c>
      <c r="K2356" s="18">
        <f>VLOOKUP(D2356,Ingredients!C:G,5,0)</f>
        <v>313</v>
      </c>
      <c r="L2356" s="52">
        <f t="shared" si="73"/>
        <v>3.1300000000000008</v>
      </c>
    </row>
    <row r="2357" spans="1:12">
      <c r="A2357" t="s">
        <v>530</v>
      </c>
      <c r="B2357" t="s">
        <v>346</v>
      </c>
      <c r="C2357" t="s">
        <v>353</v>
      </c>
      <c r="D2357" s="3" t="s">
        <v>16</v>
      </c>
      <c r="E2357" s="11">
        <v>2.5000000000000001E-2</v>
      </c>
      <c r="F2357" s="7" t="s">
        <v>176</v>
      </c>
      <c r="G2357" s="9">
        <v>270</v>
      </c>
      <c r="H2357" s="9">
        <f t="shared" si="74"/>
        <v>6.75</v>
      </c>
      <c r="I2357" t="s">
        <v>179</v>
      </c>
      <c r="J2357" s="33">
        <v>0</v>
      </c>
      <c r="K2357" s="18">
        <f>VLOOKUP(D2357,Ingredients!C:G,5,0)</f>
        <v>310</v>
      </c>
      <c r="L2357" s="52">
        <f t="shared" si="73"/>
        <v>7.75</v>
      </c>
    </row>
    <row r="2358" spans="1:12">
      <c r="A2358" t="s">
        <v>530</v>
      </c>
      <c r="B2358" t="s">
        <v>346</v>
      </c>
      <c r="C2358" t="s">
        <v>353</v>
      </c>
      <c r="D2358" s="3" t="s">
        <v>94</v>
      </c>
      <c r="E2358" s="11">
        <v>0.30000000000000004</v>
      </c>
      <c r="F2358" s="7" t="s">
        <v>176</v>
      </c>
      <c r="G2358" s="9">
        <v>90</v>
      </c>
      <c r="H2358" s="9">
        <f t="shared" si="74"/>
        <v>27.000000000000004</v>
      </c>
      <c r="I2358" t="s">
        <v>179</v>
      </c>
      <c r="J2358" s="33">
        <v>0</v>
      </c>
      <c r="K2358" s="18">
        <f>VLOOKUP(D2358,Ingredients!C:G,5,0)</f>
        <v>40</v>
      </c>
      <c r="L2358" s="52">
        <f t="shared" si="73"/>
        <v>12.000000000000002</v>
      </c>
    </row>
    <row r="2359" spans="1:12">
      <c r="A2359" t="s">
        <v>530</v>
      </c>
      <c r="B2359" t="s">
        <v>346</v>
      </c>
      <c r="C2359" t="s">
        <v>353</v>
      </c>
      <c r="D2359" s="3" t="s">
        <v>15</v>
      </c>
      <c r="E2359" s="11">
        <v>0.1</v>
      </c>
      <c r="F2359" s="7" t="s">
        <v>176</v>
      </c>
      <c r="G2359" s="9">
        <v>130</v>
      </c>
      <c r="H2359" s="9">
        <f t="shared" si="74"/>
        <v>13</v>
      </c>
      <c r="I2359" t="s">
        <v>179</v>
      </c>
      <c r="J2359" s="33">
        <v>0</v>
      </c>
      <c r="K2359" s="18">
        <f>VLOOKUP(D2359,Ingredients!C:G,5,0)</f>
        <v>90</v>
      </c>
      <c r="L2359" s="52">
        <f t="shared" si="73"/>
        <v>9</v>
      </c>
    </row>
    <row r="2360" spans="1:12">
      <c r="A2360" t="s">
        <v>530</v>
      </c>
      <c r="B2360" t="s">
        <v>346</v>
      </c>
      <c r="C2360" t="s">
        <v>353</v>
      </c>
      <c r="D2360" s="3" t="s">
        <v>95</v>
      </c>
      <c r="E2360" s="11">
        <v>0.2</v>
      </c>
      <c r="F2360" s="7" t="s">
        <v>176</v>
      </c>
      <c r="G2360" s="9">
        <v>140</v>
      </c>
      <c r="H2360" s="9">
        <f t="shared" si="74"/>
        <v>28</v>
      </c>
      <c r="I2360" t="s">
        <v>179</v>
      </c>
      <c r="J2360" s="33">
        <v>0</v>
      </c>
      <c r="K2360" s="18">
        <f>VLOOKUP(D2360,Ingredients!C:G,5,0)</f>
        <v>90</v>
      </c>
      <c r="L2360" s="52">
        <f t="shared" si="73"/>
        <v>18</v>
      </c>
    </row>
    <row r="2361" spans="1:12">
      <c r="A2361" t="s">
        <v>530</v>
      </c>
      <c r="B2361" t="s">
        <v>346</v>
      </c>
      <c r="C2361" t="s">
        <v>353</v>
      </c>
      <c r="D2361" s="3" t="s">
        <v>96</v>
      </c>
      <c r="E2361" s="11">
        <v>0.05</v>
      </c>
      <c r="F2361" s="7" t="s">
        <v>176</v>
      </c>
      <c r="G2361" s="9">
        <v>160</v>
      </c>
      <c r="H2361" s="9">
        <f t="shared" si="74"/>
        <v>8</v>
      </c>
      <c r="I2361" t="s">
        <v>179</v>
      </c>
      <c r="J2361" s="33">
        <v>0</v>
      </c>
      <c r="K2361" s="18">
        <f>VLOOKUP(D2361,Ingredients!C:G,5,0)</f>
        <v>120</v>
      </c>
      <c r="L2361" s="52">
        <f t="shared" si="73"/>
        <v>6</v>
      </c>
    </row>
    <row r="2362" spans="1:12">
      <c r="A2362" t="s">
        <v>530</v>
      </c>
      <c r="B2362" t="s">
        <v>346</v>
      </c>
      <c r="C2362" t="s">
        <v>353</v>
      </c>
      <c r="D2362" s="3" t="s">
        <v>852</v>
      </c>
      <c r="E2362" s="11">
        <v>0.05</v>
      </c>
      <c r="F2362" s="7" t="s">
        <v>176</v>
      </c>
      <c r="G2362" s="9">
        <v>520.63</v>
      </c>
      <c r="H2362" s="9">
        <f t="shared" si="74"/>
        <v>26.031500000000001</v>
      </c>
      <c r="I2362" t="s">
        <v>179</v>
      </c>
      <c r="J2362" s="33">
        <v>0</v>
      </c>
      <c r="K2362" s="18">
        <v>550</v>
      </c>
      <c r="L2362" s="52">
        <f t="shared" si="73"/>
        <v>27.5</v>
      </c>
    </row>
    <row r="2363" spans="1:12">
      <c r="A2363" t="s">
        <v>531</v>
      </c>
      <c r="B2363" t="s">
        <v>346</v>
      </c>
      <c r="C2363" t="s">
        <v>993</v>
      </c>
      <c r="D2363" s="3" t="s">
        <v>936</v>
      </c>
      <c r="E2363" s="4">
        <v>1</v>
      </c>
      <c r="F2363" s="7" t="s">
        <v>176</v>
      </c>
      <c r="G2363" s="9">
        <v>260</v>
      </c>
      <c r="H2363" s="9">
        <f t="shared" si="74"/>
        <v>260</v>
      </c>
      <c r="I2363" t="s">
        <v>179</v>
      </c>
      <c r="J2363" s="33">
        <v>0</v>
      </c>
      <c r="K2363" s="18">
        <f>VLOOKUP(D2363,Ingredients!C:G,5,0)</f>
        <v>230</v>
      </c>
      <c r="L2363" s="52">
        <f t="shared" si="73"/>
        <v>230</v>
      </c>
    </row>
    <row r="2364" spans="1:12">
      <c r="A2364" t="s">
        <v>531</v>
      </c>
      <c r="B2364" t="s">
        <v>346</v>
      </c>
      <c r="C2364" t="s">
        <v>993</v>
      </c>
      <c r="D2364" s="3" t="s">
        <v>28</v>
      </c>
      <c r="E2364" s="4">
        <v>0.25</v>
      </c>
      <c r="F2364" s="7" t="s">
        <v>176</v>
      </c>
      <c r="G2364" s="9">
        <v>85</v>
      </c>
      <c r="H2364" s="9">
        <f t="shared" si="74"/>
        <v>21.25</v>
      </c>
      <c r="I2364" t="s">
        <v>179</v>
      </c>
      <c r="J2364" s="33">
        <v>0</v>
      </c>
      <c r="K2364" s="18">
        <f>VLOOKUP(D2364,Ingredients!C:G,5,0)</f>
        <v>70</v>
      </c>
      <c r="L2364" s="52">
        <f t="shared" si="73"/>
        <v>17.5</v>
      </c>
    </row>
    <row r="2365" spans="1:12">
      <c r="A2365" t="s">
        <v>531</v>
      </c>
      <c r="B2365" t="s">
        <v>346</v>
      </c>
      <c r="C2365" t="s">
        <v>993</v>
      </c>
      <c r="D2365" s="3" t="s">
        <v>880</v>
      </c>
      <c r="E2365" s="4">
        <v>0.04</v>
      </c>
      <c r="F2365" s="7" t="s">
        <v>176</v>
      </c>
      <c r="G2365" s="9">
        <v>650</v>
      </c>
      <c r="H2365" s="9">
        <f t="shared" si="74"/>
        <v>26</v>
      </c>
      <c r="I2365" t="s">
        <v>179</v>
      </c>
      <c r="J2365" s="33">
        <v>0</v>
      </c>
      <c r="K2365" s="18">
        <f>VLOOKUP(D2365,Ingredients!C:G,5,0)</f>
        <v>520</v>
      </c>
      <c r="L2365" s="52">
        <f t="shared" si="73"/>
        <v>20.8</v>
      </c>
    </row>
    <row r="2366" spans="1:12">
      <c r="A2366" t="s">
        <v>531</v>
      </c>
      <c r="B2366" t="s">
        <v>346</v>
      </c>
      <c r="C2366" t="s">
        <v>993</v>
      </c>
      <c r="D2366" s="3" t="s">
        <v>867</v>
      </c>
      <c r="E2366" s="4">
        <v>0.02</v>
      </c>
      <c r="F2366" s="7" t="s">
        <v>176</v>
      </c>
      <c r="G2366" s="9">
        <v>900</v>
      </c>
      <c r="H2366" s="9">
        <f t="shared" si="74"/>
        <v>18</v>
      </c>
      <c r="I2366" t="s">
        <v>179</v>
      </c>
      <c r="J2366" s="33">
        <v>0</v>
      </c>
      <c r="K2366" s="18">
        <f>VLOOKUP(D2366,Ingredients!C:G,5,0)</f>
        <v>950</v>
      </c>
      <c r="L2366" s="52">
        <f t="shared" si="73"/>
        <v>19</v>
      </c>
    </row>
    <row r="2367" spans="1:12">
      <c r="A2367" t="s">
        <v>531</v>
      </c>
      <c r="B2367" t="s">
        <v>346</v>
      </c>
      <c r="C2367" t="s">
        <v>993</v>
      </c>
      <c r="D2367" s="3" t="s">
        <v>853</v>
      </c>
      <c r="E2367" s="4">
        <v>0.06</v>
      </c>
      <c r="F2367" s="7" t="s">
        <v>176</v>
      </c>
      <c r="G2367" s="9">
        <v>30</v>
      </c>
      <c r="H2367" s="9">
        <f t="shared" si="74"/>
        <v>1.7999999999999998</v>
      </c>
      <c r="I2367" t="s">
        <v>179</v>
      </c>
      <c r="J2367" s="33">
        <v>0</v>
      </c>
      <c r="K2367" s="18">
        <f>VLOOKUP(D2367,Ingredients!C:G,5,0)</f>
        <v>55</v>
      </c>
      <c r="L2367" s="52">
        <f t="shared" si="73"/>
        <v>3.3</v>
      </c>
    </row>
    <row r="2368" spans="1:12">
      <c r="A2368" t="s">
        <v>531</v>
      </c>
      <c r="B2368" t="s">
        <v>346</v>
      </c>
      <c r="C2368" t="s">
        <v>993</v>
      </c>
      <c r="D2368" s="3" t="s">
        <v>852</v>
      </c>
      <c r="E2368" s="4">
        <v>7.4999999999999997E-2</v>
      </c>
      <c r="F2368" s="7" t="s">
        <v>176</v>
      </c>
      <c r="G2368" s="9">
        <v>520.63</v>
      </c>
      <c r="H2368" s="9">
        <f t="shared" si="74"/>
        <v>39.047249999999998</v>
      </c>
      <c r="I2368" t="s">
        <v>179</v>
      </c>
      <c r="J2368" s="33">
        <v>0</v>
      </c>
      <c r="K2368" s="18">
        <v>550</v>
      </c>
      <c r="L2368" s="52">
        <f t="shared" si="73"/>
        <v>41.25</v>
      </c>
    </row>
    <row r="2369" spans="1:12">
      <c r="A2369" t="s">
        <v>531</v>
      </c>
      <c r="B2369" t="s">
        <v>346</v>
      </c>
      <c r="C2369" t="s">
        <v>993</v>
      </c>
      <c r="D2369" s="3" t="s">
        <v>855</v>
      </c>
      <c r="E2369" s="4">
        <v>0.04</v>
      </c>
      <c r="F2369" s="7" t="s">
        <v>176</v>
      </c>
      <c r="G2369" s="9">
        <v>2400</v>
      </c>
      <c r="H2369" s="9">
        <f t="shared" si="74"/>
        <v>96</v>
      </c>
      <c r="I2369" t="s">
        <v>179</v>
      </c>
      <c r="J2369" s="33">
        <v>0</v>
      </c>
      <c r="K2369" s="18">
        <f>VLOOKUP(D2369,Ingredients!C:G,5,0)</f>
        <v>1600</v>
      </c>
      <c r="L2369" s="52">
        <f t="shared" si="73"/>
        <v>64</v>
      </c>
    </row>
    <row r="2370" spans="1:12">
      <c r="A2370" t="s">
        <v>531</v>
      </c>
      <c r="B2370" t="s">
        <v>346</v>
      </c>
      <c r="C2370" t="s">
        <v>993</v>
      </c>
      <c r="D2370" s="3" t="s">
        <v>16</v>
      </c>
      <c r="E2370" s="4">
        <v>0.2</v>
      </c>
      <c r="F2370" s="7" t="s">
        <v>176</v>
      </c>
      <c r="G2370" s="9">
        <v>270</v>
      </c>
      <c r="H2370" s="9">
        <f t="shared" si="74"/>
        <v>54</v>
      </c>
      <c r="I2370" t="s">
        <v>179</v>
      </c>
      <c r="J2370" s="33">
        <v>0</v>
      </c>
      <c r="K2370" s="18">
        <f>VLOOKUP(D2370,Ingredients!C:G,5,0)</f>
        <v>310</v>
      </c>
      <c r="L2370" s="52">
        <f t="shared" si="73"/>
        <v>62</v>
      </c>
    </row>
    <row r="2371" spans="1:12">
      <c r="A2371" t="s">
        <v>531</v>
      </c>
      <c r="B2371" t="s">
        <v>346</v>
      </c>
      <c r="C2371" t="s">
        <v>993</v>
      </c>
      <c r="D2371" s="3" t="s">
        <v>856</v>
      </c>
      <c r="E2371" s="4">
        <v>3.5000000000000003E-2</v>
      </c>
      <c r="F2371" s="7" t="s">
        <v>176</v>
      </c>
      <c r="G2371" s="9">
        <v>850</v>
      </c>
      <c r="H2371" s="9">
        <f t="shared" si="74"/>
        <v>29.750000000000004</v>
      </c>
      <c r="I2371" t="s">
        <v>179</v>
      </c>
      <c r="J2371" s="33">
        <v>0</v>
      </c>
      <c r="K2371" s="18">
        <f>VLOOKUP(D2371,Ingredients!C:G,5,0)</f>
        <v>980</v>
      </c>
      <c r="L2371" s="52">
        <f t="shared" si="73"/>
        <v>34.300000000000004</v>
      </c>
    </row>
    <row r="2372" spans="1:12">
      <c r="A2372" t="s">
        <v>531</v>
      </c>
      <c r="B2372" t="s">
        <v>346</v>
      </c>
      <c r="C2372" t="s">
        <v>993</v>
      </c>
      <c r="D2372" s="3" t="s">
        <v>148</v>
      </c>
      <c r="E2372" s="4">
        <v>0.5</v>
      </c>
      <c r="F2372" s="7" t="s">
        <v>252</v>
      </c>
      <c r="G2372" s="9">
        <v>5</v>
      </c>
      <c r="H2372" s="9">
        <f t="shared" si="74"/>
        <v>2.5</v>
      </c>
      <c r="I2372" t="s">
        <v>179</v>
      </c>
      <c r="J2372" s="33">
        <v>0</v>
      </c>
      <c r="K2372" s="18">
        <f>VLOOKUP(D2372,Ingredients!C:G,5,0)</f>
        <v>5</v>
      </c>
      <c r="L2372" s="52">
        <f t="shared" ref="L2372:L2435" si="75">K2372*E2372</f>
        <v>2.5</v>
      </c>
    </row>
    <row r="2373" spans="1:12">
      <c r="A2373" t="s">
        <v>531</v>
      </c>
      <c r="B2373" t="s">
        <v>346</v>
      </c>
      <c r="C2373" t="s">
        <v>993</v>
      </c>
      <c r="D2373" s="3" t="s">
        <v>50</v>
      </c>
      <c r="E2373" s="4">
        <v>0.1</v>
      </c>
      <c r="F2373" s="7" t="s">
        <v>176</v>
      </c>
      <c r="G2373" s="9">
        <v>120</v>
      </c>
      <c r="H2373" s="9">
        <f t="shared" si="74"/>
        <v>12</v>
      </c>
      <c r="I2373" t="s">
        <v>179</v>
      </c>
      <c r="J2373" s="33">
        <v>0</v>
      </c>
      <c r="K2373" s="18">
        <f>VLOOKUP(D2373,Ingredients!C:G,5,0)</f>
        <v>120</v>
      </c>
      <c r="L2373" s="52">
        <f t="shared" si="75"/>
        <v>12</v>
      </c>
    </row>
    <row r="2374" spans="1:12">
      <c r="A2374" t="s">
        <v>593</v>
      </c>
      <c r="B2374" t="s">
        <v>346</v>
      </c>
      <c r="C2374" t="s">
        <v>353</v>
      </c>
      <c r="D2374" s="3" t="s">
        <v>884</v>
      </c>
      <c r="E2374" s="11">
        <v>1</v>
      </c>
      <c r="F2374" s="7" t="s">
        <v>176</v>
      </c>
      <c r="G2374" s="9">
        <v>344</v>
      </c>
      <c r="H2374" s="9">
        <f t="shared" si="74"/>
        <v>344</v>
      </c>
      <c r="I2374" t="s">
        <v>179</v>
      </c>
      <c r="J2374" s="33">
        <v>0</v>
      </c>
      <c r="K2374" s="18">
        <f>VLOOKUP(D2374,Ingredients!C:G,5,0)</f>
        <v>344</v>
      </c>
      <c r="L2374" s="52">
        <f t="shared" si="75"/>
        <v>344</v>
      </c>
    </row>
    <row r="2375" spans="1:12">
      <c r="A2375" t="s">
        <v>593</v>
      </c>
      <c r="B2375" t="s">
        <v>346</v>
      </c>
      <c r="C2375" t="s">
        <v>353</v>
      </c>
      <c r="D2375" s="3" t="s">
        <v>853</v>
      </c>
      <c r="E2375" s="11">
        <v>2.0000000000000004E-2</v>
      </c>
      <c r="F2375" s="7" t="s">
        <v>176</v>
      </c>
      <c r="G2375" s="9">
        <v>30</v>
      </c>
      <c r="H2375" s="9">
        <f t="shared" si="74"/>
        <v>0.60000000000000009</v>
      </c>
      <c r="I2375" t="s">
        <v>179</v>
      </c>
      <c r="J2375" s="33">
        <v>0</v>
      </c>
      <c r="K2375" s="18">
        <f>VLOOKUP(D2375,Ingredients!C:G,5,0)</f>
        <v>55</v>
      </c>
      <c r="L2375" s="52">
        <f t="shared" si="75"/>
        <v>1.1000000000000003</v>
      </c>
    </row>
    <row r="2376" spans="1:12">
      <c r="A2376" t="s">
        <v>593</v>
      </c>
      <c r="B2376" t="s">
        <v>346</v>
      </c>
      <c r="C2376" t="s">
        <v>353</v>
      </c>
      <c r="D2376" s="3" t="s">
        <v>852</v>
      </c>
      <c r="E2376" s="11">
        <v>2.0000000000000004E-2</v>
      </c>
      <c r="F2376" s="7" t="s">
        <v>176</v>
      </c>
      <c r="G2376" s="9">
        <v>520.63</v>
      </c>
      <c r="H2376" s="9">
        <f t="shared" si="74"/>
        <v>10.412600000000001</v>
      </c>
      <c r="I2376" t="s">
        <v>179</v>
      </c>
      <c r="J2376" s="33">
        <v>0</v>
      </c>
      <c r="K2376" s="18">
        <v>550</v>
      </c>
      <c r="L2376" s="52">
        <f t="shared" si="75"/>
        <v>11.000000000000002</v>
      </c>
    </row>
    <row r="2377" spans="1:12">
      <c r="A2377" t="s">
        <v>533</v>
      </c>
      <c r="B2377" t="s">
        <v>349</v>
      </c>
      <c r="C2377" t="s">
        <v>352</v>
      </c>
      <c r="D2377" s="3" t="s">
        <v>833</v>
      </c>
      <c r="E2377" s="4">
        <v>1</v>
      </c>
      <c r="F2377" s="7" t="s">
        <v>176</v>
      </c>
      <c r="G2377" s="9">
        <v>1020</v>
      </c>
      <c r="H2377" s="9">
        <f t="shared" si="74"/>
        <v>1020</v>
      </c>
      <c r="I2377" t="s">
        <v>179</v>
      </c>
      <c r="J2377" s="33" t="s">
        <v>490</v>
      </c>
      <c r="K2377" s="18">
        <f>VLOOKUP(D2377,Ingredients!C:G,5,0)</f>
        <v>1000</v>
      </c>
      <c r="L2377" s="52">
        <f t="shared" si="75"/>
        <v>1000</v>
      </c>
    </row>
    <row r="2378" spans="1:12">
      <c r="A2378" t="s">
        <v>533</v>
      </c>
      <c r="B2378" t="s">
        <v>349</v>
      </c>
      <c r="C2378" t="s">
        <v>352</v>
      </c>
      <c r="D2378" s="3" t="s">
        <v>852</v>
      </c>
      <c r="E2378" s="4">
        <v>0.1875</v>
      </c>
      <c r="F2378" s="7" t="s">
        <v>176</v>
      </c>
      <c r="G2378" s="9">
        <v>520.63</v>
      </c>
      <c r="H2378" s="9">
        <f t="shared" si="74"/>
        <v>97.618124999999992</v>
      </c>
      <c r="I2378" t="s">
        <v>179</v>
      </c>
      <c r="J2378" s="33" t="s">
        <v>490</v>
      </c>
      <c r="K2378" s="18">
        <v>550</v>
      </c>
      <c r="L2378" s="52">
        <f t="shared" si="75"/>
        <v>103.125</v>
      </c>
    </row>
    <row r="2379" spans="1:12">
      <c r="A2379" t="s">
        <v>533</v>
      </c>
      <c r="B2379" t="s">
        <v>349</v>
      </c>
      <c r="C2379" t="s">
        <v>352</v>
      </c>
      <c r="D2379" s="3" t="s">
        <v>24</v>
      </c>
      <c r="E2379" s="4">
        <v>0.25</v>
      </c>
      <c r="F2379" s="7" t="s">
        <v>176</v>
      </c>
      <c r="G2379" s="9">
        <v>55</v>
      </c>
      <c r="H2379" s="9">
        <f t="shared" si="74"/>
        <v>13.75</v>
      </c>
      <c r="I2379" t="s">
        <v>179</v>
      </c>
      <c r="J2379" s="33" t="s">
        <v>490</v>
      </c>
      <c r="K2379" s="18">
        <f>VLOOKUP(D2379,Ingredients!C:G,5,0)</f>
        <v>80</v>
      </c>
      <c r="L2379" s="52">
        <f t="shared" si="75"/>
        <v>20</v>
      </c>
    </row>
    <row r="2380" spans="1:12">
      <c r="A2380" t="s">
        <v>533</v>
      </c>
      <c r="B2380" t="s">
        <v>349</v>
      </c>
      <c r="C2380" t="s">
        <v>352</v>
      </c>
      <c r="D2380" s="3" t="s">
        <v>16</v>
      </c>
      <c r="E2380" s="4">
        <v>7.4999999999999997E-2</v>
      </c>
      <c r="F2380" s="7" t="s">
        <v>176</v>
      </c>
      <c r="G2380" s="9">
        <v>270</v>
      </c>
      <c r="H2380" s="9">
        <f t="shared" si="74"/>
        <v>20.25</v>
      </c>
      <c r="I2380" t="s">
        <v>179</v>
      </c>
      <c r="J2380" s="33" t="s">
        <v>490</v>
      </c>
      <c r="K2380" s="18">
        <f>VLOOKUP(D2380,Ingredients!C:G,5,0)</f>
        <v>310</v>
      </c>
      <c r="L2380" s="52">
        <f t="shared" si="75"/>
        <v>23.25</v>
      </c>
    </row>
    <row r="2381" spans="1:12">
      <c r="A2381" t="s">
        <v>533</v>
      </c>
      <c r="B2381" t="s">
        <v>349</v>
      </c>
      <c r="C2381" t="s">
        <v>352</v>
      </c>
      <c r="D2381" s="3" t="s">
        <v>23</v>
      </c>
      <c r="E2381" s="4">
        <v>3.7499999999999999E-2</v>
      </c>
      <c r="F2381" s="7" t="s">
        <v>176</v>
      </c>
      <c r="G2381" s="9">
        <v>740</v>
      </c>
      <c r="H2381" s="9">
        <f t="shared" si="74"/>
        <v>27.75</v>
      </c>
      <c r="I2381" t="s">
        <v>179</v>
      </c>
      <c r="J2381" s="33" t="s">
        <v>490</v>
      </c>
      <c r="K2381" s="18">
        <f>VLOOKUP(D2381,Ingredients!C:G,5,0)</f>
        <v>780</v>
      </c>
      <c r="L2381" s="52">
        <f t="shared" si="75"/>
        <v>29.25</v>
      </c>
    </row>
    <row r="2382" spans="1:12">
      <c r="A2382" t="s">
        <v>533</v>
      </c>
      <c r="B2382" t="s">
        <v>349</v>
      </c>
      <c r="C2382" t="s">
        <v>352</v>
      </c>
      <c r="D2382" s="3" t="s">
        <v>28</v>
      </c>
      <c r="E2382" s="4">
        <v>0.35000000000000003</v>
      </c>
      <c r="F2382" s="7" t="s">
        <v>176</v>
      </c>
      <c r="G2382" s="9">
        <v>85</v>
      </c>
      <c r="H2382" s="9">
        <f t="shared" si="74"/>
        <v>29.750000000000004</v>
      </c>
      <c r="I2382" t="s">
        <v>179</v>
      </c>
      <c r="J2382" s="33" t="s">
        <v>490</v>
      </c>
      <c r="K2382" s="18">
        <f>VLOOKUP(D2382,Ingredients!C:G,5,0)</f>
        <v>70</v>
      </c>
      <c r="L2382" s="52">
        <f t="shared" si="75"/>
        <v>24.500000000000004</v>
      </c>
    </row>
    <row r="2383" spans="1:12">
      <c r="A2383" t="s">
        <v>533</v>
      </c>
      <c r="B2383" t="s">
        <v>349</v>
      </c>
      <c r="C2383" t="s">
        <v>352</v>
      </c>
      <c r="D2383" s="3" t="s">
        <v>853</v>
      </c>
      <c r="E2383" s="4">
        <v>0.06</v>
      </c>
      <c r="F2383" s="7" t="s">
        <v>176</v>
      </c>
      <c r="G2383" s="9">
        <v>30</v>
      </c>
      <c r="H2383" s="9">
        <f t="shared" si="74"/>
        <v>1.7999999999999998</v>
      </c>
      <c r="I2383" t="s">
        <v>179</v>
      </c>
      <c r="J2383" s="33" t="s">
        <v>490</v>
      </c>
      <c r="K2383" s="18">
        <f>VLOOKUP(D2383,Ingredients!C:G,5,0)</f>
        <v>55</v>
      </c>
      <c r="L2383" s="52">
        <f t="shared" si="75"/>
        <v>3.3</v>
      </c>
    </row>
    <row r="2384" spans="1:12">
      <c r="A2384" t="s">
        <v>533</v>
      </c>
      <c r="B2384" t="s">
        <v>349</v>
      </c>
      <c r="C2384" t="s">
        <v>352</v>
      </c>
      <c r="D2384" s="3" t="s">
        <v>895</v>
      </c>
      <c r="E2384" s="4">
        <v>9.2499999999999999E-2</v>
      </c>
      <c r="F2384" s="7" t="s">
        <v>176</v>
      </c>
      <c r="G2384" s="9">
        <v>400</v>
      </c>
      <c r="H2384" s="9">
        <f t="shared" si="74"/>
        <v>37</v>
      </c>
      <c r="I2384" t="s">
        <v>179</v>
      </c>
      <c r="J2384" s="33" t="s">
        <v>490</v>
      </c>
      <c r="K2384" s="18">
        <f>VLOOKUP(D2384,Ingredients!C:G,5,0)</f>
        <v>400</v>
      </c>
      <c r="L2384" s="52">
        <f t="shared" si="75"/>
        <v>37</v>
      </c>
    </row>
    <row r="2385" spans="1:12">
      <c r="A2385" t="s">
        <v>533</v>
      </c>
      <c r="B2385" t="s">
        <v>349</v>
      </c>
      <c r="C2385" t="s">
        <v>352</v>
      </c>
      <c r="D2385" s="3" t="s">
        <v>855</v>
      </c>
      <c r="E2385" s="4">
        <v>5.4999999999999993E-2</v>
      </c>
      <c r="F2385" s="7" t="s">
        <v>176</v>
      </c>
      <c r="G2385" s="9">
        <v>2400</v>
      </c>
      <c r="H2385" s="9">
        <f t="shared" si="74"/>
        <v>131.99999999999997</v>
      </c>
      <c r="I2385" t="s">
        <v>179</v>
      </c>
      <c r="J2385" s="33" t="s">
        <v>490</v>
      </c>
      <c r="K2385" s="18">
        <f>VLOOKUP(D2385,Ingredients!C:G,5,0)</f>
        <v>1600</v>
      </c>
      <c r="L2385" s="52">
        <f t="shared" si="75"/>
        <v>87.999999999999986</v>
      </c>
    </row>
    <row r="2386" spans="1:12">
      <c r="A2386" t="s">
        <v>533</v>
      </c>
      <c r="B2386" t="s">
        <v>349</v>
      </c>
      <c r="C2386" t="s">
        <v>352</v>
      </c>
      <c r="D2386" s="3" t="s">
        <v>867</v>
      </c>
      <c r="E2386" s="4">
        <v>3.7499999999999999E-2</v>
      </c>
      <c r="F2386" s="7" t="s">
        <v>176</v>
      </c>
      <c r="G2386" s="9">
        <v>900</v>
      </c>
      <c r="H2386" s="9">
        <f t="shared" si="74"/>
        <v>33.75</v>
      </c>
      <c r="I2386" t="s">
        <v>179</v>
      </c>
      <c r="J2386" s="33" t="s">
        <v>490</v>
      </c>
      <c r="K2386" s="18">
        <f>VLOOKUP(D2386,Ingredients!C:G,5,0)</f>
        <v>950</v>
      </c>
      <c r="L2386" s="52">
        <f t="shared" si="75"/>
        <v>35.625</v>
      </c>
    </row>
    <row r="2387" spans="1:12">
      <c r="A2387" t="s">
        <v>533</v>
      </c>
      <c r="B2387" t="s">
        <v>349</v>
      </c>
      <c r="C2387" t="s">
        <v>352</v>
      </c>
      <c r="D2387" s="3" t="s">
        <v>860</v>
      </c>
      <c r="E2387" s="4">
        <v>0.02</v>
      </c>
      <c r="F2387" s="7" t="s">
        <v>176</v>
      </c>
      <c r="G2387" s="9">
        <v>2000</v>
      </c>
      <c r="H2387" s="9">
        <f t="shared" si="74"/>
        <v>40</v>
      </c>
      <c r="I2387" t="s">
        <v>179</v>
      </c>
      <c r="J2387" s="33" t="s">
        <v>490</v>
      </c>
      <c r="K2387" s="18">
        <f>VLOOKUP(D2387,Ingredients!C:G,5,0)</f>
        <v>1900</v>
      </c>
      <c r="L2387" s="52">
        <f t="shared" si="75"/>
        <v>38</v>
      </c>
    </row>
    <row r="2388" spans="1:12">
      <c r="A2388" t="s">
        <v>533</v>
      </c>
      <c r="B2388" t="s">
        <v>349</v>
      </c>
      <c r="C2388" t="s">
        <v>352</v>
      </c>
      <c r="D2388" s="3" t="s">
        <v>882</v>
      </c>
      <c r="E2388" s="4">
        <v>1.7500000000000002E-2</v>
      </c>
      <c r="F2388" s="7" t="s">
        <v>176</v>
      </c>
      <c r="G2388" s="9">
        <v>1500</v>
      </c>
      <c r="H2388" s="9">
        <f t="shared" si="74"/>
        <v>26.250000000000004</v>
      </c>
      <c r="I2388" t="s">
        <v>179</v>
      </c>
      <c r="J2388" s="33" t="s">
        <v>490</v>
      </c>
      <c r="K2388" s="18">
        <f>VLOOKUP(D2388,Ingredients!C:G,5,0)</f>
        <v>1450</v>
      </c>
      <c r="L2388" s="52">
        <f t="shared" si="75"/>
        <v>25.375000000000004</v>
      </c>
    </row>
    <row r="2389" spans="1:12">
      <c r="A2389" t="s">
        <v>533</v>
      </c>
      <c r="B2389" t="s">
        <v>349</v>
      </c>
      <c r="C2389" t="s">
        <v>352</v>
      </c>
      <c r="D2389" s="3" t="s">
        <v>171</v>
      </c>
      <c r="E2389" s="4">
        <v>0.3</v>
      </c>
      <c r="F2389" s="7" t="s">
        <v>176</v>
      </c>
      <c r="G2389" s="9">
        <v>65</v>
      </c>
      <c r="H2389" s="9">
        <f t="shared" si="74"/>
        <v>19.5</v>
      </c>
      <c r="I2389" t="s">
        <v>179</v>
      </c>
      <c r="J2389" s="33" t="s">
        <v>490</v>
      </c>
      <c r="K2389" s="18">
        <f>VLOOKUP(D2389,Ingredients!C:G,5,0)</f>
        <v>80</v>
      </c>
      <c r="L2389" s="52">
        <f t="shared" si="75"/>
        <v>24</v>
      </c>
    </row>
    <row r="2390" spans="1:12">
      <c r="A2390" t="s">
        <v>533</v>
      </c>
      <c r="B2390" t="s">
        <v>349</v>
      </c>
      <c r="C2390" t="s">
        <v>352</v>
      </c>
      <c r="D2390" s="3" t="s">
        <v>35</v>
      </c>
      <c r="E2390" s="4">
        <v>0.5</v>
      </c>
      <c r="F2390" s="4" t="s">
        <v>252</v>
      </c>
      <c r="G2390" s="9">
        <v>13</v>
      </c>
      <c r="H2390" s="9">
        <f t="shared" si="74"/>
        <v>6.5</v>
      </c>
      <c r="I2390" t="s">
        <v>179</v>
      </c>
      <c r="J2390" s="33" t="s">
        <v>490</v>
      </c>
      <c r="K2390" s="18">
        <f>VLOOKUP(D2390,Ingredients!C:G,5,0)</f>
        <v>15</v>
      </c>
      <c r="L2390" s="52">
        <f t="shared" si="75"/>
        <v>7.5</v>
      </c>
    </row>
    <row r="2391" spans="1:12">
      <c r="A2391" t="s">
        <v>534</v>
      </c>
      <c r="B2391" t="s">
        <v>346</v>
      </c>
      <c r="C2391" t="s">
        <v>454</v>
      </c>
      <c r="D2391" s="3" t="s">
        <v>377</v>
      </c>
      <c r="E2391" s="4">
        <v>1</v>
      </c>
      <c r="F2391" s="4" t="s">
        <v>179</v>
      </c>
      <c r="G2391" s="9">
        <v>40</v>
      </c>
      <c r="H2391" s="9">
        <f t="shared" si="74"/>
        <v>40</v>
      </c>
      <c r="I2391" t="s">
        <v>179</v>
      </c>
      <c r="J2391" s="33">
        <v>0</v>
      </c>
      <c r="K2391" s="18">
        <f>VLOOKUP(D2391,Ingredients!C:G,5,0)</f>
        <v>50</v>
      </c>
      <c r="L2391" s="52">
        <f t="shared" si="75"/>
        <v>50</v>
      </c>
    </row>
    <row r="2392" spans="1:12">
      <c r="A2392" t="s">
        <v>534</v>
      </c>
      <c r="B2392" t="s">
        <v>346</v>
      </c>
      <c r="C2392" t="s">
        <v>454</v>
      </c>
      <c r="D2392" s="3" t="s">
        <v>855</v>
      </c>
      <c r="E2392" s="4">
        <v>0.03</v>
      </c>
      <c r="F2392" s="4" t="s">
        <v>179</v>
      </c>
      <c r="G2392" s="9">
        <v>2400</v>
      </c>
      <c r="H2392" s="9">
        <f t="shared" si="74"/>
        <v>72</v>
      </c>
      <c r="I2392" t="s">
        <v>179</v>
      </c>
      <c r="J2392" s="33">
        <v>0</v>
      </c>
      <c r="K2392" s="18">
        <f>VLOOKUP(D2392,Ingredients!C:G,5,0)</f>
        <v>1600</v>
      </c>
      <c r="L2392" s="52">
        <f t="shared" si="75"/>
        <v>48</v>
      </c>
    </row>
    <row r="2393" spans="1:12">
      <c r="A2393" t="s">
        <v>534</v>
      </c>
      <c r="B2393" t="s">
        <v>346</v>
      </c>
      <c r="C2393" t="s">
        <v>454</v>
      </c>
      <c r="D2393" s="3" t="s">
        <v>148</v>
      </c>
      <c r="E2393" s="4">
        <v>0.04</v>
      </c>
      <c r="F2393" s="4" t="s">
        <v>252</v>
      </c>
      <c r="G2393" s="9">
        <v>5</v>
      </c>
      <c r="H2393" s="9">
        <f t="shared" si="74"/>
        <v>0.2</v>
      </c>
      <c r="I2393" t="s">
        <v>179</v>
      </c>
      <c r="J2393" s="33">
        <v>0</v>
      </c>
      <c r="K2393" s="18">
        <f>VLOOKUP(D2393,Ingredients!C:G,5,0)</f>
        <v>5</v>
      </c>
      <c r="L2393" s="52">
        <f t="shared" si="75"/>
        <v>0.2</v>
      </c>
    </row>
    <row r="2394" spans="1:12">
      <c r="A2394" t="s">
        <v>534</v>
      </c>
      <c r="B2394" t="s">
        <v>346</v>
      </c>
      <c r="C2394" t="s">
        <v>454</v>
      </c>
      <c r="D2394" s="3" t="s">
        <v>29</v>
      </c>
      <c r="E2394" s="4">
        <v>0.03</v>
      </c>
      <c r="F2394" s="4" t="s">
        <v>179</v>
      </c>
      <c r="G2394" s="9">
        <v>60</v>
      </c>
      <c r="H2394" s="9">
        <f t="shared" si="74"/>
        <v>1.7999999999999998</v>
      </c>
      <c r="I2394" t="s">
        <v>179</v>
      </c>
      <c r="J2394" s="33">
        <v>0</v>
      </c>
      <c r="K2394" s="18">
        <f>VLOOKUP(D2394,Ingredients!C:G,5,0)</f>
        <v>100</v>
      </c>
      <c r="L2394" s="52">
        <f t="shared" si="75"/>
        <v>3</v>
      </c>
    </row>
    <row r="2395" spans="1:12">
      <c r="A2395" t="s">
        <v>534</v>
      </c>
      <c r="B2395" t="s">
        <v>346</v>
      </c>
      <c r="C2395" t="s">
        <v>454</v>
      </c>
      <c r="D2395" s="3" t="s">
        <v>23</v>
      </c>
      <c r="E2395" s="4">
        <v>0.02</v>
      </c>
      <c r="F2395" s="4" t="s">
        <v>179</v>
      </c>
      <c r="G2395" s="9">
        <v>740</v>
      </c>
      <c r="H2395" s="9">
        <f t="shared" si="74"/>
        <v>14.8</v>
      </c>
      <c r="I2395" t="s">
        <v>179</v>
      </c>
      <c r="J2395" s="33">
        <v>0</v>
      </c>
      <c r="K2395" s="18">
        <f>VLOOKUP(D2395,Ingredients!C:G,5,0)</f>
        <v>780</v>
      </c>
      <c r="L2395" s="52">
        <f t="shared" si="75"/>
        <v>15.6</v>
      </c>
    </row>
    <row r="2396" spans="1:12">
      <c r="A2396" t="s">
        <v>534</v>
      </c>
      <c r="B2396" t="s">
        <v>346</v>
      </c>
      <c r="C2396" t="s">
        <v>454</v>
      </c>
      <c r="D2396" s="3" t="s">
        <v>24</v>
      </c>
      <c r="E2396" s="4">
        <v>0.14000000000000001</v>
      </c>
      <c r="F2396" s="4" t="s">
        <v>179</v>
      </c>
      <c r="G2396" s="9">
        <v>55</v>
      </c>
      <c r="H2396" s="9">
        <f t="shared" si="74"/>
        <v>7.7000000000000011</v>
      </c>
      <c r="I2396" t="s">
        <v>179</v>
      </c>
      <c r="J2396" s="33">
        <v>0</v>
      </c>
      <c r="K2396" s="18">
        <f>VLOOKUP(D2396,Ingredients!C:G,5,0)</f>
        <v>80</v>
      </c>
      <c r="L2396" s="52">
        <f t="shared" si="75"/>
        <v>11.200000000000001</v>
      </c>
    </row>
    <row r="2397" spans="1:12">
      <c r="A2397" t="s">
        <v>534</v>
      </c>
      <c r="B2397" t="s">
        <v>346</v>
      </c>
      <c r="C2397" t="s">
        <v>454</v>
      </c>
      <c r="D2397" s="3" t="s">
        <v>28</v>
      </c>
      <c r="E2397" s="4">
        <v>0.16</v>
      </c>
      <c r="F2397" s="4" t="s">
        <v>179</v>
      </c>
      <c r="G2397" s="9">
        <v>85</v>
      </c>
      <c r="H2397" s="9">
        <f t="shared" si="74"/>
        <v>13.6</v>
      </c>
      <c r="I2397" t="s">
        <v>179</v>
      </c>
      <c r="J2397" s="33">
        <v>0</v>
      </c>
      <c r="K2397" s="18">
        <f>VLOOKUP(D2397,Ingredients!C:G,5,0)</f>
        <v>70</v>
      </c>
      <c r="L2397" s="52">
        <f t="shared" si="75"/>
        <v>11.200000000000001</v>
      </c>
    </row>
    <row r="2398" spans="1:12">
      <c r="A2398" t="s">
        <v>534</v>
      </c>
      <c r="B2398" t="s">
        <v>346</v>
      </c>
      <c r="C2398" t="s">
        <v>454</v>
      </c>
      <c r="D2398" s="3" t="s">
        <v>853</v>
      </c>
      <c r="E2398" s="4">
        <v>0.03</v>
      </c>
      <c r="F2398" s="4" t="s">
        <v>179</v>
      </c>
      <c r="G2398" s="9">
        <v>30</v>
      </c>
      <c r="H2398" s="9">
        <f t="shared" si="74"/>
        <v>0.89999999999999991</v>
      </c>
      <c r="I2398" t="s">
        <v>179</v>
      </c>
      <c r="J2398" s="33">
        <v>0</v>
      </c>
      <c r="K2398" s="18">
        <f>VLOOKUP(D2398,Ingredients!C:G,5,0)</f>
        <v>55</v>
      </c>
      <c r="L2398" s="52">
        <f t="shared" si="75"/>
        <v>1.65</v>
      </c>
    </row>
    <row r="2399" spans="1:12">
      <c r="A2399" t="s">
        <v>534</v>
      </c>
      <c r="B2399" t="s">
        <v>346</v>
      </c>
      <c r="C2399" t="s">
        <v>454</v>
      </c>
      <c r="D2399" s="3" t="s">
        <v>31</v>
      </c>
      <c r="E2399" s="4">
        <v>1.6E-2</v>
      </c>
      <c r="F2399" s="4" t="s">
        <v>179</v>
      </c>
      <c r="G2399" s="9">
        <v>200</v>
      </c>
      <c r="H2399" s="9">
        <f t="shared" si="74"/>
        <v>3.2</v>
      </c>
      <c r="I2399" t="s">
        <v>179</v>
      </c>
      <c r="J2399" s="33">
        <v>0</v>
      </c>
      <c r="K2399" s="18">
        <f>VLOOKUP(D2399,Ingredients!C:G,5,0)</f>
        <v>350</v>
      </c>
      <c r="L2399" s="52">
        <f t="shared" si="75"/>
        <v>5.6000000000000005</v>
      </c>
    </row>
    <row r="2400" spans="1:12">
      <c r="A2400" t="s">
        <v>534</v>
      </c>
      <c r="B2400" t="s">
        <v>346</v>
      </c>
      <c r="C2400" t="s">
        <v>454</v>
      </c>
      <c r="D2400" s="3" t="s">
        <v>35</v>
      </c>
      <c r="E2400" s="4">
        <v>0.2</v>
      </c>
      <c r="F2400" s="4" t="s">
        <v>252</v>
      </c>
      <c r="G2400" s="9">
        <v>13</v>
      </c>
      <c r="H2400" s="9">
        <f t="shared" si="74"/>
        <v>2.6</v>
      </c>
      <c r="I2400" t="s">
        <v>179</v>
      </c>
      <c r="J2400" s="33">
        <v>0</v>
      </c>
      <c r="K2400" s="18">
        <f>VLOOKUP(D2400,Ingredients!C:G,5,0)</f>
        <v>15</v>
      </c>
      <c r="L2400" s="52">
        <f t="shared" si="75"/>
        <v>3</v>
      </c>
    </row>
    <row r="2401" spans="1:12">
      <c r="A2401" t="s">
        <v>534</v>
      </c>
      <c r="B2401" t="s">
        <v>346</v>
      </c>
      <c r="C2401" t="s">
        <v>454</v>
      </c>
      <c r="D2401" s="3" t="s">
        <v>880</v>
      </c>
      <c r="E2401" s="4">
        <v>1.6E-2</v>
      </c>
      <c r="F2401" s="4" t="s">
        <v>176</v>
      </c>
      <c r="G2401" s="9">
        <v>650</v>
      </c>
      <c r="H2401" s="9">
        <f t="shared" si="74"/>
        <v>10.4</v>
      </c>
      <c r="I2401" t="s">
        <v>179</v>
      </c>
      <c r="J2401" s="33">
        <v>0</v>
      </c>
      <c r="K2401" s="18">
        <f>VLOOKUP(D2401,Ingredients!C:G,5,0)</f>
        <v>520</v>
      </c>
      <c r="L2401" s="52">
        <f t="shared" si="75"/>
        <v>8.32</v>
      </c>
    </row>
    <row r="2402" spans="1:12">
      <c r="A2402" t="s">
        <v>534</v>
      </c>
      <c r="B2402" t="s">
        <v>346</v>
      </c>
      <c r="C2402" t="s">
        <v>454</v>
      </c>
      <c r="D2402" s="3" t="s">
        <v>867</v>
      </c>
      <c r="E2402" s="4">
        <v>1.6E-2</v>
      </c>
      <c r="F2402" s="4" t="s">
        <v>176</v>
      </c>
      <c r="G2402" s="9">
        <v>900</v>
      </c>
      <c r="H2402" s="9">
        <f t="shared" si="74"/>
        <v>14.4</v>
      </c>
      <c r="I2402" t="s">
        <v>179</v>
      </c>
      <c r="J2402" s="33">
        <v>0</v>
      </c>
      <c r="K2402" s="18">
        <f>VLOOKUP(D2402,Ingredients!C:G,5,0)</f>
        <v>950</v>
      </c>
      <c r="L2402" s="52">
        <f t="shared" si="75"/>
        <v>15.200000000000001</v>
      </c>
    </row>
    <row r="2403" spans="1:12">
      <c r="A2403" t="s">
        <v>534</v>
      </c>
      <c r="B2403" t="s">
        <v>346</v>
      </c>
      <c r="C2403" t="s">
        <v>454</v>
      </c>
      <c r="D2403" s="3" t="s">
        <v>895</v>
      </c>
      <c r="E2403" s="4">
        <v>0.03</v>
      </c>
      <c r="F2403" s="4" t="s">
        <v>176</v>
      </c>
      <c r="G2403" s="9">
        <v>400</v>
      </c>
      <c r="H2403" s="9">
        <f t="shared" si="74"/>
        <v>12</v>
      </c>
      <c r="I2403" t="s">
        <v>179</v>
      </c>
      <c r="J2403" s="33">
        <v>0</v>
      </c>
      <c r="K2403" s="18">
        <f>VLOOKUP(D2403,Ingredients!C:G,5,0)</f>
        <v>400</v>
      </c>
      <c r="L2403" s="52">
        <f t="shared" si="75"/>
        <v>12</v>
      </c>
    </row>
    <row r="2404" spans="1:12">
      <c r="A2404" t="s">
        <v>534</v>
      </c>
      <c r="B2404" t="s">
        <v>346</v>
      </c>
      <c r="C2404" t="s">
        <v>454</v>
      </c>
      <c r="D2404" s="3" t="s">
        <v>860</v>
      </c>
      <c r="E2404" s="4">
        <v>0.03</v>
      </c>
      <c r="F2404" s="4" t="s">
        <v>176</v>
      </c>
      <c r="G2404" s="9">
        <v>2000</v>
      </c>
      <c r="H2404" s="9">
        <f t="shared" si="74"/>
        <v>60</v>
      </c>
      <c r="I2404" t="s">
        <v>179</v>
      </c>
      <c r="J2404" s="33">
        <v>0</v>
      </c>
      <c r="K2404" s="18">
        <f>VLOOKUP(D2404,Ingredients!C:G,5,0)</f>
        <v>1900</v>
      </c>
      <c r="L2404" s="52">
        <f t="shared" si="75"/>
        <v>57</v>
      </c>
    </row>
    <row r="2405" spans="1:12">
      <c r="A2405" t="s">
        <v>159</v>
      </c>
      <c r="B2405" t="s">
        <v>346</v>
      </c>
      <c r="C2405" t="s">
        <v>454</v>
      </c>
      <c r="D2405" s="3" t="s">
        <v>158</v>
      </c>
      <c r="E2405" s="4">
        <v>1</v>
      </c>
      <c r="F2405" s="4" t="s">
        <v>176</v>
      </c>
      <c r="G2405" s="9">
        <v>40</v>
      </c>
      <c r="H2405" s="9">
        <f t="shared" si="74"/>
        <v>40</v>
      </c>
      <c r="I2405" t="s">
        <v>179</v>
      </c>
      <c r="J2405" s="33">
        <v>0</v>
      </c>
      <c r="K2405" s="18">
        <f>VLOOKUP(D2405,Ingredients!C:G,5,0)</f>
        <v>45</v>
      </c>
      <c r="L2405" s="52">
        <f t="shared" si="75"/>
        <v>45</v>
      </c>
    </row>
    <row r="2406" spans="1:12">
      <c r="A2406" t="s">
        <v>159</v>
      </c>
      <c r="B2406" t="s">
        <v>346</v>
      </c>
      <c r="C2406" t="s">
        <v>454</v>
      </c>
      <c r="D2406" s="3" t="s">
        <v>896</v>
      </c>
      <c r="E2406" s="4">
        <v>0.25</v>
      </c>
      <c r="F2406" s="4" t="s">
        <v>176</v>
      </c>
      <c r="G2406" s="9">
        <v>330</v>
      </c>
      <c r="H2406" s="9">
        <f t="shared" si="74"/>
        <v>82.5</v>
      </c>
      <c r="I2406" t="s">
        <v>179</v>
      </c>
      <c r="J2406" s="33">
        <v>0</v>
      </c>
      <c r="K2406" s="18">
        <f>VLOOKUP(D2406,Ingredients!C:G,5,0)</f>
        <v>1650</v>
      </c>
      <c r="L2406" s="52">
        <f t="shared" si="75"/>
        <v>412.5</v>
      </c>
    </row>
    <row r="2407" spans="1:12">
      <c r="A2407" t="s">
        <v>159</v>
      </c>
      <c r="B2407" t="s">
        <v>346</v>
      </c>
      <c r="C2407" t="s">
        <v>454</v>
      </c>
      <c r="D2407" s="3" t="s">
        <v>852</v>
      </c>
      <c r="E2407" s="4">
        <v>0.08</v>
      </c>
      <c r="F2407" s="4" t="s">
        <v>176</v>
      </c>
      <c r="G2407" s="9">
        <v>520.63</v>
      </c>
      <c r="H2407" s="9">
        <f t="shared" si="74"/>
        <v>41.650399999999998</v>
      </c>
      <c r="I2407" t="s">
        <v>179</v>
      </c>
      <c r="J2407" s="33">
        <v>0</v>
      </c>
      <c r="K2407" s="18">
        <v>550</v>
      </c>
      <c r="L2407" s="52">
        <f t="shared" si="75"/>
        <v>44</v>
      </c>
    </row>
    <row r="2408" spans="1:12">
      <c r="A2408" t="s">
        <v>159</v>
      </c>
      <c r="B2408" t="s">
        <v>346</v>
      </c>
      <c r="C2408" t="s">
        <v>454</v>
      </c>
      <c r="D2408" s="3" t="s">
        <v>865</v>
      </c>
      <c r="E2408" s="4">
        <v>0.08</v>
      </c>
      <c r="F2408" s="4" t="s">
        <v>176</v>
      </c>
      <c r="G2408" s="9">
        <v>1400</v>
      </c>
      <c r="H2408" s="9">
        <f t="shared" si="74"/>
        <v>112</v>
      </c>
      <c r="I2408" t="s">
        <v>179</v>
      </c>
      <c r="J2408" s="33">
        <v>0</v>
      </c>
      <c r="K2408" s="18">
        <f>VLOOKUP(D2408,Ingredients!C:G,5,0)</f>
        <v>1400</v>
      </c>
      <c r="L2408" s="52">
        <f t="shared" si="75"/>
        <v>112</v>
      </c>
    </row>
    <row r="2409" spans="1:12">
      <c r="A2409" t="s">
        <v>159</v>
      </c>
      <c r="B2409" t="s">
        <v>346</v>
      </c>
      <c r="C2409" t="s">
        <v>454</v>
      </c>
      <c r="D2409" s="3" t="s">
        <v>24</v>
      </c>
      <c r="E2409" s="4">
        <v>0.14000000000000001</v>
      </c>
      <c r="F2409" s="4" t="s">
        <v>176</v>
      </c>
      <c r="G2409" s="9">
        <v>55</v>
      </c>
      <c r="H2409" s="9">
        <f t="shared" si="74"/>
        <v>7.7000000000000011</v>
      </c>
      <c r="I2409" t="s">
        <v>179</v>
      </c>
      <c r="J2409" s="33">
        <v>0</v>
      </c>
      <c r="K2409" s="18">
        <f>VLOOKUP(D2409,Ingredients!C:G,5,0)</f>
        <v>80</v>
      </c>
      <c r="L2409" s="52">
        <f t="shared" si="75"/>
        <v>11.200000000000001</v>
      </c>
    </row>
    <row r="2410" spans="1:12">
      <c r="A2410" t="s">
        <v>159</v>
      </c>
      <c r="B2410" t="s">
        <v>346</v>
      </c>
      <c r="C2410" t="s">
        <v>454</v>
      </c>
      <c r="D2410" s="3" t="s">
        <v>853</v>
      </c>
      <c r="E2410" s="4">
        <v>2.5000000000000001E-2</v>
      </c>
      <c r="F2410" s="4" t="s">
        <v>176</v>
      </c>
      <c r="G2410" s="9">
        <v>30</v>
      </c>
      <c r="H2410" s="9">
        <f t="shared" si="74"/>
        <v>0.75</v>
      </c>
      <c r="I2410" t="s">
        <v>179</v>
      </c>
      <c r="J2410" s="33">
        <v>0</v>
      </c>
      <c r="K2410" s="18">
        <f>VLOOKUP(D2410,Ingredients!C:G,5,0)</f>
        <v>55</v>
      </c>
      <c r="L2410" s="52">
        <f t="shared" si="75"/>
        <v>1.375</v>
      </c>
    </row>
    <row r="2411" spans="1:12">
      <c r="A2411" t="s">
        <v>159</v>
      </c>
      <c r="B2411" t="s">
        <v>346</v>
      </c>
      <c r="C2411" t="s">
        <v>454</v>
      </c>
      <c r="D2411" s="3" t="s">
        <v>867</v>
      </c>
      <c r="E2411" s="4">
        <v>0.03</v>
      </c>
      <c r="F2411" s="4" t="s">
        <v>176</v>
      </c>
      <c r="G2411" s="9">
        <v>900</v>
      </c>
      <c r="H2411" s="9">
        <f t="shared" si="74"/>
        <v>27</v>
      </c>
      <c r="I2411" t="s">
        <v>179</v>
      </c>
      <c r="J2411" s="33">
        <v>0</v>
      </c>
      <c r="K2411" s="18">
        <f>VLOOKUP(D2411,Ingredients!C:G,5,0)</f>
        <v>950</v>
      </c>
      <c r="L2411" s="52">
        <f t="shared" si="75"/>
        <v>28.5</v>
      </c>
    </row>
    <row r="2412" spans="1:12">
      <c r="A2412" t="s">
        <v>159</v>
      </c>
      <c r="B2412" t="s">
        <v>346</v>
      </c>
      <c r="C2412" t="s">
        <v>454</v>
      </c>
      <c r="D2412" s="3" t="s">
        <v>895</v>
      </c>
      <c r="E2412" s="4">
        <v>1.4999999999999999E-2</v>
      </c>
      <c r="F2412" s="4" t="s">
        <v>176</v>
      </c>
      <c r="G2412" s="9">
        <v>400</v>
      </c>
      <c r="H2412" s="9">
        <f t="shared" ref="H2412:H2475" si="76">G2412*E2412</f>
        <v>6</v>
      </c>
      <c r="I2412" t="s">
        <v>179</v>
      </c>
      <c r="J2412" s="33">
        <v>0</v>
      </c>
      <c r="K2412" s="18">
        <f>VLOOKUP(D2412,Ingredients!C:G,5,0)</f>
        <v>400</v>
      </c>
      <c r="L2412" s="52">
        <f t="shared" si="75"/>
        <v>6</v>
      </c>
    </row>
    <row r="2413" spans="1:12">
      <c r="A2413" t="s">
        <v>159</v>
      </c>
      <c r="B2413" t="s">
        <v>346</v>
      </c>
      <c r="C2413" t="s">
        <v>454</v>
      </c>
      <c r="D2413" s="3" t="s">
        <v>887</v>
      </c>
      <c r="E2413" s="4">
        <v>8.0000000000000002E-3</v>
      </c>
      <c r="F2413" s="4" t="s">
        <v>176</v>
      </c>
      <c r="G2413" s="9">
        <v>1600</v>
      </c>
      <c r="H2413" s="9">
        <f t="shared" si="76"/>
        <v>12.8</v>
      </c>
      <c r="I2413" t="s">
        <v>179</v>
      </c>
      <c r="J2413" s="33">
        <v>0</v>
      </c>
      <c r="K2413" s="18">
        <f>VLOOKUP(D2413,Ingredients!C:G,5,0)</f>
        <v>1830</v>
      </c>
      <c r="L2413" s="52">
        <f t="shared" si="75"/>
        <v>14.64</v>
      </c>
    </row>
    <row r="2414" spans="1:12">
      <c r="A2414" t="s">
        <v>159</v>
      </c>
      <c r="B2414" t="s">
        <v>346</v>
      </c>
      <c r="C2414" t="s">
        <v>454</v>
      </c>
      <c r="D2414" s="3" t="s">
        <v>872</v>
      </c>
      <c r="E2414" s="4">
        <v>8.0000000000000002E-3</v>
      </c>
      <c r="F2414" s="4" t="s">
        <v>176</v>
      </c>
      <c r="G2414" s="9">
        <v>2100</v>
      </c>
      <c r="H2414" s="9">
        <f t="shared" si="76"/>
        <v>16.8</v>
      </c>
      <c r="I2414" t="s">
        <v>179</v>
      </c>
      <c r="J2414" s="33">
        <v>0</v>
      </c>
      <c r="K2414" s="18">
        <f>VLOOKUP(D2414,Ingredients!C:G,5,0)</f>
        <v>2150</v>
      </c>
      <c r="L2414" s="52">
        <f t="shared" si="75"/>
        <v>17.2</v>
      </c>
    </row>
    <row r="2415" spans="1:12">
      <c r="A2415" t="s">
        <v>159</v>
      </c>
      <c r="B2415" t="s">
        <v>346</v>
      </c>
      <c r="C2415" t="s">
        <v>454</v>
      </c>
      <c r="D2415" s="3" t="s">
        <v>879</v>
      </c>
      <c r="E2415" s="4">
        <v>8.0000000000000002E-3</v>
      </c>
      <c r="F2415" s="4" t="s">
        <v>176</v>
      </c>
      <c r="G2415" s="9">
        <v>1113.51</v>
      </c>
      <c r="H2415" s="9">
        <f t="shared" si="76"/>
        <v>8.90808</v>
      </c>
      <c r="I2415" t="s">
        <v>179</v>
      </c>
      <c r="J2415" s="33">
        <v>0</v>
      </c>
      <c r="K2415" s="18">
        <f>VLOOKUP(D2415,Ingredients!C:G,5,0)</f>
        <v>1066.33</v>
      </c>
      <c r="L2415" s="52">
        <f t="shared" si="75"/>
        <v>8.53064</v>
      </c>
    </row>
    <row r="2416" spans="1:12">
      <c r="A2416" t="s">
        <v>535</v>
      </c>
      <c r="B2416" t="s">
        <v>349</v>
      </c>
      <c r="C2416" t="s">
        <v>350</v>
      </c>
      <c r="D2416" s="3" t="s">
        <v>836</v>
      </c>
      <c r="E2416" s="14">
        <v>1</v>
      </c>
      <c r="F2416" s="4" t="s">
        <v>176</v>
      </c>
      <c r="G2416" s="9">
        <v>1957.5</v>
      </c>
      <c r="H2416" s="9">
        <f t="shared" si="76"/>
        <v>1957.5</v>
      </c>
      <c r="I2416" t="s">
        <v>179</v>
      </c>
      <c r="J2416" s="33" t="s">
        <v>504</v>
      </c>
      <c r="K2416" s="18">
        <f>VLOOKUP(D2416,Ingredients!C:G,5,0)</f>
        <v>2200</v>
      </c>
      <c r="L2416" s="52">
        <f t="shared" si="75"/>
        <v>2200</v>
      </c>
    </row>
    <row r="2417" spans="1:12">
      <c r="A2417" t="s">
        <v>535</v>
      </c>
      <c r="B2417" t="s">
        <v>349</v>
      </c>
      <c r="C2417" t="s">
        <v>350</v>
      </c>
      <c r="D2417" s="3" t="s">
        <v>24</v>
      </c>
      <c r="E2417" s="14">
        <v>0.17777777777777778</v>
      </c>
      <c r="F2417" s="4" t="s">
        <v>176</v>
      </c>
      <c r="G2417" s="9">
        <v>55</v>
      </c>
      <c r="H2417" s="9">
        <f t="shared" si="76"/>
        <v>9.7777777777777786</v>
      </c>
      <c r="I2417" t="s">
        <v>179</v>
      </c>
      <c r="J2417" s="33" t="s">
        <v>504</v>
      </c>
      <c r="K2417" s="18">
        <f>VLOOKUP(D2417,Ingredients!C:G,5,0)</f>
        <v>80</v>
      </c>
      <c r="L2417" s="52">
        <f t="shared" si="75"/>
        <v>14.222222222222223</v>
      </c>
    </row>
    <row r="2418" spans="1:12">
      <c r="A2418" t="s">
        <v>535</v>
      </c>
      <c r="B2418" t="s">
        <v>349</v>
      </c>
      <c r="C2418" t="s">
        <v>350</v>
      </c>
      <c r="D2418" s="3" t="s">
        <v>29</v>
      </c>
      <c r="E2418" s="14">
        <v>6.6666666666666666E-2</v>
      </c>
      <c r="F2418" s="4" t="s">
        <v>176</v>
      </c>
      <c r="G2418" s="9">
        <v>60</v>
      </c>
      <c r="H2418" s="9">
        <f t="shared" si="76"/>
        <v>4</v>
      </c>
      <c r="I2418" t="s">
        <v>179</v>
      </c>
      <c r="J2418" s="33" t="s">
        <v>504</v>
      </c>
      <c r="K2418" s="18">
        <f>VLOOKUP(D2418,Ingredients!C:G,5,0)</f>
        <v>100</v>
      </c>
      <c r="L2418" s="52">
        <f t="shared" si="75"/>
        <v>6.666666666666667</v>
      </c>
    </row>
    <row r="2419" spans="1:12">
      <c r="A2419" t="s">
        <v>535</v>
      </c>
      <c r="B2419" t="s">
        <v>349</v>
      </c>
      <c r="C2419" t="s">
        <v>350</v>
      </c>
      <c r="D2419" s="3" t="s">
        <v>497</v>
      </c>
      <c r="E2419" s="14">
        <v>6.6666666666666666E-2</v>
      </c>
      <c r="F2419" s="4" t="s">
        <v>176</v>
      </c>
      <c r="G2419" s="9">
        <v>350</v>
      </c>
      <c r="H2419" s="9">
        <f t="shared" si="76"/>
        <v>23.333333333333332</v>
      </c>
      <c r="I2419" t="s">
        <v>179</v>
      </c>
      <c r="J2419" s="33" t="s">
        <v>504</v>
      </c>
      <c r="K2419" s="18">
        <f>VLOOKUP(D2419,Ingredients!C:G,5,0)</f>
        <v>400</v>
      </c>
      <c r="L2419" s="52">
        <f t="shared" si="75"/>
        <v>26.666666666666668</v>
      </c>
    </row>
    <row r="2420" spans="1:12">
      <c r="A2420" t="s">
        <v>535</v>
      </c>
      <c r="B2420" t="s">
        <v>349</v>
      </c>
      <c r="C2420" t="s">
        <v>350</v>
      </c>
      <c r="D2420" s="3" t="s">
        <v>849</v>
      </c>
      <c r="E2420" s="14">
        <v>1.7777777777777778E-2</v>
      </c>
      <c r="F2420" s="4" t="s">
        <v>176</v>
      </c>
      <c r="G2420" s="9">
        <v>1000</v>
      </c>
      <c r="H2420" s="9">
        <f t="shared" si="76"/>
        <v>17.777777777777779</v>
      </c>
      <c r="I2420" t="s">
        <v>179</v>
      </c>
      <c r="J2420" s="33" t="s">
        <v>504</v>
      </c>
      <c r="K2420" s="18">
        <f>VLOOKUP(D2420,Ingredients!C:G,5,0)</f>
        <v>950</v>
      </c>
      <c r="L2420" s="52">
        <f t="shared" si="75"/>
        <v>16.888888888888889</v>
      </c>
    </row>
    <row r="2421" spans="1:12">
      <c r="A2421" t="s">
        <v>535</v>
      </c>
      <c r="B2421" t="s">
        <v>349</v>
      </c>
      <c r="C2421" t="s">
        <v>350</v>
      </c>
      <c r="D2421" s="3" t="s">
        <v>16</v>
      </c>
      <c r="E2421" s="14">
        <v>4.4444444444444446E-2</v>
      </c>
      <c r="F2421" s="4" t="s">
        <v>176</v>
      </c>
      <c r="G2421" s="9">
        <v>270</v>
      </c>
      <c r="H2421" s="9">
        <f t="shared" si="76"/>
        <v>12</v>
      </c>
      <c r="I2421" t="s">
        <v>179</v>
      </c>
      <c r="J2421" s="33" t="s">
        <v>504</v>
      </c>
      <c r="K2421" s="18">
        <f>VLOOKUP(D2421,Ingredients!C:G,5,0)</f>
        <v>310</v>
      </c>
      <c r="L2421" s="52">
        <f t="shared" si="75"/>
        <v>13.777777777777779</v>
      </c>
    </row>
    <row r="2422" spans="1:12">
      <c r="A2422" t="s">
        <v>535</v>
      </c>
      <c r="B2422" t="s">
        <v>349</v>
      </c>
      <c r="C2422" t="s">
        <v>350</v>
      </c>
      <c r="D2422" s="3" t="s">
        <v>853</v>
      </c>
      <c r="E2422" s="14">
        <v>2.6666666666666668E-2</v>
      </c>
      <c r="F2422" s="4" t="s">
        <v>176</v>
      </c>
      <c r="G2422" s="9">
        <v>30</v>
      </c>
      <c r="H2422" s="9">
        <f t="shared" si="76"/>
        <v>0.8</v>
      </c>
      <c r="I2422" t="s">
        <v>179</v>
      </c>
      <c r="J2422" s="33" t="s">
        <v>504</v>
      </c>
      <c r="K2422" s="18">
        <f>VLOOKUP(D2422,Ingredients!C:G,5,0)</f>
        <v>55</v>
      </c>
      <c r="L2422" s="52">
        <f t="shared" si="75"/>
        <v>1.4666666666666668</v>
      </c>
    </row>
    <row r="2423" spans="1:12">
      <c r="A2423" t="s">
        <v>535</v>
      </c>
      <c r="B2423" t="s">
        <v>349</v>
      </c>
      <c r="C2423" t="s">
        <v>350</v>
      </c>
      <c r="D2423" s="3" t="s">
        <v>882</v>
      </c>
      <c r="E2423" s="14">
        <v>3.3333333333333333E-2</v>
      </c>
      <c r="F2423" s="4" t="s">
        <v>176</v>
      </c>
      <c r="G2423" s="9">
        <v>1500</v>
      </c>
      <c r="H2423" s="9">
        <f t="shared" si="76"/>
        <v>50</v>
      </c>
      <c r="I2423" t="s">
        <v>179</v>
      </c>
      <c r="J2423" s="33" t="s">
        <v>504</v>
      </c>
      <c r="K2423" s="18">
        <f>VLOOKUP(D2423,Ingredients!C:G,5,0)</f>
        <v>1450</v>
      </c>
      <c r="L2423" s="52">
        <f t="shared" si="75"/>
        <v>48.333333333333336</v>
      </c>
    </row>
    <row r="2424" spans="1:12">
      <c r="A2424" t="s">
        <v>536</v>
      </c>
      <c r="B2424" t="s">
        <v>346</v>
      </c>
      <c r="C2424" t="s">
        <v>993</v>
      </c>
      <c r="D2424" s="3" t="s">
        <v>956</v>
      </c>
      <c r="E2424" s="14">
        <v>0.999</v>
      </c>
      <c r="F2424" s="4" t="s">
        <v>176</v>
      </c>
      <c r="G2424" s="9">
        <v>260</v>
      </c>
      <c r="H2424" s="9">
        <f t="shared" si="76"/>
        <v>259.74</v>
      </c>
      <c r="I2424" t="s">
        <v>179</v>
      </c>
      <c r="J2424" s="33">
        <v>0</v>
      </c>
      <c r="K2424" s="18">
        <f>VLOOKUP(D2424,Ingredients!C:G,5,0)</f>
        <v>246</v>
      </c>
      <c r="L2424" s="52">
        <f t="shared" si="75"/>
        <v>245.75399999999999</v>
      </c>
    </row>
    <row r="2425" spans="1:12">
      <c r="A2425" t="s">
        <v>536</v>
      </c>
      <c r="B2425" t="s">
        <v>346</v>
      </c>
      <c r="C2425" t="s">
        <v>993</v>
      </c>
      <c r="D2425" s="3" t="s">
        <v>24</v>
      </c>
      <c r="E2425" s="14">
        <v>0.4995</v>
      </c>
      <c r="F2425" s="4" t="s">
        <v>176</v>
      </c>
      <c r="G2425" s="9">
        <v>55</v>
      </c>
      <c r="H2425" s="9">
        <f t="shared" si="76"/>
        <v>27.4725</v>
      </c>
      <c r="I2425" t="s">
        <v>179</v>
      </c>
      <c r="J2425" s="33">
        <v>0</v>
      </c>
      <c r="K2425" s="18">
        <f>VLOOKUP(D2425,Ingredients!C:G,5,0)</f>
        <v>80</v>
      </c>
      <c r="L2425" s="52">
        <f t="shared" si="75"/>
        <v>39.96</v>
      </c>
    </row>
    <row r="2426" spans="1:12">
      <c r="A2426" t="s">
        <v>536</v>
      </c>
      <c r="B2426" t="s">
        <v>346</v>
      </c>
      <c r="C2426" t="s">
        <v>993</v>
      </c>
      <c r="D2426" s="3" t="s">
        <v>28</v>
      </c>
      <c r="E2426" s="14">
        <v>0.39960000000000001</v>
      </c>
      <c r="F2426" s="4" t="s">
        <v>176</v>
      </c>
      <c r="G2426" s="9">
        <v>85</v>
      </c>
      <c r="H2426" s="9">
        <f t="shared" si="76"/>
        <v>33.966000000000001</v>
      </c>
      <c r="I2426" t="s">
        <v>179</v>
      </c>
      <c r="J2426" s="33">
        <v>0</v>
      </c>
      <c r="K2426" s="18">
        <f>VLOOKUP(D2426,Ingredients!C:G,5,0)</f>
        <v>70</v>
      </c>
      <c r="L2426" s="52">
        <f t="shared" si="75"/>
        <v>27.972000000000001</v>
      </c>
    </row>
    <row r="2427" spans="1:12">
      <c r="A2427" t="s">
        <v>536</v>
      </c>
      <c r="B2427" t="s">
        <v>346</v>
      </c>
      <c r="C2427" t="s">
        <v>993</v>
      </c>
      <c r="D2427" s="3" t="s">
        <v>853</v>
      </c>
      <c r="E2427" s="14">
        <v>4.9950000000000001E-2</v>
      </c>
      <c r="F2427" s="4" t="s">
        <v>176</v>
      </c>
      <c r="G2427" s="9">
        <v>30</v>
      </c>
      <c r="H2427" s="9">
        <f t="shared" si="76"/>
        <v>1.4984999999999999</v>
      </c>
      <c r="I2427" t="s">
        <v>179</v>
      </c>
      <c r="J2427" s="33">
        <v>0</v>
      </c>
      <c r="K2427" s="18">
        <f>VLOOKUP(D2427,Ingredients!C:G,5,0)</f>
        <v>55</v>
      </c>
      <c r="L2427" s="52">
        <f t="shared" si="75"/>
        <v>2.7472500000000002</v>
      </c>
    </row>
    <row r="2428" spans="1:12">
      <c r="A2428" t="s">
        <v>536</v>
      </c>
      <c r="B2428" t="s">
        <v>346</v>
      </c>
      <c r="C2428" t="s">
        <v>993</v>
      </c>
      <c r="D2428" s="3" t="s">
        <v>855</v>
      </c>
      <c r="E2428" s="14">
        <v>4.9950000000000001E-2</v>
      </c>
      <c r="F2428" s="4" t="s">
        <v>176</v>
      </c>
      <c r="G2428" s="9">
        <v>2400</v>
      </c>
      <c r="H2428" s="9">
        <f t="shared" si="76"/>
        <v>119.88000000000001</v>
      </c>
      <c r="I2428" t="s">
        <v>179</v>
      </c>
      <c r="J2428" s="33">
        <v>0</v>
      </c>
      <c r="K2428" s="18">
        <f>VLOOKUP(D2428,Ingredients!C:G,5,0)</f>
        <v>1600</v>
      </c>
      <c r="L2428" s="52">
        <f t="shared" si="75"/>
        <v>79.92</v>
      </c>
    </row>
    <row r="2429" spans="1:12">
      <c r="A2429" t="s">
        <v>536</v>
      </c>
      <c r="B2429" t="s">
        <v>346</v>
      </c>
      <c r="C2429" t="s">
        <v>993</v>
      </c>
      <c r="D2429" s="3" t="s">
        <v>849</v>
      </c>
      <c r="E2429" s="14">
        <v>4.9950000000000001E-2</v>
      </c>
      <c r="F2429" s="4" t="s">
        <v>176</v>
      </c>
      <c r="G2429" s="9">
        <v>1000</v>
      </c>
      <c r="H2429" s="9">
        <f t="shared" si="76"/>
        <v>49.95</v>
      </c>
      <c r="I2429" t="s">
        <v>179</v>
      </c>
      <c r="J2429" s="33">
        <v>0</v>
      </c>
      <c r="K2429" s="18">
        <f>VLOOKUP(D2429,Ingredients!C:G,5,0)</f>
        <v>950</v>
      </c>
      <c r="L2429" s="52">
        <f t="shared" si="75"/>
        <v>47.452500000000001</v>
      </c>
    </row>
    <row r="2430" spans="1:12">
      <c r="A2430" t="s">
        <v>536</v>
      </c>
      <c r="B2430" t="s">
        <v>346</v>
      </c>
      <c r="C2430" t="s">
        <v>993</v>
      </c>
      <c r="D2430" s="3" t="s">
        <v>882</v>
      </c>
      <c r="E2430" s="14">
        <v>2.664E-2</v>
      </c>
      <c r="F2430" s="4" t="s">
        <v>176</v>
      </c>
      <c r="G2430" s="9">
        <v>1500</v>
      </c>
      <c r="H2430" s="9">
        <f t="shared" si="76"/>
        <v>39.96</v>
      </c>
      <c r="I2430" t="s">
        <v>179</v>
      </c>
      <c r="J2430" s="33">
        <v>0</v>
      </c>
      <c r="K2430" s="18">
        <f>VLOOKUP(D2430,Ingredients!C:G,5,0)</f>
        <v>1450</v>
      </c>
      <c r="L2430" s="52">
        <f t="shared" si="75"/>
        <v>38.628</v>
      </c>
    </row>
    <row r="2431" spans="1:12">
      <c r="A2431" t="s">
        <v>537</v>
      </c>
      <c r="B2431" t="s">
        <v>346</v>
      </c>
      <c r="C2431" t="s">
        <v>353</v>
      </c>
      <c r="D2431" s="3" t="s">
        <v>884</v>
      </c>
      <c r="E2431" s="4">
        <v>0.996</v>
      </c>
      <c r="F2431" s="4" t="s">
        <v>176</v>
      </c>
      <c r="G2431" s="9">
        <v>344</v>
      </c>
      <c r="H2431" s="9">
        <f t="shared" si="76"/>
        <v>342.62400000000002</v>
      </c>
      <c r="I2431" t="s">
        <v>179</v>
      </c>
      <c r="J2431" s="33">
        <v>0</v>
      </c>
      <c r="K2431" s="18">
        <f>VLOOKUP(D2431,Ingredients!C:G,5,0)</f>
        <v>344</v>
      </c>
      <c r="L2431" s="52">
        <f t="shared" si="75"/>
        <v>342.62400000000002</v>
      </c>
    </row>
    <row r="2432" spans="1:12">
      <c r="A2432" t="s">
        <v>537</v>
      </c>
      <c r="B2432" t="s">
        <v>346</v>
      </c>
      <c r="C2432" t="s">
        <v>353</v>
      </c>
      <c r="D2432" s="3" t="s">
        <v>868</v>
      </c>
      <c r="E2432" s="4">
        <v>0.249</v>
      </c>
      <c r="F2432" s="4" t="s">
        <v>317</v>
      </c>
      <c r="G2432" s="9">
        <v>5432.77</v>
      </c>
      <c r="H2432" s="9">
        <f t="shared" si="76"/>
        <v>1352.75973</v>
      </c>
      <c r="I2432" t="s">
        <v>179</v>
      </c>
      <c r="J2432" s="33">
        <v>0</v>
      </c>
      <c r="K2432" s="18">
        <f>VLOOKUP(D2432,Ingredients!C:G,5,0)</f>
        <v>3200</v>
      </c>
      <c r="L2432" s="52">
        <f t="shared" si="75"/>
        <v>796.8</v>
      </c>
    </row>
    <row r="2433" spans="1:12">
      <c r="A2433" t="s">
        <v>537</v>
      </c>
      <c r="B2433" t="s">
        <v>346</v>
      </c>
      <c r="C2433" t="s">
        <v>353</v>
      </c>
      <c r="D2433" s="3" t="s">
        <v>918</v>
      </c>
      <c r="E2433" s="4">
        <v>0.3735</v>
      </c>
      <c r="F2433" s="4" t="s">
        <v>176</v>
      </c>
      <c r="G2433" s="9">
        <v>54</v>
      </c>
      <c r="H2433" s="9">
        <f t="shared" si="76"/>
        <v>20.169</v>
      </c>
      <c r="I2433" t="s">
        <v>179</v>
      </c>
      <c r="J2433" s="33">
        <v>0</v>
      </c>
      <c r="K2433" s="18">
        <f>VLOOKUP(D2433,Ingredients!C:G,5,0)</f>
        <v>308.57142857142861</v>
      </c>
      <c r="L2433" s="52">
        <f t="shared" si="75"/>
        <v>115.25142857142859</v>
      </c>
    </row>
    <row r="2434" spans="1:12">
      <c r="A2434" t="s">
        <v>537</v>
      </c>
      <c r="B2434" t="s">
        <v>346</v>
      </c>
      <c r="C2434" t="s">
        <v>353</v>
      </c>
      <c r="D2434" s="3" t="s">
        <v>865</v>
      </c>
      <c r="E2434" s="4">
        <v>0.249</v>
      </c>
      <c r="F2434" s="4" t="s">
        <v>176</v>
      </c>
      <c r="G2434" s="9">
        <v>1400</v>
      </c>
      <c r="H2434" s="9">
        <f t="shared" si="76"/>
        <v>348.6</v>
      </c>
      <c r="I2434" t="s">
        <v>179</v>
      </c>
      <c r="J2434" s="33">
        <v>0</v>
      </c>
      <c r="K2434" s="18">
        <f>VLOOKUP(D2434,Ingredients!C:G,5,0)</f>
        <v>1400</v>
      </c>
      <c r="L2434" s="52">
        <f t="shared" si="75"/>
        <v>348.6</v>
      </c>
    </row>
    <row r="2435" spans="1:12">
      <c r="A2435" t="s">
        <v>537</v>
      </c>
      <c r="B2435" t="s">
        <v>346</v>
      </c>
      <c r="C2435" t="s">
        <v>353</v>
      </c>
      <c r="D2435" s="3" t="s">
        <v>853</v>
      </c>
      <c r="E2435" s="4">
        <v>0.249</v>
      </c>
      <c r="F2435" s="4" t="s">
        <v>176</v>
      </c>
      <c r="G2435" s="9">
        <v>30</v>
      </c>
      <c r="H2435" s="9">
        <f t="shared" si="76"/>
        <v>7.47</v>
      </c>
      <c r="I2435" t="s">
        <v>179</v>
      </c>
      <c r="J2435" s="33">
        <v>0</v>
      </c>
      <c r="K2435" s="18">
        <f>VLOOKUP(D2435,Ingredients!C:G,5,0)</f>
        <v>55</v>
      </c>
      <c r="L2435" s="52">
        <f t="shared" si="75"/>
        <v>13.695</v>
      </c>
    </row>
    <row r="2436" spans="1:12">
      <c r="A2436" t="s">
        <v>538</v>
      </c>
      <c r="B2436" t="s">
        <v>355</v>
      </c>
      <c r="C2436" t="s">
        <v>523</v>
      </c>
      <c r="D2436" s="3" t="s">
        <v>830</v>
      </c>
      <c r="E2436" s="4">
        <v>3.0000000000000001E-3</v>
      </c>
      <c r="F2436" s="4" t="s">
        <v>176</v>
      </c>
      <c r="G2436" s="9">
        <v>149</v>
      </c>
      <c r="H2436" s="9">
        <f t="shared" si="76"/>
        <v>0.44700000000000001</v>
      </c>
      <c r="I2436" t="s">
        <v>253</v>
      </c>
      <c r="J2436" s="33">
        <v>0</v>
      </c>
      <c r="K2436" s="18">
        <f>VLOOKUP(D2436,Ingredients!C:G,5,0)</f>
        <v>123</v>
      </c>
      <c r="L2436" s="52">
        <f t="shared" ref="L2436:L2499" si="77">K2436*E2436</f>
        <v>0.36899999999999999</v>
      </c>
    </row>
    <row r="2437" spans="1:12">
      <c r="A2437" t="s">
        <v>538</v>
      </c>
      <c r="B2437" t="s">
        <v>355</v>
      </c>
      <c r="C2437" t="s">
        <v>523</v>
      </c>
      <c r="D2437" s="3" t="s">
        <v>905</v>
      </c>
      <c r="E2437" s="4">
        <v>2.1999999999999997E-3</v>
      </c>
      <c r="F2437" s="4" t="s">
        <v>179</v>
      </c>
      <c r="G2437" s="9">
        <v>912.5</v>
      </c>
      <c r="H2437" s="9">
        <f t="shared" si="76"/>
        <v>2.0074999999999998</v>
      </c>
      <c r="I2437" t="s">
        <v>253</v>
      </c>
      <c r="J2437" s="33">
        <v>0</v>
      </c>
      <c r="K2437" s="18">
        <f>VLOOKUP(D2437,Ingredients!C:G,5,0)</f>
        <v>1600</v>
      </c>
      <c r="L2437" s="52">
        <f t="shared" si="77"/>
        <v>3.5199999999999996</v>
      </c>
    </row>
    <row r="2438" spans="1:12">
      <c r="A2438" t="s">
        <v>538</v>
      </c>
      <c r="B2438" t="s">
        <v>355</v>
      </c>
      <c r="C2438" t="s">
        <v>523</v>
      </c>
      <c r="D2438" s="3" t="s">
        <v>913</v>
      </c>
      <c r="E2438" s="4">
        <v>0.01</v>
      </c>
      <c r="F2438" s="4" t="s">
        <v>317</v>
      </c>
      <c r="G2438" s="9">
        <v>229.16666666666666</v>
      </c>
      <c r="H2438" s="9">
        <f t="shared" si="76"/>
        <v>2.2916666666666665</v>
      </c>
      <c r="I2438" t="s">
        <v>253</v>
      </c>
      <c r="J2438" s="33">
        <v>0</v>
      </c>
      <c r="K2438" s="18">
        <f>VLOOKUP(D2438,Ingredients!C:F,3,0)</f>
        <v>343.75</v>
      </c>
      <c r="L2438" s="52">
        <f t="shared" si="77"/>
        <v>3.4375</v>
      </c>
    </row>
    <row r="2439" spans="1:12">
      <c r="A2439" t="s">
        <v>538</v>
      </c>
      <c r="B2439" t="s">
        <v>355</v>
      </c>
      <c r="C2439" t="s">
        <v>523</v>
      </c>
      <c r="D2439" s="3" t="s">
        <v>73</v>
      </c>
      <c r="E2439" s="4">
        <v>0.01</v>
      </c>
      <c r="F2439" s="4" t="s">
        <v>179</v>
      </c>
      <c r="G2439" s="9">
        <v>305</v>
      </c>
      <c r="H2439" s="9">
        <f t="shared" si="76"/>
        <v>3.0500000000000003</v>
      </c>
      <c r="I2439" t="s">
        <v>253</v>
      </c>
      <c r="J2439" s="33">
        <v>0</v>
      </c>
      <c r="K2439" s="18">
        <f>VLOOKUP(D2439,Ingredients!C:G,5,0)</f>
        <v>300</v>
      </c>
      <c r="L2439" s="52">
        <f t="shared" si="77"/>
        <v>3</v>
      </c>
    </row>
    <row r="2440" spans="1:12">
      <c r="A2440" t="s">
        <v>538</v>
      </c>
      <c r="B2440" t="s">
        <v>355</v>
      </c>
      <c r="C2440" t="s">
        <v>523</v>
      </c>
      <c r="D2440" s="3" t="s">
        <v>852</v>
      </c>
      <c r="E2440" s="4">
        <v>4.0000000000000001E-3</v>
      </c>
      <c r="F2440" s="4" t="s">
        <v>179</v>
      </c>
      <c r="G2440" s="9">
        <v>520.63</v>
      </c>
      <c r="H2440" s="9">
        <f t="shared" si="76"/>
        <v>2.0825200000000001</v>
      </c>
      <c r="I2440" t="s">
        <v>253</v>
      </c>
      <c r="J2440" s="33">
        <v>0</v>
      </c>
      <c r="K2440" s="18">
        <v>550</v>
      </c>
      <c r="L2440" s="52">
        <f t="shared" si="77"/>
        <v>2.2000000000000002</v>
      </c>
    </row>
    <row r="2441" spans="1:12">
      <c r="A2441" t="s">
        <v>538</v>
      </c>
      <c r="B2441" t="s">
        <v>355</v>
      </c>
      <c r="C2441" t="s">
        <v>523</v>
      </c>
      <c r="D2441" s="3" t="s">
        <v>16</v>
      </c>
      <c r="E2441" s="4">
        <v>1.5E-3</v>
      </c>
      <c r="F2441" s="4" t="s">
        <v>179</v>
      </c>
      <c r="G2441" s="9">
        <v>270</v>
      </c>
      <c r="H2441" s="9">
        <f t="shared" si="76"/>
        <v>0.40500000000000003</v>
      </c>
      <c r="I2441" t="s">
        <v>253</v>
      </c>
      <c r="J2441" s="33">
        <v>0</v>
      </c>
      <c r="K2441" s="18">
        <f>VLOOKUP(D2441,Ingredients!C:G,5,0)</f>
        <v>310</v>
      </c>
      <c r="L2441" s="52">
        <f t="shared" si="77"/>
        <v>0.46500000000000002</v>
      </c>
    </row>
    <row r="2442" spans="1:12">
      <c r="A2442" t="s">
        <v>538</v>
      </c>
      <c r="B2442" t="s">
        <v>355</v>
      </c>
      <c r="C2442" t="s">
        <v>523</v>
      </c>
      <c r="D2442" s="3" t="s">
        <v>903</v>
      </c>
      <c r="E2442" s="4">
        <v>5.6000000000000008E-2</v>
      </c>
      <c r="F2442" s="4" t="s">
        <v>179</v>
      </c>
      <c r="G2442" s="9">
        <v>153.97999999999999</v>
      </c>
      <c r="H2442" s="9">
        <f t="shared" si="76"/>
        <v>8.6228800000000003</v>
      </c>
      <c r="I2442" t="s">
        <v>253</v>
      </c>
      <c r="J2442" s="33">
        <v>0</v>
      </c>
      <c r="K2442" s="18">
        <f>VLOOKUP(D2442,Ingredients!C:G,5,0)</f>
        <v>152</v>
      </c>
      <c r="L2442" s="52">
        <f t="shared" si="77"/>
        <v>8.5120000000000005</v>
      </c>
    </row>
    <row r="2443" spans="1:12">
      <c r="A2443" t="s">
        <v>538</v>
      </c>
      <c r="B2443" t="s">
        <v>355</v>
      </c>
      <c r="C2443" t="s">
        <v>523</v>
      </c>
      <c r="D2443" s="3" t="s">
        <v>961</v>
      </c>
      <c r="E2443" s="4">
        <v>1.5E-3</v>
      </c>
      <c r="F2443" s="4" t="s">
        <v>179</v>
      </c>
      <c r="G2443" s="9">
        <v>1100</v>
      </c>
      <c r="H2443" s="9">
        <f t="shared" si="76"/>
        <v>1.6500000000000001</v>
      </c>
      <c r="I2443" t="s">
        <v>253</v>
      </c>
      <c r="J2443" s="33">
        <v>0</v>
      </c>
      <c r="K2443" s="18">
        <f>VLOOKUP(D2443,Ingredients!C:F,3,0)</f>
        <v>110</v>
      </c>
      <c r="L2443" s="52">
        <f t="shared" si="77"/>
        <v>0.16500000000000001</v>
      </c>
    </row>
    <row r="2444" spans="1:12">
      <c r="A2444" t="s">
        <v>538</v>
      </c>
      <c r="B2444" t="s">
        <v>355</v>
      </c>
      <c r="C2444" t="s">
        <v>523</v>
      </c>
      <c r="D2444" s="3" t="s">
        <v>853</v>
      </c>
      <c r="E2444" s="4">
        <v>1.5E-3</v>
      </c>
      <c r="F2444" s="4" t="s">
        <v>179</v>
      </c>
      <c r="G2444" s="9">
        <v>30</v>
      </c>
      <c r="H2444" s="9">
        <f t="shared" si="76"/>
        <v>4.4999999999999998E-2</v>
      </c>
      <c r="I2444" t="s">
        <v>253</v>
      </c>
      <c r="J2444" s="33">
        <v>0</v>
      </c>
      <c r="K2444" s="18">
        <f>VLOOKUP(D2444,Ingredients!C:G,5,0)</f>
        <v>55</v>
      </c>
      <c r="L2444" s="52">
        <f t="shared" si="77"/>
        <v>8.2500000000000004E-2</v>
      </c>
    </row>
    <row r="2445" spans="1:12">
      <c r="A2445" t="s">
        <v>538</v>
      </c>
      <c r="B2445" t="s">
        <v>355</v>
      </c>
      <c r="C2445" t="s">
        <v>523</v>
      </c>
      <c r="D2445" s="3" t="s">
        <v>865</v>
      </c>
      <c r="E2445" s="4">
        <v>8.9999999999999993E-3</v>
      </c>
      <c r="F2445" s="4" t="s">
        <v>179</v>
      </c>
      <c r="G2445" s="9">
        <v>1400</v>
      </c>
      <c r="H2445" s="9">
        <f t="shared" si="76"/>
        <v>12.6</v>
      </c>
      <c r="I2445" t="s">
        <v>253</v>
      </c>
      <c r="J2445" s="33">
        <v>0</v>
      </c>
      <c r="K2445" s="18">
        <f>VLOOKUP(D2445,Ingredients!C:G,5,0)</f>
        <v>1400</v>
      </c>
      <c r="L2445" s="52">
        <f t="shared" si="77"/>
        <v>12.6</v>
      </c>
    </row>
    <row r="2446" spans="1:12">
      <c r="A2446" t="s">
        <v>538</v>
      </c>
      <c r="B2446" t="s">
        <v>355</v>
      </c>
      <c r="C2446" t="s">
        <v>523</v>
      </c>
      <c r="D2446" s="3" t="s">
        <v>16</v>
      </c>
      <c r="E2446" s="4">
        <v>1.5E-3</v>
      </c>
      <c r="F2446" s="4" t="s">
        <v>179</v>
      </c>
      <c r="G2446" s="9">
        <v>270</v>
      </c>
      <c r="H2446" s="9">
        <f t="shared" si="76"/>
        <v>0.40500000000000003</v>
      </c>
      <c r="I2446" t="s">
        <v>253</v>
      </c>
      <c r="J2446" s="33">
        <v>0</v>
      </c>
      <c r="K2446" s="18">
        <f>VLOOKUP(D2446,Ingredients!C:G,5,0)</f>
        <v>310</v>
      </c>
      <c r="L2446" s="52">
        <f t="shared" si="77"/>
        <v>0.46500000000000002</v>
      </c>
    </row>
    <row r="2447" spans="1:12">
      <c r="A2447" t="s">
        <v>538</v>
      </c>
      <c r="B2447" t="s">
        <v>355</v>
      </c>
      <c r="C2447" t="s">
        <v>523</v>
      </c>
      <c r="D2447" s="3" t="s">
        <v>497</v>
      </c>
      <c r="E2447" s="4">
        <v>5.0000000000000001E-3</v>
      </c>
      <c r="F2447" s="4" t="s">
        <v>176</v>
      </c>
      <c r="G2447" s="9">
        <v>350</v>
      </c>
      <c r="H2447" s="9">
        <f t="shared" si="76"/>
        <v>1.75</v>
      </c>
      <c r="I2447" t="s">
        <v>253</v>
      </c>
      <c r="J2447" s="33">
        <v>0</v>
      </c>
      <c r="K2447" s="18">
        <f>VLOOKUP(D2447,Ingredients!C:G,5,0)</f>
        <v>400</v>
      </c>
      <c r="L2447" s="52">
        <f t="shared" si="77"/>
        <v>2</v>
      </c>
    </row>
    <row r="2448" spans="1:12">
      <c r="A2448" t="s">
        <v>540</v>
      </c>
      <c r="B2448" t="s">
        <v>356</v>
      </c>
      <c r="C2448" t="s">
        <v>454</v>
      </c>
      <c r="D2448" s="3" t="s">
        <v>830</v>
      </c>
      <c r="E2448" s="14">
        <v>0.62222222222222234</v>
      </c>
      <c r="F2448" s="4" t="s">
        <v>176</v>
      </c>
      <c r="G2448" s="9">
        <v>149</v>
      </c>
      <c r="H2448" s="9">
        <f t="shared" si="76"/>
        <v>92.711111111111123</v>
      </c>
      <c r="I2448" t="s">
        <v>179</v>
      </c>
      <c r="J2448" s="33">
        <v>0</v>
      </c>
      <c r="K2448" s="18">
        <f>VLOOKUP(D2448,Ingredients!C:G,5,0)</f>
        <v>123</v>
      </c>
      <c r="L2448" s="52">
        <f t="shared" si="77"/>
        <v>76.533333333333346</v>
      </c>
    </row>
    <row r="2449" spans="1:12">
      <c r="A2449" t="s">
        <v>540</v>
      </c>
      <c r="B2449" t="s">
        <v>356</v>
      </c>
      <c r="C2449" t="s">
        <v>454</v>
      </c>
      <c r="D2449" s="3" t="s">
        <v>939</v>
      </c>
      <c r="E2449" s="14">
        <v>0.18888888888888891</v>
      </c>
      <c r="F2449" s="4" t="s">
        <v>176</v>
      </c>
      <c r="G2449" s="9">
        <v>1250</v>
      </c>
      <c r="H2449" s="9">
        <f t="shared" si="76"/>
        <v>236.11111111111114</v>
      </c>
      <c r="I2449" t="s">
        <v>179</v>
      </c>
      <c r="J2449" s="33">
        <v>0</v>
      </c>
      <c r="K2449" s="18">
        <f>VLOOKUP(D2449,Ingredients!C:G,5,0)</f>
        <v>1500</v>
      </c>
      <c r="L2449" s="52">
        <f t="shared" si="77"/>
        <v>283.33333333333337</v>
      </c>
    </row>
    <row r="2450" spans="1:12">
      <c r="A2450" t="s">
        <v>540</v>
      </c>
      <c r="B2450" t="s">
        <v>356</v>
      </c>
      <c r="C2450" t="s">
        <v>454</v>
      </c>
      <c r="D2450" s="3" t="s">
        <v>310</v>
      </c>
      <c r="E2450" s="14">
        <v>2.2222222222222223E-2</v>
      </c>
      <c r="F2450" s="4" t="s">
        <v>176</v>
      </c>
      <c r="G2450" s="9">
        <v>425</v>
      </c>
      <c r="H2450" s="9">
        <f t="shared" si="76"/>
        <v>9.4444444444444446</v>
      </c>
      <c r="I2450" t="s">
        <v>179</v>
      </c>
      <c r="J2450" s="33">
        <v>0</v>
      </c>
      <c r="K2450" s="18">
        <f>VLOOKUP(D2450,Ingredients!C:G,5,0)</f>
        <v>850</v>
      </c>
      <c r="L2450" s="52">
        <f t="shared" si="77"/>
        <v>18.888888888888889</v>
      </c>
    </row>
    <row r="2451" spans="1:12">
      <c r="A2451" t="s">
        <v>540</v>
      </c>
      <c r="B2451" t="s">
        <v>356</v>
      </c>
      <c r="C2451" t="s">
        <v>454</v>
      </c>
      <c r="D2451" s="3" t="s">
        <v>542</v>
      </c>
      <c r="E2451" s="14">
        <v>2.2222222222222223E-2</v>
      </c>
      <c r="F2451" s="4" t="s">
        <v>317</v>
      </c>
      <c r="G2451" s="9">
        <v>1080</v>
      </c>
      <c r="H2451" s="9">
        <f t="shared" si="76"/>
        <v>24</v>
      </c>
      <c r="I2451" t="s">
        <v>179</v>
      </c>
      <c r="J2451" s="33">
        <v>0</v>
      </c>
      <c r="K2451" s="18">
        <f>VLOOKUP(D2451,Ingredients!C:G,5,0)</f>
        <v>850</v>
      </c>
      <c r="L2451" s="52">
        <f t="shared" si="77"/>
        <v>18.888888888888889</v>
      </c>
    </row>
    <row r="2452" spans="1:12">
      <c r="A2452" t="s">
        <v>540</v>
      </c>
      <c r="B2452" t="s">
        <v>356</v>
      </c>
      <c r="C2452" t="s">
        <v>454</v>
      </c>
      <c r="D2452" s="3" t="s">
        <v>913</v>
      </c>
      <c r="E2452" s="14">
        <v>1.0666666666666667</v>
      </c>
      <c r="F2452" s="4" t="s">
        <v>317</v>
      </c>
      <c r="G2452" s="9">
        <v>229.16666666666666</v>
      </c>
      <c r="H2452" s="9">
        <f t="shared" si="76"/>
        <v>244.44444444444443</v>
      </c>
      <c r="I2452" t="s">
        <v>179</v>
      </c>
      <c r="J2452" s="33">
        <v>0</v>
      </c>
      <c r="K2452" s="18">
        <f>VLOOKUP(D2452,Ingredients!C:F,3,0)</f>
        <v>343.75</v>
      </c>
      <c r="L2452" s="52">
        <f t="shared" si="77"/>
        <v>366.66666666666669</v>
      </c>
    </row>
    <row r="2453" spans="1:12">
      <c r="A2453" t="s">
        <v>540</v>
      </c>
      <c r="B2453" t="s">
        <v>356</v>
      </c>
      <c r="C2453" t="s">
        <v>454</v>
      </c>
      <c r="D2453" s="3" t="s">
        <v>835</v>
      </c>
      <c r="E2453" s="14">
        <v>0.24444444444444446</v>
      </c>
      <c r="F2453" s="4" t="s">
        <v>176</v>
      </c>
      <c r="G2453" s="9">
        <v>389.34</v>
      </c>
      <c r="H2453" s="9">
        <f t="shared" si="76"/>
        <v>95.171999999999997</v>
      </c>
      <c r="I2453" t="s">
        <v>179</v>
      </c>
      <c r="J2453" s="33">
        <v>0</v>
      </c>
      <c r="K2453" s="18">
        <f>VLOOKUP(D2453,Ingredients!C:G,5,0)</f>
        <v>394.63</v>
      </c>
      <c r="L2453" s="52">
        <f t="shared" si="77"/>
        <v>96.465111111111113</v>
      </c>
    </row>
    <row r="2454" spans="1:12">
      <c r="A2454" t="s">
        <v>540</v>
      </c>
      <c r="B2454" t="s">
        <v>356</v>
      </c>
      <c r="C2454" t="s">
        <v>454</v>
      </c>
      <c r="D2454" s="3" t="s">
        <v>341</v>
      </c>
      <c r="E2454" s="14">
        <v>0.48888888888888893</v>
      </c>
      <c r="F2454" s="4" t="s">
        <v>176</v>
      </c>
      <c r="G2454" s="9">
        <v>1750</v>
      </c>
      <c r="H2454" s="9">
        <f t="shared" si="76"/>
        <v>855.55555555555566</v>
      </c>
      <c r="I2454" t="s">
        <v>179</v>
      </c>
      <c r="J2454" s="33">
        <v>0</v>
      </c>
      <c r="K2454" s="18">
        <f>VLOOKUP(D2454,Ingredients!C:G,5,0)</f>
        <v>1750</v>
      </c>
      <c r="L2454" s="52">
        <f t="shared" si="77"/>
        <v>855.55555555555566</v>
      </c>
    </row>
    <row r="2455" spans="1:12">
      <c r="A2455" t="s">
        <v>540</v>
      </c>
      <c r="B2455" t="s">
        <v>356</v>
      </c>
      <c r="C2455" t="s">
        <v>454</v>
      </c>
      <c r="D2455" s="3" t="s">
        <v>918</v>
      </c>
      <c r="E2455" s="14">
        <v>1</v>
      </c>
      <c r="F2455" s="4" t="s">
        <v>176</v>
      </c>
      <c r="G2455" s="9">
        <v>54</v>
      </c>
      <c r="H2455" s="9">
        <f t="shared" si="76"/>
        <v>54</v>
      </c>
      <c r="I2455" t="s">
        <v>179</v>
      </c>
      <c r="J2455" s="33">
        <v>0</v>
      </c>
      <c r="K2455" s="18">
        <f>VLOOKUP(D2455,Ingredients!C:G,5,0)</f>
        <v>308.57142857142861</v>
      </c>
      <c r="L2455" s="52">
        <f t="shared" si="77"/>
        <v>308.57142857142861</v>
      </c>
    </row>
    <row r="2456" spans="1:12">
      <c r="A2456" t="s">
        <v>540</v>
      </c>
      <c r="B2456" t="s">
        <v>356</v>
      </c>
      <c r="C2456" t="s">
        <v>454</v>
      </c>
      <c r="D2456" s="3" t="s">
        <v>852</v>
      </c>
      <c r="E2456" s="14">
        <v>0.26666666666666666</v>
      </c>
      <c r="F2456" s="4" t="s">
        <v>176</v>
      </c>
      <c r="G2456" s="9">
        <v>520.63</v>
      </c>
      <c r="H2456" s="9">
        <f t="shared" si="76"/>
        <v>138.83466666666666</v>
      </c>
      <c r="I2456" t="s">
        <v>179</v>
      </c>
      <c r="J2456" s="33">
        <v>0</v>
      </c>
      <c r="K2456" s="18">
        <v>550</v>
      </c>
      <c r="L2456" s="52">
        <f t="shared" si="77"/>
        <v>146.66666666666666</v>
      </c>
    </row>
    <row r="2457" spans="1:12">
      <c r="A2457" t="s">
        <v>543</v>
      </c>
      <c r="B2457" t="s">
        <v>345</v>
      </c>
      <c r="C2457" t="s">
        <v>345</v>
      </c>
      <c r="D2457" s="3" t="s">
        <v>863</v>
      </c>
      <c r="E2457" s="4">
        <v>0.51</v>
      </c>
      <c r="F2457" s="4" t="s">
        <v>176</v>
      </c>
      <c r="G2457" s="9">
        <v>675</v>
      </c>
      <c r="H2457" s="9">
        <f t="shared" si="76"/>
        <v>344.25</v>
      </c>
      <c r="I2457" t="s">
        <v>486</v>
      </c>
      <c r="J2457" s="33">
        <v>0</v>
      </c>
      <c r="K2457" s="18">
        <f>VLOOKUP(D2457,Ingredients!C:G,5,0)</f>
        <v>675</v>
      </c>
      <c r="L2457" s="52">
        <f t="shared" si="77"/>
        <v>344.25</v>
      </c>
    </row>
    <row r="2458" spans="1:12">
      <c r="A2458" t="s">
        <v>543</v>
      </c>
      <c r="B2458" t="s">
        <v>345</v>
      </c>
      <c r="C2458" t="s">
        <v>345</v>
      </c>
      <c r="D2458" s="3" t="s">
        <v>874</v>
      </c>
      <c r="E2458" s="4">
        <v>0.12</v>
      </c>
      <c r="F2458" s="4" t="s">
        <v>176</v>
      </c>
      <c r="G2458" s="9">
        <v>110</v>
      </c>
      <c r="H2458" s="9">
        <f t="shared" si="76"/>
        <v>13.2</v>
      </c>
      <c r="I2458" t="s">
        <v>486</v>
      </c>
      <c r="J2458" s="33">
        <v>0</v>
      </c>
      <c r="K2458" s="18">
        <f>VLOOKUP(D2458,Ingredients!C:G,5,0)</f>
        <v>179</v>
      </c>
      <c r="L2458" s="52">
        <f t="shared" si="77"/>
        <v>21.48</v>
      </c>
    </row>
    <row r="2459" spans="1:12">
      <c r="A2459" t="s">
        <v>543</v>
      </c>
      <c r="B2459" t="s">
        <v>345</v>
      </c>
      <c r="C2459" t="s">
        <v>345</v>
      </c>
      <c r="D2459" s="3" t="s">
        <v>91</v>
      </c>
      <c r="E2459" s="4">
        <v>0.06</v>
      </c>
      <c r="F2459" s="4" t="s">
        <v>176</v>
      </c>
      <c r="G2459" s="9">
        <v>720</v>
      </c>
      <c r="H2459" s="9">
        <f t="shared" si="76"/>
        <v>43.199999999999996</v>
      </c>
      <c r="I2459" t="s">
        <v>486</v>
      </c>
      <c r="J2459" s="33">
        <v>0</v>
      </c>
      <c r="K2459" s="18">
        <f>VLOOKUP(D2459,Ingredients!C:G,5,0)</f>
        <v>715</v>
      </c>
      <c r="L2459" s="52">
        <f t="shared" si="77"/>
        <v>42.9</v>
      </c>
    </row>
    <row r="2460" spans="1:12">
      <c r="A2460" t="s">
        <v>543</v>
      </c>
      <c r="B2460" t="s">
        <v>345</v>
      </c>
      <c r="C2460" t="s">
        <v>345</v>
      </c>
      <c r="D2460" s="3" t="s">
        <v>951</v>
      </c>
      <c r="E2460">
        <v>0.16500000000000001</v>
      </c>
      <c r="F2460" s="4" t="s">
        <v>176</v>
      </c>
      <c r="G2460" s="9">
        <v>520.83000000000004</v>
      </c>
      <c r="H2460" s="9">
        <f t="shared" si="76"/>
        <v>85.93695000000001</v>
      </c>
      <c r="I2460" t="s">
        <v>486</v>
      </c>
      <c r="J2460" s="33">
        <v>0</v>
      </c>
      <c r="K2460" s="18">
        <f>VLOOKUP(D2460,Ingredients!C:G,5,0)</f>
        <v>520.83000000000004</v>
      </c>
      <c r="L2460" s="52">
        <f t="shared" si="77"/>
        <v>85.93695000000001</v>
      </c>
    </row>
    <row r="2461" spans="1:12">
      <c r="A2461" t="s">
        <v>543</v>
      </c>
      <c r="B2461" t="s">
        <v>345</v>
      </c>
      <c r="C2461" t="s">
        <v>345</v>
      </c>
      <c r="D2461" s="3" t="s">
        <v>834</v>
      </c>
      <c r="E2461" s="4">
        <v>2.5000000000000001E-2</v>
      </c>
      <c r="F2461" s="4" t="s">
        <v>176</v>
      </c>
      <c r="G2461" s="9">
        <v>515</v>
      </c>
      <c r="H2461" s="9">
        <f t="shared" si="76"/>
        <v>12.875</v>
      </c>
      <c r="I2461" t="s">
        <v>486</v>
      </c>
      <c r="J2461" s="33">
        <v>0</v>
      </c>
      <c r="K2461" s="18">
        <f>VLOOKUP(D2461,Ingredients!C:G,5,0)</f>
        <v>540</v>
      </c>
      <c r="L2461" s="52">
        <f t="shared" si="77"/>
        <v>13.5</v>
      </c>
    </row>
    <row r="2462" spans="1:12">
      <c r="A2462" t="s">
        <v>543</v>
      </c>
      <c r="B2462" t="s">
        <v>345</v>
      </c>
      <c r="C2462" t="s">
        <v>345</v>
      </c>
      <c r="D2462" s="3" t="s">
        <v>24</v>
      </c>
      <c r="E2462" s="4">
        <v>0.03</v>
      </c>
      <c r="F2462" s="4" t="s">
        <v>176</v>
      </c>
      <c r="G2462" s="9">
        <v>55</v>
      </c>
      <c r="H2462" s="9">
        <f t="shared" si="76"/>
        <v>1.65</v>
      </c>
      <c r="I2462" t="s">
        <v>486</v>
      </c>
      <c r="J2462" s="33">
        <v>0</v>
      </c>
      <c r="K2462" s="18">
        <f>VLOOKUP(D2462,Ingredients!C:G,5,0)</f>
        <v>80</v>
      </c>
      <c r="L2462" s="52">
        <f t="shared" si="77"/>
        <v>2.4</v>
      </c>
    </row>
    <row r="2463" spans="1:12">
      <c r="A2463" t="s">
        <v>543</v>
      </c>
      <c r="B2463" t="s">
        <v>345</v>
      </c>
      <c r="C2463" t="s">
        <v>345</v>
      </c>
      <c r="D2463" s="3" t="s">
        <v>882</v>
      </c>
      <c r="E2463" s="4">
        <v>1.4999999999999999E-2</v>
      </c>
      <c r="F2463" s="4" t="s">
        <v>176</v>
      </c>
      <c r="G2463" s="9">
        <v>1500</v>
      </c>
      <c r="H2463" s="9">
        <f t="shared" si="76"/>
        <v>22.5</v>
      </c>
      <c r="I2463" t="s">
        <v>486</v>
      </c>
      <c r="J2463" s="33">
        <v>0</v>
      </c>
      <c r="K2463" s="18">
        <f>VLOOKUP(D2463,Ingredients!C:G,5,0)</f>
        <v>1450</v>
      </c>
      <c r="L2463" s="52">
        <f t="shared" si="77"/>
        <v>21.75</v>
      </c>
    </row>
    <row r="2464" spans="1:12">
      <c r="A2464" t="s">
        <v>543</v>
      </c>
      <c r="B2464" t="s">
        <v>345</v>
      </c>
      <c r="C2464" t="s">
        <v>345</v>
      </c>
      <c r="D2464" s="3" t="s">
        <v>16</v>
      </c>
      <c r="E2464" s="4">
        <v>0.02</v>
      </c>
      <c r="F2464" s="4" t="s">
        <v>176</v>
      </c>
      <c r="G2464" s="9">
        <v>270</v>
      </c>
      <c r="H2464" s="9">
        <f t="shared" si="76"/>
        <v>5.4</v>
      </c>
      <c r="I2464" t="s">
        <v>486</v>
      </c>
      <c r="J2464" s="33">
        <v>0</v>
      </c>
      <c r="K2464" s="18">
        <f>VLOOKUP(D2464,Ingredients!C:G,5,0)</f>
        <v>310</v>
      </c>
      <c r="L2464" s="52">
        <f t="shared" si="77"/>
        <v>6.2</v>
      </c>
    </row>
    <row r="2465" spans="1:12">
      <c r="A2465" t="s">
        <v>545</v>
      </c>
      <c r="B2465" t="s">
        <v>362</v>
      </c>
      <c r="C2465" t="s">
        <v>354</v>
      </c>
      <c r="D2465" s="3" t="s">
        <v>73</v>
      </c>
      <c r="E2465" s="4">
        <v>1</v>
      </c>
      <c r="F2465" s="4" t="s">
        <v>176</v>
      </c>
      <c r="G2465" s="9">
        <v>305</v>
      </c>
      <c r="H2465" s="9">
        <f t="shared" si="76"/>
        <v>305</v>
      </c>
      <c r="I2465" t="s">
        <v>179</v>
      </c>
      <c r="J2465" s="33">
        <v>0</v>
      </c>
      <c r="K2465" s="18">
        <f>VLOOKUP(D2465,Ingredients!C:G,5,0)</f>
        <v>300</v>
      </c>
      <c r="L2465" s="52">
        <f t="shared" si="77"/>
        <v>300</v>
      </c>
    </row>
    <row r="2466" spans="1:12">
      <c r="A2466" t="s">
        <v>546</v>
      </c>
      <c r="B2466" t="s">
        <v>345</v>
      </c>
      <c r="C2466" t="s">
        <v>345</v>
      </c>
      <c r="D2466" s="3" t="s">
        <v>29</v>
      </c>
      <c r="E2466" s="4">
        <v>0.15</v>
      </c>
      <c r="F2466" s="4" t="s">
        <v>176</v>
      </c>
      <c r="G2466" s="9">
        <v>60</v>
      </c>
      <c r="H2466" s="9">
        <f t="shared" si="76"/>
        <v>9</v>
      </c>
      <c r="I2466" t="s">
        <v>486</v>
      </c>
      <c r="J2466" s="33">
        <v>0</v>
      </c>
      <c r="K2466" s="18">
        <f>VLOOKUP(D2466,Ingredients!C:G,5,0)</f>
        <v>100</v>
      </c>
      <c r="L2466" s="52">
        <f t="shared" si="77"/>
        <v>15</v>
      </c>
    </row>
    <row r="2467" spans="1:12">
      <c r="A2467" t="s">
        <v>546</v>
      </c>
      <c r="B2467" t="s">
        <v>345</v>
      </c>
      <c r="C2467" t="s">
        <v>345</v>
      </c>
      <c r="D2467" s="3" t="s">
        <v>7</v>
      </c>
      <c r="E2467" s="4">
        <v>5</v>
      </c>
      <c r="F2467" s="4" t="s">
        <v>252</v>
      </c>
      <c r="G2467" s="9">
        <v>8</v>
      </c>
      <c r="H2467" s="9">
        <f t="shared" si="76"/>
        <v>40</v>
      </c>
      <c r="I2467" t="s">
        <v>486</v>
      </c>
      <c r="J2467" s="33">
        <v>0</v>
      </c>
      <c r="K2467" s="18">
        <f>VLOOKUP(D2467,Ingredients!C:G,5,0)</f>
        <v>6</v>
      </c>
      <c r="L2467" s="52">
        <f t="shared" si="77"/>
        <v>30</v>
      </c>
    </row>
    <row r="2468" spans="1:12">
      <c r="A2468" t="s">
        <v>546</v>
      </c>
      <c r="B2468" t="s">
        <v>345</v>
      </c>
      <c r="C2468" t="s">
        <v>345</v>
      </c>
      <c r="D2468" s="3" t="s">
        <v>35</v>
      </c>
      <c r="E2468" s="4">
        <v>5</v>
      </c>
      <c r="F2468" s="4" t="s">
        <v>252</v>
      </c>
      <c r="G2468" s="9">
        <v>13</v>
      </c>
      <c r="H2468" s="9">
        <f t="shared" si="76"/>
        <v>65</v>
      </c>
      <c r="I2468" t="s">
        <v>486</v>
      </c>
      <c r="J2468" s="33">
        <v>0</v>
      </c>
      <c r="K2468" s="18">
        <f>VLOOKUP(D2468,Ingredients!C:G,5,0)</f>
        <v>15</v>
      </c>
      <c r="L2468" s="52">
        <f t="shared" si="77"/>
        <v>75</v>
      </c>
    </row>
    <row r="2469" spans="1:12">
      <c r="A2469" t="s">
        <v>546</v>
      </c>
      <c r="B2469" t="s">
        <v>345</v>
      </c>
      <c r="C2469" t="s">
        <v>345</v>
      </c>
      <c r="D2469" s="3" t="s">
        <v>853</v>
      </c>
      <c r="E2469" s="4">
        <v>0.02</v>
      </c>
      <c r="F2469" s="4" t="s">
        <v>176</v>
      </c>
      <c r="G2469" s="9">
        <v>30</v>
      </c>
      <c r="H2469" s="9">
        <f t="shared" si="76"/>
        <v>0.6</v>
      </c>
      <c r="I2469" t="s">
        <v>486</v>
      </c>
      <c r="J2469" s="33">
        <v>0</v>
      </c>
      <c r="K2469" s="18">
        <f>VLOOKUP(D2469,Ingredients!C:G,5,0)</f>
        <v>55</v>
      </c>
      <c r="L2469" s="52">
        <f t="shared" si="77"/>
        <v>1.1000000000000001</v>
      </c>
    </row>
    <row r="2470" spans="1:12">
      <c r="A2470" t="s">
        <v>546</v>
      </c>
      <c r="B2470" t="s">
        <v>345</v>
      </c>
      <c r="C2470" t="s">
        <v>345</v>
      </c>
      <c r="D2470" s="3" t="s">
        <v>830</v>
      </c>
      <c r="E2470" s="4">
        <v>0.02</v>
      </c>
      <c r="F2470" s="4" t="s">
        <v>176</v>
      </c>
      <c r="G2470" s="9">
        <v>149</v>
      </c>
      <c r="H2470" s="9">
        <f t="shared" si="76"/>
        <v>2.98</v>
      </c>
      <c r="I2470" t="s">
        <v>486</v>
      </c>
      <c r="J2470" s="33">
        <v>0</v>
      </c>
      <c r="K2470" s="18">
        <f>VLOOKUP(D2470,Ingredients!C:G,5,0)</f>
        <v>123</v>
      </c>
      <c r="L2470" s="52">
        <f t="shared" si="77"/>
        <v>2.46</v>
      </c>
    </row>
    <row r="2471" spans="1:12">
      <c r="A2471" t="s">
        <v>546</v>
      </c>
      <c r="B2471" t="s">
        <v>345</v>
      </c>
      <c r="C2471" t="s">
        <v>345</v>
      </c>
      <c r="D2471" s="3" t="s">
        <v>310</v>
      </c>
      <c r="E2471" s="4">
        <v>0.15</v>
      </c>
      <c r="F2471" s="4" t="s">
        <v>176</v>
      </c>
      <c r="G2471" s="9">
        <v>425</v>
      </c>
      <c r="H2471" s="9">
        <f t="shared" si="76"/>
        <v>63.75</v>
      </c>
      <c r="I2471" t="s">
        <v>486</v>
      </c>
      <c r="J2471" s="33">
        <v>0</v>
      </c>
      <c r="K2471" s="18">
        <f>VLOOKUP(D2471,Ingredients!C:G,5,0)</f>
        <v>850</v>
      </c>
      <c r="L2471" s="52">
        <f t="shared" si="77"/>
        <v>127.5</v>
      </c>
    </row>
    <row r="2472" spans="1:12">
      <c r="A2472" t="s">
        <v>546</v>
      </c>
      <c r="B2472" t="s">
        <v>345</v>
      </c>
      <c r="C2472" t="s">
        <v>345</v>
      </c>
      <c r="D2472" s="3" t="s">
        <v>874</v>
      </c>
      <c r="E2472" s="4">
        <v>2.5000000000000001E-2</v>
      </c>
      <c r="F2472" s="4" t="s">
        <v>176</v>
      </c>
      <c r="G2472" s="9">
        <v>110</v>
      </c>
      <c r="H2472" s="9">
        <f t="shared" si="76"/>
        <v>2.75</v>
      </c>
      <c r="I2472" t="s">
        <v>486</v>
      </c>
      <c r="J2472" s="33">
        <v>0</v>
      </c>
      <c r="K2472" s="18">
        <f>VLOOKUP(D2472,Ingredients!C:G,5,0)</f>
        <v>179</v>
      </c>
      <c r="L2472" s="52">
        <f t="shared" si="77"/>
        <v>4.4750000000000005</v>
      </c>
    </row>
    <row r="2473" spans="1:12">
      <c r="A2473" t="s">
        <v>546</v>
      </c>
      <c r="B2473" t="s">
        <v>345</v>
      </c>
      <c r="C2473" t="s">
        <v>345</v>
      </c>
      <c r="D2473" s="3" t="s">
        <v>955</v>
      </c>
      <c r="E2473" s="4">
        <v>0.03</v>
      </c>
      <c r="F2473" s="4" t="s">
        <v>176</v>
      </c>
      <c r="G2473" s="9">
        <v>3600</v>
      </c>
      <c r="H2473" s="9">
        <f t="shared" si="76"/>
        <v>108</v>
      </c>
      <c r="I2473" t="s">
        <v>486</v>
      </c>
      <c r="J2473" s="33">
        <v>0</v>
      </c>
      <c r="K2473" s="18">
        <f>VLOOKUP(D2473,Ingredients!C:G,5,0)</f>
        <v>3400</v>
      </c>
      <c r="L2473" s="52">
        <f t="shared" si="77"/>
        <v>102</v>
      </c>
    </row>
    <row r="2474" spans="1:12">
      <c r="A2474" t="s">
        <v>546</v>
      </c>
      <c r="B2474" t="s">
        <v>345</v>
      </c>
      <c r="C2474" t="s">
        <v>345</v>
      </c>
      <c r="D2474" s="3" t="s">
        <v>16</v>
      </c>
      <c r="E2474" s="4">
        <v>0.05</v>
      </c>
      <c r="F2474" s="4" t="s">
        <v>176</v>
      </c>
      <c r="G2474" s="9">
        <v>270</v>
      </c>
      <c r="H2474" s="9">
        <f t="shared" si="76"/>
        <v>13.5</v>
      </c>
      <c r="I2474" t="s">
        <v>486</v>
      </c>
      <c r="J2474" s="33">
        <v>0</v>
      </c>
      <c r="K2474" s="18">
        <f>VLOOKUP(D2474,Ingredients!C:G,5,0)</f>
        <v>310</v>
      </c>
      <c r="L2474" s="52">
        <f t="shared" si="77"/>
        <v>15.5</v>
      </c>
    </row>
    <row r="2475" spans="1:12">
      <c r="A2475" t="s">
        <v>546</v>
      </c>
      <c r="B2475" t="s">
        <v>345</v>
      </c>
      <c r="C2475" t="s">
        <v>345</v>
      </c>
      <c r="D2475" s="3" t="s">
        <v>23</v>
      </c>
      <c r="E2475" s="4">
        <v>0.05</v>
      </c>
      <c r="F2475" s="4" t="s">
        <v>176</v>
      </c>
      <c r="G2475" s="9">
        <v>740</v>
      </c>
      <c r="H2475" s="9">
        <f t="shared" si="76"/>
        <v>37</v>
      </c>
      <c r="I2475" t="s">
        <v>486</v>
      </c>
      <c r="J2475" s="33">
        <v>0</v>
      </c>
      <c r="K2475" s="18">
        <f>VLOOKUP(D2475,Ingredients!C:G,5,0)</f>
        <v>780</v>
      </c>
      <c r="L2475" s="52">
        <f t="shared" si="77"/>
        <v>39</v>
      </c>
    </row>
    <row r="2476" spans="1:12">
      <c r="A2476" t="s">
        <v>546</v>
      </c>
      <c r="B2476" t="s">
        <v>345</v>
      </c>
      <c r="C2476" t="s">
        <v>345</v>
      </c>
      <c r="D2476" s="3" t="s">
        <v>841</v>
      </c>
      <c r="E2476" s="4">
        <v>0.01</v>
      </c>
      <c r="F2476" s="4" t="s">
        <v>176</v>
      </c>
      <c r="G2476" s="9">
        <v>50</v>
      </c>
      <c r="H2476" s="9">
        <f t="shared" ref="H2476:H2539" si="78">G2476*E2476</f>
        <v>0.5</v>
      </c>
      <c r="I2476" t="s">
        <v>486</v>
      </c>
      <c r="J2476" s="33">
        <v>0</v>
      </c>
      <c r="K2476" s="18">
        <f>VLOOKUP(D2476,Ingredients!C:G,5,0)</f>
        <v>50</v>
      </c>
      <c r="L2476" s="52">
        <f t="shared" si="77"/>
        <v>0.5</v>
      </c>
    </row>
    <row r="2477" spans="1:12">
      <c r="A2477" t="s">
        <v>547</v>
      </c>
      <c r="B2477" t="s">
        <v>346</v>
      </c>
      <c r="C2477" t="s">
        <v>353</v>
      </c>
      <c r="D2477" s="3" t="s">
        <v>884</v>
      </c>
      <c r="E2477" s="14">
        <v>1</v>
      </c>
      <c r="F2477" s="4" t="s">
        <v>176</v>
      </c>
      <c r="G2477" s="9">
        <v>344</v>
      </c>
      <c r="H2477" s="9">
        <f t="shared" si="78"/>
        <v>344</v>
      </c>
      <c r="I2477" t="s">
        <v>179</v>
      </c>
      <c r="J2477" s="33">
        <v>0</v>
      </c>
      <c r="K2477" s="18">
        <f>VLOOKUP(D2477,Ingredients!C:G,5,0)</f>
        <v>344</v>
      </c>
      <c r="L2477" s="52">
        <f t="shared" si="77"/>
        <v>344</v>
      </c>
    </row>
    <row r="2478" spans="1:12">
      <c r="A2478" t="s">
        <v>547</v>
      </c>
      <c r="B2478" t="s">
        <v>346</v>
      </c>
      <c r="C2478" t="s">
        <v>353</v>
      </c>
      <c r="D2478" s="3" t="s">
        <v>853</v>
      </c>
      <c r="E2478" s="14">
        <v>3.7499999999999999E-2</v>
      </c>
      <c r="F2478" s="4" t="s">
        <v>176</v>
      </c>
      <c r="G2478" s="9">
        <v>30</v>
      </c>
      <c r="H2478" s="9">
        <f t="shared" si="78"/>
        <v>1.125</v>
      </c>
      <c r="I2478" t="s">
        <v>179</v>
      </c>
      <c r="J2478" s="33">
        <v>0</v>
      </c>
      <c r="K2478" s="18">
        <f>VLOOKUP(D2478,Ingredients!C:G,5,0)</f>
        <v>55</v>
      </c>
      <c r="L2478" s="52">
        <f t="shared" si="77"/>
        <v>2.0625</v>
      </c>
    </row>
    <row r="2479" spans="1:12">
      <c r="A2479" t="s">
        <v>547</v>
      </c>
      <c r="B2479" t="s">
        <v>346</v>
      </c>
      <c r="C2479" t="s">
        <v>353</v>
      </c>
      <c r="D2479" s="3" t="s">
        <v>868</v>
      </c>
      <c r="E2479" s="14">
        <v>7.4999999999999997E-2</v>
      </c>
      <c r="F2479" s="4" t="s">
        <v>317</v>
      </c>
      <c r="G2479" s="9">
        <v>5432.77</v>
      </c>
      <c r="H2479" s="9">
        <f t="shared" si="78"/>
        <v>407.45775000000003</v>
      </c>
      <c r="I2479" t="s">
        <v>179</v>
      </c>
      <c r="J2479" s="33">
        <v>0</v>
      </c>
      <c r="K2479" s="18">
        <f>VLOOKUP(D2479,Ingredients!C:G,5,0)</f>
        <v>3200</v>
      </c>
      <c r="L2479" s="52">
        <f t="shared" si="77"/>
        <v>240</v>
      </c>
    </row>
    <row r="2480" spans="1:12">
      <c r="A2480" t="s">
        <v>547</v>
      </c>
      <c r="B2480" t="s">
        <v>346</v>
      </c>
      <c r="C2480" t="s">
        <v>353</v>
      </c>
      <c r="D2480" s="3" t="s">
        <v>127</v>
      </c>
      <c r="E2480" s="14">
        <v>5.0000000000000001E-3</v>
      </c>
      <c r="F2480" s="4" t="s">
        <v>176</v>
      </c>
      <c r="G2480" s="9">
        <v>280</v>
      </c>
      <c r="H2480" s="9">
        <f t="shared" si="78"/>
        <v>1.4000000000000001</v>
      </c>
      <c r="I2480" t="s">
        <v>179</v>
      </c>
      <c r="J2480" s="33">
        <v>0</v>
      </c>
      <c r="K2480" s="18">
        <f>VLOOKUP(D2480,Ingredients!C:G,5,0)</f>
        <v>14870</v>
      </c>
      <c r="L2480" s="52">
        <f t="shared" si="77"/>
        <v>74.350000000000009</v>
      </c>
    </row>
    <row r="2481" spans="1:12">
      <c r="A2481" t="s">
        <v>547</v>
      </c>
      <c r="B2481" t="s">
        <v>346</v>
      </c>
      <c r="C2481" t="s">
        <v>353</v>
      </c>
      <c r="D2481" s="3" t="s">
        <v>830</v>
      </c>
      <c r="E2481" s="14">
        <v>0.25</v>
      </c>
      <c r="F2481" s="4" t="s">
        <v>176</v>
      </c>
      <c r="G2481" s="9">
        <v>149</v>
      </c>
      <c r="H2481" s="9">
        <f t="shared" si="78"/>
        <v>37.25</v>
      </c>
      <c r="I2481" t="s">
        <v>179</v>
      </c>
      <c r="J2481" s="33">
        <v>0</v>
      </c>
      <c r="K2481" s="18">
        <f>VLOOKUP(D2481,Ingredients!C:G,5,0)</f>
        <v>123</v>
      </c>
      <c r="L2481" s="52">
        <f t="shared" si="77"/>
        <v>30.75</v>
      </c>
    </row>
    <row r="2482" spans="1:12">
      <c r="A2482" t="s">
        <v>547</v>
      </c>
      <c r="B2482" t="s">
        <v>346</v>
      </c>
      <c r="C2482" t="s">
        <v>353</v>
      </c>
      <c r="D2482" s="3" t="s">
        <v>24</v>
      </c>
      <c r="E2482" s="14">
        <v>0.17500000000000002</v>
      </c>
      <c r="F2482" s="4" t="s">
        <v>176</v>
      </c>
      <c r="G2482" s="9">
        <v>55</v>
      </c>
      <c r="H2482" s="9">
        <f t="shared" si="78"/>
        <v>9.6250000000000018</v>
      </c>
      <c r="I2482" t="s">
        <v>179</v>
      </c>
      <c r="J2482" s="33">
        <v>0</v>
      </c>
      <c r="K2482" s="18">
        <f>VLOOKUP(D2482,Ingredients!C:G,5,0)</f>
        <v>80</v>
      </c>
      <c r="L2482" s="52">
        <f t="shared" si="77"/>
        <v>14.000000000000002</v>
      </c>
    </row>
    <row r="2483" spans="1:12">
      <c r="A2483" t="s">
        <v>547</v>
      </c>
      <c r="B2483" t="s">
        <v>346</v>
      </c>
      <c r="C2483" t="s">
        <v>353</v>
      </c>
      <c r="D2483" s="3" t="s">
        <v>892</v>
      </c>
      <c r="E2483" s="14">
        <v>7.4999999999999997E-2</v>
      </c>
      <c r="F2483" s="4" t="s">
        <v>176</v>
      </c>
      <c r="G2483" s="9">
        <v>2000</v>
      </c>
      <c r="H2483" s="9">
        <f t="shared" si="78"/>
        <v>150</v>
      </c>
      <c r="I2483" t="s">
        <v>179</v>
      </c>
      <c r="J2483" s="33">
        <v>0</v>
      </c>
      <c r="K2483" s="18">
        <f>VLOOKUP(D2483,Ingredients!C:G,5,0)</f>
        <v>2080</v>
      </c>
      <c r="L2483" s="52">
        <f t="shared" si="77"/>
        <v>156</v>
      </c>
    </row>
    <row r="2484" spans="1:12">
      <c r="A2484" t="s">
        <v>547</v>
      </c>
      <c r="B2484" t="s">
        <v>346</v>
      </c>
      <c r="C2484" t="s">
        <v>353</v>
      </c>
      <c r="D2484" s="3" t="s">
        <v>874</v>
      </c>
      <c r="E2484" s="14">
        <v>1.2500000000000001E-2</v>
      </c>
      <c r="F2484" s="4" t="s">
        <v>176</v>
      </c>
      <c r="G2484" s="9">
        <v>110</v>
      </c>
      <c r="H2484" s="9">
        <f t="shared" si="78"/>
        <v>1.375</v>
      </c>
      <c r="I2484" t="s">
        <v>179</v>
      </c>
      <c r="J2484" s="33">
        <v>0</v>
      </c>
      <c r="K2484" s="18">
        <f>VLOOKUP(D2484,Ingredients!C:G,5,0)</f>
        <v>179</v>
      </c>
      <c r="L2484" s="52">
        <f t="shared" si="77"/>
        <v>2.2375000000000003</v>
      </c>
    </row>
    <row r="2485" spans="1:12">
      <c r="A2485" t="s">
        <v>548</v>
      </c>
      <c r="B2485" t="s">
        <v>346</v>
      </c>
      <c r="C2485" t="s">
        <v>993</v>
      </c>
      <c r="D2485" s="3" t="s">
        <v>956</v>
      </c>
      <c r="E2485" s="14">
        <v>0.999</v>
      </c>
      <c r="F2485" s="4" t="s">
        <v>176</v>
      </c>
      <c r="G2485" s="9">
        <v>260</v>
      </c>
      <c r="H2485" s="9">
        <f t="shared" si="78"/>
        <v>259.74</v>
      </c>
      <c r="I2485" t="s">
        <v>179</v>
      </c>
      <c r="J2485" s="33">
        <v>0</v>
      </c>
      <c r="K2485" s="18">
        <f>VLOOKUP(D2485,Ingredients!C:G,5,0)</f>
        <v>246</v>
      </c>
      <c r="L2485" s="52">
        <f t="shared" si="77"/>
        <v>245.75399999999999</v>
      </c>
    </row>
    <row r="2486" spans="1:12">
      <c r="A2486" t="s">
        <v>548</v>
      </c>
      <c r="B2486" t="s">
        <v>346</v>
      </c>
      <c r="C2486" t="s">
        <v>993</v>
      </c>
      <c r="D2486" s="3" t="s">
        <v>24</v>
      </c>
      <c r="E2486" s="14">
        <v>0.4995</v>
      </c>
      <c r="F2486" s="4" t="s">
        <v>176</v>
      </c>
      <c r="G2486" s="9">
        <v>55</v>
      </c>
      <c r="H2486" s="9">
        <f t="shared" si="78"/>
        <v>27.4725</v>
      </c>
      <c r="I2486" t="s">
        <v>179</v>
      </c>
      <c r="J2486" s="33">
        <v>0</v>
      </c>
      <c r="K2486" s="18">
        <f>VLOOKUP(D2486,Ingredients!C:G,5,0)</f>
        <v>80</v>
      </c>
      <c r="L2486" s="52">
        <f t="shared" si="77"/>
        <v>39.96</v>
      </c>
    </row>
    <row r="2487" spans="1:12">
      <c r="A2487" t="s">
        <v>548</v>
      </c>
      <c r="B2487" t="s">
        <v>346</v>
      </c>
      <c r="C2487" t="s">
        <v>993</v>
      </c>
      <c r="D2487" s="3" t="s">
        <v>28</v>
      </c>
      <c r="E2487" s="14">
        <v>0.39960000000000001</v>
      </c>
      <c r="F2487" s="4" t="s">
        <v>176</v>
      </c>
      <c r="G2487" s="9">
        <v>85</v>
      </c>
      <c r="H2487" s="9">
        <f t="shared" si="78"/>
        <v>33.966000000000001</v>
      </c>
      <c r="I2487" t="s">
        <v>179</v>
      </c>
      <c r="J2487" s="33">
        <v>0</v>
      </c>
      <c r="K2487" s="18">
        <f>VLOOKUP(D2487,Ingredients!C:G,5,0)</f>
        <v>70</v>
      </c>
      <c r="L2487" s="52">
        <f t="shared" si="77"/>
        <v>27.972000000000001</v>
      </c>
    </row>
    <row r="2488" spans="1:12">
      <c r="A2488" t="s">
        <v>548</v>
      </c>
      <c r="B2488" t="s">
        <v>346</v>
      </c>
      <c r="C2488" t="s">
        <v>993</v>
      </c>
      <c r="D2488" s="3" t="s">
        <v>853</v>
      </c>
      <c r="E2488" s="14">
        <v>4.9950000000000001E-2</v>
      </c>
      <c r="F2488" s="4" t="s">
        <v>176</v>
      </c>
      <c r="G2488" s="9">
        <v>30</v>
      </c>
      <c r="H2488" s="9">
        <f t="shared" si="78"/>
        <v>1.4984999999999999</v>
      </c>
      <c r="I2488" t="s">
        <v>179</v>
      </c>
      <c r="J2488" s="33">
        <v>0</v>
      </c>
      <c r="K2488" s="18">
        <f>VLOOKUP(D2488,Ingredients!C:G,5,0)</f>
        <v>55</v>
      </c>
      <c r="L2488" s="52">
        <f t="shared" si="77"/>
        <v>2.7472500000000002</v>
      </c>
    </row>
    <row r="2489" spans="1:12">
      <c r="A2489" t="s">
        <v>548</v>
      </c>
      <c r="B2489" t="s">
        <v>346</v>
      </c>
      <c r="C2489" t="s">
        <v>993</v>
      </c>
      <c r="D2489" s="3" t="s">
        <v>855</v>
      </c>
      <c r="E2489" s="14">
        <v>4.9950000000000001E-2</v>
      </c>
      <c r="F2489" s="4" t="s">
        <v>176</v>
      </c>
      <c r="G2489" s="9">
        <v>2400</v>
      </c>
      <c r="H2489" s="9">
        <f t="shared" si="78"/>
        <v>119.88000000000001</v>
      </c>
      <c r="I2489" t="s">
        <v>179</v>
      </c>
      <c r="J2489" s="33">
        <v>0</v>
      </c>
      <c r="K2489" s="18">
        <f>VLOOKUP(D2489,Ingredients!C:G,5,0)</f>
        <v>1600</v>
      </c>
      <c r="L2489" s="52">
        <f t="shared" si="77"/>
        <v>79.92</v>
      </c>
    </row>
    <row r="2490" spans="1:12">
      <c r="A2490" t="s">
        <v>548</v>
      </c>
      <c r="B2490" t="s">
        <v>346</v>
      </c>
      <c r="C2490" t="s">
        <v>993</v>
      </c>
      <c r="D2490" s="3" t="s">
        <v>849</v>
      </c>
      <c r="E2490" s="14">
        <v>4.9950000000000001E-2</v>
      </c>
      <c r="F2490" s="4" t="s">
        <v>176</v>
      </c>
      <c r="G2490" s="9">
        <v>1000</v>
      </c>
      <c r="H2490" s="9">
        <f t="shared" si="78"/>
        <v>49.95</v>
      </c>
      <c r="I2490" t="s">
        <v>179</v>
      </c>
      <c r="J2490" s="33">
        <v>0</v>
      </c>
      <c r="K2490" s="18">
        <f>VLOOKUP(D2490,Ingredients!C:G,5,0)</f>
        <v>950</v>
      </c>
      <c r="L2490" s="52">
        <f t="shared" si="77"/>
        <v>47.452500000000001</v>
      </c>
    </row>
    <row r="2491" spans="1:12">
      <c r="A2491" t="s">
        <v>548</v>
      </c>
      <c r="B2491" t="s">
        <v>346</v>
      </c>
      <c r="C2491" t="s">
        <v>993</v>
      </c>
      <c r="D2491" s="3" t="s">
        <v>882</v>
      </c>
      <c r="E2491" s="14">
        <v>2.664E-2</v>
      </c>
      <c r="F2491" s="4" t="s">
        <v>176</v>
      </c>
      <c r="G2491" s="9">
        <v>1500</v>
      </c>
      <c r="H2491" s="9">
        <f t="shared" si="78"/>
        <v>39.96</v>
      </c>
      <c r="I2491" t="s">
        <v>179</v>
      </c>
      <c r="J2491" s="33">
        <v>0</v>
      </c>
      <c r="K2491" s="18">
        <f>VLOOKUP(D2491,Ingredients!C:G,5,0)</f>
        <v>1450</v>
      </c>
      <c r="L2491" s="52">
        <f t="shared" si="77"/>
        <v>38.628</v>
      </c>
    </row>
    <row r="2492" spans="1:12">
      <c r="A2492" t="s">
        <v>549</v>
      </c>
      <c r="B2492" t="s">
        <v>362</v>
      </c>
      <c r="C2492" t="s">
        <v>365</v>
      </c>
      <c r="D2492" s="3" t="s">
        <v>171</v>
      </c>
      <c r="E2492" s="4">
        <v>1.5</v>
      </c>
      <c r="F2492" s="4" t="s">
        <v>179</v>
      </c>
      <c r="G2492" s="9">
        <v>65</v>
      </c>
      <c r="H2492" s="9">
        <f t="shared" si="78"/>
        <v>97.5</v>
      </c>
      <c r="I2492" t="s">
        <v>486</v>
      </c>
      <c r="J2492" s="33">
        <v>0</v>
      </c>
      <c r="K2492" s="18">
        <f>VLOOKUP(D2492,Ingredients!C:G,5,0)</f>
        <v>80</v>
      </c>
      <c r="L2492" s="52">
        <f t="shared" si="77"/>
        <v>120</v>
      </c>
    </row>
    <row r="2493" spans="1:12">
      <c r="A2493" t="s">
        <v>549</v>
      </c>
      <c r="B2493" t="s">
        <v>362</v>
      </c>
      <c r="C2493" t="s">
        <v>365</v>
      </c>
      <c r="D2493" s="3" t="s">
        <v>854</v>
      </c>
      <c r="E2493" s="4">
        <v>10</v>
      </c>
      <c r="F2493" s="4" t="s">
        <v>253</v>
      </c>
      <c r="G2493" s="9">
        <v>24.64</v>
      </c>
      <c r="H2493" s="9">
        <f t="shared" si="78"/>
        <v>246.4</v>
      </c>
      <c r="I2493" t="s">
        <v>486</v>
      </c>
      <c r="J2493" s="33">
        <v>0</v>
      </c>
      <c r="K2493" s="18">
        <f>VLOOKUP(D2493,Ingredients!C:G,5,0)</f>
        <v>20.059999999999999</v>
      </c>
      <c r="L2493" s="52">
        <f t="shared" si="77"/>
        <v>200.6</v>
      </c>
    </row>
    <row r="2494" spans="1:12">
      <c r="A2494" t="s">
        <v>549</v>
      </c>
      <c r="B2494" t="s">
        <v>362</v>
      </c>
      <c r="C2494" t="s">
        <v>365</v>
      </c>
      <c r="D2494" s="3" t="s">
        <v>868</v>
      </c>
      <c r="E2494" s="4">
        <v>0.3</v>
      </c>
      <c r="F2494" s="4" t="s">
        <v>190</v>
      </c>
      <c r="G2494" s="9">
        <v>5432.77</v>
      </c>
      <c r="H2494" s="9">
        <f t="shared" si="78"/>
        <v>1629.8310000000001</v>
      </c>
      <c r="I2494" t="s">
        <v>486</v>
      </c>
      <c r="J2494" s="33">
        <v>0</v>
      </c>
      <c r="K2494" s="18">
        <f>VLOOKUP(D2494,Ingredients!C:G,5,0)</f>
        <v>3200</v>
      </c>
      <c r="L2494" s="52">
        <f t="shared" si="77"/>
        <v>960</v>
      </c>
    </row>
    <row r="2495" spans="1:12">
      <c r="A2495" t="s">
        <v>549</v>
      </c>
      <c r="B2495" t="s">
        <v>362</v>
      </c>
      <c r="C2495" t="s">
        <v>365</v>
      </c>
      <c r="D2495" s="3" t="s">
        <v>831</v>
      </c>
      <c r="E2495" s="4">
        <v>0.57999999999999996</v>
      </c>
      <c r="F2495" s="4" t="s">
        <v>176</v>
      </c>
      <c r="G2495" s="9">
        <v>908</v>
      </c>
      <c r="H2495" s="9">
        <f t="shared" si="78"/>
        <v>526.64</v>
      </c>
      <c r="I2495" t="s">
        <v>486</v>
      </c>
      <c r="J2495" s="33">
        <v>0</v>
      </c>
      <c r="K2495" s="18">
        <f>VLOOKUP(D2495,Ingredients!C:G,5,0)</f>
        <v>908</v>
      </c>
      <c r="L2495" s="52">
        <f t="shared" si="77"/>
        <v>526.64</v>
      </c>
    </row>
    <row r="2496" spans="1:12">
      <c r="A2496" t="s">
        <v>549</v>
      </c>
      <c r="B2496" t="s">
        <v>362</v>
      </c>
      <c r="C2496" t="s">
        <v>365</v>
      </c>
      <c r="D2496" s="3" t="s">
        <v>853</v>
      </c>
      <c r="E2496" s="4">
        <v>0.05</v>
      </c>
      <c r="F2496" s="4" t="s">
        <v>176</v>
      </c>
      <c r="G2496" s="9">
        <v>30</v>
      </c>
      <c r="H2496" s="9">
        <f t="shared" si="78"/>
        <v>1.5</v>
      </c>
      <c r="I2496" t="s">
        <v>486</v>
      </c>
      <c r="J2496" s="33">
        <v>0</v>
      </c>
      <c r="K2496" s="18">
        <f>VLOOKUP(D2496,Ingredients!C:G,5,0)</f>
        <v>55</v>
      </c>
      <c r="L2496" s="52">
        <f t="shared" si="77"/>
        <v>2.75</v>
      </c>
    </row>
    <row r="2497" spans="1:12">
      <c r="A2497" t="s">
        <v>549</v>
      </c>
      <c r="B2497" t="s">
        <v>362</v>
      </c>
      <c r="C2497" t="s">
        <v>365</v>
      </c>
      <c r="D2497" s="3" t="s">
        <v>310</v>
      </c>
      <c r="E2497" s="4">
        <v>0.16666666666666669</v>
      </c>
      <c r="F2497" s="4" t="s">
        <v>176</v>
      </c>
      <c r="G2497" s="9">
        <v>425</v>
      </c>
      <c r="H2497" s="9">
        <f t="shared" si="78"/>
        <v>70.833333333333343</v>
      </c>
      <c r="I2497" t="s">
        <v>486</v>
      </c>
      <c r="J2497" s="33">
        <v>0</v>
      </c>
      <c r="K2497" s="18">
        <f>VLOOKUP(D2497,Ingredients!C:G,5,0)</f>
        <v>850</v>
      </c>
      <c r="L2497" s="52">
        <f t="shared" si="77"/>
        <v>141.66666666666669</v>
      </c>
    </row>
    <row r="2498" spans="1:12">
      <c r="A2498" t="s">
        <v>549</v>
      </c>
      <c r="B2498" t="s">
        <v>362</v>
      </c>
      <c r="C2498" t="s">
        <v>365</v>
      </c>
      <c r="D2498" s="3" t="s">
        <v>170</v>
      </c>
      <c r="E2498" s="4">
        <v>0.93333333333333346</v>
      </c>
      <c r="F2498" s="4" t="s">
        <v>176</v>
      </c>
      <c r="G2498" s="9">
        <v>240</v>
      </c>
      <c r="H2498" s="9">
        <f t="shared" si="78"/>
        <v>224.00000000000003</v>
      </c>
      <c r="I2498" t="s">
        <v>486</v>
      </c>
      <c r="J2498" s="33">
        <v>0</v>
      </c>
      <c r="K2498" s="18">
        <f>VLOOKUP(D2498,Ingredients!C:G,5,0)</f>
        <v>240</v>
      </c>
      <c r="L2498" s="52">
        <f t="shared" si="77"/>
        <v>224.00000000000003</v>
      </c>
    </row>
    <row r="2499" spans="1:12">
      <c r="A2499" t="s">
        <v>549</v>
      </c>
      <c r="B2499" t="s">
        <v>362</v>
      </c>
      <c r="C2499" t="s">
        <v>365</v>
      </c>
      <c r="D2499" s="3" t="s">
        <v>882</v>
      </c>
      <c r="E2499" s="4">
        <v>0.01</v>
      </c>
      <c r="F2499" s="4" t="s">
        <v>176</v>
      </c>
      <c r="G2499" s="9">
        <v>1500</v>
      </c>
      <c r="H2499" s="9">
        <f t="shared" si="78"/>
        <v>15</v>
      </c>
      <c r="I2499" t="s">
        <v>486</v>
      </c>
      <c r="J2499" s="33">
        <v>0</v>
      </c>
      <c r="K2499" s="18">
        <f>VLOOKUP(D2499,Ingredients!C:G,5,0)</f>
        <v>1450</v>
      </c>
      <c r="L2499" s="52">
        <f t="shared" si="77"/>
        <v>14.5</v>
      </c>
    </row>
    <row r="2500" spans="1:12">
      <c r="A2500" t="s">
        <v>549</v>
      </c>
      <c r="B2500" t="s">
        <v>362</v>
      </c>
      <c r="C2500" t="s">
        <v>365</v>
      </c>
      <c r="D2500" s="3" t="s">
        <v>888</v>
      </c>
      <c r="E2500" s="4">
        <v>0.24166666666666667</v>
      </c>
      <c r="F2500" s="4" t="s">
        <v>176</v>
      </c>
      <c r="G2500" s="9">
        <v>580</v>
      </c>
      <c r="H2500" s="9">
        <f t="shared" si="78"/>
        <v>140.16666666666666</v>
      </c>
      <c r="I2500" t="s">
        <v>486</v>
      </c>
      <c r="J2500" s="33">
        <v>0</v>
      </c>
      <c r="K2500" s="18">
        <f>VLOOKUP(D2500,Ingredients!C:G,5,0)</f>
        <v>580</v>
      </c>
      <c r="L2500" s="52">
        <f t="shared" ref="L2500:L2563" si="79">K2500*E2500</f>
        <v>140.16666666666666</v>
      </c>
    </row>
    <row r="2501" spans="1:12">
      <c r="A2501" t="s">
        <v>549</v>
      </c>
      <c r="B2501" t="s">
        <v>362</v>
      </c>
      <c r="C2501" t="s">
        <v>365</v>
      </c>
      <c r="D2501" s="3" t="s">
        <v>17</v>
      </c>
      <c r="E2501" s="4">
        <v>0.3</v>
      </c>
      <c r="F2501" s="4" t="s">
        <v>176</v>
      </c>
      <c r="G2501" s="9">
        <v>80</v>
      </c>
      <c r="H2501" s="9">
        <f t="shared" si="78"/>
        <v>24</v>
      </c>
      <c r="I2501" t="s">
        <v>486</v>
      </c>
      <c r="J2501" s="33">
        <v>0</v>
      </c>
      <c r="K2501" s="18">
        <f>VLOOKUP(D2501,Ingredients!C:G,5,0)</f>
        <v>5</v>
      </c>
      <c r="L2501" s="52">
        <f t="shared" si="79"/>
        <v>1.5</v>
      </c>
    </row>
    <row r="2502" spans="1:12">
      <c r="A2502" t="s">
        <v>549</v>
      </c>
      <c r="B2502" t="s">
        <v>362</v>
      </c>
      <c r="C2502" t="s">
        <v>365</v>
      </c>
      <c r="D2502" s="3" t="s">
        <v>96</v>
      </c>
      <c r="E2502" s="4">
        <v>0.2</v>
      </c>
      <c r="F2502" s="4" t="s">
        <v>176</v>
      </c>
      <c r="G2502" s="9">
        <v>160</v>
      </c>
      <c r="H2502" s="9">
        <f t="shared" si="78"/>
        <v>32</v>
      </c>
      <c r="I2502" t="s">
        <v>486</v>
      </c>
      <c r="J2502" s="33">
        <v>0</v>
      </c>
      <c r="K2502" s="18">
        <f>VLOOKUP(D2502,Ingredients!C:G,5,0)</f>
        <v>120</v>
      </c>
      <c r="L2502" s="52">
        <f t="shared" si="79"/>
        <v>24</v>
      </c>
    </row>
    <row r="2503" spans="1:12">
      <c r="A2503" t="s">
        <v>549</v>
      </c>
      <c r="B2503" t="s">
        <v>362</v>
      </c>
      <c r="C2503" t="s">
        <v>365</v>
      </c>
      <c r="D2503" s="3" t="s">
        <v>35</v>
      </c>
      <c r="E2503" s="4">
        <v>0.33333333333333337</v>
      </c>
      <c r="F2503" s="4" t="s">
        <v>176</v>
      </c>
      <c r="G2503" s="9">
        <v>13</v>
      </c>
      <c r="H2503" s="9">
        <f t="shared" si="78"/>
        <v>4.3333333333333339</v>
      </c>
      <c r="I2503" t="s">
        <v>486</v>
      </c>
      <c r="J2503" s="33">
        <v>0</v>
      </c>
      <c r="K2503" s="18">
        <f>VLOOKUP(D2503,Ingredients!C:G,5,0)</f>
        <v>15</v>
      </c>
      <c r="L2503" s="52">
        <f t="shared" si="79"/>
        <v>5.0000000000000009</v>
      </c>
    </row>
    <row r="2504" spans="1:12">
      <c r="A2504" t="s">
        <v>550</v>
      </c>
      <c r="B2504" t="s">
        <v>356</v>
      </c>
      <c r="C2504" t="s">
        <v>454</v>
      </c>
      <c r="D2504" s="3" t="s">
        <v>918</v>
      </c>
      <c r="E2504" s="4">
        <v>0.999</v>
      </c>
      <c r="F2504" s="4" t="s">
        <v>179</v>
      </c>
      <c r="G2504" s="9">
        <v>54</v>
      </c>
      <c r="H2504" s="9">
        <f t="shared" si="78"/>
        <v>53.945999999999998</v>
      </c>
      <c r="I2504" t="s">
        <v>179</v>
      </c>
      <c r="J2504" s="33">
        <v>0</v>
      </c>
      <c r="K2504" s="18">
        <f>VLOOKUP(D2504,Ingredients!C:G,5,0)</f>
        <v>308.57142857142861</v>
      </c>
      <c r="L2504" s="52">
        <f t="shared" si="79"/>
        <v>308.26285714285717</v>
      </c>
    </row>
    <row r="2505" spans="1:12">
      <c r="A2505" t="s">
        <v>550</v>
      </c>
      <c r="B2505" t="s">
        <v>356</v>
      </c>
      <c r="C2505" t="s">
        <v>454</v>
      </c>
      <c r="D2505" s="3" t="s">
        <v>857</v>
      </c>
      <c r="E2505" s="4">
        <v>0.26640000000000003</v>
      </c>
      <c r="F2505" s="4" t="s">
        <v>179</v>
      </c>
      <c r="G2505" s="9">
        <v>520</v>
      </c>
      <c r="H2505" s="9">
        <f t="shared" si="78"/>
        <v>138.52800000000002</v>
      </c>
      <c r="I2505" t="s">
        <v>179</v>
      </c>
      <c r="J2505" s="33">
        <v>0</v>
      </c>
      <c r="K2505" s="18">
        <f>VLOOKUP(D2505,Ingredients!C:G,5,0)</f>
        <v>880</v>
      </c>
      <c r="L2505" s="52">
        <f t="shared" si="79"/>
        <v>234.43200000000002</v>
      </c>
    </row>
    <row r="2506" spans="1:12">
      <c r="A2506" t="s">
        <v>550</v>
      </c>
      <c r="B2506" t="s">
        <v>356</v>
      </c>
      <c r="C2506" t="s">
        <v>454</v>
      </c>
      <c r="D2506" s="3" t="s">
        <v>865</v>
      </c>
      <c r="E2506" s="4">
        <v>0.39960000000000001</v>
      </c>
      <c r="F2506" s="4" t="s">
        <v>179</v>
      </c>
      <c r="G2506" s="9">
        <v>1400</v>
      </c>
      <c r="H2506" s="9">
        <f t="shared" si="78"/>
        <v>559.44000000000005</v>
      </c>
      <c r="I2506" t="s">
        <v>179</v>
      </c>
      <c r="J2506" s="33">
        <v>0</v>
      </c>
      <c r="K2506" s="18">
        <f>VLOOKUP(D2506,Ingredients!C:G,5,0)</f>
        <v>1400</v>
      </c>
      <c r="L2506" s="52">
        <f t="shared" si="79"/>
        <v>559.44000000000005</v>
      </c>
    </row>
    <row r="2507" spans="1:12">
      <c r="A2507" t="s">
        <v>550</v>
      </c>
      <c r="B2507" t="s">
        <v>356</v>
      </c>
      <c r="C2507" t="s">
        <v>454</v>
      </c>
      <c r="D2507" s="3" t="s">
        <v>830</v>
      </c>
      <c r="E2507" s="22">
        <v>0.222</v>
      </c>
      <c r="F2507" s="4" t="s">
        <v>179</v>
      </c>
      <c r="G2507" s="9">
        <v>149</v>
      </c>
      <c r="H2507" s="9">
        <f t="shared" si="78"/>
        <v>33.078000000000003</v>
      </c>
      <c r="I2507" t="s">
        <v>179</v>
      </c>
      <c r="J2507" s="33">
        <v>0</v>
      </c>
      <c r="K2507" s="18">
        <f>VLOOKUP(D2507,Ingredients!C:G,5,0)</f>
        <v>123</v>
      </c>
      <c r="L2507" s="52">
        <f t="shared" si="79"/>
        <v>27.306000000000001</v>
      </c>
    </row>
    <row r="2508" spans="1:12">
      <c r="A2508" t="s">
        <v>550</v>
      </c>
      <c r="B2508" t="s">
        <v>356</v>
      </c>
      <c r="C2508" t="s">
        <v>454</v>
      </c>
      <c r="D2508" s="3" t="s">
        <v>961</v>
      </c>
      <c r="E2508" s="4">
        <v>4.9950000000000001E-2</v>
      </c>
      <c r="F2508" s="4" t="s">
        <v>179</v>
      </c>
      <c r="G2508" s="9">
        <v>1100</v>
      </c>
      <c r="H2508" s="9">
        <f t="shared" si="78"/>
        <v>54.945</v>
      </c>
      <c r="I2508" t="s">
        <v>179</v>
      </c>
      <c r="J2508" s="33">
        <v>0</v>
      </c>
      <c r="K2508" s="18">
        <f>VLOOKUP(D2508,Ingredients!C:F,3,0)</f>
        <v>110</v>
      </c>
      <c r="L2508" s="52">
        <f t="shared" si="79"/>
        <v>5.4945000000000004</v>
      </c>
    </row>
    <row r="2509" spans="1:12">
      <c r="A2509" t="s">
        <v>550</v>
      </c>
      <c r="B2509" t="s">
        <v>356</v>
      </c>
      <c r="C2509" t="s">
        <v>454</v>
      </c>
      <c r="D2509" s="3" t="s">
        <v>832</v>
      </c>
      <c r="E2509" s="4">
        <v>4.9950000000000001E-2</v>
      </c>
      <c r="F2509" s="4" t="s">
        <v>179</v>
      </c>
      <c r="G2509" s="9">
        <v>128</v>
      </c>
      <c r="H2509" s="9">
        <f t="shared" si="78"/>
        <v>6.3936000000000002</v>
      </c>
      <c r="I2509" t="s">
        <v>179</v>
      </c>
      <c r="J2509" s="33">
        <v>0</v>
      </c>
      <c r="K2509" s="18">
        <f>VLOOKUP(D2509,Ingredients!C:G,5,0)</f>
        <v>131.19999999999999</v>
      </c>
      <c r="L2509" s="52">
        <f t="shared" si="79"/>
        <v>6.5534399999999993</v>
      </c>
    </row>
    <row r="2510" spans="1:12">
      <c r="A2510" t="s">
        <v>550</v>
      </c>
      <c r="B2510" t="s">
        <v>356</v>
      </c>
      <c r="C2510" t="s">
        <v>454</v>
      </c>
      <c r="D2510" s="3" t="s">
        <v>73</v>
      </c>
      <c r="E2510" s="4">
        <v>0.79920000000000002</v>
      </c>
      <c r="F2510" s="4" t="s">
        <v>179</v>
      </c>
      <c r="G2510" s="9">
        <v>305</v>
      </c>
      <c r="H2510" s="9">
        <f t="shared" si="78"/>
        <v>243.756</v>
      </c>
      <c r="I2510" t="s">
        <v>179</v>
      </c>
      <c r="J2510" s="33">
        <v>0</v>
      </c>
      <c r="K2510" s="18">
        <f>VLOOKUP(D2510,Ingredients!C:G,5,0)</f>
        <v>300</v>
      </c>
      <c r="L2510" s="52">
        <f t="shared" si="79"/>
        <v>239.76000000000002</v>
      </c>
    </row>
    <row r="2511" spans="1:12">
      <c r="A2511" t="s">
        <v>550</v>
      </c>
      <c r="B2511" t="s">
        <v>356</v>
      </c>
      <c r="C2511" t="s">
        <v>454</v>
      </c>
      <c r="D2511" s="3" t="s">
        <v>892</v>
      </c>
      <c r="E2511" s="4">
        <v>0.16650000000000001</v>
      </c>
      <c r="F2511" s="4" t="s">
        <v>179</v>
      </c>
      <c r="G2511" s="9">
        <v>2000</v>
      </c>
      <c r="H2511" s="9">
        <f t="shared" si="78"/>
        <v>333</v>
      </c>
      <c r="I2511" t="s">
        <v>179</v>
      </c>
      <c r="J2511" s="33">
        <v>0</v>
      </c>
      <c r="K2511" s="18">
        <f>VLOOKUP(D2511,Ingredients!C:G,5,0)</f>
        <v>2080</v>
      </c>
      <c r="L2511" s="52">
        <f t="shared" si="79"/>
        <v>346.32</v>
      </c>
    </row>
    <row r="2512" spans="1:12">
      <c r="A2512" t="s">
        <v>550</v>
      </c>
      <c r="B2512" t="s">
        <v>356</v>
      </c>
      <c r="C2512" t="s">
        <v>454</v>
      </c>
      <c r="D2512" s="3" t="s">
        <v>830</v>
      </c>
      <c r="E2512" s="4">
        <v>1.3320000000000001</v>
      </c>
      <c r="F2512" s="4" t="s">
        <v>179</v>
      </c>
      <c r="G2512" s="9">
        <v>149</v>
      </c>
      <c r="H2512" s="9">
        <f t="shared" si="78"/>
        <v>198.46800000000002</v>
      </c>
      <c r="I2512" t="s">
        <v>179</v>
      </c>
      <c r="J2512" s="33">
        <v>0</v>
      </c>
      <c r="K2512" s="18">
        <f>VLOOKUP(D2512,Ingredients!C:G,5,0)</f>
        <v>123</v>
      </c>
      <c r="L2512" s="52">
        <f t="shared" si="79"/>
        <v>163.83600000000001</v>
      </c>
    </row>
    <row r="2513" spans="1:12">
      <c r="A2513" t="s">
        <v>550</v>
      </c>
      <c r="B2513" t="s">
        <v>356</v>
      </c>
      <c r="C2513" t="s">
        <v>454</v>
      </c>
      <c r="D2513" s="3" t="s">
        <v>310</v>
      </c>
      <c r="E2513" s="4">
        <v>4.9950000000000001E-2</v>
      </c>
      <c r="F2513" s="4" t="s">
        <v>179</v>
      </c>
      <c r="G2513" s="9">
        <v>425</v>
      </c>
      <c r="H2513" s="9">
        <f t="shared" si="78"/>
        <v>21.228750000000002</v>
      </c>
      <c r="I2513" t="s">
        <v>179</v>
      </c>
      <c r="J2513" s="33">
        <v>0</v>
      </c>
      <c r="K2513" s="18">
        <f>VLOOKUP(D2513,Ingredients!C:G,5,0)</f>
        <v>850</v>
      </c>
      <c r="L2513" s="52">
        <f t="shared" si="79"/>
        <v>42.457500000000003</v>
      </c>
    </row>
    <row r="2514" spans="1:12">
      <c r="A2514" t="s">
        <v>551</v>
      </c>
      <c r="B2514" t="s">
        <v>346</v>
      </c>
      <c r="C2514" t="s">
        <v>353</v>
      </c>
      <c r="D2514" s="3" t="s">
        <v>884</v>
      </c>
      <c r="E2514" s="4">
        <v>1</v>
      </c>
      <c r="F2514" s="4" t="s">
        <v>179</v>
      </c>
      <c r="G2514" s="9">
        <v>344</v>
      </c>
      <c r="H2514" s="9">
        <f t="shared" si="78"/>
        <v>344</v>
      </c>
      <c r="I2514" t="s">
        <v>179</v>
      </c>
      <c r="J2514" s="33">
        <v>0</v>
      </c>
      <c r="K2514" s="18">
        <f>VLOOKUP(D2514,Ingredients!C:G,5,0)</f>
        <v>344</v>
      </c>
      <c r="L2514" s="52">
        <f t="shared" si="79"/>
        <v>344</v>
      </c>
    </row>
    <row r="2515" spans="1:12">
      <c r="A2515" t="s">
        <v>551</v>
      </c>
      <c r="B2515" t="s">
        <v>346</v>
      </c>
      <c r="C2515" t="s">
        <v>353</v>
      </c>
      <c r="D2515" s="3" t="s">
        <v>24</v>
      </c>
      <c r="E2515" s="4">
        <v>6.6600000000000006E-2</v>
      </c>
      <c r="F2515" s="4" t="s">
        <v>179</v>
      </c>
      <c r="G2515" s="9">
        <v>55</v>
      </c>
      <c r="H2515" s="9">
        <f t="shared" si="78"/>
        <v>3.6630000000000003</v>
      </c>
      <c r="I2515" t="s">
        <v>179</v>
      </c>
      <c r="J2515" s="33">
        <v>0</v>
      </c>
      <c r="K2515" s="18">
        <f>VLOOKUP(D2515,Ingredients!C:G,5,0)</f>
        <v>80</v>
      </c>
      <c r="L2515" s="52">
        <f t="shared" si="79"/>
        <v>5.3280000000000003</v>
      </c>
    </row>
    <row r="2516" spans="1:12">
      <c r="A2516" t="s">
        <v>551</v>
      </c>
      <c r="B2516" t="s">
        <v>346</v>
      </c>
      <c r="C2516" t="s">
        <v>353</v>
      </c>
      <c r="D2516" s="3" t="s">
        <v>16</v>
      </c>
      <c r="E2516" s="4">
        <v>0.13320000000000001</v>
      </c>
      <c r="F2516" s="4" t="s">
        <v>179</v>
      </c>
      <c r="G2516" s="9">
        <v>270</v>
      </c>
      <c r="H2516" s="9">
        <f t="shared" si="78"/>
        <v>35.964000000000006</v>
      </c>
      <c r="I2516" t="s">
        <v>179</v>
      </c>
      <c r="J2516" s="33">
        <v>0</v>
      </c>
      <c r="K2516" s="18">
        <f>VLOOKUP(D2516,Ingredients!C:G,5,0)</f>
        <v>310</v>
      </c>
      <c r="L2516" s="52">
        <f t="shared" si="79"/>
        <v>41.292000000000002</v>
      </c>
    </row>
    <row r="2517" spans="1:12">
      <c r="A2517" t="s">
        <v>551</v>
      </c>
      <c r="B2517" t="s">
        <v>346</v>
      </c>
      <c r="C2517" t="s">
        <v>353</v>
      </c>
      <c r="D2517" s="3" t="s">
        <v>882</v>
      </c>
      <c r="E2517" s="4">
        <v>1.4999999999999999E-2</v>
      </c>
      <c r="F2517" s="4" t="s">
        <v>179</v>
      </c>
      <c r="G2517" s="9">
        <v>1500</v>
      </c>
      <c r="H2517" s="9">
        <f t="shared" si="78"/>
        <v>22.5</v>
      </c>
      <c r="I2517" t="s">
        <v>179</v>
      </c>
      <c r="J2517" s="33">
        <v>0</v>
      </c>
      <c r="K2517" s="18">
        <f>VLOOKUP(D2517,Ingredients!C:G,5,0)</f>
        <v>1450</v>
      </c>
      <c r="L2517" s="52">
        <f t="shared" si="79"/>
        <v>21.75</v>
      </c>
    </row>
    <row r="2518" spans="1:12">
      <c r="A2518" t="s">
        <v>551</v>
      </c>
      <c r="B2518" t="s">
        <v>346</v>
      </c>
      <c r="C2518" t="s">
        <v>353</v>
      </c>
      <c r="D2518" s="3" t="s">
        <v>853</v>
      </c>
      <c r="E2518" s="4">
        <v>9.9900000000000003E-2</v>
      </c>
      <c r="F2518" s="4" t="s">
        <v>179</v>
      </c>
      <c r="G2518" s="9">
        <v>30</v>
      </c>
      <c r="H2518" s="9">
        <f t="shared" si="78"/>
        <v>2.9969999999999999</v>
      </c>
      <c r="I2518" t="s">
        <v>179</v>
      </c>
      <c r="J2518" s="33">
        <v>0</v>
      </c>
      <c r="K2518" s="18">
        <f>VLOOKUP(D2518,Ingredients!C:G,5,0)</f>
        <v>55</v>
      </c>
      <c r="L2518" s="52">
        <f t="shared" si="79"/>
        <v>5.4945000000000004</v>
      </c>
    </row>
    <row r="2519" spans="1:12">
      <c r="A2519" t="s">
        <v>551</v>
      </c>
      <c r="B2519" t="s">
        <v>346</v>
      </c>
      <c r="C2519" t="s">
        <v>353</v>
      </c>
      <c r="D2519" s="3" t="s">
        <v>865</v>
      </c>
      <c r="E2519" s="4">
        <v>0.1</v>
      </c>
      <c r="F2519" s="4" t="s">
        <v>179</v>
      </c>
      <c r="G2519" s="9">
        <v>1400</v>
      </c>
      <c r="H2519" s="9">
        <f t="shared" si="78"/>
        <v>140</v>
      </c>
      <c r="I2519" t="s">
        <v>179</v>
      </c>
      <c r="J2519" s="33">
        <v>0</v>
      </c>
      <c r="K2519" s="18">
        <f>VLOOKUP(D2519,Ingredients!C:G,5,0)</f>
        <v>1400</v>
      </c>
      <c r="L2519" s="52">
        <f t="shared" si="79"/>
        <v>140</v>
      </c>
    </row>
    <row r="2520" spans="1:12">
      <c r="A2520" t="s">
        <v>551</v>
      </c>
      <c r="B2520" t="s">
        <v>346</v>
      </c>
      <c r="C2520" t="s">
        <v>353</v>
      </c>
      <c r="D2520" s="3" t="s">
        <v>497</v>
      </c>
      <c r="E2520" s="4">
        <v>0.05</v>
      </c>
      <c r="F2520" s="4" t="s">
        <v>176</v>
      </c>
      <c r="G2520" s="9">
        <v>350</v>
      </c>
      <c r="H2520" s="9">
        <f t="shared" si="78"/>
        <v>17.5</v>
      </c>
      <c r="I2520" t="s">
        <v>179</v>
      </c>
      <c r="J2520" s="33">
        <v>0</v>
      </c>
      <c r="K2520" s="18">
        <f>VLOOKUP(D2520,Ingredients!C:G,5,0)</f>
        <v>400</v>
      </c>
      <c r="L2520" s="52">
        <f t="shared" si="79"/>
        <v>20</v>
      </c>
    </row>
    <row r="2521" spans="1:12">
      <c r="A2521" t="s">
        <v>552</v>
      </c>
      <c r="B2521" t="s">
        <v>348</v>
      </c>
      <c r="C2521" t="s">
        <v>1001</v>
      </c>
      <c r="D2521" s="3" t="s">
        <v>553</v>
      </c>
      <c r="E2521" s="4">
        <v>3</v>
      </c>
      <c r="F2521" s="4" t="s">
        <v>263</v>
      </c>
      <c r="G2521" s="9">
        <v>129.07</v>
      </c>
      <c r="H2521" s="9">
        <f t="shared" si="78"/>
        <v>387.21</v>
      </c>
      <c r="I2521" t="s">
        <v>486</v>
      </c>
      <c r="J2521" s="33">
        <v>0</v>
      </c>
      <c r="K2521" s="18">
        <f>VLOOKUP(D2521,Ingredients!C:G,5,0)</f>
        <v>129</v>
      </c>
      <c r="L2521" s="52">
        <f t="shared" si="79"/>
        <v>387</v>
      </c>
    </row>
    <row r="2522" spans="1:12">
      <c r="A2522" t="s">
        <v>552</v>
      </c>
      <c r="B2522" t="s">
        <v>348</v>
      </c>
      <c r="C2522" t="s">
        <v>1001</v>
      </c>
      <c r="D2522" s="3" t="s">
        <v>852</v>
      </c>
      <c r="E2522" s="4">
        <v>0.2</v>
      </c>
      <c r="F2522" s="4" t="s">
        <v>317</v>
      </c>
      <c r="G2522" s="9">
        <v>520.63</v>
      </c>
      <c r="H2522" s="9">
        <f t="shared" si="78"/>
        <v>104.126</v>
      </c>
      <c r="I2522" t="s">
        <v>486</v>
      </c>
      <c r="J2522" s="33">
        <v>0</v>
      </c>
      <c r="K2522" s="18">
        <v>550</v>
      </c>
      <c r="L2522" s="52">
        <f t="shared" si="79"/>
        <v>110</v>
      </c>
    </row>
    <row r="2523" spans="1:12">
      <c r="A2523" t="s">
        <v>554</v>
      </c>
      <c r="B2523" t="s">
        <v>349</v>
      </c>
      <c r="C2523" t="s">
        <v>352</v>
      </c>
      <c r="D2523" s="33" t="s">
        <v>491</v>
      </c>
      <c r="E2523" s="4">
        <v>1</v>
      </c>
      <c r="F2523" s="4" t="s">
        <v>176</v>
      </c>
      <c r="G2523" s="9">
        <v>614</v>
      </c>
      <c r="H2523" s="9">
        <f t="shared" si="78"/>
        <v>614</v>
      </c>
      <c r="I2523" t="s">
        <v>179</v>
      </c>
      <c r="J2523" s="33" t="s">
        <v>491</v>
      </c>
      <c r="K2523" s="18">
        <f>VLOOKUP(D2523,Ingredients!C:G,5,0)</f>
        <v>650</v>
      </c>
      <c r="L2523" s="52">
        <f t="shared" si="79"/>
        <v>650</v>
      </c>
    </row>
    <row r="2524" spans="1:12">
      <c r="A2524" t="s">
        <v>554</v>
      </c>
      <c r="B2524" t="s">
        <v>349</v>
      </c>
      <c r="C2524" t="s">
        <v>352</v>
      </c>
      <c r="D2524" s="3" t="s">
        <v>853</v>
      </c>
      <c r="E2524" s="4">
        <v>7.0000000000000001E-3</v>
      </c>
      <c r="F2524" s="4" t="s">
        <v>176</v>
      </c>
      <c r="G2524" s="9">
        <v>30</v>
      </c>
      <c r="H2524" s="9">
        <f t="shared" si="78"/>
        <v>0.21</v>
      </c>
      <c r="I2524" t="s">
        <v>179</v>
      </c>
      <c r="J2524" s="33" t="s">
        <v>491</v>
      </c>
      <c r="K2524" s="18">
        <f>VLOOKUP(D2524,Ingredients!C:G,5,0)</f>
        <v>55</v>
      </c>
      <c r="L2524" s="52">
        <f t="shared" si="79"/>
        <v>0.38500000000000001</v>
      </c>
    </row>
    <row r="2525" spans="1:12">
      <c r="A2525" t="s">
        <v>554</v>
      </c>
      <c r="B2525" t="s">
        <v>349</v>
      </c>
      <c r="C2525" t="s">
        <v>352</v>
      </c>
      <c r="D2525" s="3" t="s">
        <v>50</v>
      </c>
      <c r="E2525" s="4">
        <v>0.02</v>
      </c>
      <c r="F2525" s="4" t="s">
        <v>176</v>
      </c>
      <c r="G2525" s="9">
        <v>120</v>
      </c>
      <c r="H2525" s="9">
        <f t="shared" si="78"/>
        <v>2.4</v>
      </c>
      <c r="I2525" t="s">
        <v>179</v>
      </c>
      <c r="J2525" s="33" t="s">
        <v>491</v>
      </c>
      <c r="K2525" s="18">
        <f>VLOOKUP(D2525,Ingredients!C:G,5,0)</f>
        <v>120</v>
      </c>
      <c r="L2525" s="52">
        <f t="shared" si="79"/>
        <v>2.4</v>
      </c>
    </row>
    <row r="2526" spans="1:12">
      <c r="A2526" t="s">
        <v>554</v>
      </c>
      <c r="B2526" t="s">
        <v>349</v>
      </c>
      <c r="C2526" t="s">
        <v>352</v>
      </c>
      <c r="D2526" s="3" t="s">
        <v>867</v>
      </c>
      <c r="E2526" s="4">
        <v>4.4999999999999998E-2</v>
      </c>
      <c r="F2526" s="4" t="s">
        <v>176</v>
      </c>
      <c r="G2526" s="9">
        <v>900</v>
      </c>
      <c r="H2526" s="9">
        <f t="shared" si="78"/>
        <v>40.5</v>
      </c>
      <c r="I2526" t="s">
        <v>179</v>
      </c>
      <c r="J2526" s="33" t="s">
        <v>491</v>
      </c>
      <c r="K2526" s="18">
        <f>VLOOKUP(D2526,Ingredients!C:G,5,0)</f>
        <v>950</v>
      </c>
      <c r="L2526" s="52">
        <f t="shared" si="79"/>
        <v>42.75</v>
      </c>
    </row>
    <row r="2527" spans="1:12">
      <c r="A2527" t="s">
        <v>554</v>
      </c>
      <c r="B2527" t="s">
        <v>349</v>
      </c>
      <c r="C2527" t="s">
        <v>352</v>
      </c>
      <c r="D2527" s="3" t="s">
        <v>887</v>
      </c>
      <c r="E2527" s="4">
        <v>0.03</v>
      </c>
      <c r="F2527" s="4" t="s">
        <v>176</v>
      </c>
      <c r="G2527" s="9">
        <v>1600</v>
      </c>
      <c r="H2527" s="9">
        <f t="shared" si="78"/>
        <v>48</v>
      </c>
      <c r="I2527" t="s">
        <v>179</v>
      </c>
      <c r="J2527" s="33" t="s">
        <v>491</v>
      </c>
      <c r="K2527" s="18">
        <f>VLOOKUP(D2527,Ingredients!C:G,5,0)</f>
        <v>1830</v>
      </c>
      <c r="L2527" s="52">
        <f t="shared" si="79"/>
        <v>54.9</v>
      </c>
    </row>
    <row r="2528" spans="1:12">
      <c r="A2528" t="s">
        <v>554</v>
      </c>
      <c r="B2528" t="s">
        <v>349</v>
      </c>
      <c r="C2528" t="s">
        <v>352</v>
      </c>
      <c r="D2528" s="3" t="s">
        <v>895</v>
      </c>
      <c r="E2528" s="4">
        <v>0.03</v>
      </c>
      <c r="F2528" s="4" t="s">
        <v>176</v>
      </c>
      <c r="G2528" s="9">
        <v>400</v>
      </c>
      <c r="H2528" s="9">
        <f t="shared" si="78"/>
        <v>12</v>
      </c>
      <c r="I2528" t="s">
        <v>179</v>
      </c>
      <c r="J2528" s="33" t="s">
        <v>491</v>
      </c>
      <c r="K2528" s="18">
        <f>VLOOKUP(D2528,Ingredients!C:G,5,0)</f>
        <v>400</v>
      </c>
      <c r="L2528" s="52">
        <f t="shared" si="79"/>
        <v>12</v>
      </c>
    </row>
    <row r="2529" spans="1:12">
      <c r="A2529" t="s">
        <v>554</v>
      </c>
      <c r="B2529" t="s">
        <v>349</v>
      </c>
      <c r="C2529" t="s">
        <v>352</v>
      </c>
      <c r="D2529" s="3" t="s">
        <v>16</v>
      </c>
      <c r="E2529" s="4">
        <v>1.4999999999999999E-2</v>
      </c>
      <c r="F2529" s="4" t="s">
        <v>176</v>
      </c>
      <c r="G2529" s="9">
        <v>270</v>
      </c>
      <c r="H2529" s="9">
        <f t="shared" si="78"/>
        <v>4.05</v>
      </c>
      <c r="I2529" t="s">
        <v>179</v>
      </c>
      <c r="J2529" s="33" t="s">
        <v>491</v>
      </c>
      <c r="K2529" s="18">
        <f>VLOOKUP(D2529,Ingredients!C:G,5,0)</f>
        <v>310</v>
      </c>
      <c r="L2529" s="52">
        <f t="shared" si="79"/>
        <v>4.6499999999999995</v>
      </c>
    </row>
    <row r="2530" spans="1:12">
      <c r="A2530" t="s">
        <v>554</v>
      </c>
      <c r="B2530" t="s">
        <v>349</v>
      </c>
      <c r="C2530" t="s">
        <v>352</v>
      </c>
      <c r="D2530" s="3" t="s">
        <v>23</v>
      </c>
      <c r="E2530" s="4">
        <v>1.4999999999999999E-2</v>
      </c>
      <c r="F2530" s="4" t="s">
        <v>176</v>
      </c>
      <c r="G2530" s="9">
        <v>740</v>
      </c>
      <c r="H2530" s="9">
        <f t="shared" si="78"/>
        <v>11.1</v>
      </c>
      <c r="I2530" t="s">
        <v>179</v>
      </c>
      <c r="J2530" s="33" t="s">
        <v>491</v>
      </c>
      <c r="K2530" s="18">
        <f>VLOOKUP(D2530,Ingredients!C:G,5,0)</f>
        <v>780</v>
      </c>
      <c r="L2530" s="52">
        <f t="shared" si="79"/>
        <v>11.7</v>
      </c>
    </row>
    <row r="2531" spans="1:12">
      <c r="A2531" t="s">
        <v>554</v>
      </c>
      <c r="B2531" t="s">
        <v>349</v>
      </c>
      <c r="C2531" t="s">
        <v>352</v>
      </c>
      <c r="D2531" s="3" t="s">
        <v>29</v>
      </c>
      <c r="E2531" s="4">
        <v>1.4999999999999999E-2</v>
      </c>
      <c r="F2531" s="4" t="s">
        <v>176</v>
      </c>
      <c r="G2531" s="9">
        <v>60</v>
      </c>
      <c r="H2531" s="9">
        <f t="shared" si="78"/>
        <v>0.89999999999999991</v>
      </c>
      <c r="I2531" t="s">
        <v>179</v>
      </c>
      <c r="J2531" s="33" t="s">
        <v>491</v>
      </c>
      <c r="K2531" s="18">
        <f>VLOOKUP(D2531,Ingredients!C:G,5,0)</f>
        <v>100</v>
      </c>
      <c r="L2531" s="52">
        <f t="shared" si="79"/>
        <v>1.5</v>
      </c>
    </row>
    <row r="2532" spans="1:12">
      <c r="A2532" t="s">
        <v>554</v>
      </c>
      <c r="B2532" t="s">
        <v>349</v>
      </c>
      <c r="C2532" t="s">
        <v>352</v>
      </c>
      <c r="D2532" s="3" t="s">
        <v>852</v>
      </c>
      <c r="E2532" s="4">
        <v>0.15</v>
      </c>
      <c r="F2532" s="4" t="s">
        <v>176</v>
      </c>
      <c r="G2532" s="9">
        <v>520.63</v>
      </c>
      <c r="H2532" s="9">
        <f t="shared" si="78"/>
        <v>78.094499999999996</v>
      </c>
      <c r="I2532" t="s">
        <v>179</v>
      </c>
      <c r="J2532" s="33" t="s">
        <v>491</v>
      </c>
      <c r="K2532" s="18">
        <v>550</v>
      </c>
      <c r="L2532" s="52">
        <f t="shared" si="79"/>
        <v>82.5</v>
      </c>
    </row>
    <row r="2533" spans="1:12">
      <c r="A2533" t="s">
        <v>554</v>
      </c>
      <c r="B2533" t="s">
        <v>349</v>
      </c>
      <c r="C2533" t="s">
        <v>352</v>
      </c>
      <c r="D2533" s="3" t="s">
        <v>24</v>
      </c>
      <c r="E2533" s="4">
        <v>7.0000000000000007E-2</v>
      </c>
      <c r="F2533" s="4" t="s">
        <v>176</v>
      </c>
      <c r="G2533" s="9">
        <v>55</v>
      </c>
      <c r="H2533" s="9">
        <f t="shared" si="78"/>
        <v>3.8500000000000005</v>
      </c>
      <c r="I2533" t="s">
        <v>179</v>
      </c>
      <c r="J2533" s="33" t="s">
        <v>491</v>
      </c>
      <c r="K2533" s="18">
        <f>VLOOKUP(D2533,Ingredients!C:G,5,0)</f>
        <v>80</v>
      </c>
      <c r="L2533" s="52">
        <f t="shared" si="79"/>
        <v>5.6000000000000005</v>
      </c>
    </row>
    <row r="2534" spans="1:12">
      <c r="A2534" t="s">
        <v>554</v>
      </c>
      <c r="B2534" t="s">
        <v>349</v>
      </c>
      <c r="C2534" t="s">
        <v>352</v>
      </c>
      <c r="D2534" s="3" t="s">
        <v>853</v>
      </c>
      <c r="E2534" s="4">
        <v>4.0000000000000001E-3</v>
      </c>
      <c r="F2534" s="4" t="s">
        <v>176</v>
      </c>
      <c r="G2534" s="9">
        <v>30</v>
      </c>
      <c r="H2534" s="9">
        <f t="shared" si="78"/>
        <v>0.12</v>
      </c>
      <c r="I2534" t="s">
        <v>179</v>
      </c>
      <c r="J2534" s="33" t="s">
        <v>491</v>
      </c>
      <c r="K2534" s="18">
        <f>VLOOKUP(D2534,Ingredients!C:G,5,0)</f>
        <v>55</v>
      </c>
      <c r="L2534" s="52">
        <f t="shared" si="79"/>
        <v>0.22</v>
      </c>
    </row>
    <row r="2535" spans="1:12">
      <c r="A2535" t="s">
        <v>554</v>
      </c>
      <c r="B2535" t="s">
        <v>349</v>
      </c>
      <c r="C2535" t="s">
        <v>352</v>
      </c>
      <c r="D2535" s="3" t="s">
        <v>16</v>
      </c>
      <c r="E2535" s="4">
        <v>2.5000000000000001E-2</v>
      </c>
      <c r="F2535" s="4" t="s">
        <v>176</v>
      </c>
      <c r="G2535" s="9">
        <v>270</v>
      </c>
      <c r="H2535" s="9">
        <f t="shared" si="78"/>
        <v>6.75</v>
      </c>
      <c r="I2535" t="s">
        <v>179</v>
      </c>
      <c r="J2535" s="33" t="s">
        <v>491</v>
      </c>
      <c r="K2535" s="18">
        <f>VLOOKUP(D2535,Ingredients!C:G,5,0)</f>
        <v>310</v>
      </c>
      <c r="L2535" s="52">
        <f t="shared" si="79"/>
        <v>7.75</v>
      </c>
    </row>
    <row r="2536" spans="1:12">
      <c r="A2536" t="s">
        <v>554</v>
      </c>
      <c r="B2536" t="s">
        <v>349</v>
      </c>
      <c r="C2536" t="s">
        <v>352</v>
      </c>
      <c r="D2536" s="3" t="s">
        <v>23</v>
      </c>
      <c r="E2536" s="4">
        <v>2.5000000000000001E-2</v>
      </c>
      <c r="F2536" s="4" t="s">
        <v>176</v>
      </c>
      <c r="G2536" s="9">
        <v>740</v>
      </c>
      <c r="H2536" s="9">
        <f t="shared" si="78"/>
        <v>18.5</v>
      </c>
      <c r="I2536" t="s">
        <v>179</v>
      </c>
      <c r="J2536" s="33" t="s">
        <v>491</v>
      </c>
      <c r="K2536" s="18">
        <f>VLOOKUP(D2536,Ingredients!C:G,5,0)</f>
        <v>780</v>
      </c>
      <c r="L2536" s="52">
        <f t="shared" si="79"/>
        <v>19.5</v>
      </c>
    </row>
    <row r="2537" spans="1:12">
      <c r="A2537" t="s">
        <v>554</v>
      </c>
      <c r="B2537" t="s">
        <v>349</v>
      </c>
      <c r="C2537" t="s">
        <v>352</v>
      </c>
      <c r="D2537" s="3" t="s">
        <v>29</v>
      </c>
      <c r="E2537" s="4">
        <v>2.5000000000000001E-2</v>
      </c>
      <c r="F2537" s="4" t="s">
        <v>176</v>
      </c>
      <c r="G2537" s="9">
        <v>60</v>
      </c>
      <c r="H2537" s="9">
        <f t="shared" si="78"/>
        <v>1.5</v>
      </c>
      <c r="I2537" t="s">
        <v>179</v>
      </c>
      <c r="J2537" s="33" t="s">
        <v>491</v>
      </c>
      <c r="K2537" s="18">
        <f>VLOOKUP(D2537,Ingredients!C:G,5,0)</f>
        <v>100</v>
      </c>
      <c r="L2537" s="52">
        <f t="shared" si="79"/>
        <v>2.5</v>
      </c>
    </row>
    <row r="2538" spans="1:12">
      <c r="A2538" t="s">
        <v>554</v>
      </c>
      <c r="B2538" t="s">
        <v>349</v>
      </c>
      <c r="C2538" t="s">
        <v>352</v>
      </c>
      <c r="D2538" s="3" t="s">
        <v>880</v>
      </c>
      <c r="E2538" s="4">
        <v>7.0000000000000001E-3</v>
      </c>
      <c r="F2538" s="4" t="s">
        <v>176</v>
      </c>
      <c r="G2538" s="9">
        <v>650</v>
      </c>
      <c r="H2538" s="9">
        <f t="shared" si="78"/>
        <v>4.55</v>
      </c>
      <c r="I2538" t="s">
        <v>179</v>
      </c>
      <c r="J2538" s="33" t="s">
        <v>491</v>
      </c>
      <c r="K2538" s="18">
        <f>VLOOKUP(D2538,Ingredients!C:G,5,0)</f>
        <v>520</v>
      </c>
      <c r="L2538" s="52">
        <f t="shared" si="79"/>
        <v>3.64</v>
      </c>
    </row>
    <row r="2539" spans="1:12">
      <c r="A2539" t="s">
        <v>554</v>
      </c>
      <c r="B2539" t="s">
        <v>349</v>
      </c>
      <c r="C2539" t="s">
        <v>352</v>
      </c>
      <c r="D2539" s="3" t="s">
        <v>867</v>
      </c>
      <c r="E2539" s="4">
        <v>0.03</v>
      </c>
      <c r="F2539" s="4" t="s">
        <v>176</v>
      </c>
      <c r="G2539" s="9">
        <v>900</v>
      </c>
      <c r="H2539" s="9">
        <f t="shared" si="78"/>
        <v>27</v>
      </c>
      <c r="I2539" t="s">
        <v>179</v>
      </c>
      <c r="J2539" s="33" t="s">
        <v>491</v>
      </c>
      <c r="K2539" s="18">
        <f>VLOOKUP(D2539,Ingredients!C:G,5,0)</f>
        <v>950</v>
      </c>
      <c r="L2539" s="52">
        <f t="shared" si="79"/>
        <v>28.5</v>
      </c>
    </row>
    <row r="2540" spans="1:12">
      <c r="A2540" t="s">
        <v>554</v>
      </c>
      <c r="B2540" t="s">
        <v>349</v>
      </c>
      <c r="C2540" t="s">
        <v>352</v>
      </c>
      <c r="D2540" s="3" t="s">
        <v>841</v>
      </c>
      <c r="E2540" s="4">
        <v>1.4999999999999999E-2</v>
      </c>
      <c r="F2540" s="4" t="s">
        <v>176</v>
      </c>
      <c r="G2540" s="9">
        <v>50</v>
      </c>
      <c r="H2540" s="9">
        <f t="shared" ref="H2540:H2603" si="80">G2540*E2540</f>
        <v>0.75</v>
      </c>
      <c r="I2540" t="s">
        <v>179</v>
      </c>
      <c r="J2540" s="33" t="s">
        <v>491</v>
      </c>
      <c r="K2540" s="18">
        <f>VLOOKUP(D2540,Ingredients!C:G,5,0)</f>
        <v>50</v>
      </c>
      <c r="L2540" s="52">
        <f t="shared" si="79"/>
        <v>0.75</v>
      </c>
    </row>
    <row r="2541" spans="1:12">
      <c r="A2541" t="s">
        <v>554</v>
      </c>
      <c r="B2541" t="s">
        <v>349</v>
      </c>
      <c r="C2541" t="s">
        <v>352</v>
      </c>
      <c r="D2541" s="3" t="s">
        <v>855</v>
      </c>
      <c r="E2541" s="4">
        <v>0.03</v>
      </c>
      <c r="F2541" s="4" t="s">
        <v>176</v>
      </c>
      <c r="G2541" s="9">
        <v>2400</v>
      </c>
      <c r="H2541" s="9">
        <f t="shared" si="80"/>
        <v>72</v>
      </c>
      <c r="I2541" t="s">
        <v>179</v>
      </c>
      <c r="J2541" s="33" t="s">
        <v>491</v>
      </c>
      <c r="K2541" s="18">
        <f>VLOOKUP(D2541,Ingredients!C:G,5,0)</f>
        <v>1600</v>
      </c>
      <c r="L2541" s="52">
        <f t="shared" si="79"/>
        <v>48</v>
      </c>
    </row>
    <row r="2542" spans="1:12">
      <c r="A2542" t="s">
        <v>554</v>
      </c>
      <c r="B2542" t="s">
        <v>349</v>
      </c>
      <c r="C2542" t="s">
        <v>352</v>
      </c>
      <c r="D2542" s="3" t="s">
        <v>24</v>
      </c>
      <c r="E2542" s="4">
        <v>0.15</v>
      </c>
      <c r="F2542" s="4" t="s">
        <v>176</v>
      </c>
      <c r="G2542" s="9">
        <v>55</v>
      </c>
      <c r="H2542" s="9">
        <f t="shared" si="80"/>
        <v>8.25</v>
      </c>
      <c r="I2542" t="s">
        <v>179</v>
      </c>
      <c r="J2542" s="33" t="s">
        <v>491</v>
      </c>
      <c r="K2542" s="18">
        <f>VLOOKUP(D2542,Ingredients!C:G,5,0)</f>
        <v>80</v>
      </c>
      <c r="L2542" s="52">
        <f t="shared" si="79"/>
        <v>12</v>
      </c>
    </row>
    <row r="2543" spans="1:12">
      <c r="A2543" t="s">
        <v>554</v>
      </c>
      <c r="B2543" t="s">
        <v>349</v>
      </c>
      <c r="C2543" t="s">
        <v>352</v>
      </c>
      <c r="D2543" s="3" t="s">
        <v>895</v>
      </c>
      <c r="E2543" s="4">
        <v>0.03</v>
      </c>
      <c r="F2543" s="4" t="s">
        <v>176</v>
      </c>
      <c r="G2543" s="9">
        <v>400</v>
      </c>
      <c r="H2543" s="9">
        <f t="shared" si="80"/>
        <v>12</v>
      </c>
      <c r="I2543" t="s">
        <v>179</v>
      </c>
      <c r="J2543" s="33" t="s">
        <v>491</v>
      </c>
      <c r="K2543" s="18">
        <f>VLOOKUP(D2543,Ingredients!C:G,5,0)</f>
        <v>400</v>
      </c>
      <c r="L2543" s="52">
        <f t="shared" si="79"/>
        <v>12</v>
      </c>
    </row>
    <row r="2544" spans="1:12">
      <c r="A2544" t="s">
        <v>554</v>
      </c>
      <c r="B2544" t="s">
        <v>349</v>
      </c>
      <c r="C2544" t="s">
        <v>352</v>
      </c>
      <c r="D2544" s="3" t="s">
        <v>73</v>
      </c>
      <c r="E2544" s="4">
        <v>0.08</v>
      </c>
      <c r="F2544" s="4" t="s">
        <v>176</v>
      </c>
      <c r="G2544" s="9">
        <v>305</v>
      </c>
      <c r="H2544" s="9">
        <f t="shared" si="80"/>
        <v>24.400000000000002</v>
      </c>
      <c r="I2544" t="s">
        <v>179</v>
      </c>
      <c r="J2544" s="33" t="s">
        <v>491</v>
      </c>
      <c r="K2544" s="18">
        <f>VLOOKUP(D2544,Ingredients!C:G,5,0)</f>
        <v>300</v>
      </c>
      <c r="L2544" s="52">
        <f t="shared" si="79"/>
        <v>24</v>
      </c>
    </row>
    <row r="2545" spans="1:12">
      <c r="A2545" t="s">
        <v>554</v>
      </c>
      <c r="B2545" t="s">
        <v>349</v>
      </c>
      <c r="C2545" t="s">
        <v>352</v>
      </c>
      <c r="D2545" s="3" t="s">
        <v>851</v>
      </c>
      <c r="E2545" s="4">
        <v>0.09</v>
      </c>
      <c r="F2545" s="13" t="s">
        <v>176</v>
      </c>
      <c r="G2545" s="9">
        <v>177</v>
      </c>
      <c r="H2545" s="9">
        <f t="shared" si="80"/>
        <v>15.93</v>
      </c>
      <c r="I2545" t="s">
        <v>179</v>
      </c>
      <c r="J2545" s="33" t="s">
        <v>491</v>
      </c>
      <c r="K2545" s="18">
        <f>VLOOKUP(D2545,Ingredients!C:G,5,0)</f>
        <v>920</v>
      </c>
      <c r="L2545" s="52">
        <f t="shared" si="79"/>
        <v>82.8</v>
      </c>
    </row>
    <row r="2546" spans="1:12">
      <c r="A2546" t="s">
        <v>554</v>
      </c>
      <c r="B2546" t="s">
        <v>349</v>
      </c>
      <c r="C2546" t="s">
        <v>352</v>
      </c>
      <c r="D2546" s="3" t="s">
        <v>853</v>
      </c>
      <c r="E2546" s="4">
        <v>0.03</v>
      </c>
      <c r="F2546" s="4" t="s">
        <v>176</v>
      </c>
      <c r="G2546" s="9">
        <v>30</v>
      </c>
      <c r="H2546" s="9">
        <f t="shared" si="80"/>
        <v>0.89999999999999991</v>
      </c>
      <c r="I2546" t="s">
        <v>179</v>
      </c>
      <c r="J2546" s="33" t="s">
        <v>491</v>
      </c>
      <c r="K2546" s="18">
        <f>VLOOKUP(D2546,Ingredients!C:G,5,0)</f>
        <v>55</v>
      </c>
      <c r="L2546" s="52">
        <f t="shared" si="79"/>
        <v>1.65</v>
      </c>
    </row>
    <row r="2547" spans="1:12">
      <c r="A2547" t="s">
        <v>554</v>
      </c>
      <c r="B2547" t="s">
        <v>349</v>
      </c>
      <c r="C2547" t="s">
        <v>352</v>
      </c>
      <c r="D2547" s="3" t="s">
        <v>860</v>
      </c>
      <c r="E2547" s="4">
        <v>1.4999999999999999E-2</v>
      </c>
      <c r="F2547" s="4" t="s">
        <v>176</v>
      </c>
      <c r="G2547" s="9">
        <v>2000</v>
      </c>
      <c r="H2547" s="9">
        <f t="shared" si="80"/>
        <v>30</v>
      </c>
      <c r="I2547" t="s">
        <v>179</v>
      </c>
      <c r="J2547" s="33" t="s">
        <v>491</v>
      </c>
      <c r="K2547" s="18">
        <f>VLOOKUP(D2547,Ingredients!C:G,5,0)</f>
        <v>1900</v>
      </c>
      <c r="L2547" s="52">
        <f t="shared" si="79"/>
        <v>28.5</v>
      </c>
    </row>
    <row r="2548" spans="1:12">
      <c r="A2548" t="s">
        <v>554</v>
      </c>
      <c r="B2548" t="s">
        <v>349</v>
      </c>
      <c r="C2548" t="s">
        <v>352</v>
      </c>
      <c r="D2548" s="3" t="s">
        <v>878</v>
      </c>
      <c r="E2548" s="4">
        <v>1.4999999999999999E-2</v>
      </c>
      <c r="F2548" s="4" t="s">
        <v>176</v>
      </c>
      <c r="G2548" s="9">
        <v>270</v>
      </c>
      <c r="H2548" s="9">
        <f t="shared" si="80"/>
        <v>4.05</v>
      </c>
      <c r="I2548" t="s">
        <v>179</v>
      </c>
      <c r="J2548" s="33" t="s">
        <v>491</v>
      </c>
      <c r="K2548" s="18">
        <f>VLOOKUP(D2548,Ingredients!C:G,5,0)</f>
        <v>1260.55</v>
      </c>
      <c r="L2548" s="52">
        <f t="shared" si="79"/>
        <v>18.908249999999999</v>
      </c>
    </row>
    <row r="2549" spans="1:12">
      <c r="A2549" t="s">
        <v>554</v>
      </c>
      <c r="B2549" t="s">
        <v>349</v>
      </c>
      <c r="C2549" t="s">
        <v>352</v>
      </c>
      <c r="D2549" s="3" t="s">
        <v>29</v>
      </c>
      <c r="E2549" s="4">
        <v>0.04</v>
      </c>
      <c r="F2549" s="4" t="s">
        <v>176</v>
      </c>
      <c r="G2549" s="9">
        <v>60</v>
      </c>
      <c r="H2549" s="9">
        <f t="shared" si="80"/>
        <v>2.4</v>
      </c>
      <c r="I2549" t="s">
        <v>179</v>
      </c>
      <c r="J2549" s="33" t="s">
        <v>491</v>
      </c>
      <c r="K2549" s="18">
        <f>VLOOKUP(D2549,Ingredients!C:G,5,0)</f>
        <v>100</v>
      </c>
      <c r="L2549" s="52">
        <f t="shared" si="79"/>
        <v>4</v>
      </c>
    </row>
    <row r="2550" spans="1:12">
      <c r="A2550" t="s">
        <v>554</v>
      </c>
      <c r="B2550" t="s">
        <v>349</v>
      </c>
      <c r="C2550" t="s">
        <v>352</v>
      </c>
      <c r="D2550" s="3" t="s">
        <v>35</v>
      </c>
      <c r="E2550" s="4">
        <v>0.2</v>
      </c>
      <c r="F2550" s="4" t="s">
        <v>252</v>
      </c>
      <c r="G2550" s="9">
        <v>13</v>
      </c>
      <c r="H2550" s="9">
        <f t="shared" si="80"/>
        <v>2.6</v>
      </c>
      <c r="I2550" t="s">
        <v>179</v>
      </c>
      <c r="J2550" s="33" t="s">
        <v>491</v>
      </c>
      <c r="K2550" s="18">
        <f>VLOOKUP(D2550,Ingredients!C:G,5,0)</f>
        <v>15</v>
      </c>
      <c r="L2550" s="52">
        <f t="shared" si="79"/>
        <v>3</v>
      </c>
    </row>
    <row r="2551" spans="1:12">
      <c r="A2551" t="s">
        <v>554</v>
      </c>
      <c r="B2551" t="s">
        <v>349</v>
      </c>
      <c r="C2551" t="s">
        <v>352</v>
      </c>
      <c r="D2551" s="3" t="s">
        <v>23</v>
      </c>
      <c r="E2551" s="4">
        <v>1.4999999999999999E-2</v>
      </c>
      <c r="F2551" s="4" t="s">
        <v>176</v>
      </c>
      <c r="G2551" s="9">
        <v>740</v>
      </c>
      <c r="H2551" s="9">
        <f t="shared" si="80"/>
        <v>11.1</v>
      </c>
      <c r="I2551" t="s">
        <v>179</v>
      </c>
      <c r="J2551" s="33" t="s">
        <v>491</v>
      </c>
      <c r="K2551" s="18">
        <f>VLOOKUP(D2551,Ingredients!C:G,5,0)</f>
        <v>780</v>
      </c>
      <c r="L2551" s="52">
        <f t="shared" si="79"/>
        <v>11.7</v>
      </c>
    </row>
    <row r="2552" spans="1:12">
      <c r="A2552" t="s">
        <v>555</v>
      </c>
      <c r="B2552" t="s">
        <v>346</v>
      </c>
      <c r="C2552" t="s">
        <v>353</v>
      </c>
      <c r="D2552" s="3" t="s">
        <v>884</v>
      </c>
      <c r="E2552" s="11">
        <v>1</v>
      </c>
      <c r="F2552" s="7" t="s">
        <v>176</v>
      </c>
      <c r="G2552" s="9">
        <v>344</v>
      </c>
      <c r="H2552" s="9">
        <f t="shared" si="80"/>
        <v>344</v>
      </c>
      <c r="I2552" t="s">
        <v>179</v>
      </c>
      <c r="J2552" s="33">
        <v>0</v>
      </c>
      <c r="K2552" s="18">
        <f>VLOOKUP(D2552,Ingredients!C:G,5,0)</f>
        <v>344</v>
      </c>
      <c r="L2552" s="52">
        <f t="shared" si="79"/>
        <v>344</v>
      </c>
    </row>
    <row r="2553" spans="1:12">
      <c r="A2553" t="s">
        <v>555</v>
      </c>
      <c r="B2553" t="s">
        <v>346</v>
      </c>
      <c r="C2553" t="s">
        <v>353</v>
      </c>
      <c r="D2553" s="3" t="s">
        <v>865</v>
      </c>
      <c r="E2553" s="11">
        <v>1.0000000000000002E-2</v>
      </c>
      <c r="F2553" s="7" t="s">
        <v>176</v>
      </c>
      <c r="G2553" s="9">
        <v>1400</v>
      </c>
      <c r="H2553" s="9">
        <f t="shared" si="80"/>
        <v>14.000000000000004</v>
      </c>
      <c r="I2553" t="s">
        <v>179</v>
      </c>
      <c r="J2553" s="33">
        <v>0</v>
      </c>
      <c r="K2553" s="18">
        <f>VLOOKUP(D2553,Ingredients!C:G,5,0)</f>
        <v>1400</v>
      </c>
      <c r="L2553" s="52">
        <f t="shared" si="79"/>
        <v>14.000000000000004</v>
      </c>
    </row>
    <row r="2554" spans="1:12">
      <c r="A2554" t="s">
        <v>555</v>
      </c>
      <c r="B2554" t="s">
        <v>346</v>
      </c>
      <c r="C2554" t="s">
        <v>353</v>
      </c>
      <c r="D2554" s="3" t="s">
        <v>853</v>
      </c>
      <c r="E2554" s="11">
        <v>0.05</v>
      </c>
      <c r="F2554" s="7" t="s">
        <v>176</v>
      </c>
      <c r="G2554" s="9">
        <v>30</v>
      </c>
      <c r="H2554" s="9">
        <f t="shared" si="80"/>
        <v>1.5</v>
      </c>
      <c r="I2554" t="s">
        <v>179</v>
      </c>
      <c r="J2554" s="33">
        <v>0</v>
      </c>
      <c r="K2554" s="18">
        <f>VLOOKUP(D2554,Ingredients!C:G,5,0)</f>
        <v>55</v>
      </c>
      <c r="L2554" s="52">
        <f t="shared" si="79"/>
        <v>2.75</v>
      </c>
    </row>
    <row r="2555" spans="1:12">
      <c r="A2555" t="s">
        <v>555</v>
      </c>
      <c r="B2555" t="s">
        <v>346</v>
      </c>
      <c r="C2555" t="s">
        <v>353</v>
      </c>
      <c r="D2555" s="3" t="s">
        <v>852</v>
      </c>
      <c r="E2555" s="11">
        <v>2.0000000000000004E-2</v>
      </c>
      <c r="F2555" s="7" t="s">
        <v>176</v>
      </c>
      <c r="G2555" s="9">
        <v>520.63</v>
      </c>
      <c r="H2555" s="9">
        <f t="shared" si="80"/>
        <v>10.412600000000001</v>
      </c>
      <c r="I2555" t="s">
        <v>179</v>
      </c>
      <c r="J2555" s="33">
        <v>0</v>
      </c>
      <c r="K2555" s="18">
        <v>550</v>
      </c>
      <c r="L2555" s="52">
        <f t="shared" si="79"/>
        <v>11.000000000000002</v>
      </c>
    </row>
    <row r="2556" spans="1:12">
      <c r="A2556" t="s">
        <v>556</v>
      </c>
      <c r="B2556" t="s">
        <v>356</v>
      </c>
      <c r="C2556" t="s">
        <v>356</v>
      </c>
      <c r="D2556" s="3" t="s">
        <v>913</v>
      </c>
      <c r="E2556" s="4">
        <v>0.98</v>
      </c>
      <c r="F2556" s="7" t="s">
        <v>176</v>
      </c>
      <c r="G2556" s="9">
        <v>229.16666666666666</v>
      </c>
      <c r="H2556" s="9">
        <f t="shared" si="80"/>
        <v>224.58333333333331</v>
      </c>
      <c r="I2556" t="s">
        <v>179</v>
      </c>
      <c r="J2556" s="33">
        <v>0</v>
      </c>
      <c r="K2556" s="18">
        <f>VLOOKUP(D2556,Ingredients!C:F,3,0)</f>
        <v>343.75</v>
      </c>
      <c r="L2556" s="52">
        <f t="shared" si="79"/>
        <v>336.875</v>
      </c>
    </row>
    <row r="2557" spans="1:12">
      <c r="A2557" t="s">
        <v>556</v>
      </c>
      <c r="B2557" t="s">
        <v>356</v>
      </c>
      <c r="C2557" t="s">
        <v>356</v>
      </c>
      <c r="D2557" s="3" t="s">
        <v>909</v>
      </c>
      <c r="E2557" s="4">
        <v>0.06</v>
      </c>
      <c r="F2557" s="7" t="s">
        <v>176</v>
      </c>
      <c r="G2557" s="9">
        <v>550</v>
      </c>
      <c r="H2557" s="9">
        <f t="shared" si="80"/>
        <v>33</v>
      </c>
      <c r="I2557" t="s">
        <v>179</v>
      </c>
      <c r="J2557" s="33">
        <v>0</v>
      </c>
      <c r="K2557" s="18">
        <f>VLOOKUP(D2557,Ingredients!C:G,5,0)</f>
        <v>648.15</v>
      </c>
      <c r="L2557" s="52">
        <f t="shared" si="79"/>
        <v>38.888999999999996</v>
      </c>
    </row>
    <row r="2558" spans="1:12">
      <c r="A2558" t="s">
        <v>556</v>
      </c>
      <c r="B2558" t="s">
        <v>356</v>
      </c>
      <c r="C2558" t="s">
        <v>356</v>
      </c>
      <c r="D2558" s="3" t="s">
        <v>915</v>
      </c>
      <c r="E2558" s="4">
        <v>0.01</v>
      </c>
      <c r="F2558" s="7" t="s">
        <v>176</v>
      </c>
      <c r="G2558" s="9">
        <v>5000</v>
      </c>
      <c r="H2558" s="9">
        <f t="shared" si="80"/>
        <v>50</v>
      </c>
      <c r="I2558" t="s">
        <v>179</v>
      </c>
      <c r="J2558" s="33">
        <v>0</v>
      </c>
      <c r="K2558" s="18">
        <f>VLOOKUP(D2558,Ingredients!C:G,5,0)</f>
        <v>3200</v>
      </c>
      <c r="L2558" s="52">
        <f t="shared" si="79"/>
        <v>32</v>
      </c>
    </row>
    <row r="2559" spans="1:12">
      <c r="A2559" t="s">
        <v>556</v>
      </c>
      <c r="B2559" t="s">
        <v>356</v>
      </c>
      <c r="C2559" t="s">
        <v>356</v>
      </c>
      <c r="D2559" s="3" t="s">
        <v>959</v>
      </c>
      <c r="E2559" s="4">
        <v>6</v>
      </c>
      <c r="F2559" s="4" t="s">
        <v>557</v>
      </c>
      <c r="G2559" s="9">
        <v>7.4204166666666653</v>
      </c>
      <c r="H2559" s="9">
        <f t="shared" si="80"/>
        <v>44.522499999999994</v>
      </c>
      <c r="I2559" t="s">
        <v>179</v>
      </c>
      <c r="J2559" s="33">
        <v>0</v>
      </c>
      <c r="K2559" s="18">
        <f>VLOOKUP(D2559,Ingredients!C:G,5,0)</f>
        <v>7.4204166666666653</v>
      </c>
      <c r="L2559" s="52">
        <f t="shared" si="79"/>
        <v>44.522499999999994</v>
      </c>
    </row>
    <row r="2560" spans="1:12">
      <c r="A2560" t="s">
        <v>556</v>
      </c>
      <c r="B2560" t="s">
        <v>356</v>
      </c>
      <c r="C2560" t="s">
        <v>356</v>
      </c>
      <c r="D2560" s="3" t="s">
        <v>852</v>
      </c>
      <c r="E2560" s="4">
        <v>0.12</v>
      </c>
      <c r="F2560" s="4" t="s">
        <v>176</v>
      </c>
      <c r="G2560" s="9">
        <v>520.63</v>
      </c>
      <c r="H2560" s="9">
        <f t="shared" si="80"/>
        <v>62.4756</v>
      </c>
      <c r="I2560" t="s">
        <v>179</v>
      </c>
      <c r="J2560" s="33">
        <v>0</v>
      </c>
      <c r="K2560" s="18">
        <v>550</v>
      </c>
      <c r="L2560" s="52">
        <f t="shared" si="79"/>
        <v>66</v>
      </c>
    </row>
    <row r="2561" spans="1:12">
      <c r="A2561" t="s">
        <v>556</v>
      </c>
      <c r="B2561" t="s">
        <v>356</v>
      </c>
      <c r="C2561" t="s">
        <v>356</v>
      </c>
      <c r="D2561" s="3" t="s">
        <v>830</v>
      </c>
      <c r="E2561" s="4">
        <v>0.1</v>
      </c>
      <c r="F2561" s="4" t="s">
        <v>176</v>
      </c>
      <c r="G2561" s="9">
        <v>149</v>
      </c>
      <c r="H2561" s="9">
        <f t="shared" si="80"/>
        <v>14.9</v>
      </c>
      <c r="I2561" t="s">
        <v>179</v>
      </c>
      <c r="J2561" s="33">
        <v>0</v>
      </c>
      <c r="K2561" s="18">
        <f>VLOOKUP(D2561,Ingredients!C:G,5,0)</f>
        <v>123</v>
      </c>
      <c r="L2561" s="52">
        <f t="shared" si="79"/>
        <v>12.3</v>
      </c>
    </row>
    <row r="2562" spans="1:12">
      <c r="A2562" t="s">
        <v>556</v>
      </c>
      <c r="B2562" t="s">
        <v>356</v>
      </c>
      <c r="C2562" t="s">
        <v>356</v>
      </c>
      <c r="D2562" s="3" t="s">
        <v>892</v>
      </c>
      <c r="E2562" s="4">
        <v>1.4999999999999999E-2</v>
      </c>
      <c r="F2562" s="4" t="s">
        <v>176</v>
      </c>
      <c r="G2562" s="9">
        <v>2000</v>
      </c>
      <c r="H2562" s="9">
        <f t="shared" si="80"/>
        <v>30</v>
      </c>
      <c r="I2562" t="s">
        <v>179</v>
      </c>
      <c r="J2562" s="33">
        <v>0</v>
      </c>
      <c r="K2562" s="18">
        <f>VLOOKUP(D2562,Ingredients!C:G,5,0)</f>
        <v>2080</v>
      </c>
      <c r="L2562" s="52">
        <f t="shared" si="79"/>
        <v>31.2</v>
      </c>
    </row>
    <row r="2563" spans="1:12">
      <c r="A2563" t="s">
        <v>556</v>
      </c>
      <c r="B2563" t="s">
        <v>356</v>
      </c>
      <c r="C2563" t="s">
        <v>356</v>
      </c>
      <c r="D2563" s="3" t="s">
        <v>916</v>
      </c>
      <c r="E2563" s="4">
        <v>1.4999999999999999E-2</v>
      </c>
      <c r="F2563" s="4" t="s">
        <v>176</v>
      </c>
      <c r="G2563" s="9">
        <v>6500</v>
      </c>
      <c r="H2563" s="9">
        <f t="shared" si="80"/>
        <v>97.5</v>
      </c>
      <c r="I2563" t="s">
        <v>179</v>
      </c>
      <c r="J2563" s="33">
        <v>0</v>
      </c>
      <c r="K2563" s="18">
        <f>VLOOKUP(D2563,Ingredients!C:G,5,0)</f>
        <v>6200</v>
      </c>
      <c r="L2563" s="52">
        <f t="shared" si="79"/>
        <v>93</v>
      </c>
    </row>
    <row r="2564" spans="1:12">
      <c r="A2564" t="s">
        <v>558</v>
      </c>
      <c r="B2564" t="s">
        <v>349</v>
      </c>
      <c r="C2564" t="s">
        <v>456</v>
      </c>
      <c r="D2564" s="3" t="s">
        <v>831</v>
      </c>
      <c r="E2564" s="4">
        <v>1</v>
      </c>
      <c r="F2564" s="4" t="s">
        <v>176</v>
      </c>
      <c r="G2564" s="9">
        <v>908</v>
      </c>
      <c r="H2564" s="9">
        <f t="shared" si="80"/>
        <v>908</v>
      </c>
      <c r="I2564" t="s">
        <v>179</v>
      </c>
      <c r="J2564" s="33" t="s">
        <v>489</v>
      </c>
      <c r="K2564" s="18">
        <f>VLOOKUP(D2564,Ingredients!C:G,5,0)</f>
        <v>908</v>
      </c>
      <c r="L2564" s="52">
        <f t="shared" ref="L2564:L2627" si="81">K2564*E2564</f>
        <v>908</v>
      </c>
    </row>
    <row r="2565" spans="1:12">
      <c r="A2565" t="s">
        <v>558</v>
      </c>
      <c r="B2565" t="s">
        <v>349</v>
      </c>
      <c r="C2565" t="s">
        <v>456</v>
      </c>
      <c r="D2565" s="3" t="s">
        <v>852</v>
      </c>
      <c r="E2565" s="4">
        <v>0.16</v>
      </c>
      <c r="F2565" s="4" t="s">
        <v>317</v>
      </c>
      <c r="G2565" s="9">
        <v>520.63</v>
      </c>
      <c r="H2565" s="9">
        <f t="shared" si="80"/>
        <v>83.300799999999995</v>
      </c>
      <c r="I2565" t="s">
        <v>179</v>
      </c>
      <c r="J2565" s="33" t="s">
        <v>489</v>
      </c>
      <c r="K2565" s="18">
        <v>550</v>
      </c>
      <c r="L2565" s="52">
        <f t="shared" si="81"/>
        <v>88</v>
      </c>
    </row>
    <row r="2566" spans="1:12">
      <c r="A2566" t="s">
        <v>558</v>
      </c>
      <c r="B2566" t="s">
        <v>349</v>
      </c>
      <c r="C2566" t="s">
        <v>456</v>
      </c>
      <c r="D2566" s="3" t="s">
        <v>310</v>
      </c>
      <c r="E2566" s="4">
        <v>0.16</v>
      </c>
      <c r="F2566" s="4" t="s">
        <v>317</v>
      </c>
      <c r="G2566" s="9">
        <v>425</v>
      </c>
      <c r="H2566" s="9">
        <f t="shared" si="80"/>
        <v>68</v>
      </c>
      <c r="I2566" t="s">
        <v>179</v>
      </c>
      <c r="J2566" s="33" t="s">
        <v>489</v>
      </c>
      <c r="K2566" s="18">
        <f>VLOOKUP(D2566,Ingredients!C:G,5,0)</f>
        <v>850</v>
      </c>
      <c r="L2566" s="52">
        <f t="shared" si="81"/>
        <v>136</v>
      </c>
    </row>
    <row r="2567" spans="1:12">
      <c r="A2567" t="s">
        <v>558</v>
      </c>
      <c r="B2567" t="s">
        <v>349</v>
      </c>
      <c r="C2567" t="s">
        <v>456</v>
      </c>
      <c r="D2567" s="3" t="s">
        <v>16</v>
      </c>
      <c r="E2567" s="4">
        <v>0.03</v>
      </c>
      <c r="F2567" s="4" t="s">
        <v>176</v>
      </c>
      <c r="G2567" s="9">
        <v>270</v>
      </c>
      <c r="H2567" s="9">
        <f t="shared" si="80"/>
        <v>8.1</v>
      </c>
      <c r="I2567" t="s">
        <v>179</v>
      </c>
      <c r="J2567" s="33" t="s">
        <v>489</v>
      </c>
      <c r="K2567" s="18">
        <f>VLOOKUP(D2567,Ingredients!C:G,5,0)</f>
        <v>310</v>
      </c>
      <c r="L2567" s="52">
        <f t="shared" si="81"/>
        <v>9.2999999999999989</v>
      </c>
    </row>
    <row r="2568" spans="1:12">
      <c r="A2568" t="s">
        <v>558</v>
      </c>
      <c r="B2568" t="s">
        <v>349</v>
      </c>
      <c r="C2568" t="s">
        <v>456</v>
      </c>
      <c r="D2568" s="3" t="s">
        <v>895</v>
      </c>
      <c r="E2568" s="4">
        <v>0.06</v>
      </c>
      <c r="F2568" s="4" t="s">
        <v>176</v>
      </c>
      <c r="G2568" s="9">
        <v>400</v>
      </c>
      <c r="H2568" s="9">
        <f t="shared" si="80"/>
        <v>24</v>
      </c>
      <c r="I2568" t="s">
        <v>179</v>
      </c>
      <c r="J2568" s="33" t="s">
        <v>489</v>
      </c>
      <c r="K2568" s="18">
        <f>VLOOKUP(D2568,Ingredients!C:G,5,0)</f>
        <v>400</v>
      </c>
      <c r="L2568" s="52">
        <f t="shared" si="81"/>
        <v>24</v>
      </c>
    </row>
    <row r="2569" spans="1:12">
      <c r="A2569" t="s">
        <v>558</v>
      </c>
      <c r="B2569" t="s">
        <v>349</v>
      </c>
      <c r="C2569" t="s">
        <v>456</v>
      </c>
      <c r="D2569" s="3" t="s">
        <v>855</v>
      </c>
      <c r="E2569" s="4">
        <v>6.0000000000000001E-3</v>
      </c>
      <c r="F2569" s="4" t="s">
        <v>176</v>
      </c>
      <c r="G2569" s="9">
        <v>2400</v>
      </c>
      <c r="H2569" s="9">
        <f t="shared" si="80"/>
        <v>14.4</v>
      </c>
      <c r="I2569" t="s">
        <v>179</v>
      </c>
      <c r="J2569" s="33" t="s">
        <v>489</v>
      </c>
      <c r="K2569" s="18">
        <f>VLOOKUP(D2569,Ingredients!C:G,5,0)</f>
        <v>1600</v>
      </c>
      <c r="L2569" s="52">
        <f t="shared" si="81"/>
        <v>9.6</v>
      </c>
    </row>
    <row r="2570" spans="1:12">
      <c r="A2570" t="s">
        <v>558</v>
      </c>
      <c r="B2570" t="s">
        <v>349</v>
      </c>
      <c r="C2570" t="s">
        <v>456</v>
      </c>
      <c r="D2570" s="3" t="s">
        <v>867</v>
      </c>
      <c r="E2570" s="4">
        <v>6.0000000000000001E-3</v>
      </c>
      <c r="F2570" s="4" t="s">
        <v>176</v>
      </c>
      <c r="G2570" s="9">
        <v>900</v>
      </c>
      <c r="H2570" s="9">
        <f t="shared" si="80"/>
        <v>5.4</v>
      </c>
      <c r="I2570" t="s">
        <v>179</v>
      </c>
      <c r="J2570" s="33" t="s">
        <v>489</v>
      </c>
      <c r="K2570" s="18">
        <f>VLOOKUP(D2570,Ingredients!C:G,5,0)</f>
        <v>950</v>
      </c>
      <c r="L2570" s="52">
        <f t="shared" si="81"/>
        <v>5.7</v>
      </c>
    </row>
    <row r="2571" spans="1:12">
      <c r="A2571" t="s">
        <v>558</v>
      </c>
      <c r="B2571" t="s">
        <v>349</v>
      </c>
      <c r="C2571" t="s">
        <v>456</v>
      </c>
      <c r="D2571" s="3" t="s">
        <v>882</v>
      </c>
      <c r="E2571" s="4">
        <v>1.6E-2</v>
      </c>
      <c r="F2571" s="4" t="s">
        <v>176</v>
      </c>
      <c r="G2571" s="9">
        <v>1500</v>
      </c>
      <c r="H2571" s="9">
        <f t="shared" si="80"/>
        <v>24</v>
      </c>
      <c r="I2571" t="s">
        <v>179</v>
      </c>
      <c r="J2571" s="33" t="s">
        <v>489</v>
      </c>
      <c r="K2571" s="18">
        <f>VLOOKUP(D2571,Ingredients!C:G,5,0)</f>
        <v>1450</v>
      </c>
      <c r="L2571" s="52">
        <f t="shared" si="81"/>
        <v>23.2</v>
      </c>
    </row>
    <row r="2572" spans="1:12">
      <c r="A2572" t="s">
        <v>558</v>
      </c>
      <c r="B2572" t="s">
        <v>349</v>
      </c>
      <c r="C2572" t="s">
        <v>456</v>
      </c>
      <c r="D2572" s="3" t="s">
        <v>497</v>
      </c>
      <c r="E2572" s="4">
        <v>0.1</v>
      </c>
      <c r="F2572" s="4" t="s">
        <v>176</v>
      </c>
      <c r="G2572" s="9">
        <v>350</v>
      </c>
      <c r="H2572" s="9">
        <f t="shared" si="80"/>
        <v>35</v>
      </c>
      <c r="I2572" t="s">
        <v>179</v>
      </c>
      <c r="J2572" s="33" t="s">
        <v>489</v>
      </c>
      <c r="K2572" s="18">
        <f>VLOOKUP(D2572,Ingredients!C:G,5,0)</f>
        <v>400</v>
      </c>
      <c r="L2572" s="52">
        <f t="shared" si="81"/>
        <v>40</v>
      </c>
    </row>
    <row r="2573" spans="1:12">
      <c r="A2573" t="s">
        <v>558</v>
      </c>
      <c r="B2573" t="s">
        <v>349</v>
      </c>
      <c r="C2573" t="s">
        <v>456</v>
      </c>
      <c r="D2573" s="3" t="s">
        <v>35</v>
      </c>
      <c r="E2573" s="4">
        <v>1</v>
      </c>
      <c r="F2573" s="4" t="s">
        <v>252</v>
      </c>
      <c r="G2573" s="9">
        <v>13</v>
      </c>
      <c r="H2573" s="9">
        <f t="shared" si="80"/>
        <v>13</v>
      </c>
      <c r="I2573" t="s">
        <v>179</v>
      </c>
      <c r="J2573" s="33" t="s">
        <v>489</v>
      </c>
      <c r="K2573" s="18">
        <f>VLOOKUP(D2573,Ingredients!C:G,5,0)</f>
        <v>15</v>
      </c>
      <c r="L2573" s="52">
        <f t="shared" si="81"/>
        <v>15</v>
      </c>
    </row>
    <row r="2574" spans="1:12">
      <c r="A2574" t="s">
        <v>559</v>
      </c>
      <c r="B2574" t="s">
        <v>346</v>
      </c>
      <c r="C2574" t="s">
        <v>454</v>
      </c>
      <c r="D2574" s="3" t="s">
        <v>24</v>
      </c>
      <c r="E2574" s="14">
        <v>0.22499999999999998</v>
      </c>
      <c r="F2574" s="4" t="s">
        <v>179</v>
      </c>
      <c r="G2574" s="9">
        <v>55</v>
      </c>
      <c r="H2574" s="9">
        <f t="shared" si="80"/>
        <v>12.374999999999998</v>
      </c>
      <c r="I2574" t="s">
        <v>179</v>
      </c>
      <c r="J2574" s="33">
        <v>0</v>
      </c>
      <c r="K2574" s="18">
        <f>VLOOKUP(D2574,Ingredients!C:G,5,0)</f>
        <v>80</v>
      </c>
      <c r="L2574" s="52">
        <f t="shared" si="81"/>
        <v>18</v>
      </c>
    </row>
    <row r="2575" spans="1:12">
      <c r="A2575" t="s">
        <v>559</v>
      </c>
      <c r="B2575" t="s">
        <v>346</v>
      </c>
      <c r="C2575" t="s">
        <v>454</v>
      </c>
      <c r="D2575" s="3" t="s">
        <v>16</v>
      </c>
      <c r="E2575" s="14">
        <v>7.5000000000000011E-2</v>
      </c>
      <c r="F2575" s="4" t="s">
        <v>179</v>
      </c>
      <c r="G2575" s="9">
        <v>270</v>
      </c>
      <c r="H2575" s="9">
        <f t="shared" si="80"/>
        <v>20.250000000000004</v>
      </c>
      <c r="I2575" t="s">
        <v>179</v>
      </c>
      <c r="J2575" s="33">
        <v>0</v>
      </c>
      <c r="K2575" s="18">
        <f>VLOOKUP(D2575,Ingredients!C:G,5,0)</f>
        <v>310</v>
      </c>
      <c r="L2575" s="52">
        <f t="shared" si="81"/>
        <v>23.250000000000004</v>
      </c>
    </row>
    <row r="2576" spans="1:12">
      <c r="A2576" t="s">
        <v>559</v>
      </c>
      <c r="B2576" t="s">
        <v>346</v>
      </c>
      <c r="C2576" t="s">
        <v>454</v>
      </c>
      <c r="D2576" s="3" t="s">
        <v>15</v>
      </c>
      <c r="E2576" s="14">
        <v>0.22499999999999998</v>
      </c>
      <c r="F2576" s="4" t="s">
        <v>179</v>
      </c>
      <c r="G2576" s="9">
        <v>130</v>
      </c>
      <c r="H2576" s="9">
        <f t="shared" si="80"/>
        <v>29.249999999999996</v>
      </c>
      <c r="I2576" t="s">
        <v>179</v>
      </c>
      <c r="J2576" s="33">
        <v>0</v>
      </c>
      <c r="K2576" s="18">
        <f>VLOOKUP(D2576,Ingredients!C:G,5,0)</f>
        <v>90</v>
      </c>
      <c r="L2576" s="52">
        <f t="shared" si="81"/>
        <v>20.249999999999996</v>
      </c>
    </row>
    <row r="2577" spans="1:12">
      <c r="A2577" t="s">
        <v>559</v>
      </c>
      <c r="B2577" t="s">
        <v>346</v>
      </c>
      <c r="C2577" t="s">
        <v>454</v>
      </c>
      <c r="D2577" s="3" t="s">
        <v>171</v>
      </c>
      <c r="E2577" s="14">
        <v>0.24</v>
      </c>
      <c r="F2577" s="4" t="s">
        <v>179</v>
      </c>
      <c r="G2577" s="9">
        <v>65</v>
      </c>
      <c r="H2577" s="9">
        <f t="shared" si="80"/>
        <v>15.6</v>
      </c>
      <c r="I2577" t="s">
        <v>179</v>
      </c>
      <c r="J2577" s="33">
        <v>0</v>
      </c>
      <c r="K2577" s="18">
        <f>VLOOKUP(D2577,Ingredients!C:G,5,0)</f>
        <v>80</v>
      </c>
      <c r="L2577" s="52">
        <f t="shared" si="81"/>
        <v>19.2</v>
      </c>
    </row>
    <row r="2578" spans="1:12">
      <c r="A2578" t="s">
        <v>559</v>
      </c>
      <c r="B2578" t="s">
        <v>346</v>
      </c>
      <c r="C2578" t="s">
        <v>454</v>
      </c>
      <c r="D2578" s="3" t="s">
        <v>377</v>
      </c>
      <c r="E2578" s="14">
        <v>0.24</v>
      </c>
      <c r="F2578" s="4" t="s">
        <v>179</v>
      </c>
      <c r="G2578" s="9">
        <v>40</v>
      </c>
      <c r="H2578" s="9">
        <f t="shared" si="80"/>
        <v>9.6</v>
      </c>
      <c r="I2578" t="s">
        <v>179</v>
      </c>
      <c r="J2578" s="33">
        <v>0</v>
      </c>
      <c r="K2578" s="18">
        <f>VLOOKUP(D2578,Ingredients!C:G,5,0)</f>
        <v>50</v>
      </c>
      <c r="L2578" s="52">
        <f t="shared" si="81"/>
        <v>12</v>
      </c>
    </row>
    <row r="2579" spans="1:12">
      <c r="A2579" t="s">
        <v>559</v>
      </c>
      <c r="B2579" t="s">
        <v>346</v>
      </c>
      <c r="C2579" t="s">
        <v>454</v>
      </c>
      <c r="D2579" s="3" t="s">
        <v>853</v>
      </c>
      <c r="E2579" s="14">
        <v>0.09</v>
      </c>
      <c r="F2579" s="4" t="s">
        <v>179</v>
      </c>
      <c r="G2579" s="9">
        <v>30</v>
      </c>
      <c r="H2579" s="9">
        <f t="shared" si="80"/>
        <v>2.6999999999999997</v>
      </c>
      <c r="I2579" t="s">
        <v>179</v>
      </c>
      <c r="J2579" s="33">
        <v>0</v>
      </c>
      <c r="K2579" s="18">
        <f>VLOOKUP(D2579,Ingredients!C:G,5,0)</f>
        <v>55</v>
      </c>
      <c r="L2579" s="52">
        <f t="shared" si="81"/>
        <v>4.95</v>
      </c>
    </row>
    <row r="2580" spans="1:12">
      <c r="A2580" t="s">
        <v>559</v>
      </c>
      <c r="B2580" t="s">
        <v>346</v>
      </c>
      <c r="C2580" t="s">
        <v>454</v>
      </c>
      <c r="D2580" s="3" t="s">
        <v>895</v>
      </c>
      <c r="E2580" s="14">
        <v>2.2499999999999999E-2</v>
      </c>
      <c r="F2580" s="4" t="s">
        <v>179</v>
      </c>
      <c r="G2580" s="9">
        <v>400</v>
      </c>
      <c r="H2580" s="9">
        <f t="shared" si="80"/>
        <v>9</v>
      </c>
      <c r="I2580" t="s">
        <v>179</v>
      </c>
      <c r="J2580" s="33">
        <v>0</v>
      </c>
      <c r="K2580" s="18">
        <f>VLOOKUP(D2580,Ingredients!C:G,5,0)</f>
        <v>400</v>
      </c>
      <c r="L2580" s="52">
        <f t="shared" si="81"/>
        <v>9</v>
      </c>
    </row>
    <row r="2581" spans="1:12">
      <c r="A2581" t="s">
        <v>559</v>
      </c>
      <c r="B2581" t="s">
        <v>346</v>
      </c>
      <c r="C2581" t="s">
        <v>454</v>
      </c>
      <c r="D2581" s="3" t="s">
        <v>928</v>
      </c>
      <c r="E2581" s="14">
        <v>1.2E-2</v>
      </c>
      <c r="F2581" s="4" t="s">
        <v>179</v>
      </c>
      <c r="G2581" s="9">
        <v>850</v>
      </c>
      <c r="H2581" s="9">
        <f t="shared" si="80"/>
        <v>10.200000000000001</v>
      </c>
      <c r="I2581" t="s">
        <v>179</v>
      </c>
      <c r="J2581" s="33">
        <v>0</v>
      </c>
      <c r="K2581" s="18">
        <f>VLOOKUP(D2581,Ingredients!C:G,5,0)</f>
        <v>900</v>
      </c>
      <c r="L2581" s="52">
        <f t="shared" si="81"/>
        <v>10.8</v>
      </c>
    </row>
    <row r="2582" spans="1:12">
      <c r="A2582" t="s">
        <v>559</v>
      </c>
      <c r="B2582" t="s">
        <v>346</v>
      </c>
      <c r="C2582" t="s">
        <v>454</v>
      </c>
      <c r="D2582" s="3" t="s">
        <v>28</v>
      </c>
      <c r="E2582" s="14">
        <v>0.67500000000000004</v>
      </c>
      <c r="F2582" s="4" t="s">
        <v>179</v>
      </c>
      <c r="G2582" s="9">
        <v>85</v>
      </c>
      <c r="H2582" s="9">
        <f t="shared" si="80"/>
        <v>57.375000000000007</v>
      </c>
      <c r="I2582" t="s">
        <v>179</v>
      </c>
      <c r="J2582" s="33">
        <v>0</v>
      </c>
      <c r="K2582" s="18">
        <f>VLOOKUP(D2582,Ingredients!C:G,5,0)</f>
        <v>70</v>
      </c>
      <c r="L2582" s="52">
        <f t="shared" si="81"/>
        <v>47.25</v>
      </c>
    </row>
    <row r="2583" spans="1:12">
      <c r="A2583" t="s">
        <v>559</v>
      </c>
      <c r="B2583" t="s">
        <v>346</v>
      </c>
      <c r="C2583" t="s">
        <v>454</v>
      </c>
      <c r="D2583" s="3" t="s">
        <v>922</v>
      </c>
      <c r="E2583" s="14">
        <v>0.22499999999999998</v>
      </c>
      <c r="F2583" s="4" t="s">
        <v>179</v>
      </c>
      <c r="G2583" s="9">
        <v>300</v>
      </c>
      <c r="H2583" s="9">
        <f t="shared" si="80"/>
        <v>67.5</v>
      </c>
      <c r="I2583" t="s">
        <v>179</v>
      </c>
      <c r="J2583" s="33">
        <v>0</v>
      </c>
      <c r="K2583" s="18">
        <f>VLOOKUP(D2583,Ingredients!C:G,5,0)</f>
        <v>315</v>
      </c>
      <c r="L2583" s="52">
        <f t="shared" si="81"/>
        <v>70.875</v>
      </c>
    </row>
    <row r="2584" spans="1:12">
      <c r="A2584" t="s">
        <v>559</v>
      </c>
      <c r="B2584" t="s">
        <v>346</v>
      </c>
      <c r="C2584" t="s">
        <v>454</v>
      </c>
      <c r="D2584" s="3" t="s">
        <v>50</v>
      </c>
      <c r="E2584" s="14">
        <v>3.7500000000000006E-2</v>
      </c>
      <c r="F2584" s="4" t="s">
        <v>179</v>
      </c>
      <c r="G2584" s="9">
        <v>120</v>
      </c>
      <c r="H2584" s="9">
        <f t="shared" si="80"/>
        <v>4.5000000000000009</v>
      </c>
      <c r="I2584" t="s">
        <v>179</v>
      </c>
      <c r="J2584" s="33">
        <v>0</v>
      </c>
      <c r="K2584" s="18">
        <f>VLOOKUP(D2584,Ingredients!C:G,5,0)</f>
        <v>120</v>
      </c>
      <c r="L2584" s="52">
        <f t="shared" si="81"/>
        <v>4.5000000000000009</v>
      </c>
    </row>
    <row r="2585" spans="1:12">
      <c r="A2585" t="s">
        <v>559</v>
      </c>
      <c r="B2585" t="s">
        <v>346</v>
      </c>
      <c r="C2585" t="s">
        <v>454</v>
      </c>
      <c r="D2585" s="3" t="s">
        <v>497</v>
      </c>
      <c r="E2585" s="14">
        <v>0.06</v>
      </c>
      <c r="F2585" s="4" t="s">
        <v>179</v>
      </c>
      <c r="G2585" s="9">
        <v>350</v>
      </c>
      <c r="H2585" s="9">
        <f t="shared" si="80"/>
        <v>21</v>
      </c>
      <c r="I2585" t="s">
        <v>179</v>
      </c>
      <c r="J2585" s="33">
        <v>0</v>
      </c>
      <c r="K2585" s="18">
        <f>VLOOKUP(D2585,Ingredients!C:G,5,0)</f>
        <v>400</v>
      </c>
      <c r="L2585" s="52">
        <f t="shared" si="81"/>
        <v>24</v>
      </c>
    </row>
    <row r="2586" spans="1:12">
      <c r="A2586" t="s">
        <v>560</v>
      </c>
      <c r="B2586" t="s">
        <v>362</v>
      </c>
      <c r="C2586" t="s">
        <v>354</v>
      </c>
      <c r="D2586" s="3" t="s">
        <v>849</v>
      </c>
      <c r="E2586" s="4">
        <v>0.1</v>
      </c>
      <c r="F2586" s="4" t="s">
        <v>179</v>
      </c>
      <c r="G2586" s="9">
        <v>1000</v>
      </c>
      <c r="H2586" s="9">
        <f t="shared" si="80"/>
        <v>100</v>
      </c>
      <c r="I2586" t="s">
        <v>486</v>
      </c>
      <c r="J2586" s="33">
        <v>0</v>
      </c>
      <c r="K2586" s="18">
        <f>VLOOKUP(D2586,Ingredients!C:G,5,0)</f>
        <v>950</v>
      </c>
      <c r="L2586" s="52">
        <f t="shared" si="81"/>
        <v>95</v>
      </c>
    </row>
    <row r="2587" spans="1:12">
      <c r="A2587" t="s">
        <v>560</v>
      </c>
      <c r="B2587" t="s">
        <v>362</v>
      </c>
      <c r="C2587" t="s">
        <v>354</v>
      </c>
      <c r="D2587" s="3" t="s">
        <v>852</v>
      </c>
      <c r="E2587" s="4">
        <v>0.15</v>
      </c>
      <c r="F2587" s="4" t="s">
        <v>190</v>
      </c>
      <c r="G2587" s="9">
        <v>520.63</v>
      </c>
      <c r="H2587" s="9">
        <f t="shared" si="80"/>
        <v>78.094499999999996</v>
      </c>
      <c r="I2587" t="s">
        <v>486</v>
      </c>
      <c r="J2587" s="33">
        <v>0</v>
      </c>
      <c r="K2587" s="18">
        <v>550</v>
      </c>
      <c r="L2587" s="52">
        <f t="shared" si="81"/>
        <v>82.5</v>
      </c>
    </row>
    <row r="2588" spans="1:12">
      <c r="A2588" t="s">
        <v>560</v>
      </c>
      <c r="B2588" t="s">
        <v>362</v>
      </c>
      <c r="C2588" t="s">
        <v>354</v>
      </c>
      <c r="D2588" s="3" t="s">
        <v>24</v>
      </c>
      <c r="E2588" s="4">
        <v>0.6</v>
      </c>
      <c r="F2588" s="4" t="s">
        <v>176</v>
      </c>
      <c r="G2588" s="9">
        <v>55</v>
      </c>
      <c r="H2588" s="9">
        <f t="shared" si="80"/>
        <v>33</v>
      </c>
      <c r="I2588" t="s">
        <v>486</v>
      </c>
      <c r="J2588" s="33">
        <v>0</v>
      </c>
      <c r="K2588" s="18">
        <f>VLOOKUP(D2588,Ingredients!C:G,5,0)</f>
        <v>80</v>
      </c>
      <c r="L2588" s="52">
        <f t="shared" si="81"/>
        <v>48</v>
      </c>
    </row>
    <row r="2589" spans="1:12">
      <c r="A2589" t="s">
        <v>560</v>
      </c>
      <c r="B2589" t="s">
        <v>362</v>
      </c>
      <c r="C2589" t="s">
        <v>354</v>
      </c>
      <c r="D2589" s="3" t="s">
        <v>16</v>
      </c>
      <c r="E2589" s="4">
        <v>0.05</v>
      </c>
      <c r="F2589" s="4" t="s">
        <v>176</v>
      </c>
      <c r="G2589" s="9">
        <v>270</v>
      </c>
      <c r="H2589" s="9">
        <f t="shared" si="80"/>
        <v>13.5</v>
      </c>
      <c r="I2589" t="s">
        <v>486</v>
      </c>
      <c r="J2589" s="33">
        <v>0</v>
      </c>
      <c r="K2589" s="18">
        <f>VLOOKUP(D2589,Ingredients!C:G,5,0)</f>
        <v>310</v>
      </c>
      <c r="L2589" s="52">
        <f t="shared" si="81"/>
        <v>15.5</v>
      </c>
    </row>
    <row r="2590" spans="1:12">
      <c r="A2590" t="s">
        <v>560</v>
      </c>
      <c r="B2590" t="s">
        <v>362</v>
      </c>
      <c r="C2590" t="s">
        <v>354</v>
      </c>
      <c r="D2590" s="3" t="s">
        <v>28</v>
      </c>
      <c r="E2590" s="4">
        <v>0.22499999999999998</v>
      </c>
      <c r="F2590" s="4" t="s">
        <v>176</v>
      </c>
      <c r="G2590" s="9">
        <v>85</v>
      </c>
      <c r="H2590" s="9">
        <f t="shared" si="80"/>
        <v>19.124999999999996</v>
      </c>
      <c r="I2590" t="s">
        <v>486</v>
      </c>
      <c r="J2590" s="33">
        <v>0</v>
      </c>
      <c r="K2590" s="18">
        <f>VLOOKUP(D2590,Ingredients!C:G,5,0)</f>
        <v>70</v>
      </c>
      <c r="L2590" s="52">
        <f t="shared" si="81"/>
        <v>15.749999999999998</v>
      </c>
    </row>
    <row r="2591" spans="1:12">
      <c r="A2591" t="s">
        <v>560</v>
      </c>
      <c r="B2591" t="s">
        <v>362</v>
      </c>
      <c r="C2591" t="s">
        <v>354</v>
      </c>
      <c r="D2591" s="3" t="s">
        <v>855</v>
      </c>
      <c r="E2591" s="4">
        <v>0.04</v>
      </c>
      <c r="F2591" s="4" t="s">
        <v>176</v>
      </c>
      <c r="G2591" s="9">
        <v>2400</v>
      </c>
      <c r="H2591" s="9">
        <f t="shared" si="80"/>
        <v>96</v>
      </c>
      <c r="I2591" t="s">
        <v>486</v>
      </c>
      <c r="J2591" s="33">
        <v>0</v>
      </c>
      <c r="K2591" s="18">
        <f>VLOOKUP(D2591,Ingredients!C:G,5,0)</f>
        <v>1600</v>
      </c>
      <c r="L2591" s="52">
        <f t="shared" si="81"/>
        <v>64</v>
      </c>
    </row>
    <row r="2592" spans="1:12">
      <c r="A2592" t="s">
        <v>560</v>
      </c>
      <c r="B2592" t="s">
        <v>362</v>
      </c>
      <c r="C2592" t="s">
        <v>354</v>
      </c>
      <c r="D2592" s="3" t="s">
        <v>853</v>
      </c>
      <c r="E2592" s="4">
        <v>7.4999999999999997E-2</v>
      </c>
      <c r="F2592" s="4" t="s">
        <v>176</v>
      </c>
      <c r="G2592" s="9">
        <v>30</v>
      </c>
      <c r="H2592" s="9">
        <f t="shared" si="80"/>
        <v>2.25</v>
      </c>
      <c r="I2592" t="s">
        <v>486</v>
      </c>
      <c r="J2592" s="33">
        <v>0</v>
      </c>
      <c r="K2592" s="18">
        <f>VLOOKUP(D2592,Ingredients!C:G,5,0)</f>
        <v>55</v>
      </c>
      <c r="L2592" s="52">
        <f t="shared" si="81"/>
        <v>4.125</v>
      </c>
    </row>
    <row r="2593" spans="1:12">
      <c r="A2593" t="s">
        <v>561</v>
      </c>
      <c r="B2593" t="s">
        <v>345</v>
      </c>
      <c r="C2593" t="s">
        <v>345</v>
      </c>
      <c r="D2593" s="3" t="s">
        <v>863</v>
      </c>
      <c r="E2593" s="14">
        <v>0.4875000000000001</v>
      </c>
      <c r="F2593" s="4" t="s">
        <v>176</v>
      </c>
      <c r="G2593" s="9">
        <v>675</v>
      </c>
      <c r="H2593" s="9">
        <f t="shared" si="80"/>
        <v>329.06250000000006</v>
      </c>
      <c r="I2593" t="s">
        <v>486</v>
      </c>
      <c r="J2593" s="33">
        <v>0</v>
      </c>
      <c r="K2593" s="18">
        <f>VLOOKUP(D2593,Ingredients!C:G,5,0)</f>
        <v>675</v>
      </c>
      <c r="L2593" s="52">
        <f t="shared" si="81"/>
        <v>329.06250000000006</v>
      </c>
    </row>
    <row r="2594" spans="1:12">
      <c r="A2594" t="s">
        <v>561</v>
      </c>
      <c r="B2594" t="s">
        <v>345</v>
      </c>
      <c r="C2594" t="s">
        <v>345</v>
      </c>
      <c r="D2594" s="3" t="s">
        <v>834</v>
      </c>
      <c r="E2594" s="14">
        <v>0.1</v>
      </c>
      <c r="F2594" s="4" t="s">
        <v>176</v>
      </c>
      <c r="G2594" s="9">
        <v>515</v>
      </c>
      <c r="H2594" s="9">
        <f t="shared" si="80"/>
        <v>51.5</v>
      </c>
      <c r="I2594" t="s">
        <v>486</v>
      </c>
      <c r="J2594" s="33">
        <v>0</v>
      </c>
      <c r="K2594" s="18">
        <f>VLOOKUP(D2594,Ingredients!C:G,5,0)</f>
        <v>540</v>
      </c>
      <c r="L2594" s="52">
        <f t="shared" si="81"/>
        <v>54</v>
      </c>
    </row>
    <row r="2595" spans="1:12">
      <c r="A2595" t="s">
        <v>561</v>
      </c>
      <c r="B2595" t="s">
        <v>345</v>
      </c>
      <c r="C2595" t="s">
        <v>345</v>
      </c>
      <c r="D2595" s="3" t="s">
        <v>91</v>
      </c>
      <c r="E2595" s="14">
        <v>0.1</v>
      </c>
      <c r="F2595" s="4" t="s">
        <v>176</v>
      </c>
      <c r="G2595" s="9">
        <v>720</v>
      </c>
      <c r="H2595" s="9">
        <f t="shared" si="80"/>
        <v>72</v>
      </c>
      <c r="I2595" t="s">
        <v>486</v>
      </c>
      <c r="J2595" s="33">
        <v>0</v>
      </c>
      <c r="K2595" s="18">
        <f>VLOOKUP(D2595,Ingredients!C:G,5,0)</f>
        <v>715</v>
      </c>
      <c r="L2595" s="52">
        <f t="shared" si="81"/>
        <v>71.5</v>
      </c>
    </row>
    <row r="2596" spans="1:12">
      <c r="A2596" t="s">
        <v>561</v>
      </c>
      <c r="B2596" t="s">
        <v>345</v>
      </c>
      <c r="C2596" t="s">
        <v>345</v>
      </c>
      <c r="D2596" s="3" t="s">
        <v>874</v>
      </c>
      <c r="E2596" s="14">
        <v>7.4999999999999997E-2</v>
      </c>
      <c r="F2596" s="4" t="s">
        <v>176</v>
      </c>
      <c r="G2596" s="9">
        <v>110</v>
      </c>
      <c r="H2596" s="9">
        <f t="shared" si="80"/>
        <v>8.25</v>
      </c>
      <c r="I2596" t="s">
        <v>486</v>
      </c>
      <c r="J2596" s="33">
        <v>0</v>
      </c>
      <c r="K2596" s="18">
        <f>VLOOKUP(D2596,Ingredients!C:G,5,0)</f>
        <v>179</v>
      </c>
      <c r="L2596" s="52">
        <f t="shared" si="81"/>
        <v>13.424999999999999</v>
      </c>
    </row>
    <row r="2597" spans="1:12">
      <c r="A2597" t="s">
        <v>561</v>
      </c>
      <c r="B2597" t="s">
        <v>345</v>
      </c>
      <c r="C2597" t="s">
        <v>345</v>
      </c>
      <c r="D2597" s="3" t="s">
        <v>853</v>
      </c>
      <c r="E2597" s="14">
        <v>1.3333333333333334E-2</v>
      </c>
      <c r="F2597" s="4" t="s">
        <v>176</v>
      </c>
      <c r="G2597" s="9">
        <v>30</v>
      </c>
      <c r="H2597" s="9">
        <f t="shared" si="80"/>
        <v>0.4</v>
      </c>
      <c r="I2597" t="s">
        <v>486</v>
      </c>
      <c r="J2597" s="33">
        <v>0</v>
      </c>
      <c r="K2597" s="18">
        <f>VLOOKUP(D2597,Ingredients!C:G,5,0)</f>
        <v>55</v>
      </c>
      <c r="L2597" s="52">
        <f t="shared" si="81"/>
        <v>0.73333333333333339</v>
      </c>
    </row>
    <row r="2598" spans="1:12">
      <c r="A2598" t="s">
        <v>561</v>
      </c>
      <c r="B2598" t="s">
        <v>345</v>
      </c>
      <c r="C2598" t="s">
        <v>345</v>
      </c>
      <c r="D2598" s="3" t="s">
        <v>882</v>
      </c>
      <c r="E2598" s="14">
        <v>1.3333333333333334E-2</v>
      </c>
      <c r="F2598" s="4" t="s">
        <v>176</v>
      </c>
      <c r="G2598" s="9">
        <v>1500</v>
      </c>
      <c r="H2598" s="9">
        <f t="shared" si="80"/>
        <v>20</v>
      </c>
      <c r="I2598" t="s">
        <v>486</v>
      </c>
      <c r="J2598" s="33">
        <v>0</v>
      </c>
      <c r="K2598" s="18">
        <f>VLOOKUP(D2598,Ingredients!C:G,5,0)</f>
        <v>1450</v>
      </c>
      <c r="L2598" s="52">
        <f t="shared" si="81"/>
        <v>19.333333333333336</v>
      </c>
    </row>
    <row r="2599" spans="1:12">
      <c r="A2599" t="s">
        <v>562</v>
      </c>
      <c r="B2599" t="s">
        <v>349</v>
      </c>
      <c r="C2599" t="s">
        <v>428</v>
      </c>
      <c r="D2599" s="3" t="s">
        <v>428</v>
      </c>
      <c r="E2599" s="14">
        <v>1</v>
      </c>
      <c r="F2599" s="4" t="s">
        <v>176</v>
      </c>
      <c r="G2599" s="9">
        <v>1600</v>
      </c>
      <c r="H2599" s="9">
        <f t="shared" si="80"/>
        <v>1600</v>
      </c>
      <c r="I2599" t="s">
        <v>179</v>
      </c>
      <c r="J2599" s="33" t="s">
        <v>428</v>
      </c>
      <c r="K2599" s="18">
        <f>VLOOKUP(D2599,Ingredients!C:G,5,0)</f>
        <v>1514.78</v>
      </c>
      <c r="L2599" s="52">
        <f t="shared" si="81"/>
        <v>1514.78</v>
      </c>
    </row>
    <row r="2600" spans="1:12">
      <c r="A2600" t="s">
        <v>562</v>
      </c>
      <c r="B2600" t="s">
        <v>349</v>
      </c>
      <c r="C2600" t="s">
        <v>428</v>
      </c>
      <c r="D2600" s="3" t="s">
        <v>865</v>
      </c>
      <c r="E2600" s="4">
        <v>0.19980000000000001</v>
      </c>
      <c r="F2600" s="4" t="s">
        <v>176</v>
      </c>
      <c r="G2600" s="9">
        <v>1400</v>
      </c>
      <c r="H2600" s="9">
        <f t="shared" si="80"/>
        <v>279.72000000000003</v>
      </c>
      <c r="I2600" t="s">
        <v>179</v>
      </c>
      <c r="J2600" s="33" t="s">
        <v>428</v>
      </c>
      <c r="K2600" s="18">
        <f>VLOOKUP(D2600,Ingredients!C:G,5,0)</f>
        <v>1400</v>
      </c>
      <c r="L2600" s="52">
        <f t="shared" si="81"/>
        <v>279.72000000000003</v>
      </c>
    </row>
    <row r="2601" spans="1:12">
      <c r="A2601" t="s">
        <v>562</v>
      </c>
      <c r="B2601" t="s">
        <v>349</v>
      </c>
      <c r="C2601" t="s">
        <v>428</v>
      </c>
      <c r="D2601" s="3" t="s">
        <v>310</v>
      </c>
      <c r="E2601" s="4">
        <v>6.6600000000000006E-2</v>
      </c>
      <c r="F2601" s="4" t="s">
        <v>176</v>
      </c>
      <c r="G2601" s="9">
        <v>425</v>
      </c>
      <c r="H2601" s="9">
        <f t="shared" si="80"/>
        <v>28.305000000000003</v>
      </c>
      <c r="I2601" t="s">
        <v>179</v>
      </c>
      <c r="J2601" s="33" t="s">
        <v>428</v>
      </c>
      <c r="K2601" s="18">
        <f>VLOOKUP(D2601,Ingredients!C:G,5,0)</f>
        <v>850</v>
      </c>
      <c r="L2601" s="52">
        <f t="shared" si="81"/>
        <v>56.610000000000007</v>
      </c>
    </row>
    <row r="2602" spans="1:12">
      <c r="A2602" t="s">
        <v>562</v>
      </c>
      <c r="B2602" t="s">
        <v>349</v>
      </c>
      <c r="C2602" t="s">
        <v>428</v>
      </c>
      <c r="D2602" s="3" t="s">
        <v>853</v>
      </c>
      <c r="E2602" s="4">
        <v>1.7760000000000001E-2</v>
      </c>
      <c r="F2602" s="4" t="s">
        <v>176</v>
      </c>
      <c r="G2602" s="9">
        <v>30</v>
      </c>
      <c r="H2602" s="9">
        <f t="shared" si="80"/>
        <v>0.53280000000000005</v>
      </c>
      <c r="I2602" t="s">
        <v>179</v>
      </c>
      <c r="J2602" s="33" t="s">
        <v>428</v>
      </c>
      <c r="K2602" s="18">
        <f>VLOOKUP(D2602,Ingredients!C:G,5,0)</f>
        <v>55</v>
      </c>
      <c r="L2602" s="52">
        <f t="shared" si="81"/>
        <v>0.97680000000000011</v>
      </c>
    </row>
    <row r="2603" spans="1:12">
      <c r="A2603" t="s">
        <v>562</v>
      </c>
      <c r="B2603" t="s">
        <v>349</v>
      </c>
      <c r="C2603" t="s">
        <v>428</v>
      </c>
      <c r="D2603" s="3" t="s">
        <v>882</v>
      </c>
      <c r="E2603" s="4">
        <v>1.4999999999999999E-2</v>
      </c>
      <c r="F2603" s="4" t="s">
        <v>176</v>
      </c>
      <c r="G2603" s="9">
        <v>1500</v>
      </c>
      <c r="H2603" s="9">
        <f t="shared" si="80"/>
        <v>22.5</v>
      </c>
      <c r="I2603" t="s">
        <v>179</v>
      </c>
      <c r="J2603" s="33" t="s">
        <v>428</v>
      </c>
      <c r="K2603" s="18">
        <f>VLOOKUP(D2603,Ingredients!C:G,5,0)</f>
        <v>1450</v>
      </c>
      <c r="L2603" s="52">
        <f t="shared" si="81"/>
        <v>21.75</v>
      </c>
    </row>
    <row r="2604" spans="1:12">
      <c r="A2604" t="s">
        <v>562</v>
      </c>
      <c r="B2604" t="s">
        <v>349</v>
      </c>
      <c r="C2604" t="s">
        <v>428</v>
      </c>
      <c r="D2604" s="3" t="s">
        <v>867</v>
      </c>
      <c r="E2604" s="4">
        <v>1.4999999999999999E-2</v>
      </c>
      <c r="F2604" s="4" t="s">
        <v>176</v>
      </c>
      <c r="G2604" s="9">
        <v>900</v>
      </c>
      <c r="H2604" s="9">
        <f t="shared" ref="H2604:H2667" si="82">G2604*E2604</f>
        <v>13.5</v>
      </c>
      <c r="I2604" t="s">
        <v>179</v>
      </c>
      <c r="J2604" s="33" t="s">
        <v>428</v>
      </c>
      <c r="K2604" s="18">
        <f>VLOOKUP(D2604,Ingredients!C:G,5,0)</f>
        <v>950</v>
      </c>
      <c r="L2604" s="52">
        <f t="shared" si="81"/>
        <v>14.25</v>
      </c>
    </row>
    <row r="2605" spans="1:12">
      <c r="A2605" t="s">
        <v>562</v>
      </c>
      <c r="B2605" t="s">
        <v>349</v>
      </c>
      <c r="C2605" t="s">
        <v>428</v>
      </c>
      <c r="D2605" s="3" t="s">
        <v>849</v>
      </c>
      <c r="E2605" s="4">
        <v>1.4999999999999999E-2</v>
      </c>
      <c r="F2605" s="4" t="s">
        <v>176</v>
      </c>
      <c r="G2605" s="9">
        <v>1000</v>
      </c>
      <c r="H2605" s="9">
        <f t="shared" si="82"/>
        <v>15</v>
      </c>
      <c r="I2605" t="s">
        <v>179</v>
      </c>
      <c r="J2605" s="33" t="s">
        <v>428</v>
      </c>
      <c r="K2605" s="18">
        <f>VLOOKUP(D2605,Ingredients!C:G,5,0)</f>
        <v>950</v>
      </c>
      <c r="L2605" s="52">
        <f t="shared" si="81"/>
        <v>14.25</v>
      </c>
    </row>
    <row r="2606" spans="1:12">
      <c r="A2606" t="s">
        <v>563</v>
      </c>
      <c r="B2606" t="s">
        <v>345</v>
      </c>
      <c r="C2606" t="s">
        <v>345</v>
      </c>
      <c r="D2606" s="3" t="s">
        <v>852</v>
      </c>
      <c r="E2606" s="4">
        <v>7.4999999999999997E-2</v>
      </c>
      <c r="F2606" s="4" t="s">
        <v>176</v>
      </c>
      <c r="G2606" s="9">
        <v>520.63</v>
      </c>
      <c r="H2606" s="9">
        <f t="shared" si="82"/>
        <v>39.047249999999998</v>
      </c>
      <c r="I2606" t="s">
        <v>486</v>
      </c>
      <c r="J2606" s="33">
        <v>0</v>
      </c>
      <c r="K2606" s="18">
        <v>550</v>
      </c>
      <c r="L2606" s="52">
        <f t="shared" si="81"/>
        <v>41.25</v>
      </c>
    </row>
    <row r="2607" spans="1:12">
      <c r="A2607" t="s">
        <v>563</v>
      </c>
      <c r="B2607" t="s">
        <v>345</v>
      </c>
      <c r="C2607" t="s">
        <v>345</v>
      </c>
      <c r="D2607" s="3" t="s">
        <v>16</v>
      </c>
      <c r="E2607" s="4">
        <v>0.1</v>
      </c>
      <c r="F2607" s="4" t="s">
        <v>176</v>
      </c>
      <c r="G2607" s="9">
        <v>270</v>
      </c>
      <c r="H2607" s="9">
        <f t="shared" si="82"/>
        <v>27</v>
      </c>
      <c r="I2607" t="s">
        <v>486</v>
      </c>
      <c r="J2607" s="33">
        <v>0</v>
      </c>
      <c r="K2607" s="18">
        <f>VLOOKUP(D2607,Ingredients!C:G,5,0)</f>
        <v>310</v>
      </c>
      <c r="L2607" s="52">
        <f t="shared" si="81"/>
        <v>31</v>
      </c>
    </row>
    <row r="2608" spans="1:12">
      <c r="A2608" t="s">
        <v>563</v>
      </c>
      <c r="B2608" t="s">
        <v>345</v>
      </c>
      <c r="C2608" t="s">
        <v>345</v>
      </c>
      <c r="D2608" s="3" t="s">
        <v>24</v>
      </c>
      <c r="E2608" s="4">
        <v>0.1</v>
      </c>
      <c r="F2608" s="4" t="s">
        <v>176</v>
      </c>
      <c r="G2608" s="9">
        <v>55</v>
      </c>
      <c r="H2608" s="9">
        <f t="shared" si="82"/>
        <v>5.5</v>
      </c>
      <c r="I2608" t="s">
        <v>486</v>
      </c>
      <c r="J2608" s="33">
        <v>0</v>
      </c>
      <c r="K2608" s="18">
        <f>VLOOKUP(D2608,Ingredients!C:G,5,0)</f>
        <v>80</v>
      </c>
      <c r="L2608" s="52">
        <f t="shared" si="81"/>
        <v>8</v>
      </c>
    </row>
    <row r="2609" spans="1:12">
      <c r="A2609" t="s">
        <v>563</v>
      </c>
      <c r="B2609" t="s">
        <v>345</v>
      </c>
      <c r="C2609" t="s">
        <v>345</v>
      </c>
      <c r="D2609" s="3" t="s">
        <v>29</v>
      </c>
      <c r="E2609" s="4">
        <v>0.15</v>
      </c>
      <c r="F2609" s="4" t="s">
        <v>176</v>
      </c>
      <c r="G2609" s="9">
        <v>60</v>
      </c>
      <c r="H2609" s="9">
        <f t="shared" si="82"/>
        <v>9</v>
      </c>
      <c r="I2609" t="s">
        <v>486</v>
      </c>
      <c r="J2609" s="33">
        <v>0</v>
      </c>
      <c r="K2609" s="18">
        <f>VLOOKUP(D2609,Ingredients!C:G,5,0)</f>
        <v>100</v>
      </c>
      <c r="L2609" s="52">
        <f t="shared" si="81"/>
        <v>15</v>
      </c>
    </row>
    <row r="2610" spans="1:12">
      <c r="A2610" t="s">
        <v>563</v>
      </c>
      <c r="B2610" t="s">
        <v>345</v>
      </c>
      <c r="C2610" t="s">
        <v>345</v>
      </c>
      <c r="D2610" s="3" t="s">
        <v>856</v>
      </c>
      <c r="E2610" s="4">
        <v>0.2</v>
      </c>
      <c r="F2610" s="4" t="s">
        <v>176</v>
      </c>
      <c r="G2610" s="9">
        <v>850</v>
      </c>
      <c r="H2610" s="9">
        <f t="shared" si="82"/>
        <v>170</v>
      </c>
      <c r="I2610" t="s">
        <v>486</v>
      </c>
      <c r="J2610" s="33">
        <v>0</v>
      </c>
      <c r="K2610" s="18">
        <f>VLOOKUP(D2610,Ingredients!C:G,5,0)</f>
        <v>980</v>
      </c>
      <c r="L2610" s="52">
        <f t="shared" si="81"/>
        <v>196</v>
      </c>
    </row>
    <row r="2611" spans="1:12">
      <c r="A2611" t="s">
        <v>563</v>
      </c>
      <c r="B2611" t="s">
        <v>345</v>
      </c>
      <c r="C2611" t="s">
        <v>345</v>
      </c>
      <c r="D2611" s="3" t="s">
        <v>874</v>
      </c>
      <c r="E2611" s="4">
        <v>0.125</v>
      </c>
      <c r="F2611" s="4" t="s">
        <v>176</v>
      </c>
      <c r="G2611" s="9">
        <v>110</v>
      </c>
      <c r="H2611" s="9">
        <f t="shared" si="82"/>
        <v>13.75</v>
      </c>
      <c r="I2611" t="s">
        <v>486</v>
      </c>
      <c r="J2611" s="33">
        <v>0</v>
      </c>
      <c r="K2611" s="18">
        <f>VLOOKUP(D2611,Ingredients!C:G,5,0)</f>
        <v>179</v>
      </c>
      <c r="L2611" s="52">
        <f t="shared" si="81"/>
        <v>22.375</v>
      </c>
    </row>
    <row r="2612" spans="1:12">
      <c r="A2612" t="s">
        <v>563</v>
      </c>
      <c r="B2612" t="s">
        <v>345</v>
      </c>
      <c r="C2612" t="s">
        <v>345</v>
      </c>
      <c r="D2612" s="3" t="s">
        <v>310</v>
      </c>
      <c r="E2612" s="4">
        <v>0.22499999999999998</v>
      </c>
      <c r="F2612" s="4" t="s">
        <v>176</v>
      </c>
      <c r="G2612" s="9">
        <v>425</v>
      </c>
      <c r="H2612" s="9">
        <f t="shared" si="82"/>
        <v>95.624999999999986</v>
      </c>
      <c r="I2612" t="s">
        <v>486</v>
      </c>
      <c r="J2612" s="33">
        <v>0</v>
      </c>
      <c r="K2612" s="18">
        <f>VLOOKUP(D2612,Ingredients!C:G,5,0)</f>
        <v>850</v>
      </c>
      <c r="L2612" s="52">
        <f t="shared" si="81"/>
        <v>191.24999999999997</v>
      </c>
    </row>
    <row r="2613" spans="1:12">
      <c r="A2613" t="s">
        <v>563</v>
      </c>
      <c r="B2613" t="s">
        <v>345</v>
      </c>
      <c r="C2613" t="s">
        <v>345</v>
      </c>
      <c r="D2613" s="3" t="s">
        <v>50</v>
      </c>
      <c r="E2613" s="4">
        <v>7.4999999999999997E-2</v>
      </c>
      <c r="F2613" s="4" t="s">
        <v>176</v>
      </c>
      <c r="G2613" s="9">
        <v>120</v>
      </c>
      <c r="H2613" s="9">
        <f t="shared" si="82"/>
        <v>9</v>
      </c>
      <c r="I2613" t="s">
        <v>486</v>
      </c>
      <c r="J2613" s="33">
        <v>0</v>
      </c>
      <c r="K2613" s="18">
        <f>VLOOKUP(D2613,Ingredients!C:G,5,0)</f>
        <v>120</v>
      </c>
      <c r="L2613" s="52">
        <f t="shared" si="81"/>
        <v>9</v>
      </c>
    </row>
    <row r="2614" spans="1:12">
      <c r="A2614" t="s">
        <v>563</v>
      </c>
      <c r="B2614" t="s">
        <v>345</v>
      </c>
      <c r="C2614" t="s">
        <v>345</v>
      </c>
      <c r="D2614" s="3" t="s">
        <v>951</v>
      </c>
      <c r="E2614" s="4">
        <v>7.4999999999999997E-2</v>
      </c>
      <c r="F2614" s="4" t="s">
        <v>176</v>
      </c>
      <c r="G2614" s="9">
        <v>520.83000000000004</v>
      </c>
      <c r="H2614" s="9">
        <f t="shared" si="82"/>
        <v>39.062249999999999</v>
      </c>
      <c r="I2614" t="s">
        <v>486</v>
      </c>
      <c r="J2614" s="33">
        <v>0</v>
      </c>
      <c r="K2614" s="18">
        <f>VLOOKUP(D2614,Ingredients!C:G,5,0)</f>
        <v>520.83000000000004</v>
      </c>
      <c r="L2614" s="52">
        <f t="shared" si="81"/>
        <v>39.062249999999999</v>
      </c>
    </row>
    <row r="2615" spans="1:12">
      <c r="A2615" t="s">
        <v>563</v>
      </c>
      <c r="B2615" t="s">
        <v>345</v>
      </c>
      <c r="C2615" t="s">
        <v>345</v>
      </c>
      <c r="D2615" s="3" t="s">
        <v>323</v>
      </c>
      <c r="E2615" s="4">
        <v>0.15</v>
      </c>
      <c r="F2615" s="4" t="s">
        <v>176</v>
      </c>
      <c r="G2615" s="9">
        <v>5000</v>
      </c>
      <c r="H2615" s="9">
        <f t="shared" si="82"/>
        <v>750</v>
      </c>
      <c r="I2615" t="s">
        <v>486</v>
      </c>
      <c r="J2615" s="33">
        <v>0</v>
      </c>
      <c r="K2615" s="18">
        <f>VLOOKUP(D2615,Ingredients!C:G,5,0)</f>
        <v>5000</v>
      </c>
      <c r="L2615" s="52">
        <f t="shared" si="81"/>
        <v>750</v>
      </c>
    </row>
    <row r="2616" spans="1:12">
      <c r="A2616" t="s">
        <v>563</v>
      </c>
      <c r="B2616" t="s">
        <v>345</v>
      </c>
      <c r="C2616" t="s">
        <v>345</v>
      </c>
      <c r="D2616" s="3" t="s">
        <v>853</v>
      </c>
      <c r="E2616" s="4">
        <v>5.4999999999999993E-2</v>
      </c>
      <c r="F2616" s="4" t="s">
        <v>176</v>
      </c>
      <c r="G2616" s="9">
        <v>30</v>
      </c>
      <c r="H2616" s="9">
        <f t="shared" si="82"/>
        <v>1.65</v>
      </c>
      <c r="I2616" t="s">
        <v>486</v>
      </c>
      <c r="J2616" s="33">
        <v>0</v>
      </c>
      <c r="K2616" s="18">
        <f>VLOOKUP(D2616,Ingredients!C:G,5,0)</f>
        <v>55</v>
      </c>
      <c r="L2616" s="52">
        <f t="shared" si="81"/>
        <v>3.0249999999999995</v>
      </c>
    </row>
    <row r="2617" spans="1:12">
      <c r="A2617" t="s">
        <v>564</v>
      </c>
      <c r="B2617" t="s">
        <v>346</v>
      </c>
      <c r="C2617" t="s">
        <v>454</v>
      </c>
      <c r="D2617" s="3" t="s">
        <v>13</v>
      </c>
      <c r="E2617" s="4">
        <v>0.16</v>
      </c>
      <c r="F2617" s="4" t="s">
        <v>176</v>
      </c>
      <c r="G2617" s="9">
        <v>30</v>
      </c>
      <c r="H2617" s="9">
        <f t="shared" si="82"/>
        <v>4.8</v>
      </c>
      <c r="I2617" t="s">
        <v>179</v>
      </c>
      <c r="J2617" s="33">
        <v>0</v>
      </c>
      <c r="K2617" s="18">
        <f>VLOOKUP(D2617,Ingredients!C:G,5,0)</f>
        <v>60</v>
      </c>
      <c r="L2617" s="52">
        <f t="shared" si="81"/>
        <v>9.6</v>
      </c>
    </row>
    <row r="2618" spans="1:12">
      <c r="A2618" t="s">
        <v>564</v>
      </c>
      <c r="B2618" t="s">
        <v>346</v>
      </c>
      <c r="C2618" t="s">
        <v>454</v>
      </c>
      <c r="D2618" s="3" t="s">
        <v>502</v>
      </c>
      <c r="E2618" s="4">
        <v>0.13</v>
      </c>
      <c r="F2618" s="4" t="s">
        <v>176</v>
      </c>
      <c r="G2618" s="9">
        <v>500</v>
      </c>
      <c r="H2618" s="9">
        <f t="shared" si="82"/>
        <v>65</v>
      </c>
      <c r="I2618" t="s">
        <v>179</v>
      </c>
      <c r="J2618" s="33">
        <v>0</v>
      </c>
      <c r="K2618" s="18">
        <f>VLOOKUP(D2618,Ingredients!C:G,5,0)</f>
        <v>130</v>
      </c>
      <c r="L2618" s="52">
        <f t="shared" si="81"/>
        <v>16.900000000000002</v>
      </c>
    </row>
    <row r="2619" spans="1:12">
      <c r="A2619" t="s">
        <v>564</v>
      </c>
      <c r="B2619" t="s">
        <v>346</v>
      </c>
      <c r="C2619" t="s">
        <v>454</v>
      </c>
      <c r="D2619" s="3" t="s">
        <v>24</v>
      </c>
      <c r="E2619" s="4">
        <v>0.16</v>
      </c>
      <c r="F2619" s="4" t="s">
        <v>176</v>
      </c>
      <c r="G2619" s="9">
        <v>55</v>
      </c>
      <c r="H2619" s="9">
        <f t="shared" si="82"/>
        <v>8.8000000000000007</v>
      </c>
      <c r="I2619" t="s">
        <v>179</v>
      </c>
      <c r="J2619" s="33">
        <v>0</v>
      </c>
      <c r="K2619" s="18">
        <f>VLOOKUP(D2619,Ingredients!C:G,5,0)</f>
        <v>80</v>
      </c>
      <c r="L2619" s="52">
        <f t="shared" si="81"/>
        <v>12.8</v>
      </c>
    </row>
    <row r="2620" spans="1:12">
      <c r="A2620" t="s">
        <v>564</v>
      </c>
      <c r="B2620" t="s">
        <v>346</v>
      </c>
      <c r="C2620" t="s">
        <v>454</v>
      </c>
      <c r="D2620" s="3" t="s">
        <v>28</v>
      </c>
      <c r="E2620" s="4">
        <v>0.8</v>
      </c>
      <c r="F2620" s="4" t="s">
        <v>176</v>
      </c>
      <c r="G2620" s="9">
        <v>85</v>
      </c>
      <c r="H2620" s="9">
        <f t="shared" si="82"/>
        <v>68</v>
      </c>
      <c r="I2620" t="s">
        <v>179</v>
      </c>
      <c r="J2620" s="33">
        <v>0</v>
      </c>
      <c r="K2620" s="18">
        <f>VLOOKUP(D2620,Ingredients!C:G,5,0)</f>
        <v>70</v>
      </c>
      <c r="L2620" s="52">
        <f t="shared" si="81"/>
        <v>56</v>
      </c>
    </row>
    <row r="2621" spans="1:12">
      <c r="A2621" t="s">
        <v>564</v>
      </c>
      <c r="B2621" t="s">
        <v>346</v>
      </c>
      <c r="C2621" t="s">
        <v>454</v>
      </c>
      <c r="D2621" s="3" t="s">
        <v>50</v>
      </c>
      <c r="E2621" s="4">
        <v>0.03</v>
      </c>
      <c r="F2621" s="4" t="s">
        <v>176</v>
      </c>
      <c r="G2621" s="9">
        <v>120</v>
      </c>
      <c r="H2621" s="9">
        <f t="shared" si="82"/>
        <v>3.5999999999999996</v>
      </c>
      <c r="I2621" t="s">
        <v>179</v>
      </c>
      <c r="J2621" s="33">
        <v>0</v>
      </c>
      <c r="K2621" s="18">
        <f>VLOOKUP(D2621,Ingredients!C:G,5,0)</f>
        <v>120</v>
      </c>
      <c r="L2621" s="52">
        <f t="shared" si="81"/>
        <v>3.5999999999999996</v>
      </c>
    </row>
    <row r="2622" spans="1:12">
      <c r="A2622" t="s">
        <v>564</v>
      </c>
      <c r="B2622" t="s">
        <v>346</v>
      </c>
      <c r="C2622" t="s">
        <v>454</v>
      </c>
      <c r="D2622" s="3" t="s">
        <v>852</v>
      </c>
      <c r="E2622" s="4">
        <v>0.12</v>
      </c>
      <c r="F2622" s="4" t="s">
        <v>176</v>
      </c>
      <c r="G2622" s="9">
        <v>520.63</v>
      </c>
      <c r="H2622" s="9">
        <f t="shared" si="82"/>
        <v>62.4756</v>
      </c>
      <c r="I2622" t="s">
        <v>179</v>
      </c>
      <c r="J2622" s="33">
        <v>0</v>
      </c>
      <c r="K2622" s="18">
        <v>550</v>
      </c>
      <c r="L2622" s="52">
        <f t="shared" si="81"/>
        <v>66</v>
      </c>
    </row>
    <row r="2623" spans="1:12">
      <c r="A2623" t="s">
        <v>564</v>
      </c>
      <c r="B2623" t="s">
        <v>346</v>
      </c>
      <c r="C2623" t="s">
        <v>454</v>
      </c>
      <c r="D2623" s="3" t="s">
        <v>874</v>
      </c>
      <c r="E2623" s="4">
        <v>0.12</v>
      </c>
      <c r="F2623" s="4" t="s">
        <v>176</v>
      </c>
      <c r="G2623" s="9">
        <v>110</v>
      </c>
      <c r="H2623" s="9">
        <f t="shared" si="82"/>
        <v>13.2</v>
      </c>
      <c r="I2623" t="s">
        <v>179</v>
      </c>
      <c r="J2623" s="33">
        <v>0</v>
      </c>
      <c r="K2623" s="18">
        <f>VLOOKUP(D2623,Ingredients!C:G,5,0)</f>
        <v>179</v>
      </c>
      <c r="L2623" s="52">
        <f t="shared" si="81"/>
        <v>21.48</v>
      </c>
    </row>
    <row r="2624" spans="1:12">
      <c r="A2624" t="s">
        <v>564</v>
      </c>
      <c r="B2624" t="s">
        <v>346</v>
      </c>
      <c r="C2624" t="s">
        <v>454</v>
      </c>
      <c r="D2624" s="3" t="s">
        <v>16</v>
      </c>
      <c r="E2624" s="4">
        <v>0.04</v>
      </c>
      <c r="F2624" s="4" t="s">
        <v>176</v>
      </c>
      <c r="G2624" s="9">
        <v>270</v>
      </c>
      <c r="H2624" s="9">
        <f t="shared" si="82"/>
        <v>10.8</v>
      </c>
      <c r="I2624" t="s">
        <v>179</v>
      </c>
      <c r="J2624" s="33">
        <v>0</v>
      </c>
      <c r="K2624" s="18">
        <f>VLOOKUP(D2624,Ingredients!C:G,5,0)</f>
        <v>310</v>
      </c>
      <c r="L2624" s="52">
        <f t="shared" si="81"/>
        <v>12.4</v>
      </c>
    </row>
    <row r="2625" spans="1:12">
      <c r="A2625" t="s">
        <v>564</v>
      </c>
      <c r="B2625" t="s">
        <v>346</v>
      </c>
      <c r="C2625" t="s">
        <v>454</v>
      </c>
      <c r="D2625" s="3" t="s">
        <v>565</v>
      </c>
      <c r="E2625" s="4">
        <v>1.6E-2</v>
      </c>
      <c r="F2625" s="4" t="s">
        <v>176</v>
      </c>
      <c r="G2625" s="9">
        <v>795</v>
      </c>
      <c r="H2625" s="9">
        <f t="shared" si="82"/>
        <v>12.72</v>
      </c>
      <c r="I2625" t="s">
        <v>179</v>
      </c>
      <c r="J2625" s="33">
        <v>0</v>
      </c>
      <c r="K2625" s="18">
        <f>VLOOKUP(D2625,Ingredients!C:G,5,0)</f>
        <v>650</v>
      </c>
      <c r="L2625" s="52">
        <f t="shared" si="81"/>
        <v>10.4</v>
      </c>
    </row>
    <row r="2626" spans="1:12">
      <c r="A2626" t="s">
        <v>564</v>
      </c>
      <c r="B2626" t="s">
        <v>346</v>
      </c>
      <c r="C2626" t="s">
        <v>454</v>
      </c>
      <c r="D2626" s="3" t="s">
        <v>323</v>
      </c>
      <c r="E2626" s="4">
        <v>1.6E-2</v>
      </c>
      <c r="F2626" s="4" t="s">
        <v>176</v>
      </c>
      <c r="G2626" s="9">
        <v>5000</v>
      </c>
      <c r="H2626" s="9">
        <f t="shared" si="82"/>
        <v>80</v>
      </c>
      <c r="I2626" t="s">
        <v>179</v>
      </c>
      <c r="J2626" s="33">
        <v>0</v>
      </c>
      <c r="K2626" s="18">
        <f>VLOOKUP(D2626,Ingredients!C:G,5,0)</f>
        <v>5000</v>
      </c>
      <c r="L2626" s="52">
        <f t="shared" si="81"/>
        <v>80</v>
      </c>
    </row>
    <row r="2627" spans="1:12">
      <c r="A2627" t="s">
        <v>564</v>
      </c>
      <c r="B2627" t="s">
        <v>346</v>
      </c>
      <c r="C2627" t="s">
        <v>454</v>
      </c>
      <c r="D2627" s="3" t="s">
        <v>853</v>
      </c>
      <c r="E2627" s="4">
        <v>1.6E-2</v>
      </c>
      <c r="F2627" s="4" t="s">
        <v>176</v>
      </c>
      <c r="G2627" s="9">
        <v>30</v>
      </c>
      <c r="H2627" s="9">
        <f t="shared" si="82"/>
        <v>0.48</v>
      </c>
      <c r="I2627" t="s">
        <v>179</v>
      </c>
      <c r="J2627" s="33">
        <v>0</v>
      </c>
      <c r="K2627" s="18">
        <f>VLOOKUP(D2627,Ingredients!C:G,5,0)</f>
        <v>55</v>
      </c>
      <c r="L2627" s="52">
        <f t="shared" si="81"/>
        <v>0.88</v>
      </c>
    </row>
    <row r="2628" spans="1:12">
      <c r="A2628" t="s">
        <v>564</v>
      </c>
      <c r="B2628" t="s">
        <v>346</v>
      </c>
      <c r="C2628" t="s">
        <v>454</v>
      </c>
      <c r="D2628" s="3" t="s">
        <v>882</v>
      </c>
      <c r="E2628" s="4">
        <v>8.0000000000000002E-3</v>
      </c>
      <c r="F2628" s="4" t="s">
        <v>176</v>
      </c>
      <c r="G2628" s="9">
        <v>1500</v>
      </c>
      <c r="H2628" s="9">
        <f t="shared" si="82"/>
        <v>12</v>
      </c>
      <c r="I2628" t="s">
        <v>179</v>
      </c>
      <c r="J2628" s="33">
        <v>0</v>
      </c>
      <c r="K2628" s="18">
        <f>VLOOKUP(D2628,Ingredients!C:G,5,0)</f>
        <v>1450</v>
      </c>
      <c r="L2628" s="52">
        <f t="shared" ref="L2628:L2691" si="83">K2628*E2628</f>
        <v>11.6</v>
      </c>
    </row>
    <row r="2629" spans="1:12">
      <c r="A2629" t="s">
        <v>564</v>
      </c>
      <c r="B2629" t="s">
        <v>346</v>
      </c>
      <c r="C2629" t="s">
        <v>454</v>
      </c>
      <c r="D2629" s="3" t="s">
        <v>497</v>
      </c>
      <c r="E2629" s="4">
        <v>0.08</v>
      </c>
      <c r="F2629" s="4" t="s">
        <v>176</v>
      </c>
      <c r="G2629" s="9">
        <v>350</v>
      </c>
      <c r="H2629" s="9">
        <f t="shared" si="82"/>
        <v>28</v>
      </c>
      <c r="I2629" t="s">
        <v>179</v>
      </c>
      <c r="J2629" s="33">
        <v>0</v>
      </c>
      <c r="K2629" s="18">
        <f>VLOOKUP(D2629,Ingredients!C:G,5,0)</f>
        <v>400</v>
      </c>
      <c r="L2629" s="52">
        <f t="shared" si="83"/>
        <v>32</v>
      </c>
    </row>
    <row r="2630" spans="1:12">
      <c r="A2630" t="s">
        <v>564</v>
      </c>
      <c r="B2630" t="s">
        <v>346</v>
      </c>
      <c r="C2630" t="s">
        <v>454</v>
      </c>
      <c r="D2630" s="3" t="s">
        <v>50</v>
      </c>
      <c r="E2630" s="4">
        <v>0.1</v>
      </c>
      <c r="F2630" s="4" t="s">
        <v>176</v>
      </c>
      <c r="G2630" s="9">
        <v>120</v>
      </c>
      <c r="H2630" s="9">
        <f t="shared" si="82"/>
        <v>12</v>
      </c>
      <c r="I2630" t="s">
        <v>179</v>
      </c>
      <c r="J2630" s="33">
        <v>0</v>
      </c>
      <c r="K2630" s="18">
        <f>VLOOKUP(D2630,Ingredients!C:G,5,0)</f>
        <v>120</v>
      </c>
      <c r="L2630" s="52">
        <f t="shared" si="83"/>
        <v>12</v>
      </c>
    </row>
    <row r="2631" spans="1:12">
      <c r="A2631" t="s">
        <v>566</v>
      </c>
      <c r="B2631" t="s">
        <v>345</v>
      </c>
      <c r="C2631" t="s">
        <v>345</v>
      </c>
      <c r="D2631" s="3" t="s">
        <v>888</v>
      </c>
      <c r="E2631" s="4">
        <v>0.57500000000000007</v>
      </c>
      <c r="F2631" s="4" t="s">
        <v>176</v>
      </c>
      <c r="G2631" s="9">
        <v>580</v>
      </c>
      <c r="H2631" s="9">
        <f t="shared" si="82"/>
        <v>333.50000000000006</v>
      </c>
      <c r="I2631" t="s">
        <v>675</v>
      </c>
      <c r="J2631" s="33">
        <v>0</v>
      </c>
      <c r="K2631" s="18">
        <f>VLOOKUP(D2631,Ingredients!C:G,5,0)</f>
        <v>580</v>
      </c>
      <c r="L2631" s="52">
        <f t="shared" si="83"/>
        <v>333.50000000000006</v>
      </c>
    </row>
    <row r="2632" spans="1:12">
      <c r="A2632" t="s">
        <v>566</v>
      </c>
      <c r="B2632" t="s">
        <v>345</v>
      </c>
      <c r="C2632" t="s">
        <v>345</v>
      </c>
      <c r="D2632" s="3" t="s">
        <v>497</v>
      </c>
      <c r="E2632" s="4">
        <v>7.4999999999999997E-2</v>
      </c>
      <c r="F2632" s="4" t="s">
        <v>176</v>
      </c>
      <c r="G2632" s="9">
        <v>350</v>
      </c>
      <c r="H2632" s="9">
        <f t="shared" si="82"/>
        <v>26.25</v>
      </c>
      <c r="I2632" t="s">
        <v>675</v>
      </c>
      <c r="J2632" s="33">
        <v>0</v>
      </c>
      <c r="K2632" s="18">
        <f>VLOOKUP(D2632,Ingredients!C:G,5,0)</f>
        <v>400</v>
      </c>
      <c r="L2632" s="52">
        <f t="shared" si="83"/>
        <v>30</v>
      </c>
    </row>
    <row r="2633" spans="1:12">
      <c r="A2633" t="s">
        <v>566</v>
      </c>
      <c r="B2633" t="s">
        <v>345</v>
      </c>
      <c r="C2633" t="s">
        <v>345</v>
      </c>
      <c r="D2633" s="3" t="s">
        <v>310</v>
      </c>
      <c r="E2633" s="4">
        <v>3.7499999999999999E-2</v>
      </c>
      <c r="F2633" s="4" t="s">
        <v>176</v>
      </c>
      <c r="G2633" s="9">
        <v>425</v>
      </c>
      <c r="H2633" s="9">
        <f t="shared" si="82"/>
        <v>15.9375</v>
      </c>
      <c r="I2633" t="s">
        <v>675</v>
      </c>
      <c r="J2633" s="33">
        <v>0</v>
      </c>
      <c r="K2633" s="18">
        <f>VLOOKUP(D2633,Ingredients!C:G,5,0)</f>
        <v>850</v>
      </c>
      <c r="L2633" s="52">
        <f t="shared" si="83"/>
        <v>31.875</v>
      </c>
    </row>
    <row r="2634" spans="1:12">
      <c r="A2634" t="s">
        <v>566</v>
      </c>
      <c r="B2634" t="s">
        <v>345</v>
      </c>
      <c r="C2634" t="s">
        <v>345</v>
      </c>
      <c r="D2634" s="3" t="s">
        <v>830</v>
      </c>
      <c r="E2634" s="4">
        <v>3.7499999999999999E-2</v>
      </c>
      <c r="F2634" s="4" t="s">
        <v>176</v>
      </c>
      <c r="G2634" s="9">
        <v>149</v>
      </c>
      <c r="H2634" s="9">
        <f t="shared" si="82"/>
        <v>5.5874999999999995</v>
      </c>
      <c r="I2634" t="s">
        <v>675</v>
      </c>
      <c r="J2634" s="33">
        <v>0</v>
      </c>
      <c r="K2634" s="18">
        <f>VLOOKUP(D2634,Ingredients!C:G,5,0)</f>
        <v>123</v>
      </c>
      <c r="L2634" s="52">
        <f t="shared" si="83"/>
        <v>4.6124999999999998</v>
      </c>
    </row>
    <row r="2635" spans="1:12">
      <c r="A2635" t="s">
        <v>566</v>
      </c>
      <c r="B2635" t="s">
        <v>345</v>
      </c>
      <c r="C2635" t="s">
        <v>345</v>
      </c>
      <c r="D2635" s="3" t="s">
        <v>882</v>
      </c>
      <c r="E2635" s="4">
        <v>7.4999999999999997E-3</v>
      </c>
      <c r="F2635" s="4" t="s">
        <v>176</v>
      </c>
      <c r="G2635" s="9">
        <v>1500</v>
      </c>
      <c r="H2635" s="9">
        <f t="shared" si="82"/>
        <v>11.25</v>
      </c>
      <c r="I2635" t="s">
        <v>675</v>
      </c>
      <c r="J2635" s="33">
        <v>0</v>
      </c>
      <c r="K2635" s="18">
        <f>VLOOKUP(D2635,Ingredients!C:G,5,0)</f>
        <v>1450</v>
      </c>
      <c r="L2635" s="52">
        <f t="shared" si="83"/>
        <v>10.875</v>
      </c>
    </row>
    <row r="2636" spans="1:12">
      <c r="A2636" t="s">
        <v>566</v>
      </c>
      <c r="B2636" t="s">
        <v>345</v>
      </c>
      <c r="C2636" t="s">
        <v>345</v>
      </c>
      <c r="D2636" s="3" t="s">
        <v>24</v>
      </c>
      <c r="E2636" s="4">
        <v>0.15</v>
      </c>
      <c r="F2636" s="4" t="s">
        <v>176</v>
      </c>
      <c r="G2636" s="9">
        <v>55</v>
      </c>
      <c r="H2636" s="9">
        <f t="shared" si="82"/>
        <v>8.25</v>
      </c>
      <c r="I2636" t="s">
        <v>675</v>
      </c>
      <c r="J2636" s="33">
        <v>0</v>
      </c>
      <c r="K2636" s="18">
        <f>VLOOKUP(D2636,Ingredients!C:G,5,0)</f>
        <v>80</v>
      </c>
      <c r="L2636" s="52">
        <f t="shared" si="83"/>
        <v>12</v>
      </c>
    </row>
    <row r="2637" spans="1:12">
      <c r="A2637" t="s">
        <v>567</v>
      </c>
      <c r="B2637" t="s">
        <v>356</v>
      </c>
      <c r="C2637" t="s">
        <v>356</v>
      </c>
      <c r="D2637" s="3" t="s">
        <v>960</v>
      </c>
      <c r="E2637" s="4">
        <v>0.66600000000000004</v>
      </c>
      <c r="F2637" s="4" t="s">
        <v>176</v>
      </c>
      <c r="G2637" s="9">
        <v>350</v>
      </c>
      <c r="H2637" s="9">
        <f t="shared" si="82"/>
        <v>233.10000000000002</v>
      </c>
      <c r="I2637" t="s">
        <v>179</v>
      </c>
      <c r="J2637" s="33">
        <v>0</v>
      </c>
      <c r="K2637" s="18">
        <f>VLOOKUP(D2637,Ingredients!C:G,5,0)</f>
        <v>270</v>
      </c>
      <c r="L2637" s="52">
        <f t="shared" si="83"/>
        <v>179.82000000000002</v>
      </c>
    </row>
    <row r="2638" spans="1:12">
      <c r="A2638" t="s">
        <v>567</v>
      </c>
      <c r="B2638" t="s">
        <v>356</v>
      </c>
      <c r="C2638" t="s">
        <v>356</v>
      </c>
      <c r="D2638" s="3" t="s">
        <v>939</v>
      </c>
      <c r="E2638" s="4">
        <v>9.9900000000000003E-2</v>
      </c>
      <c r="F2638" s="4" t="s">
        <v>176</v>
      </c>
      <c r="G2638" s="9">
        <v>1250</v>
      </c>
      <c r="H2638" s="9">
        <f t="shared" si="82"/>
        <v>124.875</v>
      </c>
      <c r="I2638" t="s">
        <v>179</v>
      </c>
      <c r="J2638" s="33">
        <v>0</v>
      </c>
      <c r="K2638" s="18">
        <f>VLOOKUP(D2638,Ingredients!C:G,5,0)</f>
        <v>1500</v>
      </c>
      <c r="L2638" s="52">
        <f t="shared" si="83"/>
        <v>149.85</v>
      </c>
    </row>
    <row r="2639" spans="1:12">
      <c r="A2639" t="s">
        <v>567</v>
      </c>
      <c r="B2639" t="s">
        <v>356</v>
      </c>
      <c r="C2639" t="s">
        <v>356</v>
      </c>
      <c r="D2639" s="3" t="s">
        <v>958</v>
      </c>
      <c r="E2639" s="4">
        <v>0.39960000000000001</v>
      </c>
      <c r="F2639" s="4" t="s">
        <v>176</v>
      </c>
      <c r="G2639" s="9">
        <v>510</v>
      </c>
      <c r="H2639" s="9">
        <f t="shared" si="82"/>
        <v>203.79599999999999</v>
      </c>
      <c r="I2639" t="s">
        <v>179</v>
      </c>
      <c r="J2639" s="33">
        <v>0</v>
      </c>
      <c r="K2639" s="18">
        <f>VLOOKUP(D2639,Ingredients!C:G,5,0)</f>
        <v>520</v>
      </c>
      <c r="L2639" s="52">
        <f t="shared" si="83"/>
        <v>207.792</v>
      </c>
    </row>
    <row r="2640" spans="1:12">
      <c r="A2640" t="s">
        <v>567</v>
      </c>
      <c r="B2640" t="s">
        <v>356</v>
      </c>
      <c r="C2640" t="s">
        <v>356</v>
      </c>
      <c r="D2640" s="3" t="s">
        <v>962</v>
      </c>
      <c r="E2640" s="4">
        <v>0.19980000000000001</v>
      </c>
      <c r="F2640" s="4" t="s">
        <v>176</v>
      </c>
      <c r="G2640" s="9">
        <v>595</v>
      </c>
      <c r="H2640" s="9">
        <f t="shared" si="82"/>
        <v>118.881</v>
      </c>
      <c r="I2640" t="s">
        <v>179</v>
      </c>
      <c r="J2640" s="33">
        <v>0</v>
      </c>
      <c r="K2640" s="18">
        <f>VLOOKUP(D2640,Ingredients!C:G,5,0)</f>
        <v>545</v>
      </c>
      <c r="L2640" s="52">
        <f t="shared" si="83"/>
        <v>108.89100000000001</v>
      </c>
    </row>
    <row r="2641" spans="1:12">
      <c r="A2641" t="s">
        <v>567</v>
      </c>
      <c r="B2641" t="s">
        <v>356</v>
      </c>
      <c r="C2641" t="s">
        <v>356</v>
      </c>
      <c r="D2641" s="3" t="s">
        <v>928</v>
      </c>
      <c r="E2641" s="4">
        <v>2.664E-2</v>
      </c>
      <c r="F2641" s="4" t="s">
        <v>176</v>
      </c>
      <c r="G2641" s="9">
        <v>850</v>
      </c>
      <c r="H2641" s="9">
        <f t="shared" si="82"/>
        <v>22.644000000000002</v>
      </c>
      <c r="I2641" t="s">
        <v>179</v>
      </c>
      <c r="J2641" s="33">
        <v>0</v>
      </c>
      <c r="K2641" s="18">
        <f>VLOOKUP(D2641,Ingredients!C:G,5,0)</f>
        <v>900</v>
      </c>
      <c r="L2641" s="52">
        <f t="shared" si="83"/>
        <v>23.975999999999999</v>
      </c>
    </row>
    <row r="2642" spans="1:12">
      <c r="A2642" t="s">
        <v>567</v>
      </c>
      <c r="B2642" t="s">
        <v>356</v>
      </c>
      <c r="C2642" t="s">
        <v>356</v>
      </c>
      <c r="D2642" s="3" t="s">
        <v>913</v>
      </c>
      <c r="E2642" s="4">
        <v>0.999</v>
      </c>
      <c r="F2642" s="4" t="s">
        <v>176</v>
      </c>
      <c r="G2642" s="9">
        <v>229.16666666666666</v>
      </c>
      <c r="H2642" s="9">
        <f t="shared" si="82"/>
        <v>228.9375</v>
      </c>
      <c r="I2642" t="s">
        <v>179</v>
      </c>
      <c r="J2642" s="33">
        <v>0</v>
      </c>
      <c r="K2642" s="18">
        <f>VLOOKUP(D2642,Ingredients!C:F,3,0)</f>
        <v>343.75</v>
      </c>
      <c r="L2642" s="52">
        <f t="shared" si="83"/>
        <v>343.40625</v>
      </c>
    </row>
    <row r="2643" spans="1:12">
      <c r="A2643" t="s">
        <v>567</v>
      </c>
      <c r="B2643" t="s">
        <v>356</v>
      </c>
      <c r="C2643" t="s">
        <v>356</v>
      </c>
      <c r="D2643" s="3" t="s">
        <v>975</v>
      </c>
      <c r="E2643" s="4">
        <v>0.26640000000000003</v>
      </c>
      <c r="F2643" s="4" t="s">
        <v>176</v>
      </c>
      <c r="G2643" s="9">
        <v>142.85</v>
      </c>
      <c r="H2643" s="9">
        <f t="shared" si="82"/>
        <v>38.055240000000005</v>
      </c>
      <c r="I2643" t="s">
        <v>179</v>
      </c>
      <c r="J2643" s="33">
        <v>0</v>
      </c>
      <c r="K2643" s="18">
        <f>VLOOKUP(D2643,Ingredients!C:G,5,0)</f>
        <v>142.85</v>
      </c>
      <c r="L2643" s="52">
        <f t="shared" si="83"/>
        <v>38.055240000000005</v>
      </c>
    </row>
    <row r="2644" spans="1:12">
      <c r="A2644" t="s">
        <v>567</v>
      </c>
      <c r="B2644" t="s">
        <v>356</v>
      </c>
      <c r="C2644" t="s">
        <v>356</v>
      </c>
      <c r="D2644" s="3" t="s">
        <v>892</v>
      </c>
      <c r="E2644" s="4">
        <v>4.6620000000000002E-2</v>
      </c>
      <c r="F2644" s="4" t="s">
        <v>176</v>
      </c>
      <c r="G2644" s="9">
        <v>2000</v>
      </c>
      <c r="H2644" s="9">
        <f t="shared" si="82"/>
        <v>93.240000000000009</v>
      </c>
      <c r="I2644" t="s">
        <v>179</v>
      </c>
      <c r="J2644" s="33">
        <v>0</v>
      </c>
      <c r="K2644" s="18">
        <f>VLOOKUP(D2644,Ingredients!C:G,5,0)</f>
        <v>2080</v>
      </c>
      <c r="L2644" s="52">
        <f t="shared" si="83"/>
        <v>96.9696</v>
      </c>
    </row>
    <row r="2645" spans="1:12">
      <c r="A2645" t="s">
        <v>567</v>
      </c>
      <c r="B2645" t="s">
        <v>356</v>
      </c>
      <c r="C2645" t="s">
        <v>356</v>
      </c>
      <c r="D2645" s="3" t="s">
        <v>459</v>
      </c>
      <c r="E2645" s="4">
        <v>4.6620000000000002E-2</v>
      </c>
      <c r="F2645" s="4" t="s">
        <v>176</v>
      </c>
      <c r="G2645" s="9">
        <v>2000</v>
      </c>
      <c r="H2645" s="9">
        <f t="shared" si="82"/>
        <v>93.240000000000009</v>
      </c>
      <c r="I2645" t="s">
        <v>179</v>
      </c>
      <c r="J2645" s="33">
        <v>0</v>
      </c>
      <c r="K2645" s="18">
        <f>VLOOKUP(D2645,Ingredients!C:G,5,0)</f>
        <v>2400</v>
      </c>
      <c r="L2645" s="52">
        <f t="shared" si="83"/>
        <v>111.88800000000001</v>
      </c>
    </row>
    <row r="2646" spans="1:12">
      <c r="A2646" t="s">
        <v>570</v>
      </c>
      <c r="B2646" t="s">
        <v>346</v>
      </c>
      <c r="C2646" t="s">
        <v>351</v>
      </c>
      <c r="D2646" s="3" t="s">
        <v>171</v>
      </c>
      <c r="E2646" s="4">
        <v>1</v>
      </c>
      <c r="F2646" s="4" t="s">
        <v>176</v>
      </c>
      <c r="G2646" s="9">
        <v>65</v>
      </c>
      <c r="H2646" s="9">
        <f t="shared" si="82"/>
        <v>65</v>
      </c>
      <c r="I2646" t="s">
        <v>594</v>
      </c>
      <c r="J2646" s="33">
        <v>0</v>
      </c>
      <c r="K2646" s="18">
        <f>VLOOKUP(D2646,Ingredients!C:G,5,0)</f>
        <v>80</v>
      </c>
      <c r="L2646" s="52">
        <f t="shared" si="83"/>
        <v>80</v>
      </c>
    </row>
    <row r="2647" spans="1:12">
      <c r="A2647" t="s">
        <v>570</v>
      </c>
      <c r="B2647" t="s">
        <v>346</v>
      </c>
      <c r="C2647" t="s">
        <v>351</v>
      </c>
      <c r="D2647" s="3" t="s">
        <v>497</v>
      </c>
      <c r="E2647" s="4">
        <v>0.1</v>
      </c>
      <c r="F2647" s="4" t="s">
        <v>176</v>
      </c>
      <c r="G2647" s="9">
        <v>350</v>
      </c>
      <c r="H2647" s="9">
        <f t="shared" si="82"/>
        <v>35</v>
      </c>
      <c r="I2647" t="s">
        <v>594</v>
      </c>
      <c r="J2647" s="33">
        <v>0</v>
      </c>
      <c r="K2647" s="18">
        <f>VLOOKUP(D2647,Ingredients!C:G,5,0)</f>
        <v>400</v>
      </c>
      <c r="L2647" s="52">
        <f t="shared" si="83"/>
        <v>40</v>
      </c>
    </row>
    <row r="2648" spans="1:12">
      <c r="A2648" t="s">
        <v>570</v>
      </c>
      <c r="B2648" t="s">
        <v>346</v>
      </c>
      <c r="C2648" t="s">
        <v>351</v>
      </c>
      <c r="D2648" s="3" t="s">
        <v>853</v>
      </c>
      <c r="E2648" s="4">
        <v>0.06</v>
      </c>
      <c r="F2648" s="4" t="s">
        <v>176</v>
      </c>
      <c r="G2648" s="9">
        <v>30</v>
      </c>
      <c r="H2648" s="9">
        <f t="shared" si="82"/>
        <v>1.7999999999999998</v>
      </c>
      <c r="I2648" t="s">
        <v>594</v>
      </c>
      <c r="J2648" s="33">
        <v>0</v>
      </c>
      <c r="K2648" s="18">
        <f>VLOOKUP(D2648,Ingredients!C:G,5,0)</f>
        <v>55</v>
      </c>
      <c r="L2648" s="52">
        <f t="shared" si="83"/>
        <v>3.3</v>
      </c>
    </row>
    <row r="2649" spans="1:12">
      <c r="A2649" t="s">
        <v>570</v>
      </c>
      <c r="B2649" t="s">
        <v>346</v>
      </c>
      <c r="C2649" t="s">
        <v>351</v>
      </c>
      <c r="D2649" s="3" t="s">
        <v>882</v>
      </c>
      <c r="E2649" s="4">
        <v>0.06</v>
      </c>
      <c r="F2649" s="4" t="s">
        <v>176</v>
      </c>
      <c r="G2649" s="9">
        <v>1500</v>
      </c>
      <c r="H2649" s="9">
        <f t="shared" si="82"/>
        <v>90</v>
      </c>
      <c r="I2649" t="s">
        <v>594</v>
      </c>
      <c r="J2649" s="33">
        <v>0</v>
      </c>
      <c r="K2649" s="18">
        <f>VLOOKUP(D2649,Ingredients!C:G,5,0)</f>
        <v>1450</v>
      </c>
      <c r="L2649" s="52">
        <f t="shared" si="83"/>
        <v>87</v>
      </c>
    </row>
    <row r="2650" spans="1:12">
      <c r="A2650" t="s">
        <v>570</v>
      </c>
      <c r="B2650" t="s">
        <v>346</v>
      </c>
      <c r="C2650" t="s">
        <v>351</v>
      </c>
      <c r="D2650" s="3" t="s">
        <v>854</v>
      </c>
      <c r="E2650" s="4">
        <v>2</v>
      </c>
      <c r="F2650" s="4" t="s">
        <v>253</v>
      </c>
      <c r="G2650" s="9">
        <v>24.64</v>
      </c>
      <c r="H2650" s="9">
        <f t="shared" si="82"/>
        <v>49.28</v>
      </c>
      <c r="I2650" t="s">
        <v>594</v>
      </c>
      <c r="J2650" s="33">
        <v>0</v>
      </c>
      <c r="K2650" s="18">
        <f>VLOOKUP(D2650,Ingredients!C:G,5,0)</f>
        <v>20.059999999999999</v>
      </c>
      <c r="L2650" s="52">
        <f t="shared" si="83"/>
        <v>40.119999999999997</v>
      </c>
    </row>
    <row r="2651" spans="1:12">
      <c r="A2651" t="s">
        <v>570</v>
      </c>
      <c r="B2651" t="s">
        <v>346</v>
      </c>
      <c r="C2651" t="s">
        <v>351</v>
      </c>
      <c r="D2651" s="3" t="s">
        <v>900</v>
      </c>
      <c r="E2651" s="4">
        <v>0.36</v>
      </c>
      <c r="F2651" s="4" t="s">
        <v>176</v>
      </c>
      <c r="G2651" s="9">
        <v>440</v>
      </c>
      <c r="H2651" s="9">
        <f t="shared" si="82"/>
        <v>158.4</v>
      </c>
      <c r="I2651" t="s">
        <v>594</v>
      </c>
      <c r="J2651" s="33">
        <v>0</v>
      </c>
      <c r="K2651" s="18">
        <f>VLOOKUP(D2651,Ingredients!C:G,5,0)</f>
        <v>440</v>
      </c>
      <c r="L2651" s="52">
        <f t="shared" si="83"/>
        <v>158.4</v>
      </c>
    </row>
    <row r="2652" spans="1:12">
      <c r="A2652" t="s">
        <v>570</v>
      </c>
      <c r="B2652" t="s">
        <v>346</v>
      </c>
      <c r="C2652" t="s">
        <v>351</v>
      </c>
      <c r="D2652" s="3" t="s">
        <v>852</v>
      </c>
      <c r="E2652" s="4">
        <v>0.06</v>
      </c>
      <c r="F2652" s="4" t="s">
        <v>317</v>
      </c>
      <c r="G2652" s="9">
        <v>520.63</v>
      </c>
      <c r="H2652" s="9">
        <f t="shared" si="82"/>
        <v>31.2378</v>
      </c>
      <c r="I2652" t="s">
        <v>594</v>
      </c>
      <c r="J2652" s="33">
        <v>0</v>
      </c>
      <c r="K2652" s="18">
        <v>550</v>
      </c>
      <c r="L2652" s="52">
        <f t="shared" si="83"/>
        <v>33</v>
      </c>
    </row>
    <row r="2653" spans="1:12">
      <c r="A2653" t="s">
        <v>571</v>
      </c>
      <c r="B2653" t="s">
        <v>349</v>
      </c>
      <c r="C2653" t="s">
        <v>353</v>
      </c>
      <c r="D2653" s="33" t="s">
        <v>491</v>
      </c>
      <c r="E2653" s="4">
        <v>1</v>
      </c>
      <c r="F2653" s="4" t="s">
        <v>176</v>
      </c>
      <c r="G2653" s="9">
        <v>614</v>
      </c>
      <c r="H2653" s="9">
        <f t="shared" si="82"/>
        <v>614</v>
      </c>
      <c r="I2653" t="s">
        <v>179</v>
      </c>
      <c r="J2653" s="33" t="s">
        <v>491</v>
      </c>
      <c r="K2653" s="18">
        <f>VLOOKUP(D2653,Ingredients!C:G,5,0)</f>
        <v>650</v>
      </c>
      <c r="L2653" s="52">
        <f t="shared" si="83"/>
        <v>650</v>
      </c>
    </row>
    <row r="2654" spans="1:12">
      <c r="A2654" t="s">
        <v>571</v>
      </c>
      <c r="B2654" t="s">
        <v>349</v>
      </c>
      <c r="C2654" t="s">
        <v>353</v>
      </c>
      <c r="D2654" s="3" t="s">
        <v>24</v>
      </c>
      <c r="E2654" s="4">
        <v>8.8333333333333333E-2</v>
      </c>
      <c r="F2654" s="4" t="s">
        <v>176</v>
      </c>
      <c r="G2654" s="9">
        <v>55</v>
      </c>
      <c r="H2654" s="9">
        <f t="shared" si="82"/>
        <v>4.8583333333333334</v>
      </c>
      <c r="I2654" t="s">
        <v>179</v>
      </c>
      <c r="J2654" s="33" t="s">
        <v>491</v>
      </c>
      <c r="K2654" s="18">
        <f>VLOOKUP(D2654,Ingredients!C:G,5,0)</f>
        <v>80</v>
      </c>
      <c r="L2654" s="52">
        <f t="shared" si="83"/>
        <v>7.0666666666666664</v>
      </c>
    </row>
    <row r="2655" spans="1:12">
      <c r="A2655" t="s">
        <v>571</v>
      </c>
      <c r="B2655" t="s">
        <v>349</v>
      </c>
      <c r="C2655" t="s">
        <v>353</v>
      </c>
      <c r="D2655" s="3" t="s">
        <v>23</v>
      </c>
      <c r="E2655" s="4">
        <v>2.5000000000000001E-2</v>
      </c>
      <c r="F2655" s="4" t="s">
        <v>176</v>
      </c>
      <c r="G2655" s="9">
        <v>740</v>
      </c>
      <c r="H2655" s="9">
        <f t="shared" si="82"/>
        <v>18.5</v>
      </c>
      <c r="I2655" t="s">
        <v>179</v>
      </c>
      <c r="J2655" s="33" t="s">
        <v>491</v>
      </c>
      <c r="K2655" s="18">
        <f>VLOOKUP(D2655,Ingredients!C:G,5,0)</f>
        <v>780</v>
      </c>
      <c r="L2655" s="52">
        <f t="shared" si="83"/>
        <v>19.5</v>
      </c>
    </row>
    <row r="2656" spans="1:12">
      <c r="A2656" t="s">
        <v>571</v>
      </c>
      <c r="B2656" t="s">
        <v>349</v>
      </c>
      <c r="C2656" t="s">
        <v>353</v>
      </c>
      <c r="D2656" s="3" t="s">
        <v>16</v>
      </c>
      <c r="E2656" s="4">
        <v>2.5000000000000001E-2</v>
      </c>
      <c r="F2656" s="4" t="s">
        <v>176</v>
      </c>
      <c r="G2656" s="9">
        <v>270</v>
      </c>
      <c r="H2656" s="9">
        <f t="shared" si="82"/>
        <v>6.75</v>
      </c>
      <c r="I2656" t="s">
        <v>179</v>
      </c>
      <c r="J2656" s="33" t="s">
        <v>491</v>
      </c>
      <c r="K2656" s="18">
        <f>VLOOKUP(D2656,Ingredients!C:G,5,0)</f>
        <v>310</v>
      </c>
      <c r="L2656" s="52">
        <f t="shared" si="83"/>
        <v>7.75</v>
      </c>
    </row>
    <row r="2657" spans="1:12">
      <c r="A2657" t="s">
        <v>571</v>
      </c>
      <c r="B2657" t="s">
        <v>349</v>
      </c>
      <c r="C2657" t="s">
        <v>353</v>
      </c>
      <c r="D2657" s="3" t="s">
        <v>882</v>
      </c>
      <c r="E2657" s="4">
        <v>1.3333333333333334E-2</v>
      </c>
      <c r="F2657" s="4" t="s">
        <v>176</v>
      </c>
      <c r="G2657" s="9">
        <v>1500</v>
      </c>
      <c r="H2657" s="9">
        <f t="shared" si="82"/>
        <v>20</v>
      </c>
      <c r="I2657" t="s">
        <v>179</v>
      </c>
      <c r="J2657" s="33" t="s">
        <v>491</v>
      </c>
      <c r="K2657" s="18">
        <f>VLOOKUP(D2657,Ingredients!C:G,5,0)</f>
        <v>1450</v>
      </c>
      <c r="L2657" s="52">
        <f t="shared" si="83"/>
        <v>19.333333333333336</v>
      </c>
    </row>
    <row r="2658" spans="1:12">
      <c r="A2658" t="s">
        <v>571</v>
      </c>
      <c r="B2658" t="s">
        <v>349</v>
      </c>
      <c r="C2658" t="s">
        <v>353</v>
      </c>
      <c r="D2658" s="3" t="s">
        <v>853</v>
      </c>
      <c r="E2658" s="4">
        <v>2.5000000000000001E-2</v>
      </c>
      <c r="F2658" s="4" t="s">
        <v>176</v>
      </c>
      <c r="G2658" s="9">
        <v>30</v>
      </c>
      <c r="H2658" s="9">
        <f t="shared" si="82"/>
        <v>0.75</v>
      </c>
      <c r="I2658" t="s">
        <v>179</v>
      </c>
      <c r="J2658" s="33" t="s">
        <v>491</v>
      </c>
      <c r="K2658" s="18">
        <f>VLOOKUP(D2658,Ingredients!C:G,5,0)</f>
        <v>55</v>
      </c>
      <c r="L2658" s="52">
        <f t="shared" si="83"/>
        <v>1.375</v>
      </c>
    </row>
    <row r="2659" spans="1:12">
      <c r="A2659" t="s">
        <v>571</v>
      </c>
      <c r="B2659" t="s">
        <v>349</v>
      </c>
      <c r="C2659" t="s">
        <v>353</v>
      </c>
      <c r="D2659" s="3" t="s">
        <v>73</v>
      </c>
      <c r="E2659" s="4">
        <v>0.4</v>
      </c>
      <c r="F2659" s="4" t="s">
        <v>176</v>
      </c>
      <c r="G2659" s="9">
        <v>305</v>
      </c>
      <c r="H2659" s="9">
        <f t="shared" si="82"/>
        <v>122</v>
      </c>
      <c r="I2659" t="s">
        <v>179</v>
      </c>
      <c r="J2659" s="33" t="s">
        <v>491</v>
      </c>
      <c r="K2659" s="18">
        <f>VLOOKUP(D2659,Ingredients!C:G,5,0)</f>
        <v>300</v>
      </c>
      <c r="L2659" s="52">
        <f t="shared" si="83"/>
        <v>120</v>
      </c>
    </row>
    <row r="2660" spans="1:12">
      <c r="A2660" t="s">
        <v>571</v>
      </c>
      <c r="B2660" t="s">
        <v>349</v>
      </c>
      <c r="C2660" t="s">
        <v>353</v>
      </c>
      <c r="D2660" s="3" t="s">
        <v>29</v>
      </c>
      <c r="E2660" s="4">
        <v>0.1</v>
      </c>
      <c r="F2660" s="4" t="s">
        <v>176</v>
      </c>
      <c r="G2660" s="9">
        <v>60</v>
      </c>
      <c r="H2660" s="9">
        <f t="shared" si="82"/>
        <v>6</v>
      </c>
      <c r="I2660" t="s">
        <v>179</v>
      </c>
      <c r="J2660" s="33" t="s">
        <v>491</v>
      </c>
      <c r="K2660" s="18">
        <f>VLOOKUP(D2660,Ingredients!C:G,5,0)</f>
        <v>100</v>
      </c>
      <c r="L2660" s="52">
        <f t="shared" si="83"/>
        <v>10</v>
      </c>
    </row>
    <row r="2661" spans="1:12">
      <c r="A2661" t="s">
        <v>571</v>
      </c>
      <c r="B2661" t="s">
        <v>349</v>
      </c>
      <c r="C2661" t="s">
        <v>353</v>
      </c>
      <c r="D2661" s="3" t="s">
        <v>913</v>
      </c>
      <c r="E2661" s="4">
        <v>0.4</v>
      </c>
      <c r="F2661" s="4" t="s">
        <v>176</v>
      </c>
      <c r="G2661" s="9">
        <v>229.16666666666666</v>
      </c>
      <c r="H2661" s="9">
        <f t="shared" si="82"/>
        <v>91.666666666666671</v>
      </c>
      <c r="I2661" t="s">
        <v>179</v>
      </c>
      <c r="J2661" s="33" t="s">
        <v>491</v>
      </c>
      <c r="K2661" s="18">
        <f>VLOOKUP(D2661,Ingredients!C:F,3,0)</f>
        <v>343.75</v>
      </c>
      <c r="L2661" s="52">
        <f t="shared" si="83"/>
        <v>137.5</v>
      </c>
    </row>
    <row r="2662" spans="1:12">
      <c r="A2662" t="s">
        <v>571</v>
      </c>
      <c r="B2662" t="s">
        <v>349</v>
      </c>
      <c r="C2662" t="s">
        <v>353</v>
      </c>
      <c r="D2662" s="3" t="s">
        <v>884</v>
      </c>
      <c r="E2662" s="4">
        <v>1</v>
      </c>
      <c r="F2662" s="4" t="s">
        <v>176</v>
      </c>
      <c r="G2662" s="9">
        <v>344</v>
      </c>
      <c r="H2662" s="9">
        <f t="shared" si="82"/>
        <v>344</v>
      </c>
      <c r="I2662" t="s">
        <v>179</v>
      </c>
      <c r="J2662" s="33" t="s">
        <v>491</v>
      </c>
      <c r="K2662" s="18">
        <f>VLOOKUP(D2662,Ingredients!C:G,5,0)</f>
        <v>344</v>
      </c>
      <c r="L2662" s="52">
        <f t="shared" si="83"/>
        <v>344</v>
      </c>
    </row>
    <row r="2663" spans="1:12">
      <c r="A2663" t="s">
        <v>571</v>
      </c>
      <c r="B2663" t="s">
        <v>349</v>
      </c>
      <c r="C2663" t="s">
        <v>353</v>
      </c>
      <c r="D2663" s="3" t="s">
        <v>853</v>
      </c>
      <c r="E2663" s="4">
        <v>0.05</v>
      </c>
      <c r="F2663" s="4" t="s">
        <v>176</v>
      </c>
      <c r="G2663" s="9">
        <v>30</v>
      </c>
      <c r="H2663" s="9">
        <f t="shared" si="82"/>
        <v>1.5</v>
      </c>
      <c r="I2663" t="s">
        <v>179</v>
      </c>
      <c r="J2663" s="33" t="s">
        <v>491</v>
      </c>
      <c r="K2663" s="18">
        <f>VLOOKUP(D2663,Ingredients!C:G,5,0)</f>
        <v>55</v>
      </c>
      <c r="L2663" s="52">
        <f t="shared" si="83"/>
        <v>2.75</v>
      </c>
    </row>
    <row r="2664" spans="1:12">
      <c r="A2664" t="s">
        <v>571</v>
      </c>
      <c r="B2664" t="s">
        <v>349</v>
      </c>
      <c r="C2664" t="s">
        <v>353</v>
      </c>
      <c r="D2664" s="3" t="s">
        <v>7</v>
      </c>
      <c r="E2664" s="4">
        <v>1.6666666666666667</v>
      </c>
      <c r="F2664" s="4" t="s">
        <v>252</v>
      </c>
      <c r="G2664" s="9">
        <v>8</v>
      </c>
      <c r="H2664" s="9">
        <f t="shared" si="82"/>
        <v>13.333333333333334</v>
      </c>
      <c r="I2664" t="s">
        <v>179</v>
      </c>
      <c r="J2664" s="33" t="s">
        <v>491</v>
      </c>
      <c r="K2664" s="18">
        <f>VLOOKUP(D2664,Ingredients!C:G,5,0)</f>
        <v>6</v>
      </c>
      <c r="L2664" s="52">
        <f t="shared" si="83"/>
        <v>10</v>
      </c>
    </row>
    <row r="2665" spans="1:12">
      <c r="A2665" t="s">
        <v>571</v>
      </c>
      <c r="B2665" t="s">
        <v>349</v>
      </c>
      <c r="C2665" t="s">
        <v>353</v>
      </c>
      <c r="D2665" s="3" t="s">
        <v>572</v>
      </c>
      <c r="E2665" s="4">
        <v>1.6666666666666666E-2</v>
      </c>
      <c r="F2665" s="4" t="s">
        <v>176</v>
      </c>
      <c r="G2665" s="9">
        <v>1200</v>
      </c>
      <c r="H2665" s="9">
        <f t="shared" si="82"/>
        <v>20</v>
      </c>
      <c r="I2665" t="s">
        <v>179</v>
      </c>
      <c r="J2665" s="33" t="s">
        <v>491</v>
      </c>
      <c r="K2665" s="18">
        <f>VLOOKUP(D2665,Ingredients!C:G,5,0)</f>
        <v>1200</v>
      </c>
      <c r="L2665" s="52">
        <f t="shared" si="83"/>
        <v>20</v>
      </c>
    </row>
    <row r="2666" spans="1:12">
      <c r="A2666" t="s">
        <v>573</v>
      </c>
      <c r="B2666" t="s">
        <v>356</v>
      </c>
      <c r="C2666" t="s">
        <v>356</v>
      </c>
      <c r="D2666" s="3" t="s">
        <v>913</v>
      </c>
      <c r="E2666" s="4">
        <v>1</v>
      </c>
      <c r="F2666" s="4" t="s">
        <v>317</v>
      </c>
      <c r="G2666" s="9">
        <v>229.16666666666666</v>
      </c>
      <c r="H2666" s="9">
        <f t="shared" si="82"/>
        <v>229.16666666666666</v>
      </c>
      <c r="I2666" t="s">
        <v>179</v>
      </c>
      <c r="J2666" s="33">
        <v>0</v>
      </c>
      <c r="K2666" s="18">
        <f>VLOOKUP(D2666,Ingredients!C:F,3,0)</f>
        <v>343.75</v>
      </c>
      <c r="L2666" s="52">
        <f t="shared" si="83"/>
        <v>343.75</v>
      </c>
    </row>
    <row r="2667" spans="1:12">
      <c r="A2667" t="s">
        <v>573</v>
      </c>
      <c r="B2667" t="s">
        <v>356</v>
      </c>
      <c r="C2667" t="s">
        <v>356</v>
      </c>
      <c r="D2667" s="3" t="s">
        <v>918</v>
      </c>
      <c r="E2667" s="4">
        <v>0.18</v>
      </c>
      <c r="F2667" s="4" t="s">
        <v>176</v>
      </c>
      <c r="G2667" s="9">
        <v>54</v>
      </c>
      <c r="H2667" s="9">
        <f t="shared" si="82"/>
        <v>9.7199999999999989</v>
      </c>
      <c r="I2667" t="s">
        <v>179</v>
      </c>
      <c r="J2667" s="33">
        <v>0</v>
      </c>
      <c r="K2667" s="18">
        <f>VLOOKUP(D2667,Ingredients!C:G,5,0)</f>
        <v>308.57142857142861</v>
      </c>
      <c r="L2667" s="52">
        <f t="shared" si="83"/>
        <v>55.542857142857152</v>
      </c>
    </row>
    <row r="2668" spans="1:12">
      <c r="A2668" t="s">
        <v>573</v>
      </c>
      <c r="B2668" t="s">
        <v>356</v>
      </c>
      <c r="C2668" t="s">
        <v>356</v>
      </c>
      <c r="D2668" s="3" t="s">
        <v>574</v>
      </c>
      <c r="E2668" s="4">
        <v>0.09</v>
      </c>
      <c r="F2668" s="4" t="s">
        <v>176</v>
      </c>
      <c r="G2668" s="9">
        <v>1400</v>
      </c>
      <c r="H2668" s="9">
        <f t="shared" ref="H2668:H2732" si="84">G2668*E2668</f>
        <v>126</v>
      </c>
      <c r="I2668" t="s">
        <v>179</v>
      </c>
      <c r="J2668" s="33">
        <v>0</v>
      </c>
      <c r="K2668" s="18">
        <f>VLOOKUP(D2668,Ingredients!C:G,5,0)</f>
        <v>1400</v>
      </c>
      <c r="L2668" s="52">
        <f t="shared" si="83"/>
        <v>126</v>
      </c>
    </row>
    <row r="2669" spans="1:12">
      <c r="A2669" t="s">
        <v>573</v>
      </c>
      <c r="B2669" t="s">
        <v>356</v>
      </c>
      <c r="C2669" t="s">
        <v>356</v>
      </c>
      <c r="D2669" s="3" t="s">
        <v>846</v>
      </c>
      <c r="E2669" s="4">
        <v>0.3</v>
      </c>
      <c r="F2669" s="13" t="s">
        <v>176</v>
      </c>
      <c r="G2669" s="9">
        <v>220</v>
      </c>
      <c r="H2669" s="9">
        <f t="shared" si="84"/>
        <v>66</v>
      </c>
      <c r="I2669" t="s">
        <v>179</v>
      </c>
      <c r="J2669" s="33">
        <v>0</v>
      </c>
      <c r="K2669" s="18">
        <f>VLOOKUP(D2669,Ingredients!C:G,5,0)</f>
        <v>220</v>
      </c>
      <c r="L2669" s="52">
        <f t="shared" si="83"/>
        <v>66</v>
      </c>
    </row>
    <row r="2670" spans="1:12">
      <c r="A2670" t="s">
        <v>573</v>
      </c>
      <c r="B2670" t="s">
        <v>356</v>
      </c>
      <c r="C2670" t="s">
        <v>356</v>
      </c>
      <c r="D2670" s="3" t="s">
        <v>830</v>
      </c>
      <c r="E2670" s="4">
        <v>0.24</v>
      </c>
      <c r="F2670" s="4" t="s">
        <v>176</v>
      </c>
      <c r="G2670" s="9">
        <v>149</v>
      </c>
      <c r="H2670" s="9">
        <f t="shared" si="84"/>
        <v>35.76</v>
      </c>
      <c r="I2670" t="s">
        <v>179</v>
      </c>
      <c r="J2670" s="33">
        <v>0</v>
      </c>
      <c r="K2670" s="18">
        <f>VLOOKUP(D2670,Ingredients!C:G,5,0)</f>
        <v>123</v>
      </c>
      <c r="L2670" s="52">
        <f t="shared" si="83"/>
        <v>29.52</v>
      </c>
    </row>
    <row r="2671" spans="1:12">
      <c r="A2671" t="s">
        <v>573</v>
      </c>
      <c r="B2671" t="s">
        <v>356</v>
      </c>
      <c r="C2671" t="s">
        <v>356</v>
      </c>
      <c r="D2671" s="3" t="s">
        <v>963</v>
      </c>
      <c r="E2671" s="4">
        <v>0.08</v>
      </c>
      <c r="F2671" s="4" t="s">
        <v>176</v>
      </c>
      <c r="G2671" s="9">
        <v>110</v>
      </c>
      <c r="H2671" s="9">
        <f t="shared" si="84"/>
        <v>8.8000000000000007</v>
      </c>
      <c r="I2671" t="s">
        <v>179</v>
      </c>
      <c r="J2671" s="33">
        <v>0</v>
      </c>
      <c r="K2671" s="18">
        <f>VLOOKUP(D2671,Ingredients!C:G,5,0)</f>
        <v>1350</v>
      </c>
      <c r="L2671" s="52">
        <f t="shared" si="83"/>
        <v>108</v>
      </c>
    </row>
    <row r="2672" spans="1:12">
      <c r="A2672" t="s">
        <v>573</v>
      </c>
      <c r="B2672" t="s">
        <v>356</v>
      </c>
      <c r="C2672" t="s">
        <v>356</v>
      </c>
      <c r="D2672" s="3" t="s">
        <v>963</v>
      </c>
      <c r="E2672" s="4">
        <v>0.08</v>
      </c>
      <c r="F2672" s="4" t="s">
        <v>176</v>
      </c>
      <c r="G2672" s="9">
        <v>110</v>
      </c>
      <c r="H2672" s="9">
        <f t="shared" si="84"/>
        <v>8.8000000000000007</v>
      </c>
      <c r="I2672" t="s">
        <v>179</v>
      </c>
      <c r="J2672" s="33">
        <v>0</v>
      </c>
      <c r="K2672" s="18">
        <f>VLOOKUP(D2672,Ingredients!C:G,5,0)</f>
        <v>1350</v>
      </c>
      <c r="L2672" s="52">
        <f t="shared" si="83"/>
        <v>108</v>
      </c>
    </row>
    <row r="2673" spans="1:12">
      <c r="A2673" t="s">
        <v>573</v>
      </c>
      <c r="B2673" t="s">
        <v>356</v>
      </c>
      <c r="C2673" t="s">
        <v>356</v>
      </c>
      <c r="D2673" s="3" t="s">
        <v>892</v>
      </c>
      <c r="E2673" s="4">
        <v>0.1</v>
      </c>
      <c r="F2673" s="4" t="s">
        <v>176</v>
      </c>
      <c r="G2673" s="9">
        <v>2000</v>
      </c>
      <c r="H2673" s="9">
        <f t="shared" si="84"/>
        <v>200</v>
      </c>
      <c r="I2673" t="s">
        <v>179</v>
      </c>
      <c r="J2673" s="33">
        <v>0</v>
      </c>
      <c r="K2673" s="18">
        <f>VLOOKUP(D2673,Ingredients!C:G,5,0)</f>
        <v>2080</v>
      </c>
      <c r="L2673" s="52">
        <f t="shared" si="83"/>
        <v>208</v>
      </c>
    </row>
    <row r="2674" spans="1:12">
      <c r="A2674" t="s">
        <v>573</v>
      </c>
      <c r="B2674" t="s">
        <v>356</v>
      </c>
      <c r="C2674" t="s">
        <v>356</v>
      </c>
      <c r="D2674" s="3" t="s">
        <v>916</v>
      </c>
      <c r="E2674" s="4">
        <v>0.1</v>
      </c>
      <c r="F2674" s="4" t="s">
        <v>176</v>
      </c>
      <c r="G2674" s="9">
        <v>6500</v>
      </c>
      <c r="H2674" s="9">
        <f t="shared" si="84"/>
        <v>650</v>
      </c>
      <c r="I2674" t="s">
        <v>179</v>
      </c>
      <c r="J2674" s="33">
        <v>0</v>
      </c>
      <c r="K2674" s="18">
        <f>VLOOKUP(D2674,Ingredients!C:G,5,0)</f>
        <v>6200</v>
      </c>
      <c r="L2674" s="52">
        <f t="shared" si="83"/>
        <v>620</v>
      </c>
    </row>
    <row r="2675" spans="1:12">
      <c r="A2675" t="s">
        <v>576</v>
      </c>
      <c r="B2675" t="s">
        <v>348</v>
      </c>
      <c r="C2675" t="s">
        <v>365</v>
      </c>
      <c r="D2675" s="3" t="s">
        <v>831</v>
      </c>
      <c r="E2675" s="14">
        <v>8.8235294117647058E-3</v>
      </c>
      <c r="F2675" s="4" t="s">
        <v>179</v>
      </c>
      <c r="G2675" s="9">
        <v>908</v>
      </c>
      <c r="H2675" s="9">
        <f t="shared" si="84"/>
        <v>8.0117647058823529</v>
      </c>
      <c r="I2675" t="s">
        <v>253</v>
      </c>
      <c r="J2675" s="33">
        <v>0</v>
      </c>
      <c r="K2675" s="18">
        <f>VLOOKUP(D2675,Ingredients!C:G,5,0)</f>
        <v>908</v>
      </c>
      <c r="L2675" s="52">
        <f t="shared" si="83"/>
        <v>8.0117647058823529</v>
      </c>
    </row>
    <row r="2676" spans="1:12">
      <c r="A2676" t="s">
        <v>576</v>
      </c>
      <c r="B2676" t="s">
        <v>348</v>
      </c>
      <c r="C2676" t="s">
        <v>365</v>
      </c>
      <c r="D2676" s="3" t="s">
        <v>24</v>
      </c>
      <c r="E2676" s="14">
        <v>1.1764705882352941E-2</v>
      </c>
      <c r="F2676" s="4" t="s">
        <v>179</v>
      </c>
      <c r="G2676" s="9">
        <v>55</v>
      </c>
      <c r="H2676" s="9">
        <f t="shared" si="84"/>
        <v>0.6470588235294118</v>
      </c>
      <c r="I2676" t="s">
        <v>253</v>
      </c>
      <c r="J2676" s="33">
        <v>0</v>
      </c>
      <c r="K2676" s="18">
        <f>VLOOKUP(D2676,Ingredients!C:G,5,0)</f>
        <v>80</v>
      </c>
      <c r="L2676" s="52">
        <f t="shared" si="83"/>
        <v>0.94117647058823528</v>
      </c>
    </row>
    <row r="2677" spans="1:12">
      <c r="A2677" t="s">
        <v>576</v>
      </c>
      <c r="B2677" t="s">
        <v>348</v>
      </c>
      <c r="C2677" t="s">
        <v>365</v>
      </c>
      <c r="D2677" s="3" t="s">
        <v>887</v>
      </c>
      <c r="E2677" s="14">
        <v>2.9411764705882356E-4</v>
      </c>
      <c r="F2677" s="4" t="s">
        <v>179</v>
      </c>
      <c r="G2677" s="9">
        <v>1600</v>
      </c>
      <c r="H2677" s="9">
        <f t="shared" si="84"/>
        <v>0.4705882352941177</v>
      </c>
      <c r="I2677" t="s">
        <v>253</v>
      </c>
      <c r="J2677" s="33">
        <v>0</v>
      </c>
      <c r="K2677" s="18">
        <f>VLOOKUP(D2677,Ingredients!C:G,5,0)</f>
        <v>1830</v>
      </c>
      <c r="L2677" s="52">
        <f t="shared" si="83"/>
        <v>0.53823529411764715</v>
      </c>
    </row>
    <row r="2678" spans="1:12">
      <c r="A2678" t="s">
        <v>576</v>
      </c>
      <c r="B2678" t="s">
        <v>348</v>
      </c>
      <c r="C2678" t="s">
        <v>365</v>
      </c>
      <c r="D2678" s="3" t="s">
        <v>895</v>
      </c>
      <c r="E2678" s="14">
        <v>2.9411764705882356E-4</v>
      </c>
      <c r="F2678" s="4" t="s">
        <v>179</v>
      </c>
      <c r="G2678" s="9">
        <v>400</v>
      </c>
      <c r="H2678" s="9">
        <f t="shared" si="84"/>
        <v>0.11764705882352942</v>
      </c>
      <c r="I2678" t="s">
        <v>253</v>
      </c>
      <c r="J2678" s="33">
        <v>0</v>
      </c>
      <c r="K2678" s="18">
        <f>VLOOKUP(D2678,Ingredients!C:G,5,0)</f>
        <v>400</v>
      </c>
      <c r="L2678" s="52">
        <f t="shared" si="83"/>
        <v>0.11764705882352942</v>
      </c>
    </row>
    <row r="2679" spans="1:12">
      <c r="A2679" t="s">
        <v>576</v>
      </c>
      <c r="B2679" t="s">
        <v>348</v>
      </c>
      <c r="C2679" t="s">
        <v>365</v>
      </c>
      <c r="D2679" s="3" t="s">
        <v>853</v>
      </c>
      <c r="E2679" s="14">
        <v>2.9411764705882356E-4</v>
      </c>
      <c r="F2679" s="4" t="s">
        <v>179</v>
      </c>
      <c r="G2679" s="9">
        <v>30</v>
      </c>
      <c r="H2679" s="9">
        <f t="shared" si="84"/>
        <v>8.8235294117647075E-3</v>
      </c>
      <c r="I2679" t="s">
        <v>253</v>
      </c>
      <c r="J2679" s="33">
        <v>0</v>
      </c>
      <c r="K2679" s="18">
        <f>VLOOKUP(D2679,Ingredients!C:G,5,0)</f>
        <v>55</v>
      </c>
      <c r="L2679" s="52">
        <f t="shared" si="83"/>
        <v>1.6176470588235296E-2</v>
      </c>
    </row>
    <row r="2680" spans="1:12">
      <c r="A2680" t="s">
        <v>576</v>
      </c>
      <c r="B2680" t="s">
        <v>348</v>
      </c>
      <c r="C2680" t="s">
        <v>365</v>
      </c>
      <c r="D2680" s="3" t="s">
        <v>35</v>
      </c>
      <c r="E2680" s="14">
        <v>0.1</v>
      </c>
      <c r="F2680" s="4" t="s">
        <v>252</v>
      </c>
      <c r="G2680" s="9">
        <v>13</v>
      </c>
      <c r="H2680" s="9">
        <f t="shared" si="84"/>
        <v>1.3</v>
      </c>
      <c r="I2680" t="s">
        <v>253</v>
      </c>
      <c r="J2680" s="33">
        <v>0</v>
      </c>
      <c r="K2680" s="18">
        <f>VLOOKUP(D2680,Ingredients!C:G,5,0)</f>
        <v>15</v>
      </c>
      <c r="L2680" s="52">
        <f t="shared" si="83"/>
        <v>1.5</v>
      </c>
    </row>
    <row r="2681" spans="1:12">
      <c r="A2681" t="s">
        <v>576</v>
      </c>
      <c r="B2681" t="s">
        <v>348</v>
      </c>
      <c r="C2681" t="s">
        <v>365</v>
      </c>
      <c r="D2681" s="3" t="s">
        <v>29</v>
      </c>
      <c r="E2681" s="14">
        <v>4.7058823529411766E-4</v>
      </c>
      <c r="F2681" s="4" t="s">
        <v>176</v>
      </c>
      <c r="G2681" s="9">
        <v>60</v>
      </c>
      <c r="H2681" s="9">
        <f t="shared" si="84"/>
        <v>2.823529411764706E-2</v>
      </c>
      <c r="I2681" t="s">
        <v>253</v>
      </c>
      <c r="J2681" s="33">
        <v>0</v>
      </c>
      <c r="K2681" s="18">
        <f>VLOOKUP(D2681,Ingredients!C:G,5,0)</f>
        <v>100</v>
      </c>
      <c r="L2681" s="52">
        <f t="shared" si="83"/>
        <v>4.7058823529411764E-2</v>
      </c>
    </row>
    <row r="2682" spans="1:12">
      <c r="A2682" t="s">
        <v>576</v>
      </c>
      <c r="B2682" t="s">
        <v>348</v>
      </c>
      <c r="C2682" t="s">
        <v>365</v>
      </c>
      <c r="D2682" s="3" t="s">
        <v>73</v>
      </c>
      <c r="E2682" s="14">
        <v>1.1764705882352941E-2</v>
      </c>
      <c r="F2682" s="4" t="s">
        <v>176</v>
      </c>
      <c r="G2682" s="9">
        <v>305</v>
      </c>
      <c r="H2682" s="9">
        <f t="shared" si="84"/>
        <v>3.5882352941176472</v>
      </c>
      <c r="I2682" t="s">
        <v>253</v>
      </c>
      <c r="J2682" s="33">
        <v>0</v>
      </c>
      <c r="K2682" s="18">
        <f>VLOOKUP(D2682,Ingredients!C:G,5,0)</f>
        <v>300</v>
      </c>
      <c r="L2682" s="52">
        <f t="shared" si="83"/>
        <v>3.5294117647058822</v>
      </c>
    </row>
    <row r="2683" spans="1:12">
      <c r="A2683" t="s">
        <v>576</v>
      </c>
      <c r="B2683" t="s">
        <v>348</v>
      </c>
      <c r="C2683" t="s">
        <v>365</v>
      </c>
      <c r="D2683" s="3" t="s">
        <v>16</v>
      </c>
      <c r="E2683" s="14">
        <v>1.1764705882352942E-3</v>
      </c>
      <c r="F2683" s="4" t="s">
        <v>176</v>
      </c>
      <c r="G2683" s="9">
        <v>270</v>
      </c>
      <c r="H2683" s="9">
        <f t="shared" si="84"/>
        <v>0.31764705882352945</v>
      </c>
      <c r="I2683" t="s">
        <v>253</v>
      </c>
      <c r="J2683" s="33">
        <v>0</v>
      </c>
      <c r="K2683" s="18">
        <f>VLOOKUP(D2683,Ingredients!C:G,5,0)</f>
        <v>310</v>
      </c>
      <c r="L2683" s="52">
        <f t="shared" si="83"/>
        <v>0.36470588235294121</v>
      </c>
    </row>
    <row r="2684" spans="1:12">
      <c r="A2684" t="s">
        <v>577</v>
      </c>
      <c r="B2684" t="s">
        <v>346</v>
      </c>
      <c r="C2684" t="s">
        <v>352</v>
      </c>
      <c r="D2684" s="3" t="s">
        <v>922</v>
      </c>
      <c r="E2684" s="4">
        <v>1</v>
      </c>
      <c r="F2684" s="4" t="s">
        <v>176</v>
      </c>
      <c r="G2684" s="9">
        <v>300</v>
      </c>
      <c r="H2684" s="9">
        <f t="shared" si="84"/>
        <v>300</v>
      </c>
      <c r="I2684" t="s">
        <v>179</v>
      </c>
      <c r="J2684" s="33">
        <v>0</v>
      </c>
      <c r="K2684" s="18">
        <f>VLOOKUP(D2684,Ingredients!C:G,5,0)</f>
        <v>315</v>
      </c>
      <c r="L2684" s="52">
        <f t="shared" si="83"/>
        <v>315</v>
      </c>
    </row>
    <row r="2685" spans="1:12">
      <c r="A2685" t="s">
        <v>577</v>
      </c>
      <c r="B2685" t="s">
        <v>346</v>
      </c>
      <c r="C2685" t="s">
        <v>352</v>
      </c>
      <c r="D2685" s="3" t="s">
        <v>16</v>
      </c>
      <c r="E2685" s="4">
        <v>0.25</v>
      </c>
      <c r="F2685" s="4" t="s">
        <v>176</v>
      </c>
      <c r="G2685" s="9">
        <v>270</v>
      </c>
      <c r="H2685" s="9">
        <f t="shared" si="84"/>
        <v>67.5</v>
      </c>
      <c r="I2685" t="s">
        <v>179</v>
      </c>
      <c r="J2685" s="33">
        <v>0</v>
      </c>
      <c r="K2685" s="18">
        <f>VLOOKUP(D2685,Ingredients!C:G,5,0)</f>
        <v>310</v>
      </c>
      <c r="L2685" s="52">
        <f t="shared" si="83"/>
        <v>77.5</v>
      </c>
    </row>
    <row r="2686" spans="1:12">
      <c r="A2686" t="s">
        <v>577</v>
      </c>
      <c r="B2686" t="s">
        <v>346</v>
      </c>
      <c r="C2686" t="s">
        <v>352</v>
      </c>
      <c r="D2686" s="3" t="s">
        <v>855</v>
      </c>
      <c r="E2686" s="4">
        <v>0.15</v>
      </c>
      <c r="F2686" s="4" t="s">
        <v>176</v>
      </c>
      <c r="G2686" s="9">
        <v>2400</v>
      </c>
      <c r="H2686" s="9">
        <f t="shared" si="84"/>
        <v>360</v>
      </c>
      <c r="I2686" t="s">
        <v>179</v>
      </c>
      <c r="J2686" s="33">
        <v>0</v>
      </c>
      <c r="K2686" s="18">
        <f>VLOOKUP(D2686,Ingredients!C:G,5,0)</f>
        <v>1600</v>
      </c>
      <c r="L2686" s="52">
        <f t="shared" si="83"/>
        <v>240</v>
      </c>
    </row>
    <row r="2687" spans="1:12">
      <c r="A2687" t="s">
        <v>577</v>
      </c>
      <c r="B2687" t="s">
        <v>346</v>
      </c>
      <c r="C2687" t="s">
        <v>352</v>
      </c>
      <c r="D2687" s="3" t="s">
        <v>852</v>
      </c>
      <c r="E2687" s="4">
        <v>0.3</v>
      </c>
      <c r="F2687" s="4" t="s">
        <v>190</v>
      </c>
      <c r="G2687" s="9">
        <v>520.63</v>
      </c>
      <c r="H2687" s="9">
        <f t="shared" si="84"/>
        <v>156.18899999999999</v>
      </c>
      <c r="I2687" t="s">
        <v>179</v>
      </c>
      <c r="J2687" s="33">
        <v>0</v>
      </c>
      <c r="K2687" s="18">
        <v>550</v>
      </c>
      <c r="L2687" s="52">
        <f t="shared" si="83"/>
        <v>165</v>
      </c>
    </row>
    <row r="2688" spans="1:12">
      <c r="A2688" t="s">
        <v>577</v>
      </c>
      <c r="B2688" t="s">
        <v>346</v>
      </c>
      <c r="C2688" t="s">
        <v>352</v>
      </c>
      <c r="D2688" s="3" t="s">
        <v>28</v>
      </c>
      <c r="E2688" s="4">
        <v>0.5</v>
      </c>
      <c r="F2688" s="4" t="s">
        <v>176</v>
      </c>
      <c r="G2688" s="9">
        <v>85</v>
      </c>
      <c r="H2688" s="9">
        <f t="shared" si="84"/>
        <v>42.5</v>
      </c>
      <c r="I2688" t="s">
        <v>179</v>
      </c>
      <c r="J2688" s="33">
        <v>0</v>
      </c>
      <c r="K2688" s="18">
        <f>VLOOKUP(D2688,Ingredients!C:G,5,0)</f>
        <v>70</v>
      </c>
      <c r="L2688" s="52">
        <f t="shared" si="83"/>
        <v>35</v>
      </c>
    </row>
    <row r="2689" spans="1:12">
      <c r="A2689" t="s">
        <v>577</v>
      </c>
      <c r="B2689" t="s">
        <v>346</v>
      </c>
      <c r="C2689" t="s">
        <v>352</v>
      </c>
      <c r="D2689" s="3" t="s">
        <v>849</v>
      </c>
      <c r="E2689" s="4">
        <v>0.125</v>
      </c>
      <c r="F2689" s="4" t="s">
        <v>176</v>
      </c>
      <c r="G2689" s="9">
        <v>1000</v>
      </c>
      <c r="H2689" s="9">
        <f t="shared" si="84"/>
        <v>125</v>
      </c>
      <c r="I2689" t="s">
        <v>179</v>
      </c>
      <c r="J2689" s="33">
        <v>0</v>
      </c>
      <c r="K2689" s="18">
        <f>VLOOKUP(D2689,Ingredients!C:G,5,0)</f>
        <v>950</v>
      </c>
      <c r="L2689" s="52">
        <f t="shared" si="83"/>
        <v>118.75</v>
      </c>
    </row>
    <row r="2690" spans="1:12">
      <c r="A2690" t="s">
        <v>577</v>
      </c>
      <c r="B2690" t="s">
        <v>346</v>
      </c>
      <c r="C2690" t="s">
        <v>352</v>
      </c>
      <c r="D2690" s="3" t="s">
        <v>148</v>
      </c>
      <c r="E2690" s="4">
        <v>0.25</v>
      </c>
      <c r="F2690" s="4" t="s">
        <v>252</v>
      </c>
      <c r="G2690" s="9">
        <v>5</v>
      </c>
      <c r="H2690" s="9">
        <f t="shared" si="84"/>
        <v>1.25</v>
      </c>
      <c r="I2690" t="s">
        <v>179</v>
      </c>
      <c r="J2690" s="33">
        <v>0</v>
      </c>
      <c r="K2690" s="18">
        <f>VLOOKUP(D2690,Ingredients!C:G,5,0)</f>
        <v>5</v>
      </c>
      <c r="L2690" s="52">
        <f t="shared" si="83"/>
        <v>1.25</v>
      </c>
    </row>
    <row r="2691" spans="1:12">
      <c r="A2691" t="s">
        <v>577</v>
      </c>
      <c r="B2691" t="s">
        <v>346</v>
      </c>
      <c r="C2691" t="s">
        <v>352</v>
      </c>
      <c r="D2691" s="3" t="s">
        <v>502</v>
      </c>
      <c r="E2691" s="4">
        <v>0.26</v>
      </c>
      <c r="F2691" s="4" t="s">
        <v>176</v>
      </c>
      <c r="G2691" s="9">
        <v>500</v>
      </c>
      <c r="H2691" s="9">
        <f t="shared" si="84"/>
        <v>130</v>
      </c>
      <c r="I2691" t="s">
        <v>179</v>
      </c>
      <c r="J2691" s="33">
        <v>0</v>
      </c>
      <c r="K2691" s="18">
        <f>VLOOKUP(D2691,Ingredients!C:G,5,0)</f>
        <v>130</v>
      </c>
      <c r="L2691" s="52">
        <f t="shared" si="83"/>
        <v>33.800000000000004</v>
      </c>
    </row>
    <row r="2692" spans="1:12">
      <c r="A2692" t="s">
        <v>577</v>
      </c>
      <c r="B2692" t="s">
        <v>346</v>
      </c>
      <c r="C2692" t="s">
        <v>352</v>
      </c>
      <c r="D2692" s="3" t="s">
        <v>853</v>
      </c>
      <c r="E2692" s="4">
        <v>0.15</v>
      </c>
      <c r="F2692" s="4" t="s">
        <v>176</v>
      </c>
      <c r="G2692" s="9">
        <v>30</v>
      </c>
      <c r="H2692" s="9">
        <f t="shared" si="84"/>
        <v>4.5</v>
      </c>
      <c r="I2692" t="s">
        <v>179</v>
      </c>
      <c r="J2692" s="33">
        <v>0</v>
      </c>
      <c r="K2692" s="18">
        <f>VLOOKUP(D2692,Ingredients!C:G,5,0)</f>
        <v>55</v>
      </c>
      <c r="L2692" s="52">
        <f t="shared" ref="L2692:L2755" si="85">K2692*E2692</f>
        <v>8.25</v>
      </c>
    </row>
    <row r="2693" spans="1:12">
      <c r="A2693" t="s">
        <v>577</v>
      </c>
      <c r="B2693" t="s">
        <v>346</v>
      </c>
      <c r="C2693" t="s">
        <v>352</v>
      </c>
      <c r="D2693" s="3" t="s">
        <v>497</v>
      </c>
      <c r="E2693" s="4">
        <v>0.1</v>
      </c>
      <c r="F2693" s="4" t="s">
        <v>176</v>
      </c>
      <c r="G2693" s="9">
        <v>350</v>
      </c>
      <c r="H2693" s="9">
        <f t="shared" si="84"/>
        <v>35</v>
      </c>
      <c r="I2693" t="s">
        <v>179</v>
      </c>
      <c r="J2693" s="33">
        <v>0</v>
      </c>
      <c r="K2693" s="18">
        <f>VLOOKUP(D2693,Ingredients!C:G,5,0)</f>
        <v>400</v>
      </c>
      <c r="L2693" s="52">
        <f t="shared" si="85"/>
        <v>40</v>
      </c>
    </row>
    <row r="2694" spans="1:12">
      <c r="A2694" t="s">
        <v>578</v>
      </c>
      <c r="B2694" t="s">
        <v>356</v>
      </c>
      <c r="C2694" t="s">
        <v>454</v>
      </c>
      <c r="D2694" s="3" t="s">
        <v>866</v>
      </c>
      <c r="E2694" s="4">
        <v>0.2</v>
      </c>
      <c r="F2694" s="4" t="s">
        <v>176</v>
      </c>
      <c r="G2694" s="9">
        <v>153.97999999999999</v>
      </c>
      <c r="H2694" s="9">
        <f t="shared" si="84"/>
        <v>30.795999999999999</v>
      </c>
      <c r="I2694" t="s">
        <v>579</v>
      </c>
      <c r="J2694" s="33">
        <v>0</v>
      </c>
      <c r="K2694" s="18">
        <f>VLOOKUP(D2694,Ingredients!C:G,5,0)</f>
        <v>142.13999999999999</v>
      </c>
      <c r="L2694" s="52">
        <f t="shared" si="85"/>
        <v>28.427999999999997</v>
      </c>
    </row>
    <row r="2695" spans="1:12">
      <c r="A2695" t="s">
        <v>578</v>
      </c>
      <c r="B2695" t="s">
        <v>356</v>
      </c>
      <c r="C2695" t="s">
        <v>454</v>
      </c>
      <c r="D2695" s="3" t="s">
        <v>892</v>
      </c>
      <c r="E2695" s="4">
        <v>0.15</v>
      </c>
      <c r="F2695" s="4" t="s">
        <v>176</v>
      </c>
      <c r="G2695" s="9">
        <v>2000</v>
      </c>
      <c r="H2695" s="9">
        <f t="shared" si="84"/>
        <v>300</v>
      </c>
      <c r="I2695" t="s">
        <v>579</v>
      </c>
      <c r="J2695" s="33">
        <v>0</v>
      </c>
      <c r="K2695" s="18">
        <f>VLOOKUP(D2695,Ingredients!C:G,5,0)</f>
        <v>2080</v>
      </c>
      <c r="L2695" s="52">
        <f t="shared" si="85"/>
        <v>312</v>
      </c>
    </row>
    <row r="2696" spans="1:12">
      <c r="A2696" t="s">
        <v>578</v>
      </c>
      <c r="B2696" t="s">
        <v>356</v>
      </c>
      <c r="C2696" t="s">
        <v>454</v>
      </c>
      <c r="D2696" s="3" t="s">
        <v>459</v>
      </c>
      <c r="E2696" s="4">
        <v>0.15</v>
      </c>
      <c r="F2696" s="4" t="s">
        <v>176</v>
      </c>
      <c r="G2696" s="9">
        <v>2000</v>
      </c>
      <c r="H2696" s="9">
        <f t="shared" si="84"/>
        <v>300</v>
      </c>
      <c r="I2696" t="s">
        <v>579</v>
      </c>
      <c r="J2696" s="33">
        <v>0</v>
      </c>
      <c r="K2696" s="18">
        <f>VLOOKUP(D2696,Ingredients!C:G,5,0)</f>
        <v>2400</v>
      </c>
      <c r="L2696" s="52">
        <f t="shared" si="85"/>
        <v>360</v>
      </c>
    </row>
    <row r="2697" spans="1:12">
      <c r="A2697" t="s">
        <v>578</v>
      </c>
      <c r="B2697" t="s">
        <v>356</v>
      </c>
      <c r="C2697" t="s">
        <v>454</v>
      </c>
      <c r="D2697" s="3" t="s">
        <v>916</v>
      </c>
      <c r="E2697" s="4">
        <v>0.15</v>
      </c>
      <c r="F2697" s="4" t="s">
        <v>176</v>
      </c>
      <c r="G2697" s="9">
        <v>6500</v>
      </c>
      <c r="H2697" s="9">
        <f t="shared" si="84"/>
        <v>975</v>
      </c>
      <c r="I2697" t="s">
        <v>579</v>
      </c>
      <c r="J2697" s="33">
        <v>0</v>
      </c>
      <c r="K2697" s="18">
        <f>VLOOKUP(D2697,Ingredients!C:G,5,0)</f>
        <v>6200</v>
      </c>
      <c r="L2697" s="52">
        <f t="shared" si="85"/>
        <v>930</v>
      </c>
    </row>
    <row r="2698" spans="1:12">
      <c r="A2698" t="s">
        <v>578</v>
      </c>
      <c r="B2698" t="s">
        <v>356</v>
      </c>
      <c r="C2698" t="s">
        <v>454</v>
      </c>
      <c r="D2698" s="3" t="s">
        <v>865</v>
      </c>
      <c r="E2698" s="4">
        <v>0.2</v>
      </c>
      <c r="F2698" s="4" t="s">
        <v>176</v>
      </c>
      <c r="G2698" s="9">
        <v>1400</v>
      </c>
      <c r="H2698" s="9">
        <f t="shared" si="84"/>
        <v>280</v>
      </c>
      <c r="I2698" t="s">
        <v>579</v>
      </c>
      <c r="J2698" s="33">
        <v>0</v>
      </c>
      <c r="K2698" s="18">
        <f>VLOOKUP(D2698,Ingredients!C:G,5,0)</f>
        <v>1400</v>
      </c>
      <c r="L2698" s="52">
        <f t="shared" si="85"/>
        <v>280</v>
      </c>
    </row>
    <row r="2699" spans="1:12">
      <c r="A2699" t="s">
        <v>578</v>
      </c>
      <c r="B2699" t="s">
        <v>356</v>
      </c>
      <c r="C2699" t="s">
        <v>454</v>
      </c>
      <c r="D2699" s="3" t="s">
        <v>830</v>
      </c>
      <c r="E2699" s="4">
        <v>0.27</v>
      </c>
      <c r="F2699" s="4" t="s">
        <v>176</v>
      </c>
      <c r="G2699" s="9">
        <v>149</v>
      </c>
      <c r="H2699" s="9">
        <f t="shared" si="84"/>
        <v>40.230000000000004</v>
      </c>
      <c r="I2699" t="s">
        <v>579</v>
      </c>
      <c r="J2699" s="33">
        <v>0</v>
      </c>
      <c r="K2699" s="18">
        <f>VLOOKUP(D2699,Ingredients!C:G,5,0)</f>
        <v>123</v>
      </c>
      <c r="L2699" s="52">
        <f t="shared" si="85"/>
        <v>33.21</v>
      </c>
    </row>
    <row r="2700" spans="1:12">
      <c r="A2700" t="s">
        <v>578</v>
      </c>
      <c r="B2700" t="s">
        <v>356</v>
      </c>
      <c r="C2700" t="s">
        <v>454</v>
      </c>
      <c r="D2700" s="3" t="s">
        <v>928</v>
      </c>
      <c r="E2700" s="4">
        <v>2.4E-2</v>
      </c>
      <c r="F2700" s="4" t="s">
        <v>176</v>
      </c>
      <c r="G2700" s="9">
        <v>850</v>
      </c>
      <c r="H2700" s="9">
        <f t="shared" si="84"/>
        <v>20.400000000000002</v>
      </c>
      <c r="I2700" t="s">
        <v>579</v>
      </c>
      <c r="J2700" s="33">
        <v>0</v>
      </c>
      <c r="K2700" s="18">
        <f>VLOOKUP(D2700,Ingredients!C:G,5,0)</f>
        <v>900</v>
      </c>
      <c r="L2700" s="52">
        <f t="shared" si="85"/>
        <v>21.6</v>
      </c>
    </row>
    <row r="2701" spans="1:12">
      <c r="A2701" t="s">
        <v>578</v>
      </c>
      <c r="B2701" t="s">
        <v>356</v>
      </c>
      <c r="C2701" t="s">
        <v>454</v>
      </c>
      <c r="D2701" s="3" t="s">
        <v>955</v>
      </c>
      <c r="E2701" s="4">
        <v>5.0000000000000001E-3</v>
      </c>
      <c r="F2701" s="4" t="s">
        <v>176</v>
      </c>
      <c r="G2701" s="9">
        <v>3600</v>
      </c>
      <c r="H2701" s="9">
        <f t="shared" si="84"/>
        <v>18</v>
      </c>
      <c r="I2701" t="s">
        <v>579</v>
      </c>
      <c r="J2701" s="33">
        <v>0</v>
      </c>
      <c r="K2701" s="18">
        <f>VLOOKUP(D2701,Ingredients!C:G,5,0)</f>
        <v>3400</v>
      </c>
      <c r="L2701" s="52">
        <f t="shared" si="85"/>
        <v>17</v>
      </c>
    </row>
    <row r="2702" spans="1:12">
      <c r="A2702" t="s">
        <v>578</v>
      </c>
      <c r="B2702" t="s">
        <v>356</v>
      </c>
      <c r="C2702" t="s">
        <v>454</v>
      </c>
      <c r="D2702" s="3" t="s">
        <v>939</v>
      </c>
      <c r="E2702" s="4">
        <v>0.17</v>
      </c>
      <c r="F2702" s="4" t="s">
        <v>176</v>
      </c>
      <c r="G2702" s="9">
        <v>1250</v>
      </c>
      <c r="H2702" s="9">
        <f t="shared" si="84"/>
        <v>212.50000000000003</v>
      </c>
      <c r="I2702" t="s">
        <v>579</v>
      </c>
      <c r="J2702" s="33">
        <v>0</v>
      </c>
      <c r="K2702" s="18">
        <f>VLOOKUP(D2702,Ingredients!C:G,5,0)</f>
        <v>1500</v>
      </c>
      <c r="L2702" s="52">
        <f t="shared" si="85"/>
        <v>255.00000000000003</v>
      </c>
    </row>
    <row r="2703" spans="1:12">
      <c r="A2703" t="s">
        <v>578</v>
      </c>
      <c r="B2703" t="s">
        <v>356</v>
      </c>
      <c r="C2703" t="s">
        <v>454</v>
      </c>
      <c r="D2703" s="3" t="s">
        <v>310</v>
      </c>
      <c r="E2703" s="4">
        <v>0.03</v>
      </c>
      <c r="F2703" s="4" t="s">
        <v>176</v>
      </c>
      <c r="G2703" s="9">
        <v>425</v>
      </c>
      <c r="H2703" s="9">
        <f t="shared" si="84"/>
        <v>12.75</v>
      </c>
      <c r="I2703" t="s">
        <v>579</v>
      </c>
      <c r="J2703" s="33">
        <v>0</v>
      </c>
      <c r="K2703" s="18">
        <f>VLOOKUP(D2703,Ingredients!C:G,5,0)</f>
        <v>850</v>
      </c>
      <c r="L2703" s="52">
        <f t="shared" si="85"/>
        <v>25.5</v>
      </c>
    </row>
    <row r="2704" spans="1:12">
      <c r="A2704" t="s">
        <v>580</v>
      </c>
      <c r="B2704" t="s">
        <v>349</v>
      </c>
      <c r="C2704" t="s">
        <v>454</v>
      </c>
      <c r="D2704" s="3" t="s">
        <v>833</v>
      </c>
      <c r="E2704" s="14">
        <v>1</v>
      </c>
      <c r="F2704" s="4" t="s">
        <v>176</v>
      </c>
      <c r="G2704" s="9">
        <v>1020</v>
      </c>
      <c r="H2704" s="9">
        <f t="shared" si="84"/>
        <v>1020</v>
      </c>
      <c r="I2704" t="s">
        <v>179</v>
      </c>
      <c r="J2704" s="33" t="s">
        <v>490</v>
      </c>
      <c r="K2704" s="18">
        <f>VLOOKUP(D2704,Ingredients!C:G,5,0)</f>
        <v>1000</v>
      </c>
      <c r="L2704" s="52">
        <f t="shared" si="85"/>
        <v>1000</v>
      </c>
    </row>
    <row r="2705" spans="1:12">
      <c r="A2705" t="s">
        <v>580</v>
      </c>
      <c r="B2705" t="s">
        <v>349</v>
      </c>
      <c r="C2705" t="s">
        <v>454</v>
      </c>
      <c r="D2705" s="3" t="s">
        <v>883</v>
      </c>
      <c r="E2705" s="14">
        <v>4.4444444444444439E-2</v>
      </c>
      <c r="F2705" s="4" t="s">
        <v>176</v>
      </c>
      <c r="G2705" s="9">
        <v>950</v>
      </c>
      <c r="H2705" s="9">
        <f t="shared" si="84"/>
        <v>42.222222222222214</v>
      </c>
      <c r="I2705" t="s">
        <v>179</v>
      </c>
      <c r="J2705" s="33" t="s">
        <v>490</v>
      </c>
      <c r="K2705" s="18">
        <f>VLOOKUP(D2705,Ingredients!C:G,5,0)</f>
        <v>313</v>
      </c>
      <c r="L2705" s="52">
        <f t="shared" si="85"/>
        <v>13.91111111111111</v>
      </c>
    </row>
    <row r="2706" spans="1:12">
      <c r="A2706" t="s">
        <v>580</v>
      </c>
      <c r="B2706" t="s">
        <v>349</v>
      </c>
      <c r="C2706" t="s">
        <v>454</v>
      </c>
      <c r="D2706" s="3" t="s">
        <v>835</v>
      </c>
      <c r="E2706" s="14">
        <v>2.222222222222222E-2</v>
      </c>
      <c r="F2706" s="4" t="s">
        <v>176</v>
      </c>
      <c r="G2706" s="9">
        <v>389.34</v>
      </c>
      <c r="H2706" s="9">
        <f t="shared" si="84"/>
        <v>8.6519999999999992</v>
      </c>
      <c r="I2706" t="s">
        <v>179</v>
      </c>
      <c r="J2706" s="33" t="s">
        <v>490</v>
      </c>
      <c r="K2706" s="18">
        <f>VLOOKUP(D2706,Ingredients!C:G,5,0)</f>
        <v>394.63</v>
      </c>
      <c r="L2706" s="52">
        <f t="shared" si="85"/>
        <v>8.769555555555554</v>
      </c>
    </row>
    <row r="2707" spans="1:12">
      <c r="A2707" t="s">
        <v>580</v>
      </c>
      <c r="B2707" t="s">
        <v>349</v>
      </c>
      <c r="C2707" t="s">
        <v>454</v>
      </c>
      <c r="D2707" s="3" t="s">
        <v>852</v>
      </c>
      <c r="E2707" s="14">
        <v>6.6666666666666666E-2</v>
      </c>
      <c r="F2707" s="4" t="s">
        <v>317</v>
      </c>
      <c r="G2707" s="9">
        <v>520.63</v>
      </c>
      <c r="H2707" s="9">
        <f t="shared" si="84"/>
        <v>34.708666666666666</v>
      </c>
      <c r="I2707" t="s">
        <v>179</v>
      </c>
      <c r="J2707" s="33" t="s">
        <v>490</v>
      </c>
      <c r="K2707" s="18">
        <v>550</v>
      </c>
      <c r="L2707" s="52">
        <f t="shared" si="85"/>
        <v>36.666666666666664</v>
      </c>
    </row>
    <row r="2708" spans="1:12">
      <c r="A2708" t="s">
        <v>580</v>
      </c>
      <c r="B2708" t="s">
        <v>349</v>
      </c>
      <c r="C2708" t="s">
        <v>454</v>
      </c>
      <c r="D2708" s="3" t="s">
        <v>868</v>
      </c>
      <c r="E2708" s="14">
        <v>1.4999999999999999E-2</v>
      </c>
      <c r="F2708" s="4" t="s">
        <v>317</v>
      </c>
      <c r="G2708" s="9">
        <v>5432.77</v>
      </c>
      <c r="H2708" s="9">
        <f t="shared" si="84"/>
        <v>81.491550000000004</v>
      </c>
      <c r="I2708" t="s">
        <v>179</v>
      </c>
      <c r="J2708" s="33" t="s">
        <v>490</v>
      </c>
      <c r="K2708" s="18">
        <f>VLOOKUP(D2708,Ingredients!C:G,5,0)</f>
        <v>3200</v>
      </c>
      <c r="L2708" s="52">
        <f t="shared" si="85"/>
        <v>48</v>
      </c>
    </row>
    <row r="2709" spans="1:12">
      <c r="A2709" t="s">
        <v>580</v>
      </c>
      <c r="B2709" t="s">
        <v>349</v>
      </c>
      <c r="C2709" t="s">
        <v>454</v>
      </c>
      <c r="D2709" s="3" t="s">
        <v>94</v>
      </c>
      <c r="E2709" s="14">
        <v>0.13333333333333333</v>
      </c>
      <c r="F2709" s="4" t="s">
        <v>176</v>
      </c>
      <c r="G2709" s="9">
        <v>90</v>
      </c>
      <c r="H2709" s="9">
        <f t="shared" si="84"/>
        <v>12</v>
      </c>
      <c r="I2709" t="s">
        <v>179</v>
      </c>
      <c r="J2709" s="33" t="s">
        <v>490</v>
      </c>
      <c r="K2709" s="18">
        <f>VLOOKUP(D2709,Ingredients!C:G,5,0)</f>
        <v>40</v>
      </c>
      <c r="L2709" s="52">
        <f t="shared" si="85"/>
        <v>5.333333333333333</v>
      </c>
    </row>
    <row r="2710" spans="1:12">
      <c r="A2710" t="s">
        <v>580</v>
      </c>
      <c r="B2710" t="s">
        <v>349</v>
      </c>
      <c r="C2710" t="s">
        <v>454</v>
      </c>
      <c r="D2710" s="3" t="s">
        <v>16</v>
      </c>
      <c r="E2710" s="14">
        <v>5.9259259259259255E-2</v>
      </c>
      <c r="F2710" s="4" t="s">
        <v>176</v>
      </c>
      <c r="G2710" s="9">
        <v>270</v>
      </c>
      <c r="H2710" s="9">
        <f t="shared" si="84"/>
        <v>15.999999999999998</v>
      </c>
      <c r="I2710" t="s">
        <v>179</v>
      </c>
      <c r="J2710" s="33" t="s">
        <v>490</v>
      </c>
      <c r="K2710" s="18">
        <f>VLOOKUP(D2710,Ingredients!C:G,5,0)</f>
        <v>310</v>
      </c>
      <c r="L2710" s="52">
        <f t="shared" si="85"/>
        <v>18.37037037037037</v>
      </c>
    </row>
    <row r="2711" spans="1:12">
      <c r="A2711" t="s">
        <v>580</v>
      </c>
      <c r="B2711" t="s">
        <v>349</v>
      </c>
      <c r="C2711" t="s">
        <v>454</v>
      </c>
      <c r="D2711" s="3" t="s">
        <v>23</v>
      </c>
      <c r="E2711" s="14">
        <v>1.4814814814814814E-2</v>
      </c>
      <c r="F2711" s="4" t="s">
        <v>176</v>
      </c>
      <c r="G2711" s="9">
        <v>740</v>
      </c>
      <c r="H2711" s="9">
        <f t="shared" si="84"/>
        <v>10.962962962962962</v>
      </c>
      <c r="I2711" t="s">
        <v>179</v>
      </c>
      <c r="J2711" s="33" t="s">
        <v>490</v>
      </c>
      <c r="K2711" s="18">
        <f>VLOOKUP(D2711,Ingredients!C:G,5,0)</f>
        <v>780</v>
      </c>
      <c r="L2711" s="52">
        <f t="shared" si="85"/>
        <v>11.555555555555555</v>
      </c>
    </row>
    <row r="2712" spans="1:12">
      <c r="A2712" t="s">
        <v>580</v>
      </c>
      <c r="B2712" t="s">
        <v>349</v>
      </c>
      <c r="C2712" t="s">
        <v>454</v>
      </c>
      <c r="D2712" s="3" t="s">
        <v>96</v>
      </c>
      <c r="E2712" s="14">
        <v>0.14814814814814814</v>
      </c>
      <c r="F2712" s="4" t="s">
        <v>176</v>
      </c>
      <c r="G2712" s="9">
        <v>160</v>
      </c>
      <c r="H2712" s="9">
        <f t="shared" si="84"/>
        <v>23.703703703703702</v>
      </c>
      <c r="I2712" t="s">
        <v>179</v>
      </c>
      <c r="J2712" s="33" t="s">
        <v>490</v>
      </c>
      <c r="K2712" s="18">
        <f>VLOOKUP(D2712,Ingredients!C:G,5,0)</f>
        <v>120</v>
      </c>
      <c r="L2712" s="52">
        <f t="shared" si="85"/>
        <v>17.777777777777779</v>
      </c>
    </row>
    <row r="2713" spans="1:12">
      <c r="A2713" t="s">
        <v>581</v>
      </c>
      <c r="B2713" t="s">
        <v>346</v>
      </c>
      <c r="C2713" t="s">
        <v>454</v>
      </c>
      <c r="D2713" s="3" t="s">
        <v>953</v>
      </c>
      <c r="E2713">
        <v>4.5</v>
      </c>
      <c r="F2713" s="4" t="s">
        <v>263</v>
      </c>
      <c r="G2713" s="9">
        <v>156.25</v>
      </c>
      <c r="H2713" s="9">
        <f t="shared" si="84"/>
        <v>703.125</v>
      </c>
      <c r="I2713" t="s">
        <v>179</v>
      </c>
      <c r="J2713" s="33">
        <v>0</v>
      </c>
      <c r="K2713" s="18">
        <f>VLOOKUP(D2713,Ingredients!C:G,5,0)</f>
        <v>141.66</v>
      </c>
      <c r="L2713" s="52">
        <f t="shared" si="85"/>
        <v>637.47</v>
      </c>
    </row>
    <row r="2714" spans="1:12">
      <c r="A2714" t="s">
        <v>581</v>
      </c>
      <c r="B2714" t="s">
        <v>346</v>
      </c>
      <c r="C2714" t="s">
        <v>454</v>
      </c>
      <c r="D2714" s="3" t="s">
        <v>15</v>
      </c>
      <c r="E2714">
        <v>0.25</v>
      </c>
      <c r="F2714" s="4" t="s">
        <v>176</v>
      </c>
      <c r="G2714" s="9">
        <v>130</v>
      </c>
      <c r="H2714" s="9">
        <f t="shared" si="84"/>
        <v>32.5</v>
      </c>
      <c r="I2714" t="s">
        <v>179</v>
      </c>
      <c r="J2714" s="33">
        <v>0</v>
      </c>
      <c r="K2714" s="18">
        <f>VLOOKUP(D2714,Ingredients!C:G,5,0)</f>
        <v>90</v>
      </c>
      <c r="L2714" s="52">
        <f t="shared" si="85"/>
        <v>22.5</v>
      </c>
    </row>
    <row r="2715" spans="1:12">
      <c r="A2715" t="s">
        <v>581</v>
      </c>
      <c r="B2715" t="s">
        <v>346</v>
      </c>
      <c r="C2715" t="s">
        <v>454</v>
      </c>
      <c r="D2715" s="3" t="s">
        <v>94</v>
      </c>
      <c r="E2715">
        <v>0.5</v>
      </c>
      <c r="F2715" s="4" t="s">
        <v>176</v>
      </c>
      <c r="G2715" s="9">
        <v>90</v>
      </c>
      <c r="H2715" s="9">
        <f t="shared" si="84"/>
        <v>45</v>
      </c>
      <c r="I2715" t="s">
        <v>179</v>
      </c>
      <c r="J2715" s="33">
        <v>0</v>
      </c>
      <c r="K2715" s="18">
        <f>VLOOKUP(D2715,Ingredients!C:G,5,0)</f>
        <v>40</v>
      </c>
      <c r="L2715" s="52">
        <f t="shared" si="85"/>
        <v>20</v>
      </c>
    </row>
    <row r="2716" spans="1:12">
      <c r="A2716" t="s">
        <v>581</v>
      </c>
      <c r="B2716" t="s">
        <v>346</v>
      </c>
      <c r="C2716" t="s">
        <v>454</v>
      </c>
      <c r="D2716" s="3" t="s">
        <v>95</v>
      </c>
      <c r="E2716">
        <v>0.125</v>
      </c>
      <c r="F2716" s="4" t="s">
        <v>176</v>
      </c>
      <c r="G2716" s="9">
        <v>140</v>
      </c>
      <c r="H2716" s="9">
        <f t="shared" si="84"/>
        <v>17.5</v>
      </c>
      <c r="I2716" t="s">
        <v>179</v>
      </c>
      <c r="J2716" s="33">
        <v>0</v>
      </c>
      <c r="K2716" s="18">
        <f>VLOOKUP(D2716,Ingredients!C:G,5,0)</f>
        <v>90</v>
      </c>
      <c r="L2716" s="52">
        <f t="shared" si="85"/>
        <v>11.25</v>
      </c>
    </row>
    <row r="2717" spans="1:12">
      <c r="A2717" t="s">
        <v>581</v>
      </c>
      <c r="B2717" t="s">
        <v>346</v>
      </c>
      <c r="C2717" t="s">
        <v>454</v>
      </c>
      <c r="D2717" s="3" t="s">
        <v>853</v>
      </c>
      <c r="E2717">
        <v>0.05</v>
      </c>
      <c r="F2717" s="4" t="s">
        <v>176</v>
      </c>
      <c r="G2717" s="9">
        <v>30</v>
      </c>
      <c r="H2717" s="9">
        <f t="shared" si="84"/>
        <v>1.5</v>
      </c>
      <c r="I2717" t="s">
        <v>179</v>
      </c>
      <c r="J2717" s="33">
        <v>0</v>
      </c>
      <c r="K2717" s="18">
        <f>VLOOKUP(D2717,Ingredients!C:G,5,0)</f>
        <v>55</v>
      </c>
      <c r="L2717" s="52">
        <f t="shared" si="85"/>
        <v>2.75</v>
      </c>
    </row>
    <row r="2718" spans="1:12">
      <c r="A2718" t="s">
        <v>581</v>
      </c>
      <c r="B2718" t="s">
        <v>346</v>
      </c>
      <c r="C2718" t="s">
        <v>454</v>
      </c>
      <c r="D2718" s="3" t="s">
        <v>883</v>
      </c>
      <c r="E2718">
        <v>0.125</v>
      </c>
      <c r="F2718" s="4" t="s">
        <v>176</v>
      </c>
      <c r="G2718" s="9">
        <v>950</v>
      </c>
      <c r="H2718" s="9">
        <f t="shared" si="84"/>
        <v>118.75</v>
      </c>
      <c r="I2718" t="s">
        <v>179</v>
      </c>
      <c r="J2718" s="33">
        <v>0</v>
      </c>
      <c r="K2718" s="18">
        <f>VLOOKUP(D2718,Ingredients!C:G,5,0)</f>
        <v>313</v>
      </c>
      <c r="L2718" s="52">
        <f t="shared" si="85"/>
        <v>39.125</v>
      </c>
    </row>
    <row r="2719" spans="1:12">
      <c r="A2719" t="s">
        <v>581</v>
      </c>
      <c r="B2719" t="s">
        <v>346</v>
      </c>
      <c r="C2719" t="s">
        <v>454</v>
      </c>
      <c r="D2719" s="3" t="s">
        <v>879</v>
      </c>
      <c r="E2719">
        <v>0.05</v>
      </c>
      <c r="F2719" s="4" t="s">
        <v>176</v>
      </c>
      <c r="G2719" s="9">
        <v>1113.51</v>
      </c>
      <c r="H2719" s="9">
        <f t="shared" si="84"/>
        <v>55.6755</v>
      </c>
      <c r="I2719" t="s">
        <v>179</v>
      </c>
      <c r="J2719" s="33">
        <v>0</v>
      </c>
      <c r="K2719" s="18">
        <f>VLOOKUP(D2719,Ingredients!C:G,5,0)</f>
        <v>1066.33</v>
      </c>
      <c r="L2719" s="52">
        <f t="shared" si="85"/>
        <v>53.316499999999998</v>
      </c>
    </row>
    <row r="2720" spans="1:12">
      <c r="A2720" t="s">
        <v>582</v>
      </c>
      <c r="B2720" t="s">
        <v>349</v>
      </c>
      <c r="C2720" t="s">
        <v>984</v>
      </c>
      <c r="D2720" s="3" t="s">
        <v>831</v>
      </c>
      <c r="E2720" s="4">
        <v>8.3333333333333329E-2</v>
      </c>
      <c r="F2720" s="4" t="s">
        <v>176</v>
      </c>
      <c r="G2720" s="9">
        <v>908</v>
      </c>
      <c r="H2720" s="9">
        <f t="shared" si="84"/>
        <v>75.666666666666657</v>
      </c>
      <c r="I2720" t="s">
        <v>253</v>
      </c>
      <c r="J2720" s="33" t="s">
        <v>489</v>
      </c>
      <c r="K2720" s="18">
        <f>VLOOKUP(D2720,Ingredients!C:G,5,0)</f>
        <v>908</v>
      </c>
      <c r="L2720" s="52">
        <f t="shared" si="85"/>
        <v>75.666666666666657</v>
      </c>
    </row>
    <row r="2721" spans="1:12">
      <c r="A2721" t="s">
        <v>582</v>
      </c>
      <c r="B2721" t="s">
        <v>349</v>
      </c>
      <c r="C2721" t="s">
        <v>984</v>
      </c>
      <c r="D2721" s="3" t="s">
        <v>16</v>
      </c>
      <c r="E2721" s="4">
        <v>2.5000000000000001E-3</v>
      </c>
      <c r="F2721" s="4" t="s">
        <v>176</v>
      </c>
      <c r="G2721" s="9">
        <v>270</v>
      </c>
      <c r="H2721" s="9">
        <f t="shared" si="84"/>
        <v>0.67500000000000004</v>
      </c>
      <c r="I2721" t="s">
        <v>253</v>
      </c>
      <c r="J2721" s="33" t="s">
        <v>489</v>
      </c>
      <c r="K2721" s="18">
        <f>VLOOKUP(D2721,Ingredients!C:G,5,0)</f>
        <v>310</v>
      </c>
      <c r="L2721" s="52">
        <f t="shared" si="85"/>
        <v>0.77500000000000002</v>
      </c>
    </row>
    <row r="2722" spans="1:12">
      <c r="A2722" t="s">
        <v>582</v>
      </c>
      <c r="B2722" t="s">
        <v>349</v>
      </c>
      <c r="C2722" t="s">
        <v>984</v>
      </c>
      <c r="D2722" s="3" t="s">
        <v>895</v>
      </c>
      <c r="E2722" s="4">
        <v>2.5000000000000001E-3</v>
      </c>
      <c r="F2722" s="4" t="s">
        <v>176</v>
      </c>
      <c r="G2722" s="9">
        <v>400</v>
      </c>
      <c r="H2722" s="9">
        <f t="shared" si="84"/>
        <v>1</v>
      </c>
      <c r="I2722" t="s">
        <v>253</v>
      </c>
      <c r="J2722" s="33" t="s">
        <v>489</v>
      </c>
      <c r="K2722" s="18">
        <f>VLOOKUP(D2722,Ingredients!C:G,5,0)</f>
        <v>400</v>
      </c>
      <c r="L2722" s="52">
        <f t="shared" si="85"/>
        <v>1</v>
      </c>
    </row>
    <row r="2723" spans="1:12">
      <c r="A2723" t="s">
        <v>582</v>
      </c>
      <c r="B2723" t="s">
        <v>349</v>
      </c>
      <c r="C2723" t="s">
        <v>984</v>
      </c>
      <c r="D2723" s="3" t="s">
        <v>855</v>
      </c>
      <c r="E2723" s="4">
        <v>3.7499999999999999E-3</v>
      </c>
      <c r="F2723" s="4" t="s">
        <v>176</v>
      </c>
      <c r="G2723" s="9">
        <v>2400</v>
      </c>
      <c r="H2723" s="9">
        <f t="shared" si="84"/>
        <v>9</v>
      </c>
      <c r="I2723" t="s">
        <v>253</v>
      </c>
      <c r="J2723" s="33" t="s">
        <v>489</v>
      </c>
      <c r="K2723" s="18">
        <f>VLOOKUP(D2723,Ingredients!C:G,5,0)</f>
        <v>1600</v>
      </c>
      <c r="L2723" s="52">
        <f t="shared" si="85"/>
        <v>6</v>
      </c>
    </row>
    <row r="2724" spans="1:12">
      <c r="A2724" t="s">
        <v>582</v>
      </c>
      <c r="B2724" t="s">
        <v>349</v>
      </c>
      <c r="C2724" t="s">
        <v>984</v>
      </c>
      <c r="D2724" s="3" t="s">
        <v>915</v>
      </c>
      <c r="E2724" s="4">
        <v>6.6666666666666671E-3</v>
      </c>
      <c r="F2724" s="4" t="s">
        <v>176</v>
      </c>
      <c r="G2724" s="9">
        <v>5000</v>
      </c>
      <c r="H2724" s="9">
        <f t="shared" si="84"/>
        <v>33.333333333333336</v>
      </c>
      <c r="I2724" t="s">
        <v>253</v>
      </c>
      <c r="J2724" s="33" t="s">
        <v>489</v>
      </c>
      <c r="K2724" s="18">
        <f>VLOOKUP(D2724,Ingredients!C:G,5,0)</f>
        <v>3200</v>
      </c>
      <c r="L2724" s="52">
        <f t="shared" si="85"/>
        <v>21.333333333333336</v>
      </c>
    </row>
    <row r="2725" spans="1:12">
      <c r="A2725" t="s">
        <v>582</v>
      </c>
      <c r="B2725" t="s">
        <v>349</v>
      </c>
      <c r="C2725" t="s">
        <v>984</v>
      </c>
      <c r="D2725" s="3" t="s">
        <v>853</v>
      </c>
      <c r="E2725" s="4">
        <v>5.0000000000000001E-3</v>
      </c>
      <c r="F2725" s="4" t="s">
        <v>176</v>
      </c>
      <c r="G2725" s="9">
        <v>30</v>
      </c>
      <c r="H2725" s="9">
        <f t="shared" si="84"/>
        <v>0.15</v>
      </c>
      <c r="I2725" t="s">
        <v>253</v>
      </c>
      <c r="J2725" s="33" t="s">
        <v>489</v>
      </c>
      <c r="K2725" s="18">
        <f>VLOOKUP(D2725,Ingredients!C:G,5,0)</f>
        <v>55</v>
      </c>
      <c r="L2725" s="52">
        <f t="shared" si="85"/>
        <v>0.27500000000000002</v>
      </c>
    </row>
    <row r="2726" spans="1:12">
      <c r="A2726" t="s">
        <v>582</v>
      </c>
      <c r="B2726" t="s">
        <v>349</v>
      </c>
      <c r="C2726" t="s">
        <v>984</v>
      </c>
      <c r="D2726" s="3" t="s">
        <v>882</v>
      </c>
      <c r="E2726" s="4">
        <v>5.0000000000000001E-3</v>
      </c>
      <c r="F2726" s="4" t="s">
        <v>176</v>
      </c>
      <c r="G2726" s="9">
        <v>1500</v>
      </c>
      <c r="H2726" s="9">
        <f t="shared" si="84"/>
        <v>7.5</v>
      </c>
      <c r="I2726" t="s">
        <v>253</v>
      </c>
      <c r="J2726" s="33" t="s">
        <v>489</v>
      </c>
      <c r="K2726" s="18">
        <f>VLOOKUP(D2726,Ingredients!C:G,5,0)</f>
        <v>1450</v>
      </c>
      <c r="L2726" s="52">
        <f t="shared" si="85"/>
        <v>7.25</v>
      </c>
    </row>
    <row r="2727" spans="1:12">
      <c r="A2727" t="s">
        <v>582</v>
      </c>
      <c r="B2727" t="s">
        <v>349</v>
      </c>
      <c r="C2727" t="s">
        <v>984</v>
      </c>
      <c r="D2727" s="3" t="s">
        <v>50</v>
      </c>
      <c r="E2727" s="4">
        <v>7.4999999999999997E-3</v>
      </c>
      <c r="F2727" s="4" t="s">
        <v>176</v>
      </c>
      <c r="G2727" s="9">
        <v>120</v>
      </c>
      <c r="H2727" s="9">
        <f t="shared" si="84"/>
        <v>0.89999999999999991</v>
      </c>
      <c r="I2727" t="s">
        <v>253</v>
      </c>
      <c r="J2727" s="33" t="s">
        <v>489</v>
      </c>
      <c r="K2727" s="18">
        <f>VLOOKUP(D2727,Ingredients!C:G,5,0)</f>
        <v>120</v>
      </c>
      <c r="L2727" s="52">
        <f t="shared" si="85"/>
        <v>0.89999999999999991</v>
      </c>
    </row>
    <row r="2728" spans="1:12">
      <c r="A2728" t="s">
        <v>582</v>
      </c>
      <c r="B2728" t="s">
        <v>349</v>
      </c>
      <c r="C2728" t="s">
        <v>984</v>
      </c>
      <c r="D2728" s="3" t="s">
        <v>852</v>
      </c>
      <c r="E2728" s="4">
        <v>7.4999999999999997E-3</v>
      </c>
      <c r="F2728" s="4" t="s">
        <v>317</v>
      </c>
      <c r="G2728" s="9">
        <v>520.63</v>
      </c>
      <c r="H2728" s="9">
        <f t="shared" si="84"/>
        <v>3.904725</v>
      </c>
      <c r="I2728" t="s">
        <v>253</v>
      </c>
      <c r="J2728" s="33" t="s">
        <v>489</v>
      </c>
      <c r="K2728" s="18">
        <v>550</v>
      </c>
      <c r="L2728" s="52">
        <f t="shared" si="85"/>
        <v>4.125</v>
      </c>
    </row>
    <row r="2729" spans="1:12">
      <c r="A2729" t="s">
        <v>582</v>
      </c>
      <c r="B2729" t="s">
        <v>349</v>
      </c>
      <c r="C2729" t="s">
        <v>984</v>
      </c>
      <c r="D2729" s="3" t="s">
        <v>73</v>
      </c>
      <c r="E2729" s="4">
        <v>0.02</v>
      </c>
      <c r="F2729" s="4" t="s">
        <v>176</v>
      </c>
      <c r="G2729" s="9">
        <v>305</v>
      </c>
      <c r="H2729" s="9">
        <f t="shared" si="84"/>
        <v>6.1000000000000005</v>
      </c>
      <c r="I2729" t="s">
        <v>253</v>
      </c>
      <c r="J2729" s="33" t="s">
        <v>489</v>
      </c>
      <c r="K2729" s="18">
        <f>VLOOKUP(D2729,Ingredients!C:G,5,0)</f>
        <v>300</v>
      </c>
      <c r="L2729" s="52">
        <f t="shared" si="85"/>
        <v>6</v>
      </c>
    </row>
    <row r="2730" spans="1:12">
      <c r="A2730" t="s">
        <v>582</v>
      </c>
      <c r="B2730" t="s">
        <v>349</v>
      </c>
      <c r="C2730" t="s">
        <v>984</v>
      </c>
      <c r="D2730" s="3" t="s">
        <v>847</v>
      </c>
      <c r="E2730" s="4">
        <v>1</v>
      </c>
      <c r="F2730" s="4" t="s">
        <v>253</v>
      </c>
      <c r="G2730" s="9">
        <v>60</v>
      </c>
      <c r="H2730" s="9">
        <f t="shared" si="84"/>
        <v>60</v>
      </c>
      <c r="I2730" t="s">
        <v>253</v>
      </c>
      <c r="J2730" s="33" t="s">
        <v>489</v>
      </c>
      <c r="K2730" s="18">
        <f>VLOOKUP(D2730,Ingredients!C:G,5,0)</f>
        <v>12</v>
      </c>
      <c r="L2730" s="52">
        <f t="shared" si="85"/>
        <v>12</v>
      </c>
    </row>
    <row r="2731" spans="1:12">
      <c r="A2731" t="s">
        <v>584</v>
      </c>
      <c r="B2731" t="s">
        <v>346</v>
      </c>
      <c r="C2731" t="s">
        <v>454</v>
      </c>
      <c r="D2731" s="3" t="s">
        <v>877</v>
      </c>
      <c r="E2731" s="4">
        <v>1.0499999999999998</v>
      </c>
      <c r="F2731" s="4" t="s">
        <v>176</v>
      </c>
      <c r="G2731" s="9">
        <v>1750</v>
      </c>
      <c r="H2731" s="9">
        <f t="shared" si="84"/>
        <v>1837.4999999999998</v>
      </c>
      <c r="I2731" t="s">
        <v>179</v>
      </c>
      <c r="J2731" s="33">
        <v>0</v>
      </c>
      <c r="K2731" s="18">
        <f>VLOOKUP(D2731,Ingredients!C:G,5,0)</f>
        <v>776</v>
      </c>
      <c r="L2731" s="52">
        <f t="shared" si="85"/>
        <v>814.79999999999984</v>
      </c>
    </row>
    <row r="2732" spans="1:12">
      <c r="A2732" t="s">
        <v>584</v>
      </c>
      <c r="B2732" t="s">
        <v>346</v>
      </c>
      <c r="C2732" t="s">
        <v>454</v>
      </c>
      <c r="D2732" s="3" t="s">
        <v>860</v>
      </c>
      <c r="E2732" s="4">
        <v>4.4999999999999998E-2</v>
      </c>
      <c r="F2732" s="4" t="s">
        <v>176</v>
      </c>
      <c r="G2732" s="9">
        <v>2000</v>
      </c>
      <c r="H2732" s="9">
        <f t="shared" si="84"/>
        <v>90</v>
      </c>
      <c r="I2732" t="s">
        <v>179</v>
      </c>
      <c r="J2732" s="33">
        <v>0</v>
      </c>
      <c r="K2732" s="18">
        <f>VLOOKUP(D2732,Ingredients!C:G,5,0)</f>
        <v>1900</v>
      </c>
      <c r="L2732" s="52">
        <f t="shared" si="85"/>
        <v>85.5</v>
      </c>
    </row>
    <row r="2733" spans="1:12">
      <c r="A2733" t="s">
        <v>584</v>
      </c>
      <c r="B2733" t="s">
        <v>346</v>
      </c>
      <c r="C2733" t="s">
        <v>454</v>
      </c>
      <c r="D2733" s="3" t="s">
        <v>310</v>
      </c>
      <c r="E2733" s="4">
        <v>0.24</v>
      </c>
      <c r="F2733" s="4" t="s">
        <v>176</v>
      </c>
      <c r="G2733" s="9">
        <v>425</v>
      </c>
      <c r="H2733" s="9">
        <f t="shared" ref="H2733:H2796" si="86">G2733*E2733</f>
        <v>102</v>
      </c>
      <c r="I2733" t="s">
        <v>179</v>
      </c>
      <c r="J2733" s="33">
        <v>0</v>
      </c>
      <c r="K2733" s="18">
        <f>VLOOKUP(D2733,Ingredients!C:G,5,0)</f>
        <v>850</v>
      </c>
      <c r="L2733" s="52">
        <f t="shared" si="85"/>
        <v>204</v>
      </c>
    </row>
    <row r="2734" spans="1:12">
      <c r="A2734" t="s">
        <v>584</v>
      </c>
      <c r="B2734" t="s">
        <v>346</v>
      </c>
      <c r="C2734" t="s">
        <v>454</v>
      </c>
      <c r="D2734" s="3" t="s">
        <v>853</v>
      </c>
      <c r="E2734" s="4">
        <v>2.4E-2</v>
      </c>
      <c r="F2734" s="4" t="s">
        <v>176</v>
      </c>
      <c r="G2734" s="9">
        <v>30</v>
      </c>
      <c r="H2734" s="9">
        <f t="shared" si="86"/>
        <v>0.72</v>
      </c>
      <c r="I2734" t="s">
        <v>179</v>
      </c>
      <c r="J2734" s="33">
        <v>0</v>
      </c>
      <c r="K2734" s="18">
        <f>VLOOKUP(D2734,Ingredients!C:G,5,0)</f>
        <v>55</v>
      </c>
      <c r="L2734" s="52">
        <f t="shared" si="85"/>
        <v>1.32</v>
      </c>
    </row>
    <row r="2735" spans="1:12">
      <c r="A2735" t="s">
        <v>584</v>
      </c>
      <c r="B2735" t="s">
        <v>346</v>
      </c>
      <c r="C2735" t="s">
        <v>454</v>
      </c>
      <c r="D2735" s="3" t="s">
        <v>35</v>
      </c>
      <c r="E2735" s="4">
        <v>0.30000000000000004</v>
      </c>
      <c r="F2735" s="4" t="s">
        <v>252</v>
      </c>
      <c r="G2735" s="9">
        <v>13</v>
      </c>
      <c r="H2735" s="9">
        <f t="shared" si="86"/>
        <v>3.9000000000000004</v>
      </c>
      <c r="I2735" t="s">
        <v>179</v>
      </c>
      <c r="J2735" s="33">
        <v>0</v>
      </c>
      <c r="K2735" s="18">
        <f>VLOOKUP(D2735,Ingredients!C:G,5,0)</f>
        <v>15</v>
      </c>
      <c r="L2735" s="52">
        <f t="shared" si="85"/>
        <v>4.5000000000000009</v>
      </c>
    </row>
    <row r="2736" spans="1:12">
      <c r="A2736" t="s">
        <v>584</v>
      </c>
      <c r="B2736" t="s">
        <v>346</v>
      </c>
      <c r="C2736" t="s">
        <v>454</v>
      </c>
      <c r="D2736" s="3" t="s">
        <v>865</v>
      </c>
      <c r="E2736" s="4">
        <v>0.18</v>
      </c>
      <c r="F2736" s="4" t="s">
        <v>176</v>
      </c>
      <c r="G2736" s="9">
        <v>1400</v>
      </c>
      <c r="H2736" s="9">
        <f t="shared" si="86"/>
        <v>252</v>
      </c>
      <c r="I2736" t="s">
        <v>179</v>
      </c>
      <c r="J2736" s="33">
        <v>0</v>
      </c>
      <c r="K2736" s="18">
        <f>VLOOKUP(D2736,Ingredients!C:G,5,0)</f>
        <v>1400</v>
      </c>
      <c r="L2736" s="52">
        <f t="shared" si="85"/>
        <v>252</v>
      </c>
    </row>
    <row r="2737" spans="1:12">
      <c r="A2737" t="s">
        <v>584</v>
      </c>
      <c r="B2737" t="s">
        <v>346</v>
      </c>
      <c r="C2737" t="s">
        <v>454</v>
      </c>
      <c r="D2737" s="3" t="s">
        <v>867</v>
      </c>
      <c r="E2737" s="4">
        <v>0.09</v>
      </c>
      <c r="F2737" s="4" t="s">
        <v>176</v>
      </c>
      <c r="G2737" s="9">
        <v>900</v>
      </c>
      <c r="H2737" s="9">
        <f t="shared" si="86"/>
        <v>81</v>
      </c>
      <c r="I2737" t="s">
        <v>179</v>
      </c>
      <c r="J2737" s="33">
        <v>0</v>
      </c>
      <c r="K2737" s="18">
        <f>VLOOKUP(D2737,Ingredients!C:G,5,0)</f>
        <v>950</v>
      </c>
      <c r="L2737" s="52">
        <f t="shared" si="85"/>
        <v>85.5</v>
      </c>
    </row>
    <row r="2738" spans="1:12">
      <c r="A2738" t="s">
        <v>584</v>
      </c>
      <c r="B2738" t="s">
        <v>346</v>
      </c>
      <c r="C2738" t="s">
        <v>454</v>
      </c>
      <c r="D2738" s="3" t="s">
        <v>923</v>
      </c>
      <c r="E2738" s="4">
        <v>6.6000000000000003E-2</v>
      </c>
      <c r="F2738" s="4" t="s">
        <v>176</v>
      </c>
      <c r="G2738" s="9">
        <v>100</v>
      </c>
      <c r="H2738" s="9">
        <f t="shared" si="86"/>
        <v>6.6000000000000005</v>
      </c>
      <c r="I2738" t="s">
        <v>179</v>
      </c>
      <c r="J2738" s="33">
        <v>0</v>
      </c>
      <c r="K2738" s="18">
        <f>VLOOKUP(D2738,Ingredients!C:G,5,0)</f>
        <v>1000</v>
      </c>
      <c r="L2738" s="52">
        <f t="shared" si="85"/>
        <v>66</v>
      </c>
    </row>
    <row r="2739" spans="1:12">
      <c r="A2739" t="s">
        <v>584</v>
      </c>
      <c r="B2739" t="s">
        <v>346</v>
      </c>
      <c r="C2739" t="s">
        <v>454</v>
      </c>
      <c r="D2739" s="3" t="s">
        <v>29</v>
      </c>
      <c r="E2739" s="4">
        <v>7.2000000000000008E-2</v>
      </c>
      <c r="F2739" s="4" t="s">
        <v>176</v>
      </c>
      <c r="G2739" s="9">
        <v>60</v>
      </c>
      <c r="H2739" s="9">
        <f t="shared" si="86"/>
        <v>4.32</v>
      </c>
      <c r="I2739" t="s">
        <v>179</v>
      </c>
      <c r="J2739" s="33">
        <v>0</v>
      </c>
      <c r="K2739" s="18">
        <f>VLOOKUP(D2739,Ingredients!C:G,5,0)</f>
        <v>100</v>
      </c>
      <c r="L2739" s="52">
        <f t="shared" si="85"/>
        <v>7.2000000000000011</v>
      </c>
    </row>
    <row r="2740" spans="1:12">
      <c r="A2740" t="s">
        <v>98</v>
      </c>
      <c r="B2740" t="s">
        <v>345</v>
      </c>
      <c r="C2740" t="s">
        <v>345</v>
      </c>
      <c r="D2740" s="3" t="s">
        <v>98</v>
      </c>
      <c r="E2740" s="10">
        <v>1</v>
      </c>
      <c r="F2740" s="13" t="s">
        <v>176</v>
      </c>
      <c r="G2740" s="9">
        <v>1375</v>
      </c>
      <c r="H2740" s="9">
        <f t="shared" si="86"/>
        <v>1375</v>
      </c>
      <c r="I2740" t="s">
        <v>179</v>
      </c>
      <c r="J2740" s="33">
        <v>0</v>
      </c>
      <c r="K2740" s="18">
        <f>VLOOKUP(D2740,Ingredients!C:G,5,0)</f>
        <v>1300</v>
      </c>
      <c r="L2740" s="52">
        <f t="shared" si="85"/>
        <v>1300</v>
      </c>
    </row>
    <row r="2741" spans="1:12">
      <c r="A2741" t="s">
        <v>585</v>
      </c>
      <c r="B2741" t="s">
        <v>356</v>
      </c>
      <c r="C2741" t="s">
        <v>454</v>
      </c>
      <c r="D2741" s="3" t="s">
        <v>866</v>
      </c>
      <c r="E2741" s="14">
        <v>1</v>
      </c>
      <c r="F2741" s="13" t="s">
        <v>176</v>
      </c>
      <c r="G2741" s="9">
        <v>153.97999999999999</v>
      </c>
      <c r="H2741" s="9">
        <f t="shared" si="86"/>
        <v>153.97999999999999</v>
      </c>
      <c r="I2741" t="s">
        <v>586</v>
      </c>
      <c r="J2741" s="33">
        <v>0</v>
      </c>
      <c r="K2741" s="18">
        <f>VLOOKUP(D2741,Ingredients!C:G,5,0)</f>
        <v>142.13999999999999</v>
      </c>
      <c r="L2741" s="52">
        <f t="shared" si="85"/>
        <v>142.13999999999999</v>
      </c>
    </row>
    <row r="2742" spans="1:12">
      <c r="A2742" t="s">
        <v>585</v>
      </c>
      <c r="B2742" t="s">
        <v>356</v>
      </c>
      <c r="C2742" t="s">
        <v>454</v>
      </c>
      <c r="D2742" s="3" t="s">
        <v>865</v>
      </c>
      <c r="E2742" s="14">
        <v>0.99290780141843993</v>
      </c>
      <c r="F2742" s="13" t="s">
        <v>176</v>
      </c>
      <c r="G2742" s="9">
        <v>1400</v>
      </c>
      <c r="H2742" s="9">
        <f t="shared" si="86"/>
        <v>1390.0709219858159</v>
      </c>
      <c r="I2742" t="s">
        <v>586</v>
      </c>
      <c r="J2742" s="33">
        <v>0</v>
      </c>
      <c r="K2742" s="18">
        <f>VLOOKUP(D2742,Ingredients!C:G,5,0)</f>
        <v>1400</v>
      </c>
      <c r="L2742" s="52">
        <f t="shared" si="85"/>
        <v>1390.0709219858159</v>
      </c>
    </row>
    <row r="2743" spans="1:12">
      <c r="A2743" t="s">
        <v>585</v>
      </c>
      <c r="B2743" t="s">
        <v>356</v>
      </c>
      <c r="C2743" t="s">
        <v>454</v>
      </c>
      <c r="D2743" s="3" t="s">
        <v>853</v>
      </c>
      <c r="E2743" s="14">
        <v>7.0921985815602842E-2</v>
      </c>
      <c r="F2743" s="4" t="s">
        <v>176</v>
      </c>
      <c r="G2743" s="9">
        <v>30</v>
      </c>
      <c r="H2743" s="9">
        <f t="shared" si="86"/>
        <v>2.1276595744680851</v>
      </c>
      <c r="I2743" t="s">
        <v>586</v>
      </c>
      <c r="J2743" s="33">
        <v>0</v>
      </c>
      <c r="K2743" s="18">
        <f>VLOOKUP(D2743,Ingredients!C:G,5,0)</f>
        <v>55</v>
      </c>
      <c r="L2743" s="52">
        <f t="shared" si="85"/>
        <v>3.9007092198581561</v>
      </c>
    </row>
    <row r="2744" spans="1:12">
      <c r="A2744" t="s">
        <v>585</v>
      </c>
      <c r="B2744" t="s">
        <v>356</v>
      </c>
      <c r="C2744" t="s">
        <v>454</v>
      </c>
      <c r="D2744" s="3" t="s">
        <v>920</v>
      </c>
      <c r="E2744" s="14">
        <v>0.10638297872340426</v>
      </c>
      <c r="F2744" s="4" t="s">
        <v>176</v>
      </c>
      <c r="G2744" s="9">
        <v>310</v>
      </c>
      <c r="H2744" s="9">
        <f t="shared" si="86"/>
        <v>32.978723404255319</v>
      </c>
      <c r="I2744" t="s">
        <v>586</v>
      </c>
      <c r="J2744" s="33">
        <v>0</v>
      </c>
      <c r="K2744" s="18">
        <f>VLOOKUP(D2744,Ingredients!C:G,5,0)</f>
        <v>310</v>
      </c>
      <c r="L2744" s="52">
        <f t="shared" si="85"/>
        <v>32.978723404255319</v>
      </c>
    </row>
    <row r="2745" spans="1:12">
      <c r="A2745" t="s">
        <v>585</v>
      </c>
      <c r="B2745" t="s">
        <v>356</v>
      </c>
      <c r="C2745" t="s">
        <v>454</v>
      </c>
      <c r="D2745" s="3" t="s">
        <v>542</v>
      </c>
      <c r="E2745" s="14">
        <v>8.5106382978723416E-2</v>
      </c>
      <c r="F2745" s="4" t="s">
        <v>176</v>
      </c>
      <c r="G2745" s="9">
        <v>1080</v>
      </c>
      <c r="H2745" s="9">
        <f t="shared" si="86"/>
        <v>91.914893617021292</v>
      </c>
      <c r="I2745" t="s">
        <v>586</v>
      </c>
      <c r="J2745" s="33">
        <v>0</v>
      </c>
      <c r="K2745" s="18">
        <f>VLOOKUP(D2745,Ingredients!C:G,5,0)</f>
        <v>850</v>
      </c>
      <c r="L2745" s="52">
        <f t="shared" si="85"/>
        <v>72.340425531914903</v>
      </c>
    </row>
    <row r="2746" spans="1:12">
      <c r="A2746" t="s">
        <v>585</v>
      </c>
      <c r="B2746" t="s">
        <v>356</v>
      </c>
      <c r="C2746" t="s">
        <v>454</v>
      </c>
      <c r="D2746" s="3" t="s">
        <v>231</v>
      </c>
      <c r="E2746" s="14">
        <v>2.4113475177304968</v>
      </c>
      <c r="F2746" s="4" t="s">
        <v>176</v>
      </c>
      <c r="G2746" s="9">
        <v>700</v>
      </c>
      <c r="H2746" s="9">
        <f t="shared" si="86"/>
        <v>1687.9432624113479</v>
      </c>
      <c r="I2746" t="s">
        <v>586</v>
      </c>
      <c r="J2746" s="33">
        <v>0</v>
      </c>
      <c r="K2746" s="18">
        <f>VLOOKUP(D2746,Ingredients!C:G,5,0)</f>
        <v>715</v>
      </c>
      <c r="L2746" s="52">
        <f t="shared" si="85"/>
        <v>1724.1134751773052</v>
      </c>
    </row>
    <row r="2747" spans="1:12">
      <c r="A2747" t="s">
        <v>585</v>
      </c>
      <c r="B2747" t="s">
        <v>356</v>
      </c>
      <c r="C2747" t="s">
        <v>454</v>
      </c>
      <c r="D2747" s="3" t="s">
        <v>851</v>
      </c>
      <c r="E2747" s="14">
        <v>1.2056737588652484</v>
      </c>
      <c r="F2747" s="13" t="s">
        <v>176</v>
      </c>
      <c r="G2747" s="9">
        <v>177</v>
      </c>
      <c r="H2747" s="9">
        <f t="shared" si="86"/>
        <v>213.40425531914897</v>
      </c>
      <c r="I2747" t="s">
        <v>586</v>
      </c>
      <c r="J2747" s="33">
        <v>0</v>
      </c>
      <c r="K2747" s="18">
        <f>VLOOKUP(D2747,Ingredients!C:G,5,0)</f>
        <v>920</v>
      </c>
      <c r="L2747" s="52">
        <f t="shared" si="85"/>
        <v>1109.2198581560285</v>
      </c>
    </row>
    <row r="2748" spans="1:12">
      <c r="A2748" t="s">
        <v>585</v>
      </c>
      <c r="B2748" t="s">
        <v>356</v>
      </c>
      <c r="C2748" t="s">
        <v>454</v>
      </c>
      <c r="D2748" s="3" t="s">
        <v>964</v>
      </c>
      <c r="E2748" s="14">
        <v>0.21276595744680851</v>
      </c>
      <c r="F2748" s="4" t="s">
        <v>176</v>
      </c>
      <c r="G2748" s="9">
        <v>1445</v>
      </c>
      <c r="H2748" s="9">
        <f t="shared" si="86"/>
        <v>307.44680851063828</v>
      </c>
      <c r="I2748" t="s">
        <v>586</v>
      </c>
      <c r="J2748" s="33">
        <v>0</v>
      </c>
      <c r="K2748" s="18">
        <f>VLOOKUP(D2748,Ingredients!C:G,5,0)</f>
        <v>890</v>
      </c>
      <c r="L2748" s="52">
        <f t="shared" si="85"/>
        <v>189.36170212765958</v>
      </c>
    </row>
    <row r="2749" spans="1:12">
      <c r="A2749" t="s">
        <v>589</v>
      </c>
      <c r="B2749" t="s">
        <v>349</v>
      </c>
      <c r="C2749" t="s">
        <v>350</v>
      </c>
      <c r="D2749" s="3" t="s">
        <v>836</v>
      </c>
      <c r="E2749" s="14">
        <v>1</v>
      </c>
      <c r="F2749" s="4" t="s">
        <v>176</v>
      </c>
      <c r="G2749" s="9">
        <v>1957.5</v>
      </c>
      <c r="H2749" s="9">
        <f t="shared" si="86"/>
        <v>1957.5</v>
      </c>
      <c r="I2749" t="s">
        <v>179</v>
      </c>
      <c r="J2749" s="33" t="s">
        <v>504</v>
      </c>
      <c r="K2749" s="18">
        <f>VLOOKUP(D2749,Ingredients!C:G,5,0)</f>
        <v>2200</v>
      </c>
      <c r="L2749" s="52">
        <f t="shared" si="85"/>
        <v>2200</v>
      </c>
    </row>
    <row r="2750" spans="1:12">
      <c r="A2750" t="s">
        <v>589</v>
      </c>
      <c r="B2750" t="s">
        <v>349</v>
      </c>
      <c r="C2750" t="s">
        <v>350</v>
      </c>
      <c r="D2750" s="3" t="s">
        <v>24</v>
      </c>
      <c r="E2750" s="14">
        <v>0.39752650176678445</v>
      </c>
      <c r="F2750" s="4" t="s">
        <v>176</v>
      </c>
      <c r="G2750" s="9">
        <v>55</v>
      </c>
      <c r="H2750" s="9">
        <f t="shared" si="86"/>
        <v>21.863957597173144</v>
      </c>
      <c r="I2750" t="s">
        <v>179</v>
      </c>
      <c r="J2750" s="33" t="s">
        <v>504</v>
      </c>
      <c r="K2750" s="18">
        <f>VLOOKUP(D2750,Ingredients!C:G,5,0)</f>
        <v>80</v>
      </c>
      <c r="L2750" s="52">
        <f t="shared" si="85"/>
        <v>31.802120141342755</v>
      </c>
    </row>
    <row r="2751" spans="1:12">
      <c r="A2751" t="s">
        <v>589</v>
      </c>
      <c r="B2751" t="s">
        <v>349</v>
      </c>
      <c r="C2751" t="s">
        <v>350</v>
      </c>
      <c r="D2751" s="3" t="s">
        <v>16</v>
      </c>
      <c r="E2751" s="14">
        <v>7.4999999999999997E-2</v>
      </c>
      <c r="F2751" s="4" t="s">
        <v>176</v>
      </c>
      <c r="G2751" s="9">
        <v>270</v>
      </c>
      <c r="H2751" s="9">
        <f t="shared" si="86"/>
        <v>20.25</v>
      </c>
      <c r="I2751" t="s">
        <v>179</v>
      </c>
      <c r="J2751" s="33" t="s">
        <v>504</v>
      </c>
      <c r="K2751" s="18">
        <f>VLOOKUP(D2751,Ingredients!C:G,5,0)</f>
        <v>310</v>
      </c>
      <c r="L2751" s="52">
        <f t="shared" si="85"/>
        <v>23.25</v>
      </c>
    </row>
    <row r="2752" spans="1:12">
      <c r="A2752" t="s">
        <v>589</v>
      </c>
      <c r="B2752" t="s">
        <v>349</v>
      </c>
      <c r="C2752" t="s">
        <v>350</v>
      </c>
      <c r="D2752" s="3" t="s">
        <v>887</v>
      </c>
      <c r="E2752" s="14">
        <v>1.2999999999999999E-2</v>
      </c>
      <c r="F2752" s="4" t="s">
        <v>176</v>
      </c>
      <c r="G2752" s="9">
        <v>1600</v>
      </c>
      <c r="H2752" s="9">
        <f t="shared" si="86"/>
        <v>20.8</v>
      </c>
      <c r="I2752" t="s">
        <v>179</v>
      </c>
      <c r="J2752" s="33" t="s">
        <v>504</v>
      </c>
      <c r="K2752" s="18">
        <f>VLOOKUP(D2752,Ingredients!C:G,5,0)</f>
        <v>1830</v>
      </c>
      <c r="L2752" s="52">
        <f t="shared" si="85"/>
        <v>23.79</v>
      </c>
    </row>
    <row r="2753" spans="1:12">
      <c r="A2753" t="s">
        <v>589</v>
      </c>
      <c r="B2753" t="s">
        <v>349</v>
      </c>
      <c r="C2753" t="s">
        <v>350</v>
      </c>
      <c r="D2753" s="3" t="s">
        <v>7</v>
      </c>
      <c r="E2753" s="14">
        <v>0.25</v>
      </c>
      <c r="F2753" s="4" t="s">
        <v>252</v>
      </c>
      <c r="G2753" s="9">
        <v>8</v>
      </c>
      <c r="H2753" s="9">
        <f t="shared" si="86"/>
        <v>2</v>
      </c>
      <c r="I2753" t="s">
        <v>179</v>
      </c>
      <c r="J2753" s="33" t="s">
        <v>504</v>
      </c>
      <c r="K2753" s="18">
        <f>VLOOKUP(D2753,Ingredients!C:G,5,0)</f>
        <v>6</v>
      </c>
      <c r="L2753" s="52">
        <f t="shared" si="85"/>
        <v>1.5</v>
      </c>
    </row>
    <row r="2754" spans="1:12">
      <c r="A2754" t="s">
        <v>589</v>
      </c>
      <c r="B2754" t="s">
        <v>349</v>
      </c>
      <c r="C2754" t="s">
        <v>350</v>
      </c>
      <c r="D2754" s="3" t="s">
        <v>497</v>
      </c>
      <c r="E2754" s="14">
        <v>6.25E-2</v>
      </c>
      <c r="F2754" s="4" t="s">
        <v>176</v>
      </c>
      <c r="G2754" s="9">
        <v>350</v>
      </c>
      <c r="H2754" s="9">
        <f t="shared" si="86"/>
        <v>21.875</v>
      </c>
      <c r="I2754" t="s">
        <v>179</v>
      </c>
      <c r="J2754" s="33" t="s">
        <v>504</v>
      </c>
      <c r="K2754" s="18">
        <f>VLOOKUP(D2754,Ingredients!C:G,5,0)</f>
        <v>400</v>
      </c>
      <c r="L2754" s="52">
        <f t="shared" si="85"/>
        <v>25</v>
      </c>
    </row>
    <row r="2755" spans="1:12">
      <c r="A2755" t="s">
        <v>589</v>
      </c>
      <c r="B2755" t="s">
        <v>349</v>
      </c>
      <c r="C2755" t="s">
        <v>350</v>
      </c>
      <c r="D2755" s="3" t="s">
        <v>882</v>
      </c>
      <c r="E2755" s="14">
        <v>4.8586572438162542E-2</v>
      </c>
      <c r="F2755" s="4" t="s">
        <v>176</v>
      </c>
      <c r="G2755" s="9">
        <v>1500</v>
      </c>
      <c r="H2755" s="9">
        <f t="shared" si="86"/>
        <v>72.879858657243815</v>
      </c>
      <c r="I2755" t="s">
        <v>179</v>
      </c>
      <c r="J2755" s="33" t="s">
        <v>504</v>
      </c>
      <c r="K2755" s="18">
        <f>VLOOKUP(D2755,Ingredients!C:G,5,0)</f>
        <v>1450</v>
      </c>
      <c r="L2755" s="52">
        <f t="shared" si="85"/>
        <v>70.450530035335689</v>
      </c>
    </row>
    <row r="2756" spans="1:12">
      <c r="A2756" t="s">
        <v>589</v>
      </c>
      <c r="B2756" t="s">
        <v>349</v>
      </c>
      <c r="C2756" t="s">
        <v>350</v>
      </c>
      <c r="D2756" s="3" t="s">
        <v>867</v>
      </c>
      <c r="E2756" s="14">
        <v>3.312720848056537E-2</v>
      </c>
      <c r="F2756" s="4" t="s">
        <v>176</v>
      </c>
      <c r="G2756" s="9">
        <v>900</v>
      </c>
      <c r="H2756" s="9">
        <f t="shared" si="86"/>
        <v>29.814487632508833</v>
      </c>
      <c r="I2756" t="s">
        <v>179</v>
      </c>
      <c r="J2756" s="33" t="s">
        <v>504</v>
      </c>
      <c r="K2756" s="18">
        <f>VLOOKUP(D2756,Ingredients!C:G,5,0)</f>
        <v>950</v>
      </c>
      <c r="L2756" s="52">
        <f t="shared" ref="L2756:L2819" si="87">K2756*E2756</f>
        <v>31.4708480565371</v>
      </c>
    </row>
    <row r="2757" spans="1:12">
      <c r="A2757" t="s">
        <v>589</v>
      </c>
      <c r="B2757" t="s">
        <v>349</v>
      </c>
      <c r="C2757" t="s">
        <v>350</v>
      </c>
      <c r="D2757" s="3" t="s">
        <v>28</v>
      </c>
      <c r="E2757" s="14">
        <v>0.15</v>
      </c>
      <c r="F2757" s="4" t="s">
        <v>176</v>
      </c>
      <c r="G2757" s="9">
        <v>85</v>
      </c>
      <c r="H2757" s="9">
        <f t="shared" si="86"/>
        <v>12.75</v>
      </c>
      <c r="I2757" t="s">
        <v>179</v>
      </c>
      <c r="J2757" s="33" t="s">
        <v>504</v>
      </c>
      <c r="K2757" s="18">
        <f>VLOOKUP(D2757,Ingredients!C:G,5,0)</f>
        <v>70</v>
      </c>
      <c r="L2757" s="52">
        <f t="shared" si="87"/>
        <v>10.5</v>
      </c>
    </row>
    <row r="2758" spans="1:12">
      <c r="A2758" t="s">
        <v>589</v>
      </c>
      <c r="B2758" t="s">
        <v>349</v>
      </c>
      <c r="C2758" t="s">
        <v>350</v>
      </c>
      <c r="D2758" s="3" t="s">
        <v>849</v>
      </c>
      <c r="E2758" s="14">
        <v>1.2999999999999999E-2</v>
      </c>
      <c r="F2758" s="4" t="s">
        <v>176</v>
      </c>
      <c r="G2758" s="9">
        <v>1000</v>
      </c>
      <c r="H2758" s="9">
        <f t="shared" si="86"/>
        <v>13</v>
      </c>
      <c r="I2758" t="s">
        <v>179</v>
      </c>
      <c r="J2758" s="33" t="s">
        <v>504</v>
      </c>
      <c r="K2758" s="18">
        <f>VLOOKUP(D2758,Ingredients!C:G,5,0)</f>
        <v>950</v>
      </c>
      <c r="L2758" s="52">
        <f t="shared" si="87"/>
        <v>12.35</v>
      </c>
    </row>
    <row r="2759" spans="1:12">
      <c r="A2759" t="s">
        <v>589</v>
      </c>
      <c r="B2759" t="s">
        <v>349</v>
      </c>
      <c r="C2759" t="s">
        <v>350</v>
      </c>
      <c r="D2759" s="3" t="s">
        <v>860</v>
      </c>
      <c r="E2759" s="14">
        <v>1.2999999999999999E-2</v>
      </c>
      <c r="F2759" s="4" t="s">
        <v>176</v>
      </c>
      <c r="G2759" s="9">
        <v>2000</v>
      </c>
      <c r="H2759" s="9">
        <f t="shared" si="86"/>
        <v>26</v>
      </c>
      <c r="I2759" t="s">
        <v>179</v>
      </c>
      <c r="J2759" s="33" t="s">
        <v>504</v>
      </c>
      <c r="K2759" s="18">
        <f>VLOOKUP(D2759,Ingredients!C:G,5,0)</f>
        <v>1900</v>
      </c>
      <c r="L2759" s="52">
        <f t="shared" si="87"/>
        <v>24.7</v>
      </c>
    </row>
    <row r="2760" spans="1:12">
      <c r="A2760" t="s">
        <v>590</v>
      </c>
      <c r="B2760" t="s">
        <v>356</v>
      </c>
      <c r="C2760" t="s">
        <v>356</v>
      </c>
      <c r="D2760" s="3" t="s">
        <v>913</v>
      </c>
      <c r="E2760" s="4">
        <v>2</v>
      </c>
      <c r="F2760" s="4" t="s">
        <v>317</v>
      </c>
      <c r="G2760" s="9">
        <v>229.16666666666666</v>
      </c>
      <c r="H2760" s="9">
        <f t="shared" si="86"/>
        <v>458.33333333333331</v>
      </c>
      <c r="I2760" t="s">
        <v>179</v>
      </c>
      <c r="J2760" s="33">
        <v>0</v>
      </c>
      <c r="K2760" s="18">
        <f>VLOOKUP(D2760,Ingredients!C:F,3,0)</f>
        <v>343.75</v>
      </c>
      <c r="L2760" s="52">
        <f t="shared" si="87"/>
        <v>687.5</v>
      </c>
    </row>
    <row r="2761" spans="1:12">
      <c r="A2761" t="s">
        <v>590</v>
      </c>
      <c r="B2761" t="s">
        <v>356</v>
      </c>
      <c r="C2761" t="s">
        <v>356</v>
      </c>
      <c r="D2761" s="3" t="s">
        <v>310</v>
      </c>
      <c r="E2761" s="4">
        <v>0.05</v>
      </c>
      <c r="F2761" s="4" t="s">
        <v>176</v>
      </c>
      <c r="G2761" s="9">
        <v>425</v>
      </c>
      <c r="H2761" s="9">
        <f t="shared" si="86"/>
        <v>21.25</v>
      </c>
      <c r="I2761" t="s">
        <v>179</v>
      </c>
      <c r="J2761" s="33">
        <v>0</v>
      </c>
      <c r="K2761" s="18">
        <f>VLOOKUP(D2761,Ingredients!C:G,5,0)</f>
        <v>850</v>
      </c>
      <c r="L2761" s="52">
        <f t="shared" si="87"/>
        <v>42.5</v>
      </c>
    </row>
    <row r="2762" spans="1:12">
      <c r="A2762" t="s">
        <v>590</v>
      </c>
      <c r="B2762" t="s">
        <v>356</v>
      </c>
      <c r="C2762" t="s">
        <v>356</v>
      </c>
      <c r="D2762" s="3" t="s">
        <v>835</v>
      </c>
      <c r="E2762" s="4">
        <v>0.03</v>
      </c>
      <c r="F2762" s="4" t="s">
        <v>176</v>
      </c>
      <c r="G2762" s="9">
        <v>389.34</v>
      </c>
      <c r="H2762" s="9">
        <f t="shared" si="86"/>
        <v>11.680199999999999</v>
      </c>
      <c r="I2762" t="s">
        <v>179</v>
      </c>
      <c r="J2762" s="33">
        <v>0</v>
      </c>
      <c r="K2762" s="18">
        <f>VLOOKUP(D2762,Ingredients!C:G,5,0)</f>
        <v>394.63</v>
      </c>
      <c r="L2762" s="52">
        <f t="shared" si="87"/>
        <v>11.838899999999999</v>
      </c>
    </row>
    <row r="2763" spans="1:12">
      <c r="A2763" t="s">
        <v>590</v>
      </c>
      <c r="B2763" t="s">
        <v>356</v>
      </c>
      <c r="C2763" t="s">
        <v>356</v>
      </c>
      <c r="D2763" s="3" t="s">
        <v>830</v>
      </c>
      <c r="E2763" s="4">
        <v>0.4</v>
      </c>
      <c r="F2763" s="4" t="s">
        <v>176</v>
      </c>
      <c r="G2763" s="9">
        <v>149</v>
      </c>
      <c r="H2763" s="9">
        <f t="shared" si="86"/>
        <v>59.6</v>
      </c>
      <c r="I2763" t="s">
        <v>179</v>
      </c>
      <c r="J2763" s="33">
        <v>0</v>
      </c>
      <c r="K2763" s="18">
        <f>VLOOKUP(D2763,Ingredients!C:G,5,0)</f>
        <v>123</v>
      </c>
      <c r="L2763" s="52">
        <f t="shared" si="87"/>
        <v>49.2</v>
      </c>
    </row>
    <row r="2764" spans="1:12">
      <c r="A2764" t="s">
        <v>590</v>
      </c>
      <c r="B2764" t="s">
        <v>356</v>
      </c>
      <c r="C2764" t="s">
        <v>356</v>
      </c>
      <c r="D2764" s="3" t="s">
        <v>913</v>
      </c>
      <c r="E2764" s="4">
        <v>1</v>
      </c>
      <c r="F2764" s="4" t="s">
        <v>317</v>
      </c>
      <c r="G2764" s="9">
        <v>229.16666666666666</v>
      </c>
      <c r="H2764" s="9">
        <f t="shared" si="86"/>
        <v>229.16666666666666</v>
      </c>
      <c r="I2764" t="s">
        <v>179</v>
      </c>
      <c r="J2764" s="33">
        <v>0</v>
      </c>
      <c r="K2764" s="18">
        <f>VLOOKUP(D2764,Ingredients!C:F,3,0)</f>
        <v>343.75</v>
      </c>
      <c r="L2764" s="52">
        <f t="shared" si="87"/>
        <v>343.75</v>
      </c>
    </row>
    <row r="2765" spans="1:12">
      <c r="A2765" t="s">
        <v>590</v>
      </c>
      <c r="B2765" t="s">
        <v>356</v>
      </c>
      <c r="C2765" t="s">
        <v>356</v>
      </c>
      <c r="D2765" s="3" t="s">
        <v>915</v>
      </c>
      <c r="E2765" s="4">
        <v>0.03</v>
      </c>
      <c r="F2765" s="4" t="s">
        <v>176</v>
      </c>
      <c r="G2765" s="9">
        <v>5000</v>
      </c>
      <c r="H2765" s="9">
        <f t="shared" si="86"/>
        <v>150</v>
      </c>
      <c r="I2765" t="s">
        <v>179</v>
      </c>
      <c r="J2765" s="33">
        <v>0</v>
      </c>
      <c r="K2765" s="18">
        <f>VLOOKUP(D2765,Ingredients!C:G,5,0)</f>
        <v>3200</v>
      </c>
      <c r="L2765" s="52">
        <f t="shared" si="87"/>
        <v>96</v>
      </c>
    </row>
    <row r="2766" spans="1:12">
      <c r="A2766" t="s">
        <v>590</v>
      </c>
      <c r="B2766" t="s">
        <v>356</v>
      </c>
      <c r="C2766" t="s">
        <v>356</v>
      </c>
      <c r="D2766" s="3" t="s">
        <v>830</v>
      </c>
      <c r="E2766" s="4">
        <v>0.3</v>
      </c>
      <c r="F2766" s="4" t="s">
        <v>176</v>
      </c>
      <c r="G2766" s="9">
        <v>149</v>
      </c>
      <c r="H2766" s="9">
        <f t="shared" si="86"/>
        <v>44.699999999999996</v>
      </c>
      <c r="I2766" t="s">
        <v>179</v>
      </c>
      <c r="J2766" s="33">
        <v>0</v>
      </c>
      <c r="K2766" s="18">
        <f>VLOOKUP(D2766,Ingredients!C:G,5,0)</f>
        <v>123</v>
      </c>
      <c r="L2766" s="52">
        <f t="shared" si="87"/>
        <v>36.9</v>
      </c>
    </row>
    <row r="2767" spans="1:12">
      <c r="A2767" t="s">
        <v>590</v>
      </c>
      <c r="B2767" t="s">
        <v>356</v>
      </c>
      <c r="C2767" t="s">
        <v>356</v>
      </c>
      <c r="D2767" s="3" t="s">
        <v>916</v>
      </c>
      <c r="E2767" s="4">
        <v>2.5000000000000001E-2</v>
      </c>
      <c r="F2767" s="4" t="s">
        <v>176</v>
      </c>
      <c r="G2767" s="9">
        <v>6500</v>
      </c>
      <c r="H2767" s="9">
        <f t="shared" si="86"/>
        <v>162.5</v>
      </c>
      <c r="I2767" t="s">
        <v>179</v>
      </c>
      <c r="J2767" s="33">
        <v>0</v>
      </c>
      <c r="K2767" s="18">
        <f>VLOOKUP(D2767,Ingredients!C:G,5,0)</f>
        <v>6200</v>
      </c>
      <c r="L2767" s="52">
        <f t="shared" si="87"/>
        <v>155</v>
      </c>
    </row>
    <row r="2768" spans="1:12">
      <c r="A2768" t="s">
        <v>591</v>
      </c>
      <c r="B2768" t="s">
        <v>356</v>
      </c>
      <c r="C2768" t="s">
        <v>454</v>
      </c>
      <c r="D2768" s="3" t="s">
        <v>904</v>
      </c>
      <c r="E2768" s="14">
        <v>7.1428571428571435E-3</v>
      </c>
      <c r="F2768" s="4" t="s">
        <v>176</v>
      </c>
      <c r="G2768" s="9">
        <v>1260</v>
      </c>
      <c r="H2768" s="9">
        <f t="shared" si="86"/>
        <v>9</v>
      </c>
      <c r="I2768" t="s">
        <v>253</v>
      </c>
      <c r="J2768" s="33">
        <v>0</v>
      </c>
      <c r="K2768" s="18">
        <f>VLOOKUP(D2768,Ingredients!C:G,5,0)</f>
        <v>1280</v>
      </c>
      <c r="L2768" s="52">
        <f t="shared" si="87"/>
        <v>9.1428571428571441</v>
      </c>
    </row>
    <row r="2769" spans="1:12">
      <c r="A2769" t="s">
        <v>591</v>
      </c>
      <c r="B2769" t="s">
        <v>356</v>
      </c>
      <c r="C2769" t="s">
        <v>454</v>
      </c>
      <c r="D2769" s="3" t="s">
        <v>866</v>
      </c>
      <c r="E2769" s="14">
        <v>4.2857142857142859E-3</v>
      </c>
      <c r="F2769" s="4" t="s">
        <v>176</v>
      </c>
      <c r="G2769" s="9">
        <v>153.97999999999999</v>
      </c>
      <c r="H2769" s="9">
        <f t="shared" si="86"/>
        <v>0.65991428571428568</v>
      </c>
      <c r="I2769" t="s">
        <v>253</v>
      </c>
      <c r="J2769" s="33">
        <v>0</v>
      </c>
      <c r="K2769" s="18">
        <f>VLOOKUP(D2769,Ingredients!C:G,5,0)</f>
        <v>142.13999999999999</v>
      </c>
      <c r="L2769" s="52">
        <f t="shared" si="87"/>
        <v>0.60917142857142859</v>
      </c>
    </row>
    <row r="2770" spans="1:12">
      <c r="A2770" t="s">
        <v>591</v>
      </c>
      <c r="B2770" t="s">
        <v>356</v>
      </c>
      <c r="C2770" t="s">
        <v>454</v>
      </c>
      <c r="D2770" s="3" t="s">
        <v>961</v>
      </c>
      <c r="E2770" s="14">
        <v>5.7142857142857147E-4</v>
      </c>
      <c r="F2770" s="4" t="s">
        <v>176</v>
      </c>
      <c r="G2770" s="9">
        <v>1100</v>
      </c>
      <c r="H2770" s="9">
        <f t="shared" si="86"/>
        <v>0.62857142857142867</v>
      </c>
      <c r="I2770" t="s">
        <v>253</v>
      </c>
      <c r="J2770" s="33">
        <v>0</v>
      </c>
      <c r="K2770" s="18">
        <f>VLOOKUP(D2770,Ingredients!C:F,3,0)</f>
        <v>110</v>
      </c>
      <c r="L2770" s="52">
        <f t="shared" si="87"/>
        <v>6.2857142857142861E-2</v>
      </c>
    </row>
    <row r="2771" spans="1:12">
      <c r="A2771" t="s">
        <v>591</v>
      </c>
      <c r="B2771" t="s">
        <v>356</v>
      </c>
      <c r="C2771" t="s">
        <v>454</v>
      </c>
      <c r="D2771" s="3" t="s">
        <v>852</v>
      </c>
      <c r="E2771" s="14">
        <v>4.2857142857142859E-3</v>
      </c>
      <c r="F2771" s="4" t="s">
        <v>176</v>
      </c>
      <c r="G2771" s="9">
        <v>520.63</v>
      </c>
      <c r="H2771" s="9">
        <f t="shared" si="86"/>
        <v>2.2312714285714286</v>
      </c>
      <c r="I2771" t="s">
        <v>253</v>
      </c>
      <c r="J2771" s="33">
        <v>0</v>
      </c>
      <c r="K2771" s="18">
        <v>550</v>
      </c>
      <c r="L2771" s="52">
        <f t="shared" si="87"/>
        <v>2.3571428571428572</v>
      </c>
    </row>
    <row r="2772" spans="1:12">
      <c r="A2772" t="s">
        <v>591</v>
      </c>
      <c r="B2772" t="s">
        <v>356</v>
      </c>
      <c r="C2772" t="s">
        <v>454</v>
      </c>
      <c r="D2772" s="3" t="s">
        <v>913</v>
      </c>
      <c r="E2772" s="14">
        <v>1.0714285714285715E-3</v>
      </c>
      <c r="F2772" s="4" t="s">
        <v>176</v>
      </c>
      <c r="G2772" s="9">
        <v>229.16666666666666</v>
      </c>
      <c r="H2772" s="9">
        <f t="shared" si="86"/>
        <v>0.2455357142857143</v>
      </c>
      <c r="I2772" t="s">
        <v>253</v>
      </c>
      <c r="J2772" s="33">
        <v>0</v>
      </c>
      <c r="K2772" s="18">
        <f>VLOOKUP(D2772,Ingredients!C:F,3,0)</f>
        <v>343.75</v>
      </c>
      <c r="L2772" s="52">
        <f t="shared" si="87"/>
        <v>0.36830357142857145</v>
      </c>
    </row>
    <row r="2773" spans="1:12">
      <c r="A2773" t="s">
        <v>591</v>
      </c>
      <c r="B2773" t="s">
        <v>356</v>
      </c>
      <c r="C2773" t="s">
        <v>454</v>
      </c>
      <c r="D2773" s="3" t="s">
        <v>915</v>
      </c>
      <c r="E2773" s="14">
        <v>7.1428571428571429E-4</v>
      </c>
      <c r="F2773" s="4" t="s">
        <v>176</v>
      </c>
      <c r="G2773" s="9">
        <v>5000</v>
      </c>
      <c r="H2773" s="9">
        <f t="shared" si="86"/>
        <v>3.5714285714285716</v>
      </c>
      <c r="I2773" t="s">
        <v>253</v>
      </c>
      <c r="J2773" s="33">
        <v>0</v>
      </c>
      <c r="K2773" s="18">
        <f>VLOOKUP(D2773,Ingredients!C:G,5,0)</f>
        <v>3200</v>
      </c>
      <c r="L2773" s="52">
        <f t="shared" si="87"/>
        <v>2.2857142857142856</v>
      </c>
    </row>
    <row r="2774" spans="1:12">
      <c r="A2774" t="s">
        <v>591</v>
      </c>
      <c r="B2774" t="s">
        <v>356</v>
      </c>
      <c r="C2774" t="s">
        <v>454</v>
      </c>
      <c r="D2774" s="3" t="s">
        <v>127</v>
      </c>
      <c r="E2774" s="14">
        <v>1.4285714285714287E-4</v>
      </c>
      <c r="F2774" s="4" t="s">
        <v>176</v>
      </c>
      <c r="G2774" s="9">
        <v>280</v>
      </c>
      <c r="H2774" s="9">
        <f t="shared" si="86"/>
        <v>0.04</v>
      </c>
      <c r="I2774" t="s">
        <v>253</v>
      </c>
      <c r="J2774" s="33">
        <v>0</v>
      </c>
      <c r="K2774" s="18">
        <f>VLOOKUP(D2774,Ingredients!C:G,5,0)</f>
        <v>14870</v>
      </c>
      <c r="L2774" s="52">
        <f t="shared" si="87"/>
        <v>2.1242857142857146</v>
      </c>
    </row>
    <row r="2775" spans="1:12">
      <c r="A2775" t="s">
        <v>591</v>
      </c>
      <c r="B2775" t="s">
        <v>356</v>
      </c>
      <c r="C2775" t="s">
        <v>454</v>
      </c>
      <c r="D2775" s="3" t="s">
        <v>310</v>
      </c>
      <c r="E2775" s="14">
        <v>1.0714285714285715E-3</v>
      </c>
      <c r="F2775" s="4" t="s">
        <v>176</v>
      </c>
      <c r="G2775" s="9">
        <v>425</v>
      </c>
      <c r="H2775" s="9">
        <f t="shared" si="86"/>
        <v>0.4553571428571429</v>
      </c>
      <c r="I2775" t="s">
        <v>253</v>
      </c>
      <c r="J2775" s="33">
        <v>0</v>
      </c>
      <c r="K2775" s="18">
        <f>VLOOKUP(D2775,Ingredients!C:G,5,0)</f>
        <v>850</v>
      </c>
      <c r="L2775" s="52">
        <f t="shared" si="87"/>
        <v>0.91071428571428581</v>
      </c>
    </row>
    <row r="2776" spans="1:12">
      <c r="A2776" t="s">
        <v>595</v>
      </c>
      <c r="B2776" t="s">
        <v>349</v>
      </c>
      <c r="C2776" t="s">
        <v>353</v>
      </c>
      <c r="D2776" s="3" t="s">
        <v>831</v>
      </c>
      <c r="E2776" s="4">
        <v>1</v>
      </c>
      <c r="F2776" s="13" t="s">
        <v>176</v>
      </c>
      <c r="G2776" s="9">
        <v>908</v>
      </c>
      <c r="H2776" s="9">
        <f t="shared" si="86"/>
        <v>908</v>
      </c>
      <c r="I2776" t="s">
        <v>179</v>
      </c>
      <c r="J2776" s="33" t="s">
        <v>489</v>
      </c>
      <c r="K2776" s="18">
        <f>VLOOKUP(D2776,Ingredients!C:G,5,0)</f>
        <v>908</v>
      </c>
      <c r="L2776" s="52">
        <f t="shared" si="87"/>
        <v>908</v>
      </c>
    </row>
    <row r="2777" spans="1:12">
      <c r="A2777" t="s">
        <v>595</v>
      </c>
      <c r="B2777" t="s">
        <v>349</v>
      </c>
      <c r="C2777" t="s">
        <v>353</v>
      </c>
      <c r="D2777" s="3" t="s">
        <v>95</v>
      </c>
      <c r="E2777" s="4">
        <v>0.16</v>
      </c>
      <c r="F2777" s="13" t="s">
        <v>176</v>
      </c>
      <c r="G2777" s="9">
        <v>140</v>
      </c>
      <c r="H2777" s="9">
        <f t="shared" si="86"/>
        <v>22.400000000000002</v>
      </c>
      <c r="I2777" t="s">
        <v>179</v>
      </c>
      <c r="J2777" s="33" t="s">
        <v>489</v>
      </c>
      <c r="K2777" s="18">
        <f>VLOOKUP(D2777,Ingredients!C:G,5,0)</f>
        <v>90</v>
      </c>
      <c r="L2777" s="52">
        <f t="shared" si="87"/>
        <v>14.4</v>
      </c>
    </row>
    <row r="2778" spans="1:12">
      <c r="A2778" t="s">
        <v>595</v>
      </c>
      <c r="B2778" t="s">
        <v>349</v>
      </c>
      <c r="C2778" t="s">
        <v>353</v>
      </c>
      <c r="D2778" s="3" t="s">
        <v>96</v>
      </c>
      <c r="E2778" s="4">
        <v>0.16</v>
      </c>
      <c r="F2778" s="13" t="s">
        <v>176</v>
      </c>
      <c r="G2778" s="9">
        <v>160</v>
      </c>
      <c r="H2778" s="9">
        <f t="shared" si="86"/>
        <v>25.6</v>
      </c>
      <c r="I2778" t="s">
        <v>179</v>
      </c>
      <c r="J2778" s="33" t="s">
        <v>489</v>
      </c>
      <c r="K2778" s="18">
        <f>VLOOKUP(D2778,Ingredients!C:G,5,0)</f>
        <v>120</v>
      </c>
      <c r="L2778" s="52">
        <f t="shared" si="87"/>
        <v>19.2</v>
      </c>
    </row>
    <row r="2779" spans="1:12">
      <c r="A2779" t="s">
        <v>595</v>
      </c>
      <c r="B2779" t="s">
        <v>349</v>
      </c>
      <c r="C2779" t="s">
        <v>353</v>
      </c>
      <c r="D2779" s="3" t="s">
        <v>24</v>
      </c>
      <c r="E2779" s="4">
        <v>0.16</v>
      </c>
      <c r="F2779" s="13" t="s">
        <v>176</v>
      </c>
      <c r="G2779" s="9">
        <v>55</v>
      </c>
      <c r="H2779" s="9">
        <f t="shared" si="86"/>
        <v>8.8000000000000007</v>
      </c>
      <c r="I2779" t="s">
        <v>179</v>
      </c>
      <c r="J2779" s="33" t="s">
        <v>489</v>
      </c>
      <c r="K2779" s="18">
        <f>VLOOKUP(D2779,Ingredients!C:G,5,0)</f>
        <v>80</v>
      </c>
      <c r="L2779" s="52">
        <f t="shared" si="87"/>
        <v>12.8</v>
      </c>
    </row>
    <row r="2780" spans="1:12">
      <c r="A2780" t="s">
        <v>595</v>
      </c>
      <c r="B2780" t="s">
        <v>349</v>
      </c>
      <c r="C2780" t="s">
        <v>353</v>
      </c>
      <c r="D2780" s="3" t="s">
        <v>16</v>
      </c>
      <c r="E2780" s="4">
        <v>0.03</v>
      </c>
      <c r="F2780" s="13" t="s">
        <v>176</v>
      </c>
      <c r="G2780" s="9">
        <v>270</v>
      </c>
      <c r="H2780" s="9">
        <f t="shared" si="86"/>
        <v>8.1</v>
      </c>
      <c r="I2780" t="s">
        <v>179</v>
      </c>
      <c r="J2780" s="33" t="s">
        <v>489</v>
      </c>
      <c r="K2780" s="18">
        <f>VLOOKUP(D2780,Ingredients!C:G,5,0)</f>
        <v>310</v>
      </c>
      <c r="L2780" s="52">
        <f t="shared" si="87"/>
        <v>9.2999999999999989</v>
      </c>
    </row>
    <row r="2781" spans="1:12">
      <c r="A2781" t="s">
        <v>595</v>
      </c>
      <c r="B2781" t="s">
        <v>349</v>
      </c>
      <c r="C2781" t="s">
        <v>353</v>
      </c>
      <c r="D2781" s="3" t="s">
        <v>29</v>
      </c>
      <c r="E2781" s="4">
        <v>0.16</v>
      </c>
      <c r="F2781" s="13" t="s">
        <v>176</v>
      </c>
      <c r="G2781" s="9">
        <v>60</v>
      </c>
      <c r="H2781" s="9">
        <f t="shared" si="86"/>
        <v>9.6</v>
      </c>
      <c r="I2781" t="s">
        <v>179</v>
      </c>
      <c r="J2781" s="33" t="s">
        <v>489</v>
      </c>
      <c r="K2781" s="18">
        <f>VLOOKUP(D2781,Ingredients!C:G,5,0)</f>
        <v>100</v>
      </c>
      <c r="L2781" s="52">
        <f t="shared" si="87"/>
        <v>16</v>
      </c>
    </row>
    <row r="2782" spans="1:12">
      <c r="A2782" t="s">
        <v>595</v>
      </c>
      <c r="B2782" t="s">
        <v>349</v>
      </c>
      <c r="C2782" t="s">
        <v>353</v>
      </c>
      <c r="D2782" s="3" t="s">
        <v>883</v>
      </c>
      <c r="E2782" s="4">
        <v>0.06</v>
      </c>
      <c r="F2782" s="13" t="s">
        <v>176</v>
      </c>
      <c r="G2782" s="9">
        <v>950</v>
      </c>
      <c r="H2782" s="9">
        <f t="shared" si="86"/>
        <v>57</v>
      </c>
      <c r="I2782" t="s">
        <v>179</v>
      </c>
      <c r="J2782" s="33" t="s">
        <v>489</v>
      </c>
      <c r="K2782" s="18">
        <f>VLOOKUP(D2782,Ingredients!C:G,5,0)</f>
        <v>313</v>
      </c>
      <c r="L2782" s="52">
        <f t="shared" si="87"/>
        <v>18.779999999999998</v>
      </c>
    </row>
    <row r="2783" spans="1:12">
      <c r="A2783" t="s">
        <v>595</v>
      </c>
      <c r="B2783" t="s">
        <v>349</v>
      </c>
      <c r="C2783" t="s">
        <v>353</v>
      </c>
      <c r="D2783" s="3" t="s">
        <v>310</v>
      </c>
      <c r="E2783" s="4">
        <v>0.06</v>
      </c>
      <c r="F2783" s="13" t="s">
        <v>176</v>
      </c>
      <c r="G2783" s="9">
        <v>425</v>
      </c>
      <c r="H2783" s="9">
        <f t="shared" si="86"/>
        <v>25.5</v>
      </c>
      <c r="I2783" t="s">
        <v>179</v>
      </c>
      <c r="J2783" s="33" t="s">
        <v>489</v>
      </c>
      <c r="K2783" s="18">
        <f>VLOOKUP(D2783,Ingredients!C:G,5,0)</f>
        <v>850</v>
      </c>
      <c r="L2783" s="52">
        <f t="shared" si="87"/>
        <v>51</v>
      </c>
    </row>
    <row r="2784" spans="1:12">
      <c r="A2784" t="s">
        <v>595</v>
      </c>
      <c r="B2784" t="s">
        <v>349</v>
      </c>
      <c r="C2784" t="s">
        <v>353</v>
      </c>
      <c r="D2784" s="3" t="s">
        <v>882</v>
      </c>
      <c r="E2784" s="4">
        <v>0.03</v>
      </c>
      <c r="F2784" s="13" t="s">
        <v>176</v>
      </c>
      <c r="G2784" s="9">
        <v>1500</v>
      </c>
      <c r="H2784" s="9">
        <f t="shared" si="86"/>
        <v>45</v>
      </c>
      <c r="I2784" t="s">
        <v>179</v>
      </c>
      <c r="J2784" s="33" t="s">
        <v>489</v>
      </c>
      <c r="K2784" s="18">
        <f>VLOOKUP(D2784,Ingredients!C:G,5,0)</f>
        <v>1450</v>
      </c>
      <c r="L2784" s="52">
        <f t="shared" si="87"/>
        <v>43.5</v>
      </c>
    </row>
    <row r="2785" spans="1:12">
      <c r="A2785" t="s">
        <v>595</v>
      </c>
      <c r="B2785" t="s">
        <v>349</v>
      </c>
      <c r="C2785" t="s">
        <v>353</v>
      </c>
      <c r="D2785" s="3" t="s">
        <v>867</v>
      </c>
      <c r="E2785" s="4">
        <v>0.03</v>
      </c>
      <c r="F2785" s="13" t="s">
        <v>176</v>
      </c>
      <c r="G2785" s="9">
        <v>900</v>
      </c>
      <c r="H2785" s="9">
        <f t="shared" si="86"/>
        <v>27</v>
      </c>
      <c r="I2785" t="s">
        <v>179</v>
      </c>
      <c r="J2785" s="33" t="s">
        <v>489</v>
      </c>
      <c r="K2785" s="18">
        <f>VLOOKUP(D2785,Ingredients!C:G,5,0)</f>
        <v>950</v>
      </c>
      <c r="L2785" s="52">
        <f t="shared" si="87"/>
        <v>28.5</v>
      </c>
    </row>
    <row r="2786" spans="1:12">
      <c r="A2786" t="s">
        <v>595</v>
      </c>
      <c r="B2786" t="s">
        <v>349</v>
      </c>
      <c r="C2786" t="s">
        <v>353</v>
      </c>
      <c r="D2786" s="3" t="s">
        <v>855</v>
      </c>
      <c r="E2786" s="4">
        <v>1.6E-2</v>
      </c>
      <c r="F2786" s="13" t="s">
        <v>176</v>
      </c>
      <c r="G2786" s="9">
        <v>2400</v>
      </c>
      <c r="H2786" s="9">
        <f t="shared" si="86"/>
        <v>38.4</v>
      </c>
      <c r="I2786" t="s">
        <v>179</v>
      </c>
      <c r="J2786" s="33" t="s">
        <v>489</v>
      </c>
      <c r="K2786" s="18">
        <f>VLOOKUP(D2786,Ingredients!C:G,5,0)</f>
        <v>1600</v>
      </c>
      <c r="L2786" s="52">
        <f t="shared" si="87"/>
        <v>25.6</v>
      </c>
    </row>
    <row r="2787" spans="1:12">
      <c r="A2787" t="s">
        <v>595</v>
      </c>
      <c r="B2787" t="s">
        <v>349</v>
      </c>
      <c r="C2787" t="s">
        <v>353</v>
      </c>
      <c r="D2787" s="3" t="s">
        <v>879</v>
      </c>
      <c r="E2787" s="4">
        <v>1.6E-2</v>
      </c>
      <c r="F2787" s="13" t="s">
        <v>176</v>
      </c>
      <c r="G2787" s="9">
        <v>1113.51</v>
      </c>
      <c r="H2787" s="9">
        <f t="shared" si="86"/>
        <v>17.81616</v>
      </c>
      <c r="I2787" t="s">
        <v>179</v>
      </c>
      <c r="J2787" s="33" t="s">
        <v>489</v>
      </c>
      <c r="K2787" s="18">
        <f>VLOOKUP(D2787,Ingredients!C:G,5,0)</f>
        <v>1066.33</v>
      </c>
      <c r="L2787" s="52">
        <f t="shared" si="87"/>
        <v>17.06128</v>
      </c>
    </row>
    <row r="2788" spans="1:12">
      <c r="A2788" t="s">
        <v>595</v>
      </c>
      <c r="B2788" t="s">
        <v>349</v>
      </c>
      <c r="C2788" t="s">
        <v>353</v>
      </c>
      <c r="D2788" s="3" t="s">
        <v>965</v>
      </c>
      <c r="E2788" s="4">
        <v>0.06</v>
      </c>
      <c r="F2788" s="13" t="s">
        <v>176</v>
      </c>
      <c r="G2788" s="9">
        <v>302.49</v>
      </c>
      <c r="H2788" s="9">
        <f t="shared" si="86"/>
        <v>18.1494</v>
      </c>
      <c r="I2788" t="s">
        <v>179</v>
      </c>
      <c r="J2788" s="33" t="s">
        <v>489</v>
      </c>
      <c r="K2788" s="18">
        <f>VLOOKUP(D2788,Ingredients!C:G,5,0)</f>
        <v>302</v>
      </c>
      <c r="L2788" s="52">
        <f t="shared" si="87"/>
        <v>18.12</v>
      </c>
    </row>
    <row r="2789" spans="1:12">
      <c r="A2789" t="s">
        <v>595</v>
      </c>
      <c r="B2789" t="s">
        <v>349</v>
      </c>
      <c r="C2789" t="s">
        <v>353</v>
      </c>
      <c r="D2789" s="3" t="s">
        <v>853</v>
      </c>
      <c r="E2789" s="4">
        <v>0.03</v>
      </c>
      <c r="F2789" s="13" t="s">
        <v>176</v>
      </c>
      <c r="G2789" s="9">
        <v>30</v>
      </c>
      <c r="H2789" s="9">
        <f t="shared" si="86"/>
        <v>0.89999999999999991</v>
      </c>
      <c r="I2789" t="s">
        <v>179</v>
      </c>
      <c r="J2789" s="33" t="s">
        <v>489</v>
      </c>
      <c r="K2789" s="18">
        <f>VLOOKUP(D2789,Ingredients!C:G,5,0)</f>
        <v>55</v>
      </c>
      <c r="L2789" s="52">
        <f t="shared" si="87"/>
        <v>1.65</v>
      </c>
    </row>
    <row r="2790" spans="1:12">
      <c r="A2790" t="s">
        <v>595</v>
      </c>
      <c r="B2790" t="s">
        <v>349</v>
      </c>
      <c r="C2790" t="s">
        <v>353</v>
      </c>
      <c r="D2790" s="3" t="s">
        <v>884</v>
      </c>
      <c r="E2790" s="4">
        <v>1</v>
      </c>
      <c r="F2790" s="13" t="s">
        <v>176</v>
      </c>
      <c r="G2790" s="9">
        <v>344</v>
      </c>
      <c r="H2790" s="9">
        <f t="shared" si="86"/>
        <v>344</v>
      </c>
      <c r="I2790" t="s">
        <v>179</v>
      </c>
      <c r="J2790" s="33" t="s">
        <v>489</v>
      </c>
      <c r="K2790" s="18">
        <f>VLOOKUP(D2790,Ingredients!C:G,5,0)</f>
        <v>344</v>
      </c>
      <c r="L2790" s="52">
        <f t="shared" si="87"/>
        <v>344</v>
      </c>
    </row>
    <row r="2791" spans="1:12">
      <c r="A2791" t="s">
        <v>595</v>
      </c>
      <c r="B2791" t="s">
        <v>349</v>
      </c>
      <c r="C2791" t="s">
        <v>353</v>
      </c>
      <c r="D2791" s="3" t="s">
        <v>16</v>
      </c>
      <c r="E2791" s="4">
        <v>0.12</v>
      </c>
      <c r="F2791" s="13" t="s">
        <v>176</v>
      </c>
      <c r="G2791" s="9">
        <v>270</v>
      </c>
      <c r="H2791" s="9">
        <f t="shared" si="86"/>
        <v>32.4</v>
      </c>
      <c r="I2791" t="s">
        <v>179</v>
      </c>
      <c r="J2791" s="33" t="s">
        <v>489</v>
      </c>
      <c r="K2791" s="18">
        <f>VLOOKUP(D2791,Ingredients!C:G,5,0)</f>
        <v>310</v>
      </c>
      <c r="L2791" s="52">
        <f t="shared" si="87"/>
        <v>37.199999999999996</v>
      </c>
    </row>
    <row r="2792" spans="1:12">
      <c r="A2792" t="s">
        <v>595</v>
      </c>
      <c r="B2792" t="s">
        <v>349</v>
      </c>
      <c r="C2792" t="s">
        <v>353</v>
      </c>
      <c r="D2792" s="3" t="s">
        <v>29</v>
      </c>
      <c r="E2792" s="4">
        <v>0.16</v>
      </c>
      <c r="F2792" s="13" t="s">
        <v>176</v>
      </c>
      <c r="G2792" s="9">
        <v>60</v>
      </c>
      <c r="H2792" s="9">
        <f t="shared" si="86"/>
        <v>9.6</v>
      </c>
      <c r="I2792" t="s">
        <v>179</v>
      </c>
      <c r="J2792" s="33" t="s">
        <v>489</v>
      </c>
      <c r="K2792" s="18">
        <f>VLOOKUP(D2792,Ingredients!C:G,5,0)</f>
        <v>100</v>
      </c>
      <c r="L2792" s="52">
        <f t="shared" si="87"/>
        <v>16</v>
      </c>
    </row>
    <row r="2793" spans="1:12">
      <c r="A2793" t="s">
        <v>595</v>
      </c>
      <c r="B2793" t="s">
        <v>349</v>
      </c>
      <c r="C2793" t="s">
        <v>353</v>
      </c>
      <c r="D2793" s="3" t="s">
        <v>95</v>
      </c>
      <c r="E2793" s="4">
        <v>0.16</v>
      </c>
      <c r="F2793" s="13" t="s">
        <v>176</v>
      </c>
      <c r="G2793" s="9">
        <v>140</v>
      </c>
      <c r="H2793" s="9">
        <f t="shared" si="86"/>
        <v>22.400000000000002</v>
      </c>
      <c r="I2793" t="s">
        <v>179</v>
      </c>
      <c r="J2793" s="33" t="s">
        <v>489</v>
      </c>
      <c r="K2793" s="18">
        <f>VLOOKUP(D2793,Ingredients!C:G,5,0)</f>
        <v>90</v>
      </c>
      <c r="L2793" s="52">
        <f t="shared" si="87"/>
        <v>14.4</v>
      </c>
    </row>
    <row r="2794" spans="1:12">
      <c r="A2794" t="s">
        <v>595</v>
      </c>
      <c r="B2794" t="s">
        <v>349</v>
      </c>
      <c r="C2794" t="s">
        <v>353</v>
      </c>
      <c r="D2794" s="3" t="s">
        <v>96</v>
      </c>
      <c r="E2794" s="4">
        <v>0.16</v>
      </c>
      <c r="F2794" s="13" t="s">
        <v>176</v>
      </c>
      <c r="G2794" s="9">
        <v>160</v>
      </c>
      <c r="H2794" s="9">
        <f t="shared" si="86"/>
        <v>25.6</v>
      </c>
      <c r="I2794" t="s">
        <v>179</v>
      </c>
      <c r="J2794" s="33" t="s">
        <v>489</v>
      </c>
      <c r="K2794" s="18">
        <f>VLOOKUP(D2794,Ingredients!C:G,5,0)</f>
        <v>120</v>
      </c>
      <c r="L2794" s="52">
        <f t="shared" si="87"/>
        <v>19.2</v>
      </c>
    </row>
    <row r="2795" spans="1:12">
      <c r="A2795" t="s">
        <v>595</v>
      </c>
      <c r="B2795" t="s">
        <v>349</v>
      </c>
      <c r="C2795" t="s">
        <v>353</v>
      </c>
      <c r="D2795" s="3" t="s">
        <v>24</v>
      </c>
      <c r="E2795" s="4">
        <v>0.16</v>
      </c>
      <c r="F2795" s="13" t="s">
        <v>176</v>
      </c>
      <c r="G2795" s="9">
        <v>55</v>
      </c>
      <c r="H2795" s="9">
        <f t="shared" si="86"/>
        <v>8.8000000000000007</v>
      </c>
      <c r="I2795" t="s">
        <v>179</v>
      </c>
      <c r="J2795" s="33" t="s">
        <v>489</v>
      </c>
      <c r="K2795" s="18">
        <f>VLOOKUP(D2795,Ingredients!C:G,5,0)</f>
        <v>80</v>
      </c>
      <c r="L2795" s="52">
        <f t="shared" si="87"/>
        <v>12.8</v>
      </c>
    </row>
    <row r="2796" spans="1:12">
      <c r="A2796" t="s">
        <v>595</v>
      </c>
      <c r="B2796" t="s">
        <v>349</v>
      </c>
      <c r="C2796" t="s">
        <v>353</v>
      </c>
      <c r="D2796" s="3" t="s">
        <v>15</v>
      </c>
      <c r="E2796" s="4">
        <v>0.18</v>
      </c>
      <c r="F2796" s="13" t="s">
        <v>176</v>
      </c>
      <c r="G2796" s="9">
        <v>130</v>
      </c>
      <c r="H2796" s="9">
        <f t="shared" si="86"/>
        <v>23.4</v>
      </c>
      <c r="I2796" t="s">
        <v>179</v>
      </c>
      <c r="J2796" s="33" t="s">
        <v>489</v>
      </c>
      <c r="K2796" s="18">
        <f>VLOOKUP(D2796,Ingredients!C:G,5,0)</f>
        <v>90</v>
      </c>
      <c r="L2796" s="52">
        <f t="shared" si="87"/>
        <v>16.2</v>
      </c>
    </row>
    <row r="2797" spans="1:12">
      <c r="A2797" t="s">
        <v>595</v>
      </c>
      <c r="B2797" t="s">
        <v>349</v>
      </c>
      <c r="C2797" t="s">
        <v>353</v>
      </c>
      <c r="D2797" s="3" t="s">
        <v>853</v>
      </c>
      <c r="E2797" s="4">
        <v>0.03</v>
      </c>
      <c r="F2797" s="13" t="s">
        <v>176</v>
      </c>
      <c r="G2797" s="9">
        <v>30</v>
      </c>
      <c r="H2797" s="9">
        <f t="shared" ref="H2797:H2860" si="88">G2797*E2797</f>
        <v>0.89999999999999991</v>
      </c>
      <c r="I2797" t="s">
        <v>179</v>
      </c>
      <c r="J2797" s="33" t="s">
        <v>489</v>
      </c>
      <c r="K2797" s="18">
        <f>VLOOKUP(D2797,Ingredients!C:G,5,0)</f>
        <v>55</v>
      </c>
      <c r="L2797" s="52">
        <f t="shared" si="87"/>
        <v>1.65</v>
      </c>
    </row>
    <row r="2798" spans="1:12">
      <c r="A2798" t="s">
        <v>595</v>
      </c>
      <c r="B2798" t="s">
        <v>349</v>
      </c>
      <c r="C2798" t="s">
        <v>353</v>
      </c>
      <c r="D2798" s="3" t="s">
        <v>953</v>
      </c>
      <c r="E2798" s="4">
        <v>1</v>
      </c>
      <c r="F2798" s="4" t="s">
        <v>263</v>
      </c>
      <c r="G2798" s="9">
        <v>156.25</v>
      </c>
      <c r="H2798" s="9">
        <f t="shared" si="88"/>
        <v>156.25</v>
      </c>
      <c r="I2798" t="s">
        <v>179</v>
      </c>
      <c r="J2798" s="33" t="s">
        <v>489</v>
      </c>
      <c r="K2798" s="18">
        <f>VLOOKUP(D2798,Ingredients!C:G,5,0)</f>
        <v>141.66</v>
      </c>
      <c r="L2798" s="52">
        <f t="shared" si="87"/>
        <v>141.66</v>
      </c>
    </row>
    <row r="2799" spans="1:12">
      <c r="A2799" t="s">
        <v>595</v>
      </c>
      <c r="B2799" t="s">
        <v>349</v>
      </c>
      <c r="C2799" t="s">
        <v>353</v>
      </c>
      <c r="D2799" s="3" t="s">
        <v>888</v>
      </c>
      <c r="E2799" s="4">
        <v>0.24</v>
      </c>
      <c r="F2799" s="4" t="s">
        <v>176</v>
      </c>
      <c r="G2799" s="9">
        <v>580</v>
      </c>
      <c r="H2799" s="9">
        <f t="shared" si="88"/>
        <v>139.19999999999999</v>
      </c>
      <c r="I2799" t="s">
        <v>179</v>
      </c>
      <c r="J2799" s="33" t="s">
        <v>489</v>
      </c>
      <c r="K2799" s="18">
        <f>VLOOKUP(D2799,Ingredients!C:G,5,0)</f>
        <v>580</v>
      </c>
      <c r="L2799" s="52">
        <f t="shared" si="87"/>
        <v>139.19999999999999</v>
      </c>
    </row>
    <row r="2800" spans="1:12">
      <c r="A2800" t="s">
        <v>595</v>
      </c>
      <c r="B2800" t="s">
        <v>349</v>
      </c>
      <c r="C2800" t="s">
        <v>353</v>
      </c>
      <c r="D2800" s="3" t="s">
        <v>863</v>
      </c>
      <c r="E2800" s="4">
        <v>0.24</v>
      </c>
      <c r="F2800" s="4" t="s">
        <v>176</v>
      </c>
      <c r="G2800" s="9">
        <v>675</v>
      </c>
      <c r="H2800" s="9">
        <f t="shared" si="88"/>
        <v>162</v>
      </c>
      <c r="I2800" t="s">
        <v>179</v>
      </c>
      <c r="J2800" s="33" t="s">
        <v>489</v>
      </c>
      <c r="K2800" s="18">
        <f>VLOOKUP(D2800,Ingredients!C:G,5,0)</f>
        <v>675</v>
      </c>
      <c r="L2800" s="52">
        <f t="shared" si="87"/>
        <v>162</v>
      </c>
    </row>
    <row r="2801" spans="1:12">
      <c r="A2801" t="s">
        <v>595</v>
      </c>
      <c r="B2801" t="s">
        <v>349</v>
      </c>
      <c r="C2801" t="s">
        <v>353</v>
      </c>
      <c r="D2801" s="3" t="s">
        <v>965</v>
      </c>
      <c r="E2801" s="4">
        <v>0.24</v>
      </c>
      <c r="F2801" s="4" t="s">
        <v>176</v>
      </c>
      <c r="G2801" s="9">
        <v>302.49</v>
      </c>
      <c r="H2801" s="9">
        <f t="shared" si="88"/>
        <v>72.5976</v>
      </c>
      <c r="I2801" t="s">
        <v>179</v>
      </c>
      <c r="J2801" s="33" t="s">
        <v>489</v>
      </c>
      <c r="K2801" s="18">
        <f>VLOOKUP(D2801,Ingredients!C:G,5,0)</f>
        <v>302</v>
      </c>
      <c r="L2801" s="52">
        <f t="shared" si="87"/>
        <v>72.48</v>
      </c>
    </row>
    <row r="2802" spans="1:12">
      <c r="A2802" t="s">
        <v>595</v>
      </c>
      <c r="B2802" t="s">
        <v>349</v>
      </c>
      <c r="C2802" t="s">
        <v>353</v>
      </c>
      <c r="D2802" s="3" t="s">
        <v>874</v>
      </c>
      <c r="E2802" s="4">
        <v>0.12</v>
      </c>
      <c r="F2802" s="4" t="s">
        <v>176</v>
      </c>
      <c r="G2802" s="9">
        <v>110</v>
      </c>
      <c r="H2802" s="9">
        <f t="shared" si="88"/>
        <v>13.2</v>
      </c>
      <c r="I2802" t="s">
        <v>179</v>
      </c>
      <c r="J2802" s="33" t="s">
        <v>489</v>
      </c>
      <c r="K2802" s="18">
        <f>VLOOKUP(D2802,Ingredients!C:G,5,0)</f>
        <v>179</v>
      </c>
      <c r="L2802" s="52">
        <f t="shared" si="87"/>
        <v>21.48</v>
      </c>
    </row>
    <row r="2803" spans="1:12">
      <c r="A2803" t="s">
        <v>597</v>
      </c>
      <c r="B2803" t="s">
        <v>348</v>
      </c>
      <c r="C2803" t="s">
        <v>354</v>
      </c>
      <c r="D2803" s="3" t="s">
        <v>866</v>
      </c>
      <c r="E2803" s="4">
        <v>4.4999999999999998E-2</v>
      </c>
      <c r="F2803" s="4" t="s">
        <v>176</v>
      </c>
      <c r="G2803" s="9">
        <v>153.97999999999999</v>
      </c>
      <c r="H2803" s="9">
        <f t="shared" si="88"/>
        <v>6.9290999999999991</v>
      </c>
      <c r="I2803" t="s">
        <v>253</v>
      </c>
      <c r="J2803" s="33">
        <v>0</v>
      </c>
      <c r="K2803" s="18">
        <f>VLOOKUP(D2803,Ingredients!C:G,5,0)</f>
        <v>142.13999999999999</v>
      </c>
      <c r="L2803" s="52">
        <f t="shared" si="87"/>
        <v>6.3962999999999992</v>
      </c>
    </row>
    <row r="2804" spans="1:12">
      <c r="A2804" t="s">
        <v>597</v>
      </c>
      <c r="B2804" t="s">
        <v>348</v>
      </c>
      <c r="C2804" t="s">
        <v>354</v>
      </c>
      <c r="D2804" s="3" t="s">
        <v>852</v>
      </c>
      <c r="E2804" s="4">
        <v>8.9999999999999993E-3</v>
      </c>
      <c r="F2804" s="4" t="s">
        <v>317</v>
      </c>
      <c r="G2804" s="9">
        <v>520.63</v>
      </c>
      <c r="H2804" s="9">
        <f t="shared" si="88"/>
        <v>4.68567</v>
      </c>
      <c r="I2804" t="s">
        <v>253</v>
      </c>
      <c r="J2804" s="33">
        <v>0</v>
      </c>
      <c r="K2804" s="18">
        <v>550</v>
      </c>
      <c r="L2804" s="52">
        <f t="shared" si="87"/>
        <v>4.9499999999999993</v>
      </c>
    </row>
    <row r="2805" spans="1:12">
      <c r="A2805" t="s">
        <v>597</v>
      </c>
      <c r="B2805" t="s">
        <v>348</v>
      </c>
      <c r="C2805" t="s">
        <v>354</v>
      </c>
      <c r="D2805" s="3" t="s">
        <v>23</v>
      </c>
      <c r="E2805" s="4">
        <v>3.0000000000000001E-3</v>
      </c>
      <c r="F2805" s="4" t="s">
        <v>176</v>
      </c>
      <c r="G2805" s="9">
        <v>740</v>
      </c>
      <c r="H2805" s="9">
        <f t="shared" si="88"/>
        <v>2.2200000000000002</v>
      </c>
      <c r="I2805" t="s">
        <v>253</v>
      </c>
      <c r="J2805" s="33">
        <v>0</v>
      </c>
      <c r="K2805" s="18">
        <f>VLOOKUP(D2805,Ingredients!C:G,5,0)</f>
        <v>780</v>
      </c>
      <c r="L2805" s="52">
        <f t="shared" si="87"/>
        <v>2.34</v>
      </c>
    </row>
    <row r="2806" spans="1:12">
      <c r="A2806" t="s">
        <v>597</v>
      </c>
      <c r="B2806" t="s">
        <v>348</v>
      </c>
      <c r="C2806" t="s">
        <v>354</v>
      </c>
      <c r="D2806" s="3" t="s">
        <v>24</v>
      </c>
      <c r="E2806" s="4">
        <v>8.0000000000000002E-3</v>
      </c>
      <c r="F2806" s="4" t="s">
        <v>176</v>
      </c>
      <c r="G2806" s="9">
        <v>55</v>
      </c>
      <c r="H2806" s="9">
        <f t="shared" si="88"/>
        <v>0.44</v>
      </c>
      <c r="I2806" t="s">
        <v>253</v>
      </c>
      <c r="J2806" s="33">
        <v>0</v>
      </c>
      <c r="K2806" s="18">
        <f>VLOOKUP(D2806,Ingredients!C:G,5,0)</f>
        <v>80</v>
      </c>
      <c r="L2806" s="52">
        <f t="shared" si="87"/>
        <v>0.64</v>
      </c>
    </row>
    <row r="2807" spans="1:12">
      <c r="A2807" t="s">
        <v>597</v>
      </c>
      <c r="B2807" t="s">
        <v>348</v>
      </c>
      <c r="C2807" t="s">
        <v>354</v>
      </c>
      <c r="D2807" s="3" t="s">
        <v>94</v>
      </c>
      <c r="E2807" s="4">
        <v>0.02</v>
      </c>
      <c r="F2807" s="4" t="s">
        <v>176</v>
      </c>
      <c r="G2807" s="9">
        <v>90</v>
      </c>
      <c r="H2807" s="9">
        <f t="shared" si="88"/>
        <v>1.8</v>
      </c>
      <c r="I2807" t="s">
        <v>253</v>
      </c>
      <c r="J2807" s="33">
        <v>0</v>
      </c>
      <c r="K2807" s="18">
        <f>VLOOKUP(D2807,Ingredients!C:G,5,0)</f>
        <v>40</v>
      </c>
      <c r="L2807" s="52">
        <f t="shared" si="87"/>
        <v>0.8</v>
      </c>
    </row>
    <row r="2808" spans="1:12">
      <c r="A2808" t="s">
        <v>597</v>
      </c>
      <c r="B2808" t="s">
        <v>348</v>
      </c>
      <c r="C2808" t="s">
        <v>354</v>
      </c>
      <c r="D2808" s="3" t="s">
        <v>15</v>
      </c>
      <c r="E2808" s="4">
        <v>0.02</v>
      </c>
      <c r="F2808" s="4" t="s">
        <v>176</v>
      </c>
      <c r="G2808" s="9">
        <v>130</v>
      </c>
      <c r="H2808" s="9">
        <f t="shared" si="88"/>
        <v>2.6</v>
      </c>
      <c r="I2808" t="s">
        <v>253</v>
      </c>
      <c r="J2808" s="33">
        <v>0</v>
      </c>
      <c r="K2808" s="18">
        <f>VLOOKUP(D2808,Ingredients!C:G,5,0)</f>
        <v>90</v>
      </c>
      <c r="L2808" s="52">
        <f t="shared" si="87"/>
        <v>1.8</v>
      </c>
    </row>
    <row r="2809" spans="1:12">
      <c r="A2809" t="s">
        <v>597</v>
      </c>
      <c r="B2809" t="s">
        <v>348</v>
      </c>
      <c r="C2809" t="s">
        <v>354</v>
      </c>
      <c r="D2809" s="3" t="s">
        <v>16</v>
      </c>
      <c r="E2809" s="4">
        <v>1.4999999999999999E-2</v>
      </c>
      <c r="F2809" s="4" t="s">
        <v>176</v>
      </c>
      <c r="G2809" s="9">
        <v>270</v>
      </c>
      <c r="H2809" s="9">
        <f t="shared" si="88"/>
        <v>4.05</v>
      </c>
      <c r="I2809" t="s">
        <v>253</v>
      </c>
      <c r="J2809" s="33">
        <v>0</v>
      </c>
      <c r="K2809" s="18">
        <f>VLOOKUP(D2809,Ingredients!C:G,5,0)</f>
        <v>310</v>
      </c>
      <c r="L2809" s="52">
        <f t="shared" si="87"/>
        <v>4.6499999999999995</v>
      </c>
    </row>
    <row r="2810" spans="1:12">
      <c r="A2810" t="s">
        <v>597</v>
      </c>
      <c r="B2810" t="s">
        <v>348</v>
      </c>
      <c r="C2810" t="s">
        <v>354</v>
      </c>
      <c r="D2810" s="3" t="s">
        <v>872</v>
      </c>
      <c r="E2810" s="4">
        <v>8.0000000000000004E-4</v>
      </c>
      <c r="F2810" s="4" t="s">
        <v>176</v>
      </c>
      <c r="G2810" s="9">
        <v>2100</v>
      </c>
      <c r="H2810" s="9">
        <f t="shared" si="88"/>
        <v>1.6800000000000002</v>
      </c>
      <c r="I2810" t="s">
        <v>253</v>
      </c>
      <c r="J2810" s="33">
        <v>0</v>
      </c>
      <c r="K2810" s="18">
        <f>VLOOKUP(D2810,Ingredients!C:G,5,0)</f>
        <v>2150</v>
      </c>
      <c r="L2810" s="52">
        <f t="shared" si="87"/>
        <v>1.72</v>
      </c>
    </row>
    <row r="2811" spans="1:12">
      <c r="A2811" t="s">
        <v>597</v>
      </c>
      <c r="B2811" t="s">
        <v>348</v>
      </c>
      <c r="C2811" t="s">
        <v>354</v>
      </c>
      <c r="D2811" s="3" t="s">
        <v>852</v>
      </c>
      <c r="E2811" s="4">
        <v>3.0000000000000001E-3</v>
      </c>
      <c r="F2811" s="4" t="s">
        <v>176</v>
      </c>
      <c r="G2811" s="9">
        <v>520.63</v>
      </c>
      <c r="H2811" s="9">
        <f t="shared" si="88"/>
        <v>1.56189</v>
      </c>
      <c r="I2811" t="s">
        <v>253</v>
      </c>
      <c r="J2811" s="33">
        <v>0</v>
      </c>
      <c r="K2811" s="18">
        <v>550</v>
      </c>
      <c r="L2811" s="52">
        <f t="shared" si="87"/>
        <v>1.6500000000000001</v>
      </c>
    </row>
    <row r="2812" spans="1:12">
      <c r="A2812" t="s">
        <v>597</v>
      </c>
      <c r="B2812" t="s">
        <v>348</v>
      </c>
      <c r="C2812" t="s">
        <v>354</v>
      </c>
      <c r="D2812" s="3" t="s">
        <v>883</v>
      </c>
      <c r="E2812" s="4">
        <v>6.0000000000000001E-3</v>
      </c>
      <c r="F2812" s="4" t="s">
        <v>317</v>
      </c>
      <c r="G2812" s="9">
        <v>950</v>
      </c>
      <c r="H2812" s="9">
        <f t="shared" si="88"/>
        <v>5.7</v>
      </c>
      <c r="I2812" t="s">
        <v>253</v>
      </c>
      <c r="J2812" s="33">
        <v>0</v>
      </c>
      <c r="K2812" s="18">
        <f>VLOOKUP(D2812,Ingredients!C:G,5,0)</f>
        <v>313</v>
      </c>
      <c r="L2812" s="52">
        <f t="shared" si="87"/>
        <v>1.8780000000000001</v>
      </c>
    </row>
    <row r="2813" spans="1:12">
      <c r="A2813" t="s">
        <v>597</v>
      </c>
      <c r="B2813" t="s">
        <v>348</v>
      </c>
      <c r="C2813" t="s">
        <v>354</v>
      </c>
      <c r="D2813" s="3" t="s">
        <v>830</v>
      </c>
      <c r="E2813" s="4">
        <v>1.5E-3</v>
      </c>
      <c r="F2813" s="4" t="s">
        <v>176</v>
      </c>
      <c r="G2813" s="9">
        <v>149</v>
      </c>
      <c r="H2813" s="9">
        <f t="shared" si="88"/>
        <v>0.2235</v>
      </c>
      <c r="I2813" t="s">
        <v>253</v>
      </c>
      <c r="J2813" s="33">
        <v>0</v>
      </c>
      <c r="K2813" s="18">
        <f>VLOOKUP(D2813,Ingredients!C:G,5,0)</f>
        <v>123</v>
      </c>
      <c r="L2813" s="52">
        <f t="shared" si="87"/>
        <v>0.1845</v>
      </c>
    </row>
    <row r="2814" spans="1:12">
      <c r="A2814" t="s">
        <v>599</v>
      </c>
      <c r="B2814" t="s">
        <v>345</v>
      </c>
      <c r="C2814" t="s">
        <v>345</v>
      </c>
      <c r="D2814" s="3" t="s">
        <v>883</v>
      </c>
      <c r="E2814" s="4">
        <v>0.3</v>
      </c>
      <c r="F2814" s="4" t="s">
        <v>176</v>
      </c>
      <c r="G2814" s="9">
        <v>950</v>
      </c>
      <c r="H2814" s="9">
        <f t="shared" si="88"/>
        <v>285</v>
      </c>
      <c r="I2814" t="s">
        <v>598</v>
      </c>
      <c r="J2814" s="33">
        <v>0</v>
      </c>
      <c r="K2814" s="18">
        <f>VLOOKUP(D2814,Ingredients!C:G,5,0)</f>
        <v>313</v>
      </c>
      <c r="L2814" s="52">
        <f t="shared" si="87"/>
        <v>93.899999999999991</v>
      </c>
    </row>
    <row r="2815" spans="1:12">
      <c r="A2815" t="s">
        <v>599</v>
      </c>
      <c r="B2815" t="s">
        <v>345</v>
      </c>
      <c r="C2815" t="s">
        <v>345</v>
      </c>
      <c r="D2815" s="3" t="s">
        <v>874</v>
      </c>
      <c r="E2815" s="4">
        <v>0.3</v>
      </c>
      <c r="F2815" s="4" t="s">
        <v>176</v>
      </c>
      <c r="G2815" s="9">
        <v>110</v>
      </c>
      <c r="H2815" s="9">
        <f t="shared" si="88"/>
        <v>33</v>
      </c>
      <c r="I2815" t="s">
        <v>598</v>
      </c>
      <c r="J2815" s="33">
        <v>0</v>
      </c>
      <c r="K2815" s="18">
        <f>VLOOKUP(D2815,Ingredients!C:G,5,0)</f>
        <v>179</v>
      </c>
      <c r="L2815" s="52">
        <f t="shared" si="87"/>
        <v>53.699999999999996</v>
      </c>
    </row>
    <row r="2816" spans="1:12">
      <c r="A2816" t="s">
        <v>599</v>
      </c>
      <c r="B2816" t="s">
        <v>345</v>
      </c>
      <c r="C2816" t="s">
        <v>345</v>
      </c>
      <c r="D2816" s="3" t="s">
        <v>954</v>
      </c>
      <c r="E2816" s="4">
        <v>6.2500000000000001E-4</v>
      </c>
      <c r="F2816" s="4" t="s">
        <v>176</v>
      </c>
      <c r="G2816" s="9">
        <v>1900</v>
      </c>
      <c r="H2816" s="9">
        <f t="shared" si="88"/>
        <v>1.1875</v>
      </c>
      <c r="I2816" t="s">
        <v>598</v>
      </c>
      <c r="J2816" s="33">
        <v>0</v>
      </c>
      <c r="K2816" s="18">
        <f>VLOOKUP(D2816,Ingredients!C:G,5,0)</f>
        <v>2000</v>
      </c>
      <c r="L2816" s="52">
        <f t="shared" si="87"/>
        <v>1.25</v>
      </c>
    </row>
    <row r="2817" spans="1:12">
      <c r="A2817" t="s">
        <v>599</v>
      </c>
      <c r="B2817" t="s">
        <v>345</v>
      </c>
      <c r="C2817" t="s">
        <v>345</v>
      </c>
      <c r="D2817" s="3" t="s">
        <v>928</v>
      </c>
      <c r="E2817" s="4">
        <v>1.25E-3</v>
      </c>
      <c r="F2817" s="4" t="s">
        <v>176</v>
      </c>
      <c r="G2817" s="9">
        <v>850</v>
      </c>
      <c r="H2817" s="9">
        <f t="shared" si="88"/>
        <v>1.0625</v>
      </c>
      <c r="I2817" t="s">
        <v>598</v>
      </c>
      <c r="J2817" s="33">
        <v>0</v>
      </c>
      <c r="K2817" s="18">
        <f>VLOOKUP(D2817,Ingredients!C:G,5,0)</f>
        <v>900</v>
      </c>
      <c r="L2817" s="52">
        <f t="shared" si="87"/>
        <v>1.125</v>
      </c>
    </row>
    <row r="2818" spans="1:12">
      <c r="A2818" t="s">
        <v>599</v>
      </c>
      <c r="B2818" t="s">
        <v>345</v>
      </c>
      <c r="C2818" t="s">
        <v>345</v>
      </c>
      <c r="D2818" s="3" t="s">
        <v>931</v>
      </c>
      <c r="E2818" s="4">
        <v>2.5000000000000001E-3</v>
      </c>
      <c r="F2818" s="4" t="s">
        <v>176</v>
      </c>
      <c r="G2818" s="9">
        <v>4000</v>
      </c>
      <c r="H2818" s="9">
        <f t="shared" si="88"/>
        <v>10</v>
      </c>
      <c r="I2818" t="s">
        <v>598</v>
      </c>
      <c r="J2818" s="33">
        <v>0</v>
      </c>
      <c r="K2818" s="18">
        <f>VLOOKUP(D2818,Ingredients!C:G,5,0)</f>
        <v>2900</v>
      </c>
      <c r="L2818" s="52">
        <f t="shared" si="87"/>
        <v>7.25</v>
      </c>
    </row>
    <row r="2819" spans="1:12">
      <c r="A2819" t="s">
        <v>599</v>
      </c>
      <c r="B2819" t="s">
        <v>345</v>
      </c>
      <c r="C2819" t="s">
        <v>345</v>
      </c>
      <c r="D2819" s="3" t="s">
        <v>23</v>
      </c>
      <c r="E2819" s="4">
        <v>5.0000000000000001E-3</v>
      </c>
      <c r="F2819" s="4" t="s">
        <v>176</v>
      </c>
      <c r="G2819" s="9">
        <v>740</v>
      </c>
      <c r="H2819" s="9">
        <f t="shared" si="88"/>
        <v>3.7</v>
      </c>
      <c r="I2819" t="s">
        <v>598</v>
      </c>
      <c r="J2819" s="33">
        <v>0</v>
      </c>
      <c r="K2819" s="18">
        <f>VLOOKUP(D2819,Ingredients!C:G,5,0)</f>
        <v>780</v>
      </c>
      <c r="L2819" s="52">
        <f t="shared" si="87"/>
        <v>3.9</v>
      </c>
    </row>
    <row r="2820" spans="1:12">
      <c r="A2820" t="s">
        <v>599</v>
      </c>
      <c r="B2820" t="s">
        <v>345</v>
      </c>
      <c r="C2820" t="s">
        <v>345</v>
      </c>
      <c r="D2820" s="3" t="s">
        <v>955</v>
      </c>
      <c r="E2820" s="4">
        <v>2.5000000000000001E-3</v>
      </c>
      <c r="F2820" s="4" t="s">
        <v>176</v>
      </c>
      <c r="G2820" s="9">
        <v>3600</v>
      </c>
      <c r="H2820" s="9">
        <f t="shared" si="88"/>
        <v>9</v>
      </c>
      <c r="I2820" t="s">
        <v>598</v>
      </c>
      <c r="J2820" s="33">
        <v>0</v>
      </c>
      <c r="K2820" s="18">
        <f>VLOOKUP(D2820,Ingredients!C:G,5,0)</f>
        <v>3400</v>
      </c>
      <c r="L2820" s="52">
        <f t="shared" ref="L2820:L2883" si="89">K2820*E2820</f>
        <v>8.5</v>
      </c>
    </row>
    <row r="2821" spans="1:12">
      <c r="A2821" t="s">
        <v>599</v>
      </c>
      <c r="B2821" t="s">
        <v>345</v>
      </c>
      <c r="C2821" t="s">
        <v>345</v>
      </c>
      <c r="D2821" s="3" t="s">
        <v>853</v>
      </c>
      <c r="E2821" s="4">
        <v>1.8749999999999999E-3</v>
      </c>
      <c r="F2821" s="4" t="s">
        <v>176</v>
      </c>
      <c r="G2821" s="9">
        <v>30</v>
      </c>
      <c r="H2821" s="9">
        <f t="shared" si="88"/>
        <v>5.6249999999999994E-2</v>
      </c>
      <c r="I2821" t="s">
        <v>598</v>
      </c>
      <c r="J2821" s="33">
        <v>0</v>
      </c>
      <c r="K2821" s="18">
        <f>VLOOKUP(D2821,Ingredients!C:G,5,0)</f>
        <v>55</v>
      </c>
      <c r="L2821" s="52">
        <f t="shared" si="89"/>
        <v>0.10312499999999999</v>
      </c>
    </row>
    <row r="2822" spans="1:12">
      <c r="A2822" t="s">
        <v>600</v>
      </c>
      <c r="B2822" t="s">
        <v>349</v>
      </c>
      <c r="C2822" t="s">
        <v>352</v>
      </c>
      <c r="D2822" s="3" t="s">
        <v>837</v>
      </c>
      <c r="E2822" s="4">
        <v>1</v>
      </c>
      <c r="F2822" s="4" t="s">
        <v>176</v>
      </c>
      <c r="G2822" s="9">
        <v>1700</v>
      </c>
      <c r="H2822" s="9">
        <f t="shared" si="88"/>
        <v>1700</v>
      </c>
      <c r="I2822" t="s">
        <v>179</v>
      </c>
      <c r="J2822" s="33" t="s">
        <v>514</v>
      </c>
      <c r="K2822" s="18">
        <f>VLOOKUP(D2822,Ingredients!C:G,5,0)</f>
        <v>1800</v>
      </c>
      <c r="L2822" s="52">
        <f t="shared" si="89"/>
        <v>1800</v>
      </c>
    </row>
    <row r="2823" spans="1:12">
      <c r="A2823" t="s">
        <v>600</v>
      </c>
      <c r="B2823" t="s">
        <v>349</v>
      </c>
      <c r="C2823" t="s">
        <v>352</v>
      </c>
      <c r="D2823" s="3" t="s">
        <v>852</v>
      </c>
      <c r="E2823" s="4">
        <v>0.24</v>
      </c>
      <c r="F2823" s="4" t="s">
        <v>176</v>
      </c>
      <c r="G2823" s="9">
        <v>520.63</v>
      </c>
      <c r="H2823" s="9">
        <f t="shared" si="88"/>
        <v>124.9512</v>
      </c>
      <c r="I2823" t="s">
        <v>179</v>
      </c>
      <c r="J2823" s="33" t="s">
        <v>514</v>
      </c>
      <c r="K2823" s="18">
        <v>550</v>
      </c>
      <c r="L2823" s="52">
        <f t="shared" si="89"/>
        <v>132</v>
      </c>
    </row>
    <row r="2824" spans="1:12">
      <c r="A2824" t="s">
        <v>600</v>
      </c>
      <c r="B2824" t="s">
        <v>349</v>
      </c>
      <c r="C2824" t="s">
        <v>352</v>
      </c>
      <c r="D2824" s="3" t="s">
        <v>16</v>
      </c>
      <c r="E2824" s="4">
        <v>4.3999999999999997E-2</v>
      </c>
      <c r="F2824" s="4" t="s">
        <v>176</v>
      </c>
      <c r="G2824" s="9">
        <v>270</v>
      </c>
      <c r="H2824" s="9">
        <f t="shared" si="88"/>
        <v>11.879999999999999</v>
      </c>
      <c r="I2824" t="s">
        <v>179</v>
      </c>
      <c r="J2824" s="33" t="s">
        <v>514</v>
      </c>
      <c r="K2824" s="18">
        <f>VLOOKUP(D2824,Ingredients!C:G,5,0)</f>
        <v>310</v>
      </c>
      <c r="L2824" s="52">
        <f t="shared" si="89"/>
        <v>13.639999999999999</v>
      </c>
    </row>
    <row r="2825" spans="1:12">
      <c r="A2825" t="s">
        <v>600</v>
      </c>
      <c r="B2825" t="s">
        <v>349</v>
      </c>
      <c r="C2825" t="s">
        <v>352</v>
      </c>
      <c r="D2825" s="3" t="s">
        <v>855</v>
      </c>
      <c r="E2825" s="4">
        <v>1.6E-2</v>
      </c>
      <c r="F2825" s="4" t="s">
        <v>176</v>
      </c>
      <c r="G2825" s="9">
        <v>2400</v>
      </c>
      <c r="H2825" s="9">
        <f t="shared" si="88"/>
        <v>38.4</v>
      </c>
      <c r="I2825" t="s">
        <v>179</v>
      </c>
      <c r="J2825" s="33" t="s">
        <v>514</v>
      </c>
      <c r="K2825" s="18">
        <f>VLOOKUP(D2825,Ingredients!C:G,5,0)</f>
        <v>1600</v>
      </c>
      <c r="L2825" s="52">
        <f t="shared" si="89"/>
        <v>25.6</v>
      </c>
    </row>
    <row r="2826" spans="1:12">
      <c r="A2826" t="s">
        <v>600</v>
      </c>
      <c r="B2826" t="s">
        <v>349</v>
      </c>
      <c r="C2826" t="s">
        <v>352</v>
      </c>
      <c r="D2826" s="3" t="s">
        <v>931</v>
      </c>
      <c r="E2826" s="4">
        <v>2.8000000000000001E-2</v>
      </c>
      <c r="F2826" s="4" t="s">
        <v>176</v>
      </c>
      <c r="G2826" s="9">
        <v>4000</v>
      </c>
      <c r="H2826" s="9">
        <f t="shared" si="88"/>
        <v>112</v>
      </c>
      <c r="I2826" t="s">
        <v>179</v>
      </c>
      <c r="J2826" s="33" t="s">
        <v>514</v>
      </c>
      <c r="K2826" s="18">
        <f>VLOOKUP(D2826,Ingredients!C:G,5,0)</f>
        <v>2900</v>
      </c>
      <c r="L2826" s="52">
        <f t="shared" si="89"/>
        <v>81.2</v>
      </c>
    </row>
    <row r="2827" spans="1:12">
      <c r="A2827" t="s">
        <v>600</v>
      </c>
      <c r="B2827" t="s">
        <v>349</v>
      </c>
      <c r="C2827" t="s">
        <v>352</v>
      </c>
      <c r="D2827" s="3" t="s">
        <v>955</v>
      </c>
      <c r="E2827" s="4">
        <v>1.6E-2</v>
      </c>
      <c r="F2827" s="4" t="s">
        <v>176</v>
      </c>
      <c r="G2827" s="9">
        <v>3600</v>
      </c>
      <c r="H2827" s="9">
        <f t="shared" si="88"/>
        <v>57.6</v>
      </c>
      <c r="I2827" t="s">
        <v>179</v>
      </c>
      <c r="J2827" s="33" t="s">
        <v>514</v>
      </c>
      <c r="K2827" s="18">
        <f>VLOOKUP(D2827,Ingredients!C:G,5,0)</f>
        <v>3400</v>
      </c>
      <c r="L2827" s="52">
        <f t="shared" si="89"/>
        <v>54.4</v>
      </c>
    </row>
    <row r="2828" spans="1:12">
      <c r="A2828" t="s">
        <v>600</v>
      </c>
      <c r="B2828" t="s">
        <v>349</v>
      </c>
      <c r="C2828" t="s">
        <v>352</v>
      </c>
      <c r="D2828" s="3" t="s">
        <v>928</v>
      </c>
      <c r="E2828" s="4">
        <v>4.3999999999999997E-2</v>
      </c>
      <c r="F2828" s="4" t="s">
        <v>176</v>
      </c>
      <c r="G2828" s="9">
        <v>850</v>
      </c>
      <c r="H2828" s="9">
        <f t="shared" si="88"/>
        <v>37.4</v>
      </c>
      <c r="I2828" t="s">
        <v>179</v>
      </c>
      <c r="J2828" s="33" t="s">
        <v>514</v>
      </c>
      <c r="K2828" s="18">
        <f>VLOOKUP(D2828,Ingredients!C:G,5,0)</f>
        <v>900</v>
      </c>
      <c r="L2828" s="52">
        <f t="shared" si="89"/>
        <v>39.599999999999994</v>
      </c>
    </row>
    <row r="2829" spans="1:12">
      <c r="A2829" t="s">
        <v>600</v>
      </c>
      <c r="B2829" t="s">
        <v>349</v>
      </c>
      <c r="C2829" t="s">
        <v>352</v>
      </c>
      <c r="D2829" s="3" t="s">
        <v>915</v>
      </c>
      <c r="E2829" s="4">
        <v>2.1999999999999999E-2</v>
      </c>
      <c r="F2829" s="4" t="s">
        <v>176</v>
      </c>
      <c r="G2829" s="9">
        <v>5000</v>
      </c>
      <c r="H2829" s="9">
        <f t="shared" si="88"/>
        <v>110</v>
      </c>
      <c r="I2829" t="s">
        <v>179</v>
      </c>
      <c r="J2829" s="33" t="s">
        <v>514</v>
      </c>
      <c r="K2829" s="18">
        <f>VLOOKUP(D2829,Ingredients!C:G,5,0)</f>
        <v>3200</v>
      </c>
      <c r="L2829" s="52">
        <f t="shared" si="89"/>
        <v>70.399999999999991</v>
      </c>
    </row>
    <row r="2830" spans="1:12">
      <c r="A2830" t="s">
        <v>600</v>
      </c>
      <c r="B2830" t="s">
        <v>349</v>
      </c>
      <c r="C2830" t="s">
        <v>352</v>
      </c>
      <c r="D2830" s="3" t="s">
        <v>864</v>
      </c>
      <c r="E2830" s="4">
        <v>1.6E-2</v>
      </c>
      <c r="F2830" s="4" t="s">
        <v>176</v>
      </c>
      <c r="G2830" s="9">
        <v>1400</v>
      </c>
      <c r="H2830" s="9">
        <f t="shared" si="88"/>
        <v>22.400000000000002</v>
      </c>
      <c r="I2830" t="s">
        <v>179</v>
      </c>
      <c r="J2830" s="33" t="s">
        <v>514</v>
      </c>
      <c r="K2830" s="18">
        <f>VLOOKUP(D2830,Ingredients!C:G,5,0)</f>
        <v>1400</v>
      </c>
      <c r="L2830" s="52">
        <f t="shared" si="89"/>
        <v>22.400000000000002</v>
      </c>
    </row>
    <row r="2831" spans="1:12">
      <c r="A2831" t="s">
        <v>600</v>
      </c>
      <c r="B2831" t="s">
        <v>349</v>
      </c>
      <c r="C2831" t="s">
        <v>352</v>
      </c>
      <c r="D2831" s="3" t="s">
        <v>867</v>
      </c>
      <c r="E2831" s="4">
        <v>0.06</v>
      </c>
      <c r="F2831" s="4" t="s">
        <v>176</v>
      </c>
      <c r="G2831" s="9">
        <v>900</v>
      </c>
      <c r="H2831" s="9">
        <f t="shared" si="88"/>
        <v>54</v>
      </c>
      <c r="I2831" t="s">
        <v>179</v>
      </c>
      <c r="J2831" s="33" t="s">
        <v>514</v>
      </c>
      <c r="K2831" s="18">
        <f>VLOOKUP(D2831,Ingredients!C:G,5,0)</f>
        <v>950</v>
      </c>
      <c r="L2831" s="52">
        <f t="shared" si="89"/>
        <v>57</v>
      </c>
    </row>
    <row r="2832" spans="1:12">
      <c r="A2832" t="s">
        <v>600</v>
      </c>
      <c r="B2832" t="s">
        <v>349</v>
      </c>
      <c r="C2832" t="s">
        <v>352</v>
      </c>
      <c r="D2832" s="3" t="s">
        <v>895</v>
      </c>
      <c r="E2832" s="4">
        <v>0.06</v>
      </c>
      <c r="F2832" s="4" t="s">
        <v>176</v>
      </c>
      <c r="G2832" s="9">
        <v>400</v>
      </c>
      <c r="H2832" s="9">
        <f t="shared" si="88"/>
        <v>24</v>
      </c>
      <c r="I2832" t="s">
        <v>179</v>
      </c>
      <c r="J2832" s="33" t="s">
        <v>514</v>
      </c>
      <c r="K2832" s="18">
        <f>VLOOKUP(D2832,Ingredients!C:G,5,0)</f>
        <v>400</v>
      </c>
      <c r="L2832" s="52">
        <f t="shared" si="89"/>
        <v>24</v>
      </c>
    </row>
    <row r="2833" spans="1:12">
      <c r="A2833" t="s">
        <v>600</v>
      </c>
      <c r="B2833" t="s">
        <v>349</v>
      </c>
      <c r="C2833" t="s">
        <v>352</v>
      </c>
      <c r="D2833" s="3" t="s">
        <v>860</v>
      </c>
      <c r="E2833" s="4">
        <v>0.03</v>
      </c>
      <c r="F2833" s="4" t="s">
        <v>176</v>
      </c>
      <c r="G2833" s="9">
        <v>2000</v>
      </c>
      <c r="H2833" s="9">
        <f t="shared" si="88"/>
        <v>60</v>
      </c>
      <c r="I2833" t="s">
        <v>179</v>
      </c>
      <c r="J2833" s="33" t="s">
        <v>514</v>
      </c>
      <c r="K2833" s="18">
        <f>VLOOKUP(D2833,Ingredients!C:G,5,0)</f>
        <v>1900</v>
      </c>
      <c r="L2833" s="52">
        <f t="shared" si="89"/>
        <v>57</v>
      </c>
    </row>
    <row r="2834" spans="1:12">
      <c r="A2834" t="s">
        <v>600</v>
      </c>
      <c r="B2834" t="s">
        <v>349</v>
      </c>
      <c r="C2834" t="s">
        <v>352</v>
      </c>
      <c r="D2834" s="3" t="s">
        <v>880</v>
      </c>
      <c r="E2834" s="4">
        <v>1.6E-2</v>
      </c>
      <c r="F2834" s="4" t="s">
        <v>176</v>
      </c>
      <c r="G2834" s="9">
        <v>650</v>
      </c>
      <c r="H2834" s="9">
        <f t="shared" si="88"/>
        <v>10.4</v>
      </c>
      <c r="I2834" t="s">
        <v>179</v>
      </c>
      <c r="J2834" s="33" t="s">
        <v>514</v>
      </c>
      <c r="K2834" s="18">
        <f>VLOOKUP(D2834,Ingredients!C:G,5,0)</f>
        <v>520</v>
      </c>
      <c r="L2834" s="52">
        <f t="shared" si="89"/>
        <v>8.32</v>
      </c>
    </row>
    <row r="2835" spans="1:12">
      <c r="A2835" t="s">
        <v>600</v>
      </c>
      <c r="B2835" t="s">
        <v>349</v>
      </c>
      <c r="C2835" t="s">
        <v>352</v>
      </c>
      <c r="D2835" s="3" t="s">
        <v>867</v>
      </c>
      <c r="E2835" s="4">
        <v>0.03</v>
      </c>
      <c r="F2835" s="4" t="s">
        <v>176</v>
      </c>
      <c r="G2835" s="9">
        <v>900</v>
      </c>
      <c r="H2835" s="9">
        <f t="shared" si="88"/>
        <v>27</v>
      </c>
      <c r="I2835" t="s">
        <v>179</v>
      </c>
      <c r="J2835" s="33" t="s">
        <v>514</v>
      </c>
      <c r="K2835" s="18">
        <f>VLOOKUP(D2835,Ingredients!C:G,5,0)</f>
        <v>950</v>
      </c>
      <c r="L2835" s="52">
        <f t="shared" si="89"/>
        <v>28.5</v>
      </c>
    </row>
    <row r="2836" spans="1:12">
      <c r="A2836" t="s">
        <v>600</v>
      </c>
      <c r="B2836" t="s">
        <v>349</v>
      </c>
      <c r="C2836" t="s">
        <v>352</v>
      </c>
      <c r="D2836" s="3" t="s">
        <v>853</v>
      </c>
      <c r="E2836" s="4">
        <v>0.03</v>
      </c>
      <c r="F2836" s="4" t="s">
        <v>176</v>
      </c>
      <c r="G2836" s="9">
        <v>30</v>
      </c>
      <c r="H2836" s="9">
        <f t="shared" si="88"/>
        <v>0.89999999999999991</v>
      </c>
      <c r="I2836" t="s">
        <v>179</v>
      </c>
      <c r="J2836" s="33" t="s">
        <v>514</v>
      </c>
      <c r="K2836" s="18">
        <f>VLOOKUP(D2836,Ingredients!C:G,5,0)</f>
        <v>55</v>
      </c>
      <c r="L2836" s="52">
        <f t="shared" si="89"/>
        <v>1.65</v>
      </c>
    </row>
    <row r="2837" spans="1:12">
      <c r="A2837" t="s">
        <v>600</v>
      </c>
      <c r="B2837" t="s">
        <v>349</v>
      </c>
      <c r="C2837" t="s">
        <v>352</v>
      </c>
      <c r="D2837" s="3" t="s">
        <v>73</v>
      </c>
      <c r="E2837" s="4">
        <v>0.36</v>
      </c>
      <c r="F2837" s="4" t="s">
        <v>176</v>
      </c>
      <c r="G2837" s="9">
        <v>305</v>
      </c>
      <c r="H2837" s="9">
        <f t="shared" si="88"/>
        <v>109.8</v>
      </c>
      <c r="I2837" t="s">
        <v>179</v>
      </c>
      <c r="J2837" s="33" t="s">
        <v>514</v>
      </c>
      <c r="K2837" s="18">
        <f>VLOOKUP(D2837,Ingredients!C:G,5,0)</f>
        <v>300</v>
      </c>
      <c r="L2837" s="52">
        <f t="shared" si="89"/>
        <v>108</v>
      </c>
    </row>
    <row r="2838" spans="1:12">
      <c r="A2838" t="s">
        <v>600</v>
      </c>
      <c r="B2838" t="s">
        <v>349</v>
      </c>
      <c r="C2838" t="s">
        <v>352</v>
      </c>
      <c r="D2838" s="3" t="s">
        <v>29</v>
      </c>
      <c r="E2838" s="4">
        <v>7.0000000000000007E-2</v>
      </c>
      <c r="F2838" s="4" t="s">
        <v>176</v>
      </c>
      <c r="G2838" s="9">
        <v>60</v>
      </c>
      <c r="H2838" s="9">
        <f t="shared" si="88"/>
        <v>4.2</v>
      </c>
      <c r="I2838" t="s">
        <v>179</v>
      </c>
      <c r="J2838" s="33" t="s">
        <v>514</v>
      </c>
      <c r="K2838" s="18">
        <f>VLOOKUP(D2838,Ingredients!C:G,5,0)</f>
        <v>100</v>
      </c>
      <c r="L2838" s="52">
        <f t="shared" si="89"/>
        <v>7.0000000000000009</v>
      </c>
    </row>
    <row r="2839" spans="1:12">
      <c r="A2839" t="s">
        <v>600</v>
      </c>
      <c r="B2839" t="s">
        <v>349</v>
      </c>
      <c r="C2839" t="s">
        <v>352</v>
      </c>
      <c r="D2839" s="3" t="s">
        <v>35</v>
      </c>
      <c r="E2839" s="4">
        <v>0.3</v>
      </c>
      <c r="F2839" s="4" t="s">
        <v>252</v>
      </c>
      <c r="G2839" s="9">
        <v>13</v>
      </c>
      <c r="H2839" s="9">
        <f t="shared" si="88"/>
        <v>3.9</v>
      </c>
      <c r="I2839" t="s">
        <v>179</v>
      </c>
      <c r="J2839" s="33" t="s">
        <v>514</v>
      </c>
      <c r="K2839" s="18">
        <f>VLOOKUP(D2839,Ingredients!C:G,5,0)</f>
        <v>15</v>
      </c>
      <c r="L2839" s="52">
        <f t="shared" si="89"/>
        <v>4.5</v>
      </c>
    </row>
    <row r="2840" spans="1:12">
      <c r="A2840" t="s">
        <v>600</v>
      </c>
      <c r="B2840" t="s">
        <v>349</v>
      </c>
      <c r="C2840" t="s">
        <v>352</v>
      </c>
      <c r="D2840" s="3" t="s">
        <v>858</v>
      </c>
      <c r="E2840" s="4">
        <v>6.0000000000000001E-3</v>
      </c>
      <c r="F2840" s="4" t="s">
        <v>176</v>
      </c>
      <c r="G2840" s="9">
        <v>1900</v>
      </c>
      <c r="H2840" s="9">
        <f t="shared" si="88"/>
        <v>11.4</v>
      </c>
      <c r="I2840" t="s">
        <v>179</v>
      </c>
      <c r="J2840" s="33" t="s">
        <v>514</v>
      </c>
      <c r="K2840" s="18">
        <f>VLOOKUP(D2840,Ingredients!C:G,5,0)</f>
        <v>1900</v>
      </c>
      <c r="L2840" s="52">
        <f t="shared" si="89"/>
        <v>11.4</v>
      </c>
    </row>
    <row r="2841" spans="1:12">
      <c r="A2841" t="s">
        <v>600</v>
      </c>
      <c r="B2841" t="s">
        <v>349</v>
      </c>
      <c r="C2841" t="s">
        <v>352</v>
      </c>
      <c r="D2841" s="3" t="s">
        <v>862</v>
      </c>
      <c r="E2841" s="4">
        <v>6.0000000000000001E-3</v>
      </c>
      <c r="F2841" s="4" t="s">
        <v>176</v>
      </c>
      <c r="G2841" s="9">
        <v>6500</v>
      </c>
      <c r="H2841" s="9">
        <f t="shared" si="88"/>
        <v>39</v>
      </c>
      <c r="I2841" t="s">
        <v>179</v>
      </c>
      <c r="J2841" s="33" t="s">
        <v>514</v>
      </c>
      <c r="K2841" s="18">
        <f>VLOOKUP(D2841,Ingredients!C:G,5,0)</f>
        <v>6500</v>
      </c>
      <c r="L2841" s="52">
        <f t="shared" si="89"/>
        <v>39</v>
      </c>
    </row>
    <row r="2842" spans="1:12">
      <c r="A2842" t="s">
        <v>600</v>
      </c>
      <c r="B2842" t="s">
        <v>349</v>
      </c>
      <c r="C2842" t="s">
        <v>352</v>
      </c>
      <c r="D2842" s="3" t="s">
        <v>878</v>
      </c>
      <c r="E2842" s="4">
        <v>0.03</v>
      </c>
      <c r="F2842" s="4" t="s">
        <v>176</v>
      </c>
      <c r="G2842" s="9">
        <v>270</v>
      </c>
      <c r="H2842" s="9">
        <f t="shared" si="88"/>
        <v>8.1</v>
      </c>
      <c r="I2842" t="s">
        <v>179</v>
      </c>
      <c r="J2842" s="33" t="s">
        <v>514</v>
      </c>
      <c r="K2842" s="18">
        <f>VLOOKUP(D2842,Ingredients!C:G,5,0)</f>
        <v>1260.55</v>
      </c>
      <c r="L2842" s="52">
        <f t="shared" si="89"/>
        <v>37.816499999999998</v>
      </c>
    </row>
    <row r="2843" spans="1:12">
      <c r="A2843" t="s">
        <v>600</v>
      </c>
      <c r="B2843" t="s">
        <v>349</v>
      </c>
      <c r="C2843" t="s">
        <v>352</v>
      </c>
      <c r="D2843" s="3" t="s">
        <v>29</v>
      </c>
      <c r="E2843" s="4">
        <v>0.03</v>
      </c>
      <c r="F2843" s="4" t="s">
        <v>176</v>
      </c>
      <c r="G2843" s="9">
        <v>60</v>
      </c>
      <c r="H2843" s="9">
        <f t="shared" si="88"/>
        <v>1.7999999999999998</v>
      </c>
      <c r="I2843" t="s">
        <v>179</v>
      </c>
      <c r="J2843" s="33" t="s">
        <v>514</v>
      </c>
      <c r="K2843" s="18">
        <f>VLOOKUP(D2843,Ingredients!C:G,5,0)</f>
        <v>100</v>
      </c>
      <c r="L2843" s="52">
        <f t="shared" si="89"/>
        <v>3</v>
      </c>
    </row>
    <row r="2844" spans="1:12">
      <c r="A2844" t="s">
        <v>600</v>
      </c>
      <c r="B2844" t="s">
        <v>349</v>
      </c>
      <c r="C2844" t="s">
        <v>352</v>
      </c>
      <c r="D2844" s="3" t="s">
        <v>35</v>
      </c>
      <c r="E2844" s="4">
        <v>0.3</v>
      </c>
      <c r="F2844" s="4" t="s">
        <v>252</v>
      </c>
      <c r="G2844" s="9">
        <v>13</v>
      </c>
      <c r="H2844" s="9">
        <f t="shared" si="88"/>
        <v>3.9</v>
      </c>
      <c r="I2844" t="s">
        <v>179</v>
      </c>
      <c r="J2844" s="33" t="s">
        <v>514</v>
      </c>
      <c r="K2844" s="18">
        <f>VLOOKUP(D2844,Ingredients!C:G,5,0)</f>
        <v>15</v>
      </c>
      <c r="L2844" s="52">
        <f t="shared" si="89"/>
        <v>4.5</v>
      </c>
    </row>
    <row r="2845" spans="1:12">
      <c r="A2845" t="s">
        <v>601</v>
      </c>
      <c r="B2845" t="s">
        <v>346</v>
      </c>
      <c r="C2845" t="s">
        <v>993</v>
      </c>
      <c r="D2845" s="3" t="s">
        <v>937</v>
      </c>
      <c r="E2845" s="4">
        <v>1</v>
      </c>
      <c r="F2845" s="7" t="s">
        <v>176</v>
      </c>
      <c r="G2845" s="9">
        <v>246</v>
      </c>
      <c r="H2845" s="9">
        <f t="shared" si="88"/>
        <v>246</v>
      </c>
      <c r="I2845" t="s">
        <v>179</v>
      </c>
      <c r="J2845" s="33">
        <v>0</v>
      </c>
      <c r="K2845" s="18">
        <f>VLOOKUP(D2845,Ingredients!C:G,5,0)</f>
        <v>240</v>
      </c>
      <c r="L2845" s="52">
        <f t="shared" si="89"/>
        <v>240</v>
      </c>
    </row>
    <row r="2846" spans="1:12">
      <c r="A2846" t="s">
        <v>601</v>
      </c>
      <c r="B2846" t="s">
        <v>346</v>
      </c>
      <c r="C2846" t="s">
        <v>993</v>
      </c>
      <c r="D2846" s="3" t="s">
        <v>28</v>
      </c>
      <c r="E2846" s="4">
        <v>0.25</v>
      </c>
      <c r="F2846" s="7" t="s">
        <v>176</v>
      </c>
      <c r="G2846" s="9">
        <v>85</v>
      </c>
      <c r="H2846" s="9">
        <f t="shared" si="88"/>
        <v>21.25</v>
      </c>
      <c r="I2846" t="s">
        <v>179</v>
      </c>
      <c r="J2846" s="33">
        <v>0</v>
      </c>
      <c r="K2846" s="18">
        <f>VLOOKUP(D2846,Ingredients!C:G,5,0)</f>
        <v>70</v>
      </c>
      <c r="L2846" s="52">
        <f t="shared" si="89"/>
        <v>17.5</v>
      </c>
    </row>
    <row r="2847" spans="1:12">
      <c r="A2847" t="s">
        <v>601</v>
      </c>
      <c r="B2847" t="s">
        <v>346</v>
      </c>
      <c r="C2847" t="s">
        <v>993</v>
      </c>
      <c r="D2847" s="3" t="s">
        <v>880</v>
      </c>
      <c r="E2847" s="4">
        <v>0.04</v>
      </c>
      <c r="F2847" s="7" t="s">
        <v>176</v>
      </c>
      <c r="G2847" s="9">
        <v>650</v>
      </c>
      <c r="H2847" s="9">
        <f t="shared" si="88"/>
        <v>26</v>
      </c>
      <c r="I2847" t="s">
        <v>179</v>
      </c>
      <c r="J2847" s="33">
        <v>0</v>
      </c>
      <c r="K2847" s="18">
        <f>VLOOKUP(D2847,Ingredients!C:G,5,0)</f>
        <v>520</v>
      </c>
      <c r="L2847" s="52">
        <f t="shared" si="89"/>
        <v>20.8</v>
      </c>
    </row>
    <row r="2848" spans="1:12">
      <c r="A2848" t="s">
        <v>601</v>
      </c>
      <c r="B2848" t="s">
        <v>346</v>
      </c>
      <c r="C2848" t="s">
        <v>993</v>
      </c>
      <c r="D2848" s="3" t="s">
        <v>867</v>
      </c>
      <c r="E2848" s="4">
        <v>0.02</v>
      </c>
      <c r="F2848" s="7" t="s">
        <v>176</v>
      </c>
      <c r="G2848" s="9">
        <v>900</v>
      </c>
      <c r="H2848" s="9">
        <f t="shared" si="88"/>
        <v>18</v>
      </c>
      <c r="I2848" t="s">
        <v>179</v>
      </c>
      <c r="J2848" s="33">
        <v>0</v>
      </c>
      <c r="K2848" s="18">
        <f>VLOOKUP(D2848,Ingredients!C:G,5,0)</f>
        <v>950</v>
      </c>
      <c r="L2848" s="52">
        <f t="shared" si="89"/>
        <v>19</v>
      </c>
    </row>
    <row r="2849" spans="1:12">
      <c r="A2849" t="s">
        <v>601</v>
      </c>
      <c r="B2849" t="s">
        <v>346</v>
      </c>
      <c r="C2849" t="s">
        <v>993</v>
      </c>
      <c r="D2849" s="3" t="s">
        <v>853</v>
      </c>
      <c r="E2849" s="4">
        <v>0.06</v>
      </c>
      <c r="F2849" s="7" t="s">
        <v>176</v>
      </c>
      <c r="G2849" s="9">
        <v>30</v>
      </c>
      <c r="H2849" s="9">
        <f t="shared" si="88"/>
        <v>1.7999999999999998</v>
      </c>
      <c r="I2849" t="s">
        <v>179</v>
      </c>
      <c r="J2849" s="33">
        <v>0</v>
      </c>
      <c r="K2849" s="18">
        <f>VLOOKUP(D2849,Ingredients!C:G,5,0)</f>
        <v>55</v>
      </c>
      <c r="L2849" s="52">
        <f t="shared" si="89"/>
        <v>3.3</v>
      </c>
    </row>
    <row r="2850" spans="1:12">
      <c r="A2850" t="s">
        <v>601</v>
      </c>
      <c r="B2850" t="s">
        <v>346</v>
      </c>
      <c r="C2850" t="s">
        <v>993</v>
      </c>
      <c r="D2850" s="3" t="s">
        <v>852</v>
      </c>
      <c r="E2850" s="4">
        <v>7.4999999999999997E-2</v>
      </c>
      <c r="F2850" s="7" t="s">
        <v>176</v>
      </c>
      <c r="G2850" s="9">
        <v>520.63</v>
      </c>
      <c r="H2850" s="9">
        <f t="shared" si="88"/>
        <v>39.047249999999998</v>
      </c>
      <c r="I2850" t="s">
        <v>179</v>
      </c>
      <c r="J2850" s="33">
        <v>0</v>
      </c>
      <c r="K2850" s="18">
        <v>550</v>
      </c>
      <c r="L2850" s="52">
        <f t="shared" si="89"/>
        <v>41.25</v>
      </c>
    </row>
    <row r="2851" spans="1:12">
      <c r="A2851" t="s">
        <v>601</v>
      </c>
      <c r="B2851" t="s">
        <v>346</v>
      </c>
      <c r="C2851" t="s">
        <v>993</v>
      </c>
      <c r="D2851" s="3" t="s">
        <v>855</v>
      </c>
      <c r="E2851" s="4">
        <v>0.04</v>
      </c>
      <c r="F2851" s="7" t="s">
        <v>176</v>
      </c>
      <c r="G2851" s="9">
        <v>2400</v>
      </c>
      <c r="H2851" s="9">
        <f t="shared" si="88"/>
        <v>96</v>
      </c>
      <c r="I2851" t="s">
        <v>179</v>
      </c>
      <c r="J2851" s="33">
        <v>0</v>
      </c>
      <c r="K2851" s="18">
        <f>VLOOKUP(D2851,Ingredients!C:G,5,0)</f>
        <v>1600</v>
      </c>
      <c r="L2851" s="52">
        <f t="shared" si="89"/>
        <v>64</v>
      </c>
    </row>
    <row r="2852" spans="1:12">
      <c r="A2852" t="s">
        <v>601</v>
      </c>
      <c r="B2852" t="s">
        <v>346</v>
      </c>
      <c r="C2852" t="s">
        <v>993</v>
      </c>
      <c r="D2852" s="3" t="s">
        <v>16</v>
      </c>
      <c r="E2852" s="4">
        <v>0.2</v>
      </c>
      <c r="F2852" s="7" t="s">
        <v>176</v>
      </c>
      <c r="G2852" s="9">
        <v>270</v>
      </c>
      <c r="H2852" s="9">
        <f t="shared" si="88"/>
        <v>54</v>
      </c>
      <c r="I2852" t="s">
        <v>179</v>
      </c>
      <c r="J2852" s="33">
        <v>0</v>
      </c>
      <c r="K2852" s="18">
        <f>VLOOKUP(D2852,Ingredients!C:G,5,0)</f>
        <v>310</v>
      </c>
      <c r="L2852" s="52">
        <f t="shared" si="89"/>
        <v>62</v>
      </c>
    </row>
    <row r="2853" spans="1:12">
      <c r="A2853" t="s">
        <v>601</v>
      </c>
      <c r="B2853" t="s">
        <v>346</v>
      </c>
      <c r="C2853" t="s">
        <v>993</v>
      </c>
      <c r="D2853" s="3" t="s">
        <v>856</v>
      </c>
      <c r="E2853" s="4">
        <v>3.5000000000000003E-2</v>
      </c>
      <c r="F2853" s="7" t="s">
        <v>176</v>
      </c>
      <c r="G2853" s="9">
        <v>850</v>
      </c>
      <c r="H2853" s="9">
        <f t="shared" si="88"/>
        <v>29.750000000000004</v>
      </c>
      <c r="I2853" t="s">
        <v>179</v>
      </c>
      <c r="J2853" s="33">
        <v>0</v>
      </c>
      <c r="K2853" s="18">
        <f>VLOOKUP(D2853,Ingredients!C:G,5,0)</f>
        <v>980</v>
      </c>
      <c r="L2853" s="52">
        <f t="shared" si="89"/>
        <v>34.300000000000004</v>
      </c>
    </row>
    <row r="2854" spans="1:12">
      <c r="A2854" t="s">
        <v>601</v>
      </c>
      <c r="B2854" t="s">
        <v>346</v>
      </c>
      <c r="C2854" t="s">
        <v>993</v>
      </c>
      <c r="D2854" s="3" t="s">
        <v>148</v>
      </c>
      <c r="E2854" s="4">
        <v>0.5</v>
      </c>
      <c r="F2854" s="7" t="s">
        <v>252</v>
      </c>
      <c r="G2854" s="9">
        <v>5</v>
      </c>
      <c r="H2854" s="9">
        <f t="shared" si="88"/>
        <v>2.5</v>
      </c>
      <c r="I2854" t="s">
        <v>179</v>
      </c>
      <c r="J2854" s="33">
        <v>0</v>
      </c>
      <c r="K2854" s="18">
        <f>VLOOKUP(D2854,Ingredients!C:G,5,0)</f>
        <v>5</v>
      </c>
      <c r="L2854" s="52">
        <f t="shared" si="89"/>
        <v>2.5</v>
      </c>
    </row>
    <row r="2855" spans="1:12">
      <c r="A2855" t="s">
        <v>601</v>
      </c>
      <c r="B2855" t="s">
        <v>346</v>
      </c>
      <c r="C2855" t="s">
        <v>993</v>
      </c>
      <c r="D2855" s="3" t="s">
        <v>50</v>
      </c>
      <c r="E2855" s="4">
        <v>0.1</v>
      </c>
      <c r="F2855" s="7" t="s">
        <v>176</v>
      </c>
      <c r="G2855" s="9">
        <v>120</v>
      </c>
      <c r="H2855" s="9">
        <f t="shared" si="88"/>
        <v>12</v>
      </c>
      <c r="I2855" t="s">
        <v>179</v>
      </c>
      <c r="J2855" s="33">
        <v>0</v>
      </c>
      <c r="K2855" s="18">
        <f>VLOOKUP(D2855,Ingredients!C:G,5,0)</f>
        <v>120</v>
      </c>
      <c r="L2855" s="52">
        <f t="shared" si="89"/>
        <v>12</v>
      </c>
    </row>
    <row r="2856" spans="1:12">
      <c r="A2856" t="s">
        <v>602</v>
      </c>
      <c r="B2856" t="s">
        <v>349</v>
      </c>
      <c r="C2856" t="s">
        <v>353</v>
      </c>
      <c r="D2856" s="33" t="s">
        <v>491</v>
      </c>
      <c r="E2856" s="11">
        <v>1</v>
      </c>
      <c r="F2856" s="7" t="s">
        <v>176</v>
      </c>
      <c r="G2856" s="9">
        <v>614</v>
      </c>
      <c r="H2856" s="9">
        <f t="shared" si="88"/>
        <v>614</v>
      </c>
      <c r="I2856" t="s">
        <v>179</v>
      </c>
      <c r="J2856" s="33" t="s">
        <v>491</v>
      </c>
      <c r="K2856" s="18">
        <f>VLOOKUP(D2856,Ingredients!C:G,5,0)</f>
        <v>650</v>
      </c>
      <c r="L2856" s="52">
        <f t="shared" si="89"/>
        <v>650</v>
      </c>
    </row>
    <row r="2857" spans="1:12">
      <c r="A2857" t="s">
        <v>602</v>
      </c>
      <c r="B2857" t="s">
        <v>349</v>
      </c>
      <c r="C2857" t="s">
        <v>353</v>
      </c>
      <c r="D2857" s="3" t="s">
        <v>884</v>
      </c>
      <c r="E2857" s="11">
        <v>1.2338425381903644</v>
      </c>
      <c r="F2857" s="7" t="s">
        <v>179</v>
      </c>
      <c r="G2857" s="9">
        <v>344</v>
      </c>
      <c r="H2857" s="9">
        <f t="shared" si="88"/>
        <v>424.44183313748533</v>
      </c>
      <c r="I2857" t="s">
        <v>179</v>
      </c>
      <c r="J2857" s="33" t="s">
        <v>491</v>
      </c>
      <c r="K2857" s="18">
        <f>VLOOKUP(D2857,Ingredients!C:G,5,0)</f>
        <v>344</v>
      </c>
      <c r="L2857" s="52">
        <f t="shared" si="89"/>
        <v>424.44183313748533</v>
      </c>
    </row>
    <row r="2858" spans="1:12">
      <c r="A2858" t="s">
        <v>602</v>
      </c>
      <c r="B2858" t="s">
        <v>349</v>
      </c>
      <c r="C2858" t="s">
        <v>353</v>
      </c>
      <c r="D2858" s="3" t="s">
        <v>852</v>
      </c>
      <c r="E2858" s="11">
        <v>0.10575793184488837</v>
      </c>
      <c r="F2858" s="7" t="s">
        <v>190</v>
      </c>
      <c r="G2858" s="9">
        <v>520.63</v>
      </c>
      <c r="H2858" s="9">
        <f t="shared" si="88"/>
        <v>55.060752056404233</v>
      </c>
      <c r="I2858" t="s">
        <v>179</v>
      </c>
      <c r="J2858" s="33" t="s">
        <v>491</v>
      </c>
      <c r="K2858" s="18">
        <v>550</v>
      </c>
      <c r="L2858" s="52">
        <f t="shared" si="89"/>
        <v>58.166862514688603</v>
      </c>
    </row>
    <row r="2859" spans="1:12">
      <c r="A2859" t="s">
        <v>602</v>
      </c>
      <c r="B2859" t="s">
        <v>349</v>
      </c>
      <c r="C2859" t="s">
        <v>353</v>
      </c>
      <c r="D2859" s="3" t="s">
        <v>73</v>
      </c>
      <c r="E2859" s="11">
        <v>0.27144535840188017</v>
      </c>
      <c r="F2859" s="7" t="s">
        <v>179</v>
      </c>
      <c r="G2859" s="9">
        <v>305</v>
      </c>
      <c r="H2859" s="9">
        <f t="shared" si="88"/>
        <v>82.790834312573452</v>
      </c>
      <c r="I2859" t="s">
        <v>179</v>
      </c>
      <c r="J2859" s="33" t="s">
        <v>491</v>
      </c>
      <c r="K2859" s="18">
        <f>VLOOKUP(D2859,Ingredients!C:G,5,0)</f>
        <v>300</v>
      </c>
      <c r="L2859" s="52">
        <f t="shared" si="89"/>
        <v>81.433607520564053</v>
      </c>
    </row>
    <row r="2860" spans="1:12">
      <c r="A2860" t="s">
        <v>602</v>
      </c>
      <c r="B2860" t="s">
        <v>349</v>
      </c>
      <c r="C2860" t="s">
        <v>353</v>
      </c>
      <c r="D2860" s="3" t="s">
        <v>955</v>
      </c>
      <c r="E2860" s="11">
        <v>1.4806110458284371E-3</v>
      </c>
      <c r="F2860" s="7" t="s">
        <v>179</v>
      </c>
      <c r="G2860" s="9">
        <v>3600</v>
      </c>
      <c r="H2860" s="9">
        <f t="shared" si="88"/>
        <v>5.3301997649823738</v>
      </c>
      <c r="I2860" t="s">
        <v>179</v>
      </c>
      <c r="J2860" s="33" t="s">
        <v>491</v>
      </c>
      <c r="K2860" s="18">
        <f>VLOOKUP(D2860,Ingredients!C:G,5,0)</f>
        <v>3400</v>
      </c>
      <c r="L2860" s="52">
        <f t="shared" si="89"/>
        <v>5.0340775558166859</v>
      </c>
    </row>
    <row r="2861" spans="1:12">
      <c r="A2861" t="s">
        <v>602</v>
      </c>
      <c r="B2861" t="s">
        <v>349</v>
      </c>
      <c r="C2861" t="s">
        <v>353</v>
      </c>
      <c r="D2861" s="3" t="s">
        <v>898</v>
      </c>
      <c r="E2861" s="11">
        <v>1.4806110458284371E-3</v>
      </c>
      <c r="F2861" s="7" t="s">
        <v>179</v>
      </c>
      <c r="G2861" s="9">
        <v>290</v>
      </c>
      <c r="H2861" s="9">
        <f t="shared" ref="H2861:H2924" si="90">G2861*E2861</f>
        <v>0.42937720329024676</v>
      </c>
      <c r="I2861" t="s">
        <v>179</v>
      </c>
      <c r="J2861" s="33" t="s">
        <v>491</v>
      </c>
      <c r="K2861" s="18">
        <f>VLOOKUP(D2861,Ingredients!C:G,5,0)</f>
        <v>290</v>
      </c>
      <c r="L2861" s="52">
        <f t="shared" si="89"/>
        <v>0.42937720329024676</v>
      </c>
    </row>
    <row r="2862" spans="1:12">
      <c r="A2862" t="s">
        <v>602</v>
      </c>
      <c r="B2862" t="s">
        <v>349</v>
      </c>
      <c r="C2862" t="s">
        <v>353</v>
      </c>
      <c r="D2862" s="3" t="s">
        <v>926</v>
      </c>
      <c r="E2862" s="11">
        <v>3.5252643948296122E-2</v>
      </c>
      <c r="F2862" s="7" t="s">
        <v>300</v>
      </c>
      <c r="G2862" s="9">
        <v>62.5</v>
      </c>
      <c r="H2862" s="9">
        <f t="shared" si="90"/>
        <v>2.2032902467685078</v>
      </c>
      <c r="I2862" t="s">
        <v>179</v>
      </c>
      <c r="J2862" s="33" t="s">
        <v>491</v>
      </c>
      <c r="K2862" s="18">
        <f>VLOOKUP(D2862,Ingredients!C:F,3,0)</f>
        <v>50</v>
      </c>
      <c r="L2862" s="52">
        <f t="shared" si="89"/>
        <v>1.762632197414806</v>
      </c>
    </row>
    <row r="2863" spans="1:12">
      <c r="A2863" t="s">
        <v>602</v>
      </c>
      <c r="B2863" t="s">
        <v>349</v>
      </c>
      <c r="C2863" t="s">
        <v>353</v>
      </c>
      <c r="D2863" s="3" t="s">
        <v>882</v>
      </c>
      <c r="E2863" s="11">
        <v>1.4806110458284371E-3</v>
      </c>
      <c r="F2863" s="7" t="s">
        <v>179</v>
      </c>
      <c r="G2863" s="9">
        <v>1500</v>
      </c>
      <c r="H2863" s="9">
        <f t="shared" si="90"/>
        <v>2.2209165687426555</v>
      </c>
      <c r="I2863" t="s">
        <v>179</v>
      </c>
      <c r="J2863" s="33" t="s">
        <v>491</v>
      </c>
      <c r="K2863" s="18">
        <f>VLOOKUP(D2863,Ingredients!C:G,5,0)</f>
        <v>1450</v>
      </c>
      <c r="L2863" s="52">
        <f t="shared" si="89"/>
        <v>2.146886016451234</v>
      </c>
    </row>
    <row r="2864" spans="1:12">
      <c r="A2864" t="s">
        <v>602</v>
      </c>
      <c r="B2864" t="s">
        <v>349</v>
      </c>
      <c r="C2864" t="s">
        <v>353</v>
      </c>
      <c r="D2864" s="3" t="s">
        <v>880</v>
      </c>
      <c r="E2864" s="11">
        <v>9.8707403055229154E-3</v>
      </c>
      <c r="F2864" s="7" t="s">
        <v>179</v>
      </c>
      <c r="G2864" s="9">
        <v>650</v>
      </c>
      <c r="H2864" s="9">
        <f t="shared" si="90"/>
        <v>6.4159811985898951</v>
      </c>
      <c r="I2864" t="s">
        <v>179</v>
      </c>
      <c r="J2864" s="33" t="s">
        <v>491</v>
      </c>
      <c r="K2864" s="18">
        <f>VLOOKUP(D2864,Ingredients!C:G,5,0)</f>
        <v>520</v>
      </c>
      <c r="L2864" s="52">
        <f t="shared" si="89"/>
        <v>5.1327849588719161</v>
      </c>
    </row>
    <row r="2865" spans="1:12">
      <c r="A2865" t="s">
        <v>602</v>
      </c>
      <c r="B2865" t="s">
        <v>349</v>
      </c>
      <c r="C2865" t="s">
        <v>353</v>
      </c>
      <c r="D2865" s="3" t="s">
        <v>28</v>
      </c>
      <c r="E2865" s="11">
        <v>0.21386603995299647</v>
      </c>
      <c r="F2865" s="7" t="s">
        <v>179</v>
      </c>
      <c r="G2865" s="9">
        <v>85</v>
      </c>
      <c r="H2865" s="9">
        <f t="shared" si="90"/>
        <v>18.1786133960047</v>
      </c>
      <c r="I2865" t="s">
        <v>179</v>
      </c>
      <c r="J2865" s="33" t="s">
        <v>491</v>
      </c>
      <c r="K2865" s="18">
        <f>VLOOKUP(D2865,Ingredients!C:G,5,0)</f>
        <v>70</v>
      </c>
      <c r="L2865" s="52">
        <f t="shared" si="89"/>
        <v>14.970622796709753</v>
      </c>
    </row>
    <row r="2866" spans="1:12">
      <c r="A2866" t="s">
        <v>602</v>
      </c>
      <c r="B2866" t="s">
        <v>349</v>
      </c>
      <c r="C2866" t="s">
        <v>353</v>
      </c>
      <c r="D2866" s="3" t="s">
        <v>273</v>
      </c>
      <c r="E2866" s="11">
        <v>5.2878965922444184E-2</v>
      </c>
      <c r="F2866" s="7" t="s">
        <v>179</v>
      </c>
      <c r="G2866" s="9">
        <v>175</v>
      </c>
      <c r="H2866" s="9">
        <f t="shared" si="90"/>
        <v>9.253819036427732</v>
      </c>
      <c r="I2866" t="s">
        <v>179</v>
      </c>
      <c r="J2866" s="33" t="s">
        <v>491</v>
      </c>
      <c r="K2866" s="18">
        <f>VLOOKUP(D2866,Ingredients!C:G,5,0)</f>
        <v>200</v>
      </c>
      <c r="L2866" s="52">
        <f t="shared" si="89"/>
        <v>10.575793184488838</v>
      </c>
    </row>
    <row r="2867" spans="1:12">
      <c r="A2867" t="s">
        <v>602</v>
      </c>
      <c r="B2867" t="s">
        <v>349</v>
      </c>
      <c r="C2867" t="s">
        <v>353</v>
      </c>
      <c r="D2867" s="3" t="s">
        <v>301</v>
      </c>
      <c r="E2867" s="11">
        <v>2.1151586368977675E-2</v>
      </c>
      <c r="F2867" s="7" t="s">
        <v>300</v>
      </c>
      <c r="G2867" s="9">
        <v>70</v>
      </c>
      <c r="H2867" s="9">
        <f t="shared" si="90"/>
        <v>1.4806110458284372</v>
      </c>
      <c r="I2867" t="s">
        <v>179</v>
      </c>
      <c r="J2867" s="33" t="s">
        <v>491</v>
      </c>
      <c r="K2867" s="18">
        <f>VLOOKUP(D2867,Ingredients!C:G,5,0)</f>
        <v>70</v>
      </c>
      <c r="L2867" s="52">
        <f t="shared" si="89"/>
        <v>1.4806110458284372</v>
      </c>
    </row>
    <row r="2868" spans="1:12">
      <c r="A2868" t="s">
        <v>602</v>
      </c>
      <c r="B2868" t="s">
        <v>349</v>
      </c>
      <c r="C2868" t="s">
        <v>353</v>
      </c>
      <c r="D2868" s="3" t="s">
        <v>895</v>
      </c>
      <c r="E2868" s="11">
        <v>1.4101057579318449E-3</v>
      </c>
      <c r="F2868" s="7" t="s">
        <v>179</v>
      </c>
      <c r="G2868" s="9">
        <v>400</v>
      </c>
      <c r="H2868" s="9">
        <f t="shared" si="90"/>
        <v>0.56404230317273796</v>
      </c>
      <c r="I2868" t="s">
        <v>179</v>
      </c>
      <c r="J2868" s="33" t="s">
        <v>491</v>
      </c>
      <c r="K2868" s="18">
        <f>VLOOKUP(D2868,Ingredients!C:G,5,0)</f>
        <v>400</v>
      </c>
      <c r="L2868" s="52">
        <f t="shared" si="89"/>
        <v>0.56404230317273796</v>
      </c>
    </row>
    <row r="2869" spans="1:12">
      <c r="A2869" t="s">
        <v>602</v>
      </c>
      <c r="B2869" t="s">
        <v>349</v>
      </c>
      <c r="C2869" t="s">
        <v>353</v>
      </c>
      <c r="D2869" s="3" t="s">
        <v>927</v>
      </c>
      <c r="E2869" s="11">
        <v>5.2878965922444184E-2</v>
      </c>
      <c r="F2869" s="7" t="s">
        <v>179</v>
      </c>
      <c r="G2869" s="9">
        <v>600</v>
      </c>
      <c r="H2869" s="9">
        <f t="shared" si="90"/>
        <v>31.727379553466509</v>
      </c>
      <c r="I2869" t="s">
        <v>179</v>
      </c>
      <c r="J2869" s="33" t="s">
        <v>491</v>
      </c>
      <c r="K2869" s="18">
        <f>VLOOKUP(D2869,Ingredients!C:G,5,0)</f>
        <v>600</v>
      </c>
      <c r="L2869" s="52">
        <f t="shared" si="89"/>
        <v>31.727379553466509</v>
      </c>
    </row>
    <row r="2870" spans="1:12">
      <c r="A2870" t="s">
        <v>602</v>
      </c>
      <c r="B2870" t="s">
        <v>349</v>
      </c>
      <c r="C2870" t="s">
        <v>353</v>
      </c>
      <c r="D2870" s="3" t="s">
        <v>855</v>
      </c>
      <c r="E2870" s="11">
        <v>1.4806110458284371E-3</v>
      </c>
      <c r="F2870" s="7" t="s">
        <v>179</v>
      </c>
      <c r="G2870" s="9">
        <v>2400</v>
      </c>
      <c r="H2870" s="9">
        <f t="shared" si="90"/>
        <v>3.5534665099882492</v>
      </c>
      <c r="I2870" t="s">
        <v>179</v>
      </c>
      <c r="J2870" s="33" t="s">
        <v>491</v>
      </c>
      <c r="K2870" s="18">
        <f>VLOOKUP(D2870,Ingredients!C:G,5,0)</f>
        <v>1600</v>
      </c>
      <c r="L2870" s="52">
        <f t="shared" si="89"/>
        <v>2.3689776733254995</v>
      </c>
    </row>
    <row r="2871" spans="1:12">
      <c r="A2871" t="s">
        <v>602</v>
      </c>
      <c r="B2871" t="s">
        <v>349</v>
      </c>
      <c r="C2871" t="s">
        <v>353</v>
      </c>
      <c r="D2871" s="3" t="s">
        <v>858</v>
      </c>
      <c r="E2871" s="11">
        <v>1.4806110458284371E-3</v>
      </c>
      <c r="F2871" s="7" t="s">
        <v>179</v>
      </c>
      <c r="G2871" s="9">
        <v>1900</v>
      </c>
      <c r="H2871" s="9">
        <f t="shared" si="90"/>
        <v>2.8131609870740304</v>
      </c>
      <c r="I2871" t="s">
        <v>179</v>
      </c>
      <c r="J2871" s="33" t="s">
        <v>491</v>
      </c>
      <c r="K2871" s="18">
        <f>VLOOKUP(D2871,Ingredients!C:G,5,0)</f>
        <v>1900</v>
      </c>
      <c r="L2871" s="52">
        <f t="shared" si="89"/>
        <v>2.8131609870740304</v>
      </c>
    </row>
    <row r="2872" spans="1:12">
      <c r="A2872" t="s">
        <v>602</v>
      </c>
      <c r="B2872" t="s">
        <v>349</v>
      </c>
      <c r="C2872" t="s">
        <v>353</v>
      </c>
      <c r="D2872" s="3" t="s">
        <v>862</v>
      </c>
      <c r="E2872" s="11">
        <v>1.4806110458284371E-3</v>
      </c>
      <c r="F2872" s="7" t="s">
        <v>179</v>
      </c>
      <c r="G2872" s="9">
        <v>6500</v>
      </c>
      <c r="H2872" s="9">
        <f t="shared" si="90"/>
        <v>9.6239717978848418</v>
      </c>
      <c r="I2872" t="s">
        <v>179</v>
      </c>
      <c r="J2872" s="33" t="s">
        <v>491</v>
      </c>
      <c r="K2872" s="18">
        <f>VLOOKUP(D2872,Ingredients!C:G,5,0)</f>
        <v>6500</v>
      </c>
      <c r="L2872" s="52">
        <f t="shared" si="89"/>
        <v>9.6239717978848418</v>
      </c>
    </row>
    <row r="2873" spans="1:12">
      <c r="A2873" t="s">
        <v>602</v>
      </c>
      <c r="B2873" t="s">
        <v>349</v>
      </c>
      <c r="C2873" t="s">
        <v>353</v>
      </c>
      <c r="D2873" s="3" t="s">
        <v>954</v>
      </c>
      <c r="E2873" s="11">
        <v>1.4806110458284371E-3</v>
      </c>
      <c r="F2873" s="7" t="s">
        <v>179</v>
      </c>
      <c r="G2873" s="9">
        <v>1900</v>
      </c>
      <c r="H2873" s="9">
        <f t="shared" si="90"/>
        <v>2.8131609870740304</v>
      </c>
      <c r="I2873" t="s">
        <v>179</v>
      </c>
      <c r="J2873" s="33" t="s">
        <v>491</v>
      </c>
      <c r="K2873" s="18">
        <f>VLOOKUP(D2873,Ingredients!C:G,5,0)</f>
        <v>2000</v>
      </c>
      <c r="L2873" s="52">
        <f t="shared" si="89"/>
        <v>2.9612220916568743</v>
      </c>
    </row>
    <row r="2874" spans="1:12">
      <c r="A2874" t="s">
        <v>602</v>
      </c>
      <c r="B2874" t="s">
        <v>349</v>
      </c>
      <c r="C2874" t="s">
        <v>353</v>
      </c>
      <c r="D2874" s="3" t="s">
        <v>29</v>
      </c>
      <c r="E2874" s="11">
        <v>5.8754406580493537E-3</v>
      </c>
      <c r="F2874" s="7" t="s">
        <v>179</v>
      </c>
      <c r="G2874" s="9">
        <v>60</v>
      </c>
      <c r="H2874" s="9">
        <f t="shared" si="90"/>
        <v>0.35252643948296125</v>
      </c>
      <c r="I2874" t="s">
        <v>179</v>
      </c>
      <c r="J2874" s="33" t="s">
        <v>491</v>
      </c>
      <c r="K2874" s="18">
        <f>VLOOKUP(D2874,Ingredients!C:G,5,0)</f>
        <v>100</v>
      </c>
      <c r="L2874" s="52">
        <f t="shared" si="89"/>
        <v>0.58754406580493534</v>
      </c>
    </row>
    <row r="2875" spans="1:12">
      <c r="A2875" t="s">
        <v>602</v>
      </c>
      <c r="B2875" t="s">
        <v>349</v>
      </c>
      <c r="C2875" t="s">
        <v>353</v>
      </c>
      <c r="D2875" s="3" t="s">
        <v>7</v>
      </c>
      <c r="E2875" s="11">
        <v>0.21386603995299647</v>
      </c>
      <c r="F2875" s="7" t="s">
        <v>297</v>
      </c>
      <c r="G2875" s="9">
        <v>8</v>
      </c>
      <c r="H2875" s="9">
        <f t="shared" si="90"/>
        <v>1.7109283196239717</v>
      </c>
      <c r="I2875" t="s">
        <v>179</v>
      </c>
      <c r="J2875" s="33" t="s">
        <v>491</v>
      </c>
      <c r="K2875" s="18">
        <f>VLOOKUP(D2875,Ingredients!C:G,5,0)</f>
        <v>6</v>
      </c>
      <c r="L2875" s="52">
        <f t="shared" si="89"/>
        <v>1.2831962397179788</v>
      </c>
    </row>
    <row r="2876" spans="1:12">
      <c r="A2876" t="s">
        <v>602</v>
      </c>
      <c r="B2876" t="s">
        <v>349</v>
      </c>
      <c r="C2876" t="s">
        <v>353</v>
      </c>
      <c r="D2876" s="3" t="s">
        <v>35</v>
      </c>
      <c r="E2876" s="11">
        <v>0.21386603995299647</v>
      </c>
      <c r="F2876" s="7" t="s">
        <v>297</v>
      </c>
      <c r="G2876" s="9">
        <v>13</v>
      </c>
      <c r="H2876" s="9">
        <f t="shared" si="90"/>
        <v>2.780258519388954</v>
      </c>
      <c r="I2876" t="s">
        <v>179</v>
      </c>
      <c r="J2876" s="33" t="s">
        <v>491</v>
      </c>
      <c r="K2876" s="18">
        <f>VLOOKUP(D2876,Ingredients!C:G,5,0)</f>
        <v>15</v>
      </c>
      <c r="L2876" s="52">
        <f t="shared" si="89"/>
        <v>3.2079905992949471</v>
      </c>
    </row>
    <row r="2877" spans="1:12">
      <c r="A2877" t="s">
        <v>602</v>
      </c>
      <c r="B2877" t="s">
        <v>349</v>
      </c>
      <c r="C2877" t="s">
        <v>353</v>
      </c>
      <c r="D2877" s="3" t="s">
        <v>849</v>
      </c>
      <c r="E2877" s="11">
        <v>2.4676850763807288E-3</v>
      </c>
      <c r="F2877" s="7" t="s">
        <v>179</v>
      </c>
      <c r="G2877" s="9">
        <v>1000</v>
      </c>
      <c r="H2877" s="9">
        <f t="shared" si="90"/>
        <v>2.4676850763807288</v>
      </c>
      <c r="I2877" t="s">
        <v>179</v>
      </c>
      <c r="J2877" s="33" t="s">
        <v>491</v>
      </c>
      <c r="K2877" s="18">
        <f>VLOOKUP(D2877,Ingredients!C:G,5,0)</f>
        <v>950</v>
      </c>
      <c r="L2877" s="52">
        <f t="shared" si="89"/>
        <v>2.3443008225616926</v>
      </c>
    </row>
    <row r="2878" spans="1:12">
      <c r="A2878" t="s">
        <v>602</v>
      </c>
      <c r="B2878" t="s">
        <v>349</v>
      </c>
      <c r="C2878" t="s">
        <v>353</v>
      </c>
      <c r="D2878" s="3" t="s">
        <v>860</v>
      </c>
      <c r="E2878" s="11">
        <v>3.1727379553466513E-3</v>
      </c>
      <c r="F2878" s="7" t="s">
        <v>179</v>
      </c>
      <c r="G2878" s="9">
        <v>2000</v>
      </c>
      <c r="H2878" s="9">
        <f t="shared" si="90"/>
        <v>6.3454759106933025</v>
      </c>
      <c r="I2878" t="s">
        <v>179</v>
      </c>
      <c r="J2878" s="33" t="s">
        <v>491</v>
      </c>
      <c r="K2878" s="18">
        <f>VLOOKUP(D2878,Ingredients!C:G,5,0)</f>
        <v>1900</v>
      </c>
      <c r="L2878" s="52">
        <f t="shared" si="89"/>
        <v>6.0282021151586376</v>
      </c>
    </row>
    <row r="2879" spans="1:12">
      <c r="A2879" t="s">
        <v>602</v>
      </c>
      <c r="B2879" t="s">
        <v>349</v>
      </c>
      <c r="C2879" t="s">
        <v>353</v>
      </c>
      <c r="D2879" s="3" t="s">
        <v>853</v>
      </c>
      <c r="E2879" s="11">
        <v>0.21386603995299647</v>
      </c>
      <c r="F2879" s="7" t="s">
        <v>179</v>
      </c>
      <c r="G2879" s="9">
        <v>30</v>
      </c>
      <c r="H2879" s="9">
        <f t="shared" si="90"/>
        <v>6.4159811985898942</v>
      </c>
      <c r="I2879" t="s">
        <v>179</v>
      </c>
      <c r="J2879" s="33" t="s">
        <v>491</v>
      </c>
      <c r="K2879" s="18">
        <f>VLOOKUP(D2879,Ingredients!C:G,5,0)</f>
        <v>55</v>
      </c>
      <c r="L2879" s="52">
        <f t="shared" si="89"/>
        <v>11.762632197414806</v>
      </c>
    </row>
    <row r="2880" spans="1:12">
      <c r="A2880" t="s">
        <v>602</v>
      </c>
      <c r="B2880" t="s">
        <v>349</v>
      </c>
      <c r="C2880" t="s">
        <v>353</v>
      </c>
      <c r="D2880" s="3" t="s">
        <v>928</v>
      </c>
      <c r="E2880" s="11">
        <v>1.4806110458284371E-3</v>
      </c>
      <c r="F2880" s="7" t="s">
        <v>179</v>
      </c>
      <c r="G2880" s="9">
        <v>850</v>
      </c>
      <c r="H2880" s="9">
        <f t="shared" si="90"/>
        <v>1.2585193889541715</v>
      </c>
      <c r="I2880" t="s">
        <v>179</v>
      </c>
      <c r="J2880" s="33" t="s">
        <v>491</v>
      </c>
      <c r="K2880" s="18">
        <f>VLOOKUP(D2880,Ingredients!C:G,5,0)</f>
        <v>900</v>
      </c>
      <c r="L2880" s="52">
        <f t="shared" si="89"/>
        <v>1.3325499412455935</v>
      </c>
    </row>
    <row r="2881" spans="1:12">
      <c r="A2881" t="s">
        <v>602</v>
      </c>
      <c r="B2881" t="s">
        <v>349</v>
      </c>
      <c r="C2881" t="s">
        <v>353</v>
      </c>
      <c r="D2881" s="3" t="s">
        <v>50</v>
      </c>
      <c r="E2881" s="11">
        <v>2.5851938895417155E-2</v>
      </c>
      <c r="F2881" s="7" t="s">
        <v>179</v>
      </c>
      <c r="G2881" s="9">
        <v>120</v>
      </c>
      <c r="H2881" s="9">
        <f t="shared" si="90"/>
        <v>3.1022326674500587</v>
      </c>
      <c r="I2881" t="s">
        <v>179</v>
      </c>
      <c r="J2881" s="33" t="s">
        <v>491</v>
      </c>
      <c r="K2881" s="18">
        <f>VLOOKUP(D2881,Ingredients!C:G,5,0)</f>
        <v>120</v>
      </c>
      <c r="L2881" s="52">
        <f t="shared" si="89"/>
        <v>3.1022326674500587</v>
      </c>
    </row>
    <row r="2882" spans="1:12">
      <c r="A2882" t="s">
        <v>602</v>
      </c>
      <c r="B2882" t="s">
        <v>349</v>
      </c>
      <c r="C2882" t="s">
        <v>353</v>
      </c>
      <c r="D2882" s="3" t="s">
        <v>915</v>
      </c>
      <c r="E2882" s="11">
        <v>1.4806110458284371E-3</v>
      </c>
      <c r="F2882" s="7" t="s">
        <v>179</v>
      </c>
      <c r="G2882" s="9">
        <v>5000</v>
      </c>
      <c r="H2882" s="9">
        <f t="shared" si="90"/>
        <v>7.4030552291421854</v>
      </c>
      <c r="I2882" t="s">
        <v>179</v>
      </c>
      <c r="J2882" s="33" t="s">
        <v>491</v>
      </c>
      <c r="K2882" s="18">
        <f>VLOOKUP(D2882,Ingredients!C:G,5,0)</f>
        <v>3200</v>
      </c>
      <c r="L2882" s="52">
        <f t="shared" si="89"/>
        <v>4.7379553466509989</v>
      </c>
    </row>
    <row r="2883" spans="1:12">
      <c r="A2883" t="s">
        <v>602</v>
      </c>
      <c r="B2883" t="s">
        <v>349</v>
      </c>
      <c r="C2883" t="s">
        <v>353</v>
      </c>
      <c r="D2883" s="3" t="s">
        <v>929</v>
      </c>
      <c r="E2883" s="11">
        <v>1.4806110458284371E-2</v>
      </c>
      <c r="F2883" s="7" t="s">
        <v>179</v>
      </c>
      <c r="G2883" s="9">
        <v>650</v>
      </c>
      <c r="H2883" s="9">
        <f t="shared" si="90"/>
        <v>9.6239717978848418</v>
      </c>
      <c r="I2883" t="s">
        <v>179</v>
      </c>
      <c r="J2883" s="33" t="s">
        <v>491</v>
      </c>
      <c r="K2883" s="18">
        <f>VLOOKUP(D2883,Ingredients!C:G,5,0)</f>
        <v>650</v>
      </c>
      <c r="L2883" s="52">
        <f t="shared" si="89"/>
        <v>9.6239717978848418</v>
      </c>
    </row>
    <row r="2884" spans="1:12">
      <c r="A2884" t="s">
        <v>602</v>
      </c>
      <c r="B2884" t="s">
        <v>349</v>
      </c>
      <c r="C2884" t="s">
        <v>353</v>
      </c>
      <c r="D2884" s="3" t="s">
        <v>23</v>
      </c>
      <c r="E2884" s="11">
        <v>7.4030552291421857E-3</v>
      </c>
      <c r="F2884" s="7" t="s">
        <v>179</v>
      </c>
      <c r="G2884" s="9">
        <v>740</v>
      </c>
      <c r="H2884" s="9">
        <f t="shared" si="90"/>
        <v>5.4782608695652177</v>
      </c>
      <c r="I2884" t="s">
        <v>179</v>
      </c>
      <c r="J2884" s="33" t="s">
        <v>491</v>
      </c>
      <c r="K2884" s="18">
        <f>VLOOKUP(D2884,Ingredients!C:G,5,0)</f>
        <v>780</v>
      </c>
      <c r="L2884" s="52">
        <f t="shared" ref="L2884:L2947" si="91">K2884*E2884</f>
        <v>5.7743830787309047</v>
      </c>
    </row>
    <row r="2885" spans="1:12">
      <c r="A2885" t="s">
        <v>602</v>
      </c>
      <c r="B2885" t="s">
        <v>349</v>
      </c>
      <c r="C2885" t="s">
        <v>353</v>
      </c>
      <c r="D2885" s="3" t="s">
        <v>16</v>
      </c>
      <c r="E2885" s="11">
        <v>4.9353701527614577E-3</v>
      </c>
      <c r="F2885" s="7" t="s">
        <v>179</v>
      </c>
      <c r="G2885" s="9">
        <v>270</v>
      </c>
      <c r="H2885" s="9">
        <f t="shared" si="90"/>
        <v>1.3325499412455937</v>
      </c>
      <c r="I2885" t="s">
        <v>179</v>
      </c>
      <c r="J2885" s="33" t="s">
        <v>491</v>
      </c>
      <c r="K2885" s="18">
        <f>VLOOKUP(D2885,Ingredients!C:G,5,0)</f>
        <v>310</v>
      </c>
      <c r="L2885" s="52">
        <f t="shared" si="91"/>
        <v>1.5299647473560518</v>
      </c>
    </row>
    <row r="2886" spans="1:12">
      <c r="A2886" t="s">
        <v>602</v>
      </c>
      <c r="B2886" t="s">
        <v>349</v>
      </c>
      <c r="C2886" t="s">
        <v>353</v>
      </c>
      <c r="D2886" s="3" t="s">
        <v>923</v>
      </c>
      <c r="E2886" s="11">
        <v>2.4676850763807288E-3</v>
      </c>
      <c r="F2886" s="7" t="s">
        <v>179</v>
      </c>
      <c r="G2886" s="9">
        <v>100</v>
      </c>
      <c r="H2886" s="9">
        <f t="shared" si="90"/>
        <v>0.2467685076380729</v>
      </c>
      <c r="I2886" t="s">
        <v>179</v>
      </c>
      <c r="J2886" s="33" t="s">
        <v>491</v>
      </c>
      <c r="K2886" s="18">
        <f>VLOOKUP(D2886,Ingredients!C:G,5,0)</f>
        <v>1000</v>
      </c>
      <c r="L2886" s="52">
        <f t="shared" si="91"/>
        <v>2.4676850763807288</v>
      </c>
    </row>
    <row r="2887" spans="1:12">
      <c r="A2887" t="s">
        <v>602</v>
      </c>
      <c r="B2887" t="s">
        <v>349</v>
      </c>
      <c r="C2887" t="s">
        <v>353</v>
      </c>
      <c r="D2887" s="3" t="s">
        <v>867</v>
      </c>
      <c r="E2887" s="11">
        <v>2.4676850763807288E-3</v>
      </c>
      <c r="F2887" s="7" t="s">
        <v>179</v>
      </c>
      <c r="G2887" s="9">
        <v>900</v>
      </c>
      <c r="H2887" s="9">
        <f t="shared" si="90"/>
        <v>2.220916568742656</v>
      </c>
      <c r="I2887" t="s">
        <v>179</v>
      </c>
      <c r="J2887" s="33" t="s">
        <v>491</v>
      </c>
      <c r="K2887" s="18">
        <f>VLOOKUP(D2887,Ingredients!C:G,5,0)</f>
        <v>950</v>
      </c>
      <c r="L2887" s="52">
        <f t="shared" si="91"/>
        <v>2.3443008225616926</v>
      </c>
    </row>
    <row r="2888" spans="1:12">
      <c r="A2888" t="s">
        <v>603</v>
      </c>
      <c r="B2888" t="s">
        <v>346</v>
      </c>
      <c r="C2888" t="s">
        <v>993</v>
      </c>
      <c r="D2888" s="3" t="s">
        <v>935</v>
      </c>
      <c r="E2888" s="14">
        <v>1</v>
      </c>
      <c r="F2888" s="4" t="s">
        <v>176</v>
      </c>
      <c r="G2888" s="9">
        <v>230</v>
      </c>
      <c r="H2888" s="9">
        <f t="shared" si="90"/>
        <v>230</v>
      </c>
      <c r="I2888" t="s">
        <v>179</v>
      </c>
      <c r="J2888" s="33">
        <v>0</v>
      </c>
      <c r="K2888" s="18">
        <f>VLOOKUP(D2888,Ingredients!C:G,5,0)</f>
        <v>210</v>
      </c>
      <c r="L2888" s="52">
        <f t="shared" si="91"/>
        <v>210</v>
      </c>
    </row>
    <row r="2889" spans="1:12">
      <c r="A2889" t="s">
        <v>603</v>
      </c>
      <c r="B2889" t="s">
        <v>346</v>
      </c>
      <c r="C2889" t="s">
        <v>993</v>
      </c>
      <c r="D2889" s="3" t="s">
        <v>852</v>
      </c>
      <c r="E2889" s="14">
        <v>0.16666666666666666</v>
      </c>
      <c r="F2889" s="4" t="s">
        <v>176</v>
      </c>
      <c r="G2889" s="9">
        <v>520.63</v>
      </c>
      <c r="H2889" s="9">
        <f t="shared" si="90"/>
        <v>86.771666666666661</v>
      </c>
      <c r="I2889" t="s">
        <v>179</v>
      </c>
      <c r="J2889" s="33">
        <v>0</v>
      </c>
      <c r="K2889" s="18">
        <v>550</v>
      </c>
      <c r="L2889" s="52">
        <f t="shared" si="91"/>
        <v>91.666666666666657</v>
      </c>
    </row>
    <row r="2890" spans="1:12">
      <c r="A2890" t="s">
        <v>603</v>
      </c>
      <c r="B2890" t="s">
        <v>346</v>
      </c>
      <c r="C2890" t="s">
        <v>993</v>
      </c>
      <c r="D2890" s="3" t="s">
        <v>24</v>
      </c>
      <c r="E2890" s="14">
        <v>0.16666666666666666</v>
      </c>
      <c r="F2890" s="4" t="s">
        <v>176</v>
      </c>
      <c r="G2890" s="9">
        <v>55</v>
      </c>
      <c r="H2890" s="9">
        <f t="shared" si="90"/>
        <v>9.1666666666666661</v>
      </c>
      <c r="I2890" t="s">
        <v>179</v>
      </c>
      <c r="J2890" s="33">
        <v>0</v>
      </c>
      <c r="K2890" s="18">
        <f>VLOOKUP(D2890,Ingredients!C:G,5,0)</f>
        <v>80</v>
      </c>
      <c r="L2890" s="52">
        <f t="shared" si="91"/>
        <v>13.333333333333332</v>
      </c>
    </row>
    <row r="2891" spans="1:12">
      <c r="A2891" t="s">
        <v>603</v>
      </c>
      <c r="B2891" t="s">
        <v>346</v>
      </c>
      <c r="C2891" t="s">
        <v>993</v>
      </c>
      <c r="D2891" s="3" t="s">
        <v>28</v>
      </c>
      <c r="E2891" s="14">
        <v>0.5</v>
      </c>
      <c r="F2891" s="4" t="s">
        <v>176</v>
      </c>
      <c r="G2891" s="9">
        <v>85</v>
      </c>
      <c r="H2891" s="9">
        <f t="shared" si="90"/>
        <v>42.5</v>
      </c>
      <c r="I2891" t="s">
        <v>179</v>
      </c>
      <c r="J2891" s="33">
        <v>0</v>
      </c>
      <c r="K2891" s="18">
        <f>VLOOKUP(D2891,Ingredients!C:G,5,0)</f>
        <v>70</v>
      </c>
      <c r="L2891" s="52">
        <f t="shared" si="91"/>
        <v>35</v>
      </c>
    </row>
    <row r="2892" spans="1:12">
      <c r="A2892" t="s">
        <v>603</v>
      </c>
      <c r="B2892" t="s">
        <v>346</v>
      </c>
      <c r="C2892" t="s">
        <v>993</v>
      </c>
      <c r="D2892" s="3" t="s">
        <v>23</v>
      </c>
      <c r="E2892" s="14">
        <v>3.3333333333333333E-2</v>
      </c>
      <c r="F2892" s="4" t="s">
        <v>179</v>
      </c>
      <c r="G2892" s="9">
        <v>740</v>
      </c>
      <c r="H2892" s="9">
        <f t="shared" si="90"/>
        <v>24.666666666666668</v>
      </c>
      <c r="I2892" t="s">
        <v>179</v>
      </c>
      <c r="J2892" s="33">
        <v>0</v>
      </c>
      <c r="K2892" s="18">
        <f>VLOOKUP(D2892,Ingredients!C:G,5,0)</f>
        <v>780</v>
      </c>
      <c r="L2892" s="52">
        <f t="shared" si="91"/>
        <v>26</v>
      </c>
    </row>
    <row r="2893" spans="1:12">
      <c r="A2893" t="s">
        <v>603</v>
      </c>
      <c r="B2893" t="s">
        <v>346</v>
      </c>
      <c r="C2893" t="s">
        <v>993</v>
      </c>
      <c r="D2893" s="3" t="s">
        <v>867</v>
      </c>
      <c r="E2893" s="14">
        <v>6.6666666666666671E-3</v>
      </c>
      <c r="F2893" s="4" t="s">
        <v>179</v>
      </c>
      <c r="G2893" s="9">
        <v>900</v>
      </c>
      <c r="H2893" s="9">
        <f t="shared" si="90"/>
        <v>6</v>
      </c>
      <c r="I2893" t="s">
        <v>179</v>
      </c>
      <c r="J2893" s="33">
        <v>0</v>
      </c>
      <c r="K2893" s="18">
        <f>VLOOKUP(D2893,Ingredients!C:G,5,0)</f>
        <v>950</v>
      </c>
      <c r="L2893" s="52">
        <f t="shared" si="91"/>
        <v>6.3333333333333339</v>
      </c>
    </row>
    <row r="2894" spans="1:12">
      <c r="A2894" t="s">
        <v>603</v>
      </c>
      <c r="B2894" t="s">
        <v>346</v>
      </c>
      <c r="C2894" t="s">
        <v>993</v>
      </c>
      <c r="D2894" s="3" t="s">
        <v>853</v>
      </c>
      <c r="E2894" s="14">
        <v>6.6666666666666671E-3</v>
      </c>
      <c r="F2894" s="4" t="s">
        <v>179</v>
      </c>
      <c r="G2894" s="9">
        <v>30</v>
      </c>
      <c r="H2894" s="9">
        <f t="shared" si="90"/>
        <v>0.2</v>
      </c>
      <c r="I2894" t="s">
        <v>179</v>
      </c>
      <c r="J2894" s="33">
        <v>0</v>
      </c>
      <c r="K2894" s="18">
        <f>VLOOKUP(D2894,Ingredients!C:G,5,0)</f>
        <v>55</v>
      </c>
      <c r="L2894" s="52">
        <f t="shared" si="91"/>
        <v>0.3666666666666667</v>
      </c>
    </row>
    <row r="2895" spans="1:12">
      <c r="A2895" t="s">
        <v>603</v>
      </c>
      <c r="B2895" t="s">
        <v>346</v>
      </c>
      <c r="C2895" t="s">
        <v>993</v>
      </c>
      <c r="D2895" s="3" t="s">
        <v>880</v>
      </c>
      <c r="E2895" s="14">
        <v>6.6666666666666671E-3</v>
      </c>
      <c r="F2895" s="4" t="s">
        <v>179</v>
      </c>
      <c r="G2895" s="9">
        <v>650</v>
      </c>
      <c r="H2895" s="9">
        <f t="shared" si="90"/>
        <v>4.3333333333333339</v>
      </c>
      <c r="I2895" t="s">
        <v>179</v>
      </c>
      <c r="J2895" s="33">
        <v>0</v>
      </c>
      <c r="K2895" s="18">
        <f>VLOOKUP(D2895,Ingredients!C:G,5,0)</f>
        <v>520</v>
      </c>
      <c r="L2895" s="52">
        <f t="shared" si="91"/>
        <v>3.4666666666666668</v>
      </c>
    </row>
    <row r="2896" spans="1:12">
      <c r="A2896" t="s">
        <v>603</v>
      </c>
      <c r="B2896" t="s">
        <v>346</v>
      </c>
      <c r="C2896" t="s">
        <v>993</v>
      </c>
      <c r="D2896" s="3" t="s">
        <v>855</v>
      </c>
      <c r="E2896" s="14">
        <v>6.6666666666666671E-3</v>
      </c>
      <c r="F2896" s="4" t="s">
        <v>179</v>
      </c>
      <c r="G2896" s="9">
        <v>2400</v>
      </c>
      <c r="H2896" s="9">
        <f t="shared" si="90"/>
        <v>16</v>
      </c>
      <c r="I2896" t="s">
        <v>179</v>
      </c>
      <c r="J2896" s="33">
        <v>0</v>
      </c>
      <c r="K2896" s="18">
        <f>VLOOKUP(D2896,Ingredients!C:G,5,0)</f>
        <v>1600</v>
      </c>
      <c r="L2896" s="52">
        <f t="shared" si="91"/>
        <v>10.666666666666668</v>
      </c>
    </row>
    <row r="2897" spans="1:12">
      <c r="A2897" t="s">
        <v>603</v>
      </c>
      <c r="B2897" t="s">
        <v>346</v>
      </c>
      <c r="C2897" t="s">
        <v>993</v>
      </c>
      <c r="D2897" s="3" t="s">
        <v>887</v>
      </c>
      <c r="E2897" s="14">
        <v>6.6666666666666671E-3</v>
      </c>
      <c r="F2897" s="4" t="s">
        <v>179</v>
      </c>
      <c r="G2897" s="9">
        <v>1600</v>
      </c>
      <c r="H2897" s="9">
        <f t="shared" si="90"/>
        <v>10.666666666666668</v>
      </c>
      <c r="I2897" t="s">
        <v>179</v>
      </c>
      <c r="J2897" s="33">
        <v>0</v>
      </c>
      <c r="K2897" s="18">
        <f>VLOOKUP(D2897,Ingredients!C:G,5,0)</f>
        <v>1830</v>
      </c>
      <c r="L2897" s="52">
        <f t="shared" si="91"/>
        <v>12.200000000000001</v>
      </c>
    </row>
    <row r="2898" spans="1:12">
      <c r="A2898" t="s">
        <v>603</v>
      </c>
      <c r="B2898" t="s">
        <v>346</v>
      </c>
      <c r="C2898" t="s">
        <v>993</v>
      </c>
      <c r="D2898" s="3" t="s">
        <v>895</v>
      </c>
      <c r="E2898" s="14">
        <v>6.6666666666666671E-3</v>
      </c>
      <c r="F2898" s="4" t="s">
        <v>179</v>
      </c>
      <c r="G2898" s="9">
        <v>400</v>
      </c>
      <c r="H2898" s="9">
        <f t="shared" si="90"/>
        <v>2.666666666666667</v>
      </c>
      <c r="I2898" t="s">
        <v>179</v>
      </c>
      <c r="J2898" s="33">
        <v>0</v>
      </c>
      <c r="K2898" s="18">
        <f>VLOOKUP(D2898,Ingredients!C:G,5,0)</f>
        <v>400</v>
      </c>
      <c r="L2898" s="52">
        <f t="shared" si="91"/>
        <v>2.666666666666667</v>
      </c>
    </row>
    <row r="2899" spans="1:12">
      <c r="A2899" t="s">
        <v>603</v>
      </c>
      <c r="B2899" t="s">
        <v>346</v>
      </c>
      <c r="C2899" t="s">
        <v>993</v>
      </c>
      <c r="D2899" s="3" t="s">
        <v>35</v>
      </c>
      <c r="E2899" s="14">
        <v>0.33333333333333331</v>
      </c>
      <c r="F2899" s="4" t="s">
        <v>408</v>
      </c>
      <c r="G2899" s="9">
        <v>13</v>
      </c>
      <c r="H2899" s="9">
        <f t="shared" si="90"/>
        <v>4.333333333333333</v>
      </c>
      <c r="I2899" t="s">
        <v>179</v>
      </c>
      <c r="J2899" s="33">
        <v>0</v>
      </c>
      <c r="K2899" s="18">
        <f>VLOOKUP(D2899,Ingredients!C:G,5,0)</f>
        <v>15</v>
      </c>
      <c r="L2899" s="52">
        <f t="shared" si="91"/>
        <v>5</v>
      </c>
    </row>
    <row r="2900" spans="1:12">
      <c r="A2900" t="s">
        <v>603</v>
      </c>
      <c r="B2900" t="s">
        <v>346</v>
      </c>
      <c r="C2900" t="s">
        <v>993</v>
      </c>
      <c r="D2900" s="3" t="s">
        <v>29</v>
      </c>
      <c r="E2900" s="14">
        <v>4.1666666666666664E-2</v>
      </c>
      <c r="F2900" s="4" t="s">
        <v>179</v>
      </c>
      <c r="G2900" s="9">
        <v>60</v>
      </c>
      <c r="H2900" s="9">
        <f t="shared" si="90"/>
        <v>2.5</v>
      </c>
      <c r="I2900" t="s">
        <v>179</v>
      </c>
      <c r="J2900" s="33">
        <v>0</v>
      </c>
      <c r="K2900" s="18">
        <f>VLOOKUP(D2900,Ingredients!C:G,5,0)</f>
        <v>100</v>
      </c>
      <c r="L2900" s="52">
        <f t="shared" si="91"/>
        <v>4.1666666666666661</v>
      </c>
    </row>
    <row r="2901" spans="1:12">
      <c r="A2901" t="s">
        <v>603</v>
      </c>
      <c r="B2901" t="s">
        <v>346</v>
      </c>
      <c r="C2901" t="s">
        <v>993</v>
      </c>
      <c r="D2901" s="3" t="s">
        <v>876</v>
      </c>
      <c r="E2901" s="4">
        <v>0.12</v>
      </c>
      <c r="F2901" s="4" t="s">
        <v>179</v>
      </c>
      <c r="G2901" s="9">
        <v>270</v>
      </c>
      <c r="H2901" s="9">
        <f t="shared" si="90"/>
        <v>32.4</v>
      </c>
      <c r="I2901" t="s">
        <v>179</v>
      </c>
      <c r="J2901" s="33">
        <v>0</v>
      </c>
      <c r="K2901" s="18">
        <f>VLOOKUP(D2901,Ingredients!C:G,5,0)</f>
        <v>290</v>
      </c>
      <c r="L2901" s="52">
        <f t="shared" si="91"/>
        <v>34.799999999999997</v>
      </c>
    </row>
    <row r="2902" spans="1:12">
      <c r="A2902" t="s">
        <v>604</v>
      </c>
      <c r="B2902" t="s">
        <v>346</v>
      </c>
      <c r="C2902" t="s">
        <v>353</v>
      </c>
      <c r="D2902" s="3" t="s">
        <v>884</v>
      </c>
      <c r="E2902" s="4">
        <v>1</v>
      </c>
      <c r="F2902" s="4" t="s">
        <v>179</v>
      </c>
      <c r="G2902" s="9">
        <v>344</v>
      </c>
      <c r="H2902" s="9">
        <f t="shared" si="90"/>
        <v>344</v>
      </c>
      <c r="I2902" t="s">
        <v>179</v>
      </c>
      <c r="J2902" s="33">
        <v>0</v>
      </c>
      <c r="K2902" s="18">
        <f>VLOOKUP(D2902,Ingredients!C:G,5,0)</f>
        <v>344</v>
      </c>
      <c r="L2902" s="52">
        <f t="shared" si="91"/>
        <v>344</v>
      </c>
    </row>
    <row r="2903" spans="1:12">
      <c r="A2903" t="s">
        <v>604</v>
      </c>
      <c r="B2903" t="s">
        <v>346</v>
      </c>
      <c r="C2903" t="s">
        <v>353</v>
      </c>
      <c r="D2903" s="3" t="s">
        <v>7</v>
      </c>
      <c r="E2903" s="4">
        <v>0.75</v>
      </c>
      <c r="F2903" s="4" t="s">
        <v>252</v>
      </c>
      <c r="G2903" s="9">
        <v>8</v>
      </c>
      <c r="H2903" s="9">
        <f t="shared" si="90"/>
        <v>6</v>
      </c>
      <c r="I2903" t="s">
        <v>179</v>
      </c>
      <c r="J2903" s="33">
        <v>0</v>
      </c>
      <c r="K2903" s="18">
        <f>VLOOKUP(D2903,Ingredients!C:G,5,0)</f>
        <v>6</v>
      </c>
      <c r="L2903" s="52">
        <f t="shared" si="91"/>
        <v>4.5</v>
      </c>
    </row>
    <row r="2904" spans="1:12">
      <c r="A2904" t="s">
        <v>604</v>
      </c>
      <c r="B2904" t="s">
        <v>346</v>
      </c>
      <c r="C2904" t="s">
        <v>353</v>
      </c>
      <c r="D2904" s="3" t="s">
        <v>148</v>
      </c>
      <c r="E2904" s="4">
        <v>0.25</v>
      </c>
      <c r="F2904" s="4" t="s">
        <v>252</v>
      </c>
      <c r="G2904" s="9">
        <v>5</v>
      </c>
      <c r="H2904" s="9">
        <f t="shared" si="90"/>
        <v>1.25</v>
      </c>
      <c r="I2904" t="s">
        <v>179</v>
      </c>
      <c r="J2904" s="33">
        <v>0</v>
      </c>
      <c r="K2904" s="18">
        <f>VLOOKUP(D2904,Ingredients!C:G,5,0)</f>
        <v>5</v>
      </c>
      <c r="L2904" s="52">
        <f t="shared" si="91"/>
        <v>1.25</v>
      </c>
    </row>
    <row r="2905" spans="1:12">
      <c r="A2905" t="s">
        <v>604</v>
      </c>
      <c r="B2905" t="s">
        <v>346</v>
      </c>
      <c r="C2905" t="s">
        <v>353</v>
      </c>
      <c r="D2905" s="3" t="s">
        <v>834</v>
      </c>
      <c r="E2905" s="4">
        <v>3.5000000000000003E-2</v>
      </c>
      <c r="F2905" s="4" t="s">
        <v>176</v>
      </c>
      <c r="G2905" s="9">
        <v>515</v>
      </c>
      <c r="H2905" s="9">
        <f t="shared" si="90"/>
        <v>18.025000000000002</v>
      </c>
      <c r="I2905" t="s">
        <v>179</v>
      </c>
      <c r="J2905" s="33">
        <v>0</v>
      </c>
      <c r="K2905" s="18">
        <f>VLOOKUP(D2905,Ingredients!C:G,5,0)</f>
        <v>540</v>
      </c>
      <c r="L2905" s="52">
        <f t="shared" si="91"/>
        <v>18.900000000000002</v>
      </c>
    </row>
    <row r="2906" spans="1:12">
      <c r="A2906" t="s">
        <v>604</v>
      </c>
      <c r="B2906" t="s">
        <v>346</v>
      </c>
      <c r="C2906" t="s">
        <v>353</v>
      </c>
      <c r="D2906" s="3" t="s">
        <v>880</v>
      </c>
      <c r="E2906" s="4">
        <v>3.5000000000000003E-2</v>
      </c>
      <c r="F2906" s="4" t="s">
        <v>176</v>
      </c>
      <c r="G2906" s="9">
        <v>650</v>
      </c>
      <c r="H2906" s="9">
        <f t="shared" si="90"/>
        <v>22.750000000000004</v>
      </c>
      <c r="I2906" t="s">
        <v>179</v>
      </c>
      <c r="J2906" s="33">
        <v>0</v>
      </c>
      <c r="K2906" s="18">
        <f>VLOOKUP(D2906,Ingredients!C:G,5,0)</f>
        <v>520</v>
      </c>
      <c r="L2906" s="52">
        <f t="shared" si="91"/>
        <v>18.200000000000003</v>
      </c>
    </row>
    <row r="2907" spans="1:12">
      <c r="A2907" t="s">
        <v>604</v>
      </c>
      <c r="B2907" t="s">
        <v>346</v>
      </c>
      <c r="C2907" t="s">
        <v>353</v>
      </c>
      <c r="D2907" s="3" t="s">
        <v>310</v>
      </c>
      <c r="E2907" s="4">
        <v>0.06</v>
      </c>
      <c r="F2907" s="4" t="s">
        <v>176</v>
      </c>
      <c r="G2907" s="9">
        <v>425</v>
      </c>
      <c r="H2907" s="9">
        <f t="shared" si="90"/>
        <v>25.5</v>
      </c>
      <c r="I2907" t="s">
        <v>179</v>
      </c>
      <c r="J2907" s="33">
        <v>0</v>
      </c>
      <c r="K2907" s="18">
        <f>VLOOKUP(D2907,Ingredients!C:G,5,0)</f>
        <v>850</v>
      </c>
      <c r="L2907" s="52">
        <f t="shared" si="91"/>
        <v>51</v>
      </c>
    </row>
    <row r="2908" spans="1:12">
      <c r="A2908" t="s">
        <v>604</v>
      </c>
      <c r="B2908" t="s">
        <v>346</v>
      </c>
      <c r="C2908" t="s">
        <v>353</v>
      </c>
      <c r="D2908" s="3" t="s">
        <v>849</v>
      </c>
      <c r="E2908" s="4">
        <v>0.06</v>
      </c>
      <c r="F2908" s="4" t="s">
        <v>176</v>
      </c>
      <c r="G2908" s="9">
        <v>1000</v>
      </c>
      <c r="H2908" s="9">
        <f t="shared" si="90"/>
        <v>60</v>
      </c>
      <c r="I2908" t="s">
        <v>179</v>
      </c>
      <c r="J2908" s="33">
        <v>0</v>
      </c>
      <c r="K2908" s="18">
        <f>VLOOKUP(D2908,Ingredients!C:G,5,0)</f>
        <v>950</v>
      </c>
      <c r="L2908" s="52">
        <f t="shared" si="91"/>
        <v>57</v>
      </c>
    </row>
    <row r="2909" spans="1:12">
      <c r="A2909" t="s">
        <v>604</v>
      </c>
      <c r="B2909" t="s">
        <v>346</v>
      </c>
      <c r="C2909" t="s">
        <v>353</v>
      </c>
      <c r="D2909" s="3" t="s">
        <v>29</v>
      </c>
      <c r="E2909" s="4">
        <v>0.1</v>
      </c>
      <c r="F2909" s="4" t="s">
        <v>176</v>
      </c>
      <c r="G2909" s="9">
        <v>60</v>
      </c>
      <c r="H2909" s="9">
        <f t="shared" si="90"/>
        <v>6</v>
      </c>
      <c r="I2909" t="s">
        <v>179</v>
      </c>
      <c r="J2909" s="33">
        <v>0</v>
      </c>
      <c r="K2909" s="18">
        <f>VLOOKUP(D2909,Ingredients!C:G,5,0)</f>
        <v>100</v>
      </c>
      <c r="L2909" s="52">
        <f t="shared" si="91"/>
        <v>10</v>
      </c>
    </row>
    <row r="2910" spans="1:12">
      <c r="A2910" t="s">
        <v>604</v>
      </c>
      <c r="B2910" t="s">
        <v>346</v>
      </c>
      <c r="C2910" t="s">
        <v>353</v>
      </c>
      <c r="D2910" s="3" t="s">
        <v>23</v>
      </c>
      <c r="E2910" s="4">
        <v>3.5000000000000003E-2</v>
      </c>
      <c r="F2910" s="4" t="s">
        <v>176</v>
      </c>
      <c r="G2910" s="9">
        <v>740</v>
      </c>
      <c r="H2910" s="9">
        <f t="shared" si="90"/>
        <v>25.900000000000002</v>
      </c>
      <c r="I2910" t="s">
        <v>179</v>
      </c>
      <c r="J2910" s="33">
        <v>0</v>
      </c>
      <c r="K2910" s="18">
        <f>VLOOKUP(D2910,Ingredients!C:G,5,0)</f>
        <v>780</v>
      </c>
      <c r="L2910" s="52">
        <f t="shared" si="91"/>
        <v>27.300000000000004</v>
      </c>
    </row>
    <row r="2911" spans="1:12">
      <c r="A2911" t="s">
        <v>605</v>
      </c>
      <c r="B2911" t="s">
        <v>346</v>
      </c>
      <c r="C2911" t="s">
        <v>352</v>
      </c>
      <c r="D2911" s="3" t="s">
        <v>902</v>
      </c>
      <c r="E2911" s="4">
        <v>0.03</v>
      </c>
      <c r="F2911" s="4" t="s">
        <v>176</v>
      </c>
      <c r="G2911" s="9">
        <v>662.5</v>
      </c>
      <c r="H2911" s="9">
        <f t="shared" si="90"/>
        <v>19.875</v>
      </c>
      <c r="I2911" t="s">
        <v>179</v>
      </c>
      <c r="J2911" s="33">
        <v>0</v>
      </c>
      <c r="K2911" s="18">
        <f>VLOOKUP(D2911,Ingredients!C:G,5,0)</f>
        <v>700</v>
      </c>
      <c r="L2911" s="52">
        <f t="shared" si="91"/>
        <v>21</v>
      </c>
    </row>
    <row r="2912" spans="1:12">
      <c r="A2912" t="s">
        <v>605</v>
      </c>
      <c r="B2912" t="s">
        <v>346</v>
      </c>
      <c r="C2912" t="s">
        <v>352</v>
      </c>
      <c r="D2912" s="3" t="s">
        <v>470</v>
      </c>
      <c r="E2912" s="4">
        <v>1.6E-2</v>
      </c>
      <c r="F2912" s="4" t="s">
        <v>176</v>
      </c>
      <c r="G2912" s="9">
        <v>600</v>
      </c>
      <c r="H2912" s="9">
        <f t="shared" si="90"/>
        <v>9.6</v>
      </c>
      <c r="I2912" t="s">
        <v>179</v>
      </c>
      <c r="J2912" s="33">
        <v>0</v>
      </c>
      <c r="K2912" s="18">
        <f>VLOOKUP(D2912,Ingredients!C:G,5,0)</f>
        <v>650</v>
      </c>
      <c r="L2912" s="52">
        <f t="shared" si="91"/>
        <v>10.4</v>
      </c>
    </row>
    <row r="2913" spans="1:12">
      <c r="A2913" t="s">
        <v>605</v>
      </c>
      <c r="B2913" t="s">
        <v>346</v>
      </c>
      <c r="C2913" t="s">
        <v>352</v>
      </c>
      <c r="D2913" s="3" t="s">
        <v>857</v>
      </c>
      <c r="E2913" s="4">
        <v>0.08</v>
      </c>
      <c r="F2913" s="4" t="s">
        <v>176</v>
      </c>
      <c r="G2913" s="9">
        <v>520</v>
      </c>
      <c r="H2913" s="9">
        <f t="shared" si="90"/>
        <v>41.6</v>
      </c>
      <c r="I2913" t="s">
        <v>179</v>
      </c>
      <c r="J2913" s="33">
        <v>0</v>
      </c>
      <c r="K2913" s="18">
        <f>VLOOKUP(D2913,Ingredients!C:G,5,0)</f>
        <v>880</v>
      </c>
      <c r="L2913" s="52">
        <f t="shared" si="91"/>
        <v>70.400000000000006</v>
      </c>
    </row>
    <row r="2914" spans="1:12">
      <c r="A2914" t="s">
        <v>605</v>
      </c>
      <c r="B2914" t="s">
        <v>346</v>
      </c>
      <c r="C2914" t="s">
        <v>352</v>
      </c>
      <c r="D2914" s="3" t="s">
        <v>864</v>
      </c>
      <c r="E2914" s="4">
        <v>1.6E-2</v>
      </c>
      <c r="F2914" s="4" t="s">
        <v>176</v>
      </c>
      <c r="G2914" s="9">
        <v>1400</v>
      </c>
      <c r="H2914" s="9">
        <f t="shared" si="90"/>
        <v>22.400000000000002</v>
      </c>
      <c r="I2914" t="s">
        <v>179</v>
      </c>
      <c r="J2914" s="33">
        <v>0</v>
      </c>
      <c r="K2914" s="18">
        <f>VLOOKUP(D2914,Ingredients!C:G,5,0)</f>
        <v>1400</v>
      </c>
      <c r="L2914" s="52">
        <f t="shared" si="91"/>
        <v>22.400000000000002</v>
      </c>
    </row>
    <row r="2915" spans="1:12">
      <c r="A2915" t="s">
        <v>605</v>
      </c>
      <c r="B2915" t="s">
        <v>346</v>
      </c>
      <c r="C2915" t="s">
        <v>352</v>
      </c>
      <c r="D2915" s="3" t="s">
        <v>870</v>
      </c>
      <c r="E2915" s="4">
        <v>0.03</v>
      </c>
      <c r="F2915" s="4" t="s">
        <v>176</v>
      </c>
      <c r="G2915" s="9">
        <v>440</v>
      </c>
      <c r="H2915" s="9">
        <f t="shared" si="90"/>
        <v>13.2</v>
      </c>
      <c r="I2915" t="s">
        <v>179</v>
      </c>
      <c r="J2915" s="33">
        <v>0</v>
      </c>
      <c r="K2915" s="18">
        <f>VLOOKUP(D2915,Ingredients!C:G,5,0)</f>
        <v>450</v>
      </c>
      <c r="L2915" s="52">
        <f t="shared" si="91"/>
        <v>13.5</v>
      </c>
    </row>
    <row r="2916" spans="1:12">
      <c r="A2916" t="s">
        <v>605</v>
      </c>
      <c r="B2916" t="s">
        <v>346</v>
      </c>
      <c r="C2916" t="s">
        <v>352</v>
      </c>
      <c r="D2916" s="3" t="s">
        <v>855</v>
      </c>
      <c r="E2916" s="4">
        <v>1.6E-2</v>
      </c>
      <c r="F2916" s="4" t="s">
        <v>176</v>
      </c>
      <c r="G2916" s="9">
        <v>2400</v>
      </c>
      <c r="H2916" s="9">
        <f t="shared" si="90"/>
        <v>38.4</v>
      </c>
      <c r="I2916" t="s">
        <v>179</v>
      </c>
      <c r="J2916" s="33">
        <v>0</v>
      </c>
      <c r="K2916" s="18">
        <f>VLOOKUP(D2916,Ingredients!C:G,5,0)</f>
        <v>1600</v>
      </c>
      <c r="L2916" s="52">
        <f t="shared" si="91"/>
        <v>25.6</v>
      </c>
    </row>
    <row r="2917" spans="1:12">
      <c r="A2917" t="s">
        <v>605</v>
      </c>
      <c r="B2917" t="s">
        <v>346</v>
      </c>
      <c r="C2917" t="s">
        <v>352</v>
      </c>
      <c r="D2917" s="3" t="s">
        <v>928</v>
      </c>
      <c r="E2917" s="4">
        <v>2.4E-2</v>
      </c>
      <c r="F2917" s="4" t="s">
        <v>176</v>
      </c>
      <c r="G2917" s="9">
        <v>850</v>
      </c>
      <c r="H2917" s="9">
        <f t="shared" si="90"/>
        <v>20.400000000000002</v>
      </c>
      <c r="I2917" t="s">
        <v>179</v>
      </c>
      <c r="J2917" s="33">
        <v>0</v>
      </c>
      <c r="K2917" s="18">
        <f>VLOOKUP(D2917,Ingredients!C:G,5,0)</f>
        <v>900</v>
      </c>
      <c r="L2917" s="52">
        <f t="shared" si="91"/>
        <v>21.6</v>
      </c>
    </row>
    <row r="2918" spans="1:12">
      <c r="A2918" t="s">
        <v>605</v>
      </c>
      <c r="B2918" t="s">
        <v>346</v>
      </c>
      <c r="C2918" t="s">
        <v>352</v>
      </c>
      <c r="D2918" s="3" t="s">
        <v>862</v>
      </c>
      <c r="E2918" s="4">
        <v>4.0000000000000001E-3</v>
      </c>
      <c r="F2918" s="4" t="s">
        <v>176</v>
      </c>
      <c r="G2918" s="9">
        <v>6500</v>
      </c>
      <c r="H2918" s="9">
        <f t="shared" si="90"/>
        <v>26</v>
      </c>
      <c r="I2918" t="s">
        <v>179</v>
      </c>
      <c r="J2918" s="33">
        <v>0</v>
      </c>
      <c r="K2918" s="18">
        <f>VLOOKUP(D2918,Ingredients!C:G,5,0)</f>
        <v>6500</v>
      </c>
      <c r="L2918" s="52">
        <f t="shared" si="91"/>
        <v>26</v>
      </c>
    </row>
    <row r="2919" spans="1:12">
      <c r="A2919" t="s">
        <v>605</v>
      </c>
      <c r="B2919" t="s">
        <v>346</v>
      </c>
      <c r="C2919" t="s">
        <v>352</v>
      </c>
      <c r="D2919" s="3" t="s">
        <v>606</v>
      </c>
      <c r="E2919" s="4">
        <v>8.0000000000000002E-3</v>
      </c>
      <c r="F2919" s="4" t="s">
        <v>176</v>
      </c>
      <c r="G2919" s="9">
        <v>260</v>
      </c>
      <c r="H2919" s="9">
        <f t="shared" si="90"/>
        <v>2.08</v>
      </c>
      <c r="I2919" t="s">
        <v>179</v>
      </c>
      <c r="J2919" s="33">
        <v>0</v>
      </c>
      <c r="K2919" s="18">
        <f>VLOOKUP(D2919,Ingredients!C:G,5,0)</f>
        <v>260</v>
      </c>
      <c r="L2919" s="52">
        <f t="shared" si="91"/>
        <v>2.08</v>
      </c>
    </row>
    <row r="2920" spans="1:12">
      <c r="A2920" t="s">
        <v>605</v>
      </c>
      <c r="B2920" t="s">
        <v>346</v>
      </c>
      <c r="C2920" t="s">
        <v>352</v>
      </c>
      <c r="D2920" s="3" t="s">
        <v>858</v>
      </c>
      <c r="E2920" s="4">
        <v>6.0000000000000001E-3</v>
      </c>
      <c r="F2920" s="4" t="s">
        <v>176</v>
      </c>
      <c r="G2920" s="9">
        <v>1900</v>
      </c>
      <c r="H2920" s="9">
        <f t="shared" si="90"/>
        <v>11.4</v>
      </c>
      <c r="I2920" t="s">
        <v>179</v>
      </c>
      <c r="J2920" s="33">
        <v>0</v>
      </c>
      <c r="K2920" s="18">
        <f>VLOOKUP(D2920,Ingredients!C:G,5,0)</f>
        <v>1900</v>
      </c>
      <c r="L2920" s="52">
        <f t="shared" si="91"/>
        <v>11.4</v>
      </c>
    </row>
    <row r="2921" spans="1:12">
      <c r="A2921" t="s">
        <v>605</v>
      </c>
      <c r="B2921" t="s">
        <v>346</v>
      </c>
      <c r="C2921" t="s">
        <v>352</v>
      </c>
      <c r="D2921" s="3" t="s">
        <v>915</v>
      </c>
      <c r="E2921" s="4">
        <v>6.0000000000000001E-3</v>
      </c>
      <c r="F2921" s="4" t="s">
        <v>176</v>
      </c>
      <c r="G2921" s="9">
        <v>5000</v>
      </c>
      <c r="H2921" s="9">
        <f t="shared" si="90"/>
        <v>30</v>
      </c>
      <c r="I2921" t="s">
        <v>179</v>
      </c>
      <c r="J2921" s="33">
        <v>0</v>
      </c>
      <c r="K2921" s="18">
        <f>VLOOKUP(D2921,Ingredients!C:G,5,0)</f>
        <v>3200</v>
      </c>
      <c r="L2921" s="52">
        <f t="shared" si="91"/>
        <v>19.2</v>
      </c>
    </row>
    <row r="2922" spans="1:12">
      <c r="A2922" t="s">
        <v>605</v>
      </c>
      <c r="B2922" t="s">
        <v>346</v>
      </c>
      <c r="C2922" t="s">
        <v>352</v>
      </c>
      <c r="D2922" s="3" t="s">
        <v>931</v>
      </c>
      <c r="E2922" s="4">
        <v>1.6E-2</v>
      </c>
      <c r="F2922" s="4" t="s">
        <v>176</v>
      </c>
      <c r="G2922" s="9">
        <v>4000</v>
      </c>
      <c r="H2922" s="9">
        <f t="shared" si="90"/>
        <v>64</v>
      </c>
      <c r="I2922" t="s">
        <v>179</v>
      </c>
      <c r="J2922" s="33">
        <v>0</v>
      </c>
      <c r="K2922" s="18">
        <f>VLOOKUP(D2922,Ingredients!C:G,5,0)</f>
        <v>2900</v>
      </c>
      <c r="L2922" s="52">
        <f t="shared" si="91"/>
        <v>46.4</v>
      </c>
    </row>
    <row r="2923" spans="1:12">
      <c r="A2923" t="s">
        <v>605</v>
      </c>
      <c r="B2923" t="s">
        <v>346</v>
      </c>
      <c r="C2923" t="s">
        <v>352</v>
      </c>
      <c r="D2923" s="3" t="s">
        <v>929</v>
      </c>
      <c r="E2923" s="4">
        <v>0.06</v>
      </c>
      <c r="F2923" s="4" t="s">
        <v>176</v>
      </c>
      <c r="G2923" s="9">
        <v>650</v>
      </c>
      <c r="H2923" s="9">
        <f t="shared" si="90"/>
        <v>39</v>
      </c>
      <c r="I2923" t="s">
        <v>179</v>
      </c>
      <c r="J2923" s="33">
        <v>0</v>
      </c>
      <c r="K2923" s="18">
        <f>VLOOKUP(D2923,Ingredients!C:G,5,0)</f>
        <v>650</v>
      </c>
      <c r="L2923" s="52">
        <f t="shared" si="91"/>
        <v>39</v>
      </c>
    </row>
    <row r="2924" spans="1:12">
      <c r="A2924" t="s">
        <v>605</v>
      </c>
      <c r="B2924" t="s">
        <v>346</v>
      </c>
      <c r="C2924" t="s">
        <v>352</v>
      </c>
      <c r="D2924" s="3" t="s">
        <v>171</v>
      </c>
      <c r="E2924" s="4">
        <v>0.3</v>
      </c>
      <c r="F2924" s="4" t="s">
        <v>176</v>
      </c>
      <c r="G2924" s="9">
        <v>65</v>
      </c>
      <c r="H2924" s="9">
        <f t="shared" si="90"/>
        <v>19.5</v>
      </c>
      <c r="I2924" t="s">
        <v>179</v>
      </c>
      <c r="J2924" s="33">
        <v>0</v>
      </c>
      <c r="K2924" s="18">
        <f>VLOOKUP(D2924,Ingredients!C:G,5,0)</f>
        <v>80</v>
      </c>
      <c r="L2924" s="52">
        <f t="shared" si="91"/>
        <v>24</v>
      </c>
    </row>
    <row r="2925" spans="1:12">
      <c r="A2925" t="s">
        <v>605</v>
      </c>
      <c r="B2925" t="s">
        <v>346</v>
      </c>
      <c r="C2925" t="s">
        <v>352</v>
      </c>
      <c r="D2925" s="3" t="s">
        <v>946</v>
      </c>
      <c r="E2925" s="4">
        <v>0.16</v>
      </c>
      <c r="F2925" s="4" t="s">
        <v>176</v>
      </c>
      <c r="G2925" s="9">
        <v>525</v>
      </c>
      <c r="H2925" s="9">
        <f t="shared" ref="H2925:H2988" si="92">G2925*E2925</f>
        <v>84</v>
      </c>
      <c r="I2925" t="s">
        <v>179</v>
      </c>
      <c r="J2925" s="33">
        <v>0</v>
      </c>
      <c r="K2925" s="18">
        <f>VLOOKUP(D2925,Ingredients!C:G,5,0)</f>
        <v>430</v>
      </c>
      <c r="L2925" s="52">
        <f t="shared" si="91"/>
        <v>68.8</v>
      </c>
    </row>
    <row r="2926" spans="1:12">
      <c r="A2926" t="s">
        <v>605</v>
      </c>
      <c r="B2926" t="s">
        <v>346</v>
      </c>
      <c r="C2926" t="s">
        <v>352</v>
      </c>
      <c r="D2926" s="3" t="s">
        <v>12</v>
      </c>
      <c r="E2926" s="4">
        <v>0.24</v>
      </c>
      <c r="F2926" s="4" t="s">
        <v>176</v>
      </c>
      <c r="G2926" s="9">
        <v>140</v>
      </c>
      <c r="H2926" s="9">
        <f t="shared" si="92"/>
        <v>33.6</v>
      </c>
      <c r="I2926" t="s">
        <v>179</v>
      </c>
      <c r="J2926" s="33">
        <v>0</v>
      </c>
      <c r="K2926" s="18">
        <f>VLOOKUP(D2926,Ingredients!C:G,5,0)</f>
        <v>200</v>
      </c>
      <c r="L2926" s="52">
        <f t="shared" si="91"/>
        <v>48</v>
      </c>
    </row>
    <row r="2927" spans="1:12">
      <c r="A2927" t="s">
        <v>605</v>
      </c>
      <c r="B2927" t="s">
        <v>346</v>
      </c>
      <c r="C2927" t="s">
        <v>352</v>
      </c>
      <c r="D2927" s="3" t="s">
        <v>170</v>
      </c>
      <c r="E2927" s="4">
        <v>0.16</v>
      </c>
      <c r="F2927" s="4" t="s">
        <v>176</v>
      </c>
      <c r="G2927" s="9">
        <v>240</v>
      </c>
      <c r="H2927" s="9">
        <f t="shared" si="92"/>
        <v>38.4</v>
      </c>
      <c r="I2927" t="s">
        <v>179</v>
      </c>
      <c r="J2927" s="33">
        <v>0</v>
      </c>
      <c r="K2927" s="18">
        <f>VLOOKUP(D2927,Ingredients!C:G,5,0)</f>
        <v>240</v>
      </c>
      <c r="L2927" s="52">
        <f t="shared" si="91"/>
        <v>38.4</v>
      </c>
    </row>
    <row r="2928" spans="1:12">
      <c r="A2928" t="s">
        <v>605</v>
      </c>
      <c r="B2928" t="s">
        <v>346</v>
      </c>
      <c r="C2928" t="s">
        <v>352</v>
      </c>
      <c r="D2928" s="3" t="s">
        <v>15</v>
      </c>
      <c r="E2928" s="4">
        <v>0.16</v>
      </c>
      <c r="F2928" s="4" t="s">
        <v>176</v>
      </c>
      <c r="G2928" s="9">
        <v>130</v>
      </c>
      <c r="H2928" s="9">
        <f t="shared" si="92"/>
        <v>20.8</v>
      </c>
      <c r="I2928" t="s">
        <v>179</v>
      </c>
      <c r="J2928" s="33">
        <v>0</v>
      </c>
      <c r="K2928" s="18">
        <f>VLOOKUP(D2928,Ingredients!C:G,5,0)</f>
        <v>90</v>
      </c>
      <c r="L2928" s="52">
        <f t="shared" si="91"/>
        <v>14.4</v>
      </c>
    </row>
    <row r="2929" spans="1:12">
      <c r="A2929" t="s">
        <v>605</v>
      </c>
      <c r="B2929" t="s">
        <v>346</v>
      </c>
      <c r="C2929" t="s">
        <v>352</v>
      </c>
      <c r="D2929" s="3" t="s">
        <v>28</v>
      </c>
      <c r="E2929" s="4">
        <v>0.12</v>
      </c>
      <c r="F2929" s="4" t="s">
        <v>176</v>
      </c>
      <c r="G2929" s="9">
        <v>85</v>
      </c>
      <c r="H2929" s="9">
        <f t="shared" si="92"/>
        <v>10.199999999999999</v>
      </c>
      <c r="I2929" t="s">
        <v>179</v>
      </c>
      <c r="J2929" s="33">
        <v>0</v>
      </c>
      <c r="K2929" s="18">
        <f>VLOOKUP(D2929,Ingredients!C:G,5,0)</f>
        <v>70</v>
      </c>
      <c r="L2929" s="52">
        <f t="shared" si="91"/>
        <v>8.4</v>
      </c>
    </row>
    <row r="2930" spans="1:12">
      <c r="A2930" t="s">
        <v>605</v>
      </c>
      <c r="B2930" t="s">
        <v>346</v>
      </c>
      <c r="C2930" t="s">
        <v>352</v>
      </c>
      <c r="D2930" s="3" t="s">
        <v>24</v>
      </c>
      <c r="E2930" s="4">
        <v>0.2</v>
      </c>
      <c r="F2930" s="4" t="s">
        <v>176</v>
      </c>
      <c r="G2930" s="9">
        <v>55</v>
      </c>
      <c r="H2930" s="9">
        <f t="shared" si="92"/>
        <v>11</v>
      </c>
      <c r="I2930" t="s">
        <v>179</v>
      </c>
      <c r="J2930" s="33">
        <v>0</v>
      </c>
      <c r="K2930" s="18">
        <f>VLOOKUP(D2930,Ingredients!C:G,5,0)</f>
        <v>80</v>
      </c>
      <c r="L2930" s="52">
        <f t="shared" si="91"/>
        <v>16</v>
      </c>
    </row>
    <row r="2931" spans="1:12">
      <c r="A2931" t="s">
        <v>605</v>
      </c>
      <c r="B2931" t="s">
        <v>346</v>
      </c>
      <c r="C2931" t="s">
        <v>352</v>
      </c>
      <c r="D2931" s="3" t="s">
        <v>23</v>
      </c>
      <c r="E2931" s="4">
        <v>0.05</v>
      </c>
      <c r="F2931" s="4" t="s">
        <v>176</v>
      </c>
      <c r="G2931" s="9">
        <v>740</v>
      </c>
      <c r="H2931" s="9">
        <f t="shared" si="92"/>
        <v>37</v>
      </c>
      <c r="I2931" t="s">
        <v>179</v>
      </c>
      <c r="J2931" s="33">
        <v>0</v>
      </c>
      <c r="K2931" s="18">
        <f>VLOOKUP(D2931,Ingredients!C:G,5,0)</f>
        <v>780</v>
      </c>
      <c r="L2931" s="52">
        <f t="shared" si="91"/>
        <v>39</v>
      </c>
    </row>
    <row r="2932" spans="1:12">
      <c r="A2932" t="s">
        <v>605</v>
      </c>
      <c r="B2932" t="s">
        <v>346</v>
      </c>
      <c r="C2932" t="s">
        <v>352</v>
      </c>
      <c r="D2932" s="3" t="s">
        <v>16</v>
      </c>
      <c r="E2932" s="4">
        <v>0.05</v>
      </c>
      <c r="F2932" s="4" t="s">
        <v>176</v>
      </c>
      <c r="G2932" s="9">
        <v>270</v>
      </c>
      <c r="H2932" s="9">
        <f t="shared" si="92"/>
        <v>13.5</v>
      </c>
      <c r="I2932" t="s">
        <v>179</v>
      </c>
      <c r="J2932" s="33">
        <v>0</v>
      </c>
      <c r="K2932" s="18">
        <f>VLOOKUP(D2932,Ingredients!C:G,5,0)</f>
        <v>310</v>
      </c>
      <c r="L2932" s="52">
        <f t="shared" si="91"/>
        <v>15.5</v>
      </c>
    </row>
    <row r="2933" spans="1:12">
      <c r="A2933" t="s">
        <v>605</v>
      </c>
      <c r="B2933" t="s">
        <v>346</v>
      </c>
      <c r="C2933" t="s">
        <v>352</v>
      </c>
      <c r="D2933" s="3" t="s">
        <v>35</v>
      </c>
      <c r="E2933" s="4">
        <v>0.1</v>
      </c>
      <c r="F2933" s="4" t="s">
        <v>252</v>
      </c>
      <c r="G2933" s="9">
        <v>13</v>
      </c>
      <c r="H2933" s="9">
        <f t="shared" si="92"/>
        <v>1.3</v>
      </c>
      <c r="I2933" t="s">
        <v>179</v>
      </c>
      <c r="J2933" s="33">
        <v>0</v>
      </c>
      <c r="K2933" s="18">
        <f>VLOOKUP(D2933,Ingredients!C:G,5,0)</f>
        <v>15</v>
      </c>
      <c r="L2933" s="52">
        <f t="shared" si="91"/>
        <v>1.5</v>
      </c>
    </row>
    <row r="2934" spans="1:12">
      <c r="A2934" t="s">
        <v>605</v>
      </c>
      <c r="B2934" t="s">
        <v>346</v>
      </c>
      <c r="C2934" t="s">
        <v>352</v>
      </c>
      <c r="D2934" s="3" t="s">
        <v>867</v>
      </c>
      <c r="E2934" s="4">
        <v>1.6E-2</v>
      </c>
      <c r="F2934" s="4" t="s">
        <v>176</v>
      </c>
      <c r="G2934" s="9">
        <v>900</v>
      </c>
      <c r="H2934" s="9">
        <f t="shared" si="92"/>
        <v>14.4</v>
      </c>
      <c r="I2934" t="s">
        <v>179</v>
      </c>
      <c r="J2934" s="33">
        <v>0</v>
      </c>
      <c r="K2934" s="18">
        <f>VLOOKUP(D2934,Ingredients!C:G,5,0)</f>
        <v>950</v>
      </c>
      <c r="L2934" s="52">
        <f t="shared" si="91"/>
        <v>15.200000000000001</v>
      </c>
    </row>
    <row r="2935" spans="1:12">
      <c r="A2935" t="s">
        <v>605</v>
      </c>
      <c r="B2935" t="s">
        <v>346</v>
      </c>
      <c r="C2935" t="s">
        <v>352</v>
      </c>
      <c r="D2935" s="3" t="s">
        <v>880</v>
      </c>
      <c r="E2935" s="4">
        <v>8.0000000000000002E-3</v>
      </c>
      <c r="F2935" s="4" t="s">
        <v>176</v>
      </c>
      <c r="G2935" s="9">
        <v>650</v>
      </c>
      <c r="H2935" s="9">
        <f t="shared" si="92"/>
        <v>5.2</v>
      </c>
      <c r="I2935" t="s">
        <v>179</v>
      </c>
      <c r="J2935" s="33">
        <v>0</v>
      </c>
      <c r="K2935" s="18">
        <f>VLOOKUP(D2935,Ingredients!C:G,5,0)</f>
        <v>520</v>
      </c>
      <c r="L2935" s="52">
        <f t="shared" si="91"/>
        <v>4.16</v>
      </c>
    </row>
    <row r="2936" spans="1:12">
      <c r="A2936" t="s">
        <v>605</v>
      </c>
      <c r="B2936" t="s">
        <v>346</v>
      </c>
      <c r="C2936" t="s">
        <v>352</v>
      </c>
      <c r="D2936" s="3" t="s">
        <v>852</v>
      </c>
      <c r="E2936" s="4">
        <v>0.1</v>
      </c>
      <c r="F2936" s="4" t="s">
        <v>176</v>
      </c>
      <c r="G2936" s="9">
        <v>520.63</v>
      </c>
      <c r="H2936" s="9">
        <f t="shared" si="92"/>
        <v>52.063000000000002</v>
      </c>
      <c r="I2936" t="s">
        <v>179</v>
      </c>
      <c r="J2936" s="33">
        <v>0</v>
      </c>
      <c r="K2936" s="18">
        <v>550</v>
      </c>
      <c r="L2936" s="52">
        <f t="shared" si="91"/>
        <v>55</v>
      </c>
    </row>
    <row r="2937" spans="1:12">
      <c r="A2937" t="s">
        <v>605</v>
      </c>
      <c r="B2937" t="s">
        <v>346</v>
      </c>
      <c r="C2937" t="s">
        <v>352</v>
      </c>
      <c r="D2937" s="3" t="s">
        <v>853</v>
      </c>
      <c r="E2937" s="4">
        <v>0.05</v>
      </c>
      <c r="F2937" s="4" t="s">
        <v>176</v>
      </c>
      <c r="G2937" s="9">
        <v>30</v>
      </c>
      <c r="H2937" s="9">
        <f t="shared" si="92"/>
        <v>1.5</v>
      </c>
      <c r="I2937" t="s">
        <v>179</v>
      </c>
      <c r="J2937" s="33">
        <v>0</v>
      </c>
      <c r="K2937" s="18">
        <f>VLOOKUP(D2937,Ingredients!C:G,5,0)</f>
        <v>55</v>
      </c>
      <c r="L2937" s="52">
        <f t="shared" si="91"/>
        <v>2.75</v>
      </c>
    </row>
    <row r="2938" spans="1:12">
      <c r="A2938" t="s">
        <v>607</v>
      </c>
      <c r="B2938" t="s">
        <v>346</v>
      </c>
      <c r="C2938" t="s">
        <v>353</v>
      </c>
      <c r="D2938" s="3" t="s">
        <v>884</v>
      </c>
      <c r="E2938" s="4">
        <v>1</v>
      </c>
      <c r="F2938" s="4" t="s">
        <v>176</v>
      </c>
      <c r="G2938" s="9">
        <v>344</v>
      </c>
      <c r="H2938" s="9">
        <f t="shared" si="92"/>
        <v>344</v>
      </c>
      <c r="I2938" t="s">
        <v>179</v>
      </c>
      <c r="J2938" s="33">
        <v>0</v>
      </c>
      <c r="K2938" s="18">
        <f>VLOOKUP(D2938,Ingredients!C:G,5,0)</f>
        <v>344</v>
      </c>
      <c r="L2938" s="52">
        <f t="shared" si="91"/>
        <v>344</v>
      </c>
    </row>
    <row r="2939" spans="1:12">
      <c r="A2939" t="s">
        <v>607</v>
      </c>
      <c r="B2939" t="s">
        <v>346</v>
      </c>
      <c r="C2939" t="s">
        <v>353</v>
      </c>
      <c r="D2939" s="3" t="s">
        <v>852</v>
      </c>
      <c r="E2939" s="4">
        <v>0.1</v>
      </c>
      <c r="F2939" s="4" t="s">
        <v>190</v>
      </c>
      <c r="G2939" s="9">
        <v>520.63</v>
      </c>
      <c r="H2939" s="9">
        <f t="shared" si="92"/>
        <v>52.063000000000002</v>
      </c>
      <c r="I2939" t="s">
        <v>179</v>
      </c>
      <c r="J2939" s="33">
        <v>0</v>
      </c>
      <c r="K2939" s="18">
        <v>550</v>
      </c>
      <c r="L2939" s="52">
        <f t="shared" si="91"/>
        <v>55</v>
      </c>
    </row>
    <row r="2940" spans="1:12">
      <c r="A2940" t="s">
        <v>607</v>
      </c>
      <c r="B2940" t="s">
        <v>346</v>
      </c>
      <c r="C2940" t="s">
        <v>353</v>
      </c>
      <c r="D2940" s="3" t="s">
        <v>915</v>
      </c>
      <c r="E2940" s="4">
        <v>1.4999999999999999E-2</v>
      </c>
      <c r="F2940" s="4" t="s">
        <v>176</v>
      </c>
      <c r="G2940" s="9">
        <v>5000</v>
      </c>
      <c r="H2940" s="9">
        <f t="shared" si="92"/>
        <v>75</v>
      </c>
      <c r="I2940" t="s">
        <v>179</v>
      </c>
      <c r="J2940" s="33">
        <v>0</v>
      </c>
      <c r="K2940" s="18">
        <f>VLOOKUP(D2940,Ingredients!C:G,5,0)</f>
        <v>3200</v>
      </c>
      <c r="L2940" s="52">
        <f t="shared" si="91"/>
        <v>48</v>
      </c>
    </row>
    <row r="2941" spans="1:12">
      <c r="A2941" t="s">
        <v>607</v>
      </c>
      <c r="B2941" t="s">
        <v>346</v>
      </c>
      <c r="C2941" t="s">
        <v>353</v>
      </c>
      <c r="D2941" s="3" t="s">
        <v>955</v>
      </c>
      <c r="E2941" s="4">
        <v>0.01</v>
      </c>
      <c r="F2941" s="4" t="s">
        <v>176</v>
      </c>
      <c r="G2941" s="9">
        <v>3600</v>
      </c>
      <c r="H2941" s="9">
        <f t="shared" si="92"/>
        <v>36</v>
      </c>
      <c r="I2941" t="s">
        <v>179</v>
      </c>
      <c r="J2941" s="33">
        <v>0</v>
      </c>
      <c r="K2941" s="18">
        <f>VLOOKUP(D2941,Ingredients!C:G,5,0)</f>
        <v>3400</v>
      </c>
      <c r="L2941" s="52">
        <f t="shared" si="91"/>
        <v>34</v>
      </c>
    </row>
    <row r="2942" spans="1:12">
      <c r="A2942" t="s">
        <v>607</v>
      </c>
      <c r="B2942" t="s">
        <v>346</v>
      </c>
      <c r="C2942" t="s">
        <v>353</v>
      </c>
      <c r="D2942" s="3" t="s">
        <v>928</v>
      </c>
      <c r="E2942" s="4">
        <v>0.01</v>
      </c>
      <c r="F2942" s="4" t="s">
        <v>176</v>
      </c>
      <c r="G2942" s="9">
        <v>850</v>
      </c>
      <c r="H2942" s="9">
        <f t="shared" si="92"/>
        <v>8.5</v>
      </c>
      <c r="I2942" t="s">
        <v>179</v>
      </c>
      <c r="J2942" s="33">
        <v>0</v>
      </c>
      <c r="K2942" s="18">
        <f>VLOOKUP(D2942,Ingredients!C:G,5,0)</f>
        <v>900</v>
      </c>
      <c r="L2942" s="52">
        <f t="shared" si="91"/>
        <v>9</v>
      </c>
    </row>
    <row r="2943" spans="1:12">
      <c r="A2943" t="s">
        <v>607</v>
      </c>
      <c r="B2943" t="s">
        <v>346</v>
      </c>
      <c r="C2943" t="s">
        <v>353</v>
      </c>
      <c r="D2943" s="3" t="s">
        <v>867</v>
      </c>
      <c r="E2943" s="4">
        <v>0.05</v>
      </c>
      <c r="F2943" s="4" t="s">
        <v>176</v>
      </c>
      <c r="G2943" s="9">
        <v>900</v>
      </c>
      <c r="H2943" s="9">
        <f t="shared" si="92"/>
        <v>45</v>
      </c>
      <c r="I2943" t="s">
        <v>179</v>
      </c>
      <c r="J2943" s="33">
        <v>0</v>
      </c>
      <c r="K2943" s="18">
        <f>VLOOKUP(D2943,Ingredients!C:G,5,0)</f>
        <v>950</v>
      </c>
      <c r="L2943" s="52">
        <f t="shared" si="91"/>
        <v>47.5</v>
      </c>
    </row>
    <row r="2944" spans="1:12">
      <c r="A2944" t="s">
        <v>607</v>
      </c>
      <c r="B2944" t="s">
        <v>346</v>
      </c>
      <c r="C2944" t="s">
        <v>353</v>
      </c>
      <c r="D2944" s="3" t="s">
        <v>855</v>
      </c>
      <c r="E2944" s="4">
        <v>0.01</v>
      </c>
      <c r="F2944" s="4" t="s">
        <v>176</v>
      </c>
      <c r="G2944" s="9">
        <v>2400</v>
      </c>
      <c r="H2944" s="9">
        <f t="shared" si="92"/>
        <v>24</v>
      </c>
      <c r="I2944" t="s">
        <v>179</v>
      </c>
      <c r="J2944" s="33">
        <v>0</v>
      </c>
      <c r="K2944" s="18">
        <f>VLOOKUP(D2944,Ingredients!C:G,5,0)</f>
        <v>1600</v>
      </c>
      <c r="L2944" s="52">
        <f t="shared" si="91"/>
        <v>16</v>
      </c>
    </row>
    <row r="2945" spans="1:12">
      <c r="A2945" t="s">
        <v>607</v>
      </c>
      <c r="B2945" t="s">
        <v>346</v>
      </c>
      <c r="C2945" t="s">
        <v>353</v>
      </c>
      <c r="D2945" s="3" t="s">
        <v>24</v>
      </c>
      <c r="E2945" s="4">
        <v>0.1</v>
      </c>
      <c r="F2945" s="4" t="s">
        <v>176</v>
      </c>
      <c r="G2945" s="9">
        <v>55</v>
      </c>
      <c r="H2945" s="9">
        <f t="shared" si="92"/>
        <v>5.5</v>
      </c>
      <c r="I2945" t="s">
        <v>179</v>
      </c>
      <c r="J2945" s="33">
        <v>0</v>
      </c>
      <c r="K2945" s="18">
        <f>VLOOKUP(D2945,Ingredients!C:G,5,0)</f>
        <v>80</v>
      </c>
      <c r="L2945" s="52">
        <f t="shared" si="91"/>
        <v>8</v>
      </c>
    </row>
    <row r="2946" spans="1:12">
      <c r="A2946" t="s">
        <v>607</v>
      </c>
      <c r="B2946" t="s">
        <v>346</v>
      </c>
      <c r="C2946" t="s">
        <v>353</v>
      </c>
      <c r="D2946" s="3" t="s">
        <v>23</v>
      </c>
      <c r="E2946" s="4">
        <v>0.05</v>
      </c>
      <c r="F2946" s="4" t="s">
        <v>176</v>
      </c>
      <c r="G2946" s="9">
        <v>740</v>
      </c>
      <c r="H2946" s="9">
        <f t="shared" si="92"/>
        <v>37</v>
      </c>
      <c r="I2946" t="s">
        <v>179</v>
      </c>
      <c r="J2946" s="33">
        <v>0</v>
      </c>
      <c r="K2946" s="18">
        <f>VLOOKUP(D2946,Ingredients!C:G,5,0)</f>
        <v>780</v>
      </c>
      <c r="L2946" s="52">
        <f t="shared" si="91"/>
        <v>39</v>
      </c>
    </row>
    <row r="2947" spans="1:12">
      <c r="A2947" t="s">
        <v>607</v>
      </c>
      <c r="B2947" t="s">
        <v>346</v>
      </c>
      <c r="C2947" t="s">
        <v>353</v>
      </c>
      <c r="D2947" s="3" t="s">
        <v>29</v>
      </c>
      <c r="E2947" s="4">
        <v>0.06</v>
      </c>
      <c r="F2947" s="4" t="s">
        <v>176</v>
      </c>
      <c r="G2947" s="9">
        <v>60</v>
      </c>
      <c r="H2947" s="9">
        <f t="shared" si="92"/>
        <v>3.5999999999999996</v>
      </c>
      <c r="I2947" t="s">
        <v>179</v>
      </c>
      <c r="J2947" s="33">
        <v>0</v>
      </c>
      <c r="K2947" s="18">
        <f>VLOOKUP(D2947,Ingredients!C:G,5,0)</f>
        <v>100</v>
      </c>
      <c r="L2947" s="52">
        <f t="shared" si="91"/>
        <v>6</v>
      </c>
    </row>
    <row r="2948" spans="1:12">
      <c r="A2948" t="s">
        <v>607</v>
      </c>
      <c r="B2948" t="s">
        <v>346</v>
      </c>
      <c r="C2948" t="s">
        <v>353</v>
      </c>
      <c r="D2948" s="3" t="s">
        <v>7</v>
      </c>
      <c r="E2948" s="4">
        <v>1</v>
      </c>
      <c r="F2948" s="4" t="s">
        <v>252</v>
      </c>
      <c r="G2948" s="9">
        <v>8</v>
      </c>
      <c r="H2948" s="9">
        <f t="shared" si="92"/>
        <v>8</v>
      </c>
      <c r="I2948" t="s">
        <v>179</v>
      </c>
      <c r="J2948" s="33">
        <v>0</v>
      </c>
      <c r="K2948" s="18">
        <f>VLOOKUP(D2948,Ingredients!C:G,5,0)</f>
        <v>6</v>
      </c>
      <c r="L2948" s="52">
        <f t="shared" ref="L2948:L3011" si="93">K2948*E2948</f>
        <v>6</v>
      </c>
    </row>
    <row r="2949" spans="1:12">
      <c r="A2949" t="s">
        <v>607</v>
      </c>
      <c r="B2949" t="s">
        <v>346</v>
      </c>
      <c r="C2949" t="s">
        <v>353</v>
      </c>
      <c r="D2949" s="3" t="s">
        <v>35</v>
      </c>
      <c r="E2949" s="4">
        <v>1</v>
      </c>
      <c r="F2949" s="4" t="s">
        <v>252</v>
      </c>
      <c r="G2949" s="9">
        <v>13</v>
      </c>
      <c r="H2949" s="9">
        <f t="shared" si="92"/>
        <v>13</v>
      </c>
      <c r="I2949" t="s">
        <v>179</v>
      </c>
      <c r="J2949" s="33">
        <v>0</v>
      </c>
      <c r="K2949" s="18">
        <f>VLOOKUP(D2949,Ingredients!C:G,5,0)</f>
        <v>15</v>
      </c>
      <c r="L2949" s="52">
        <f t="shared" si="93"/>
        <v>15</v>
      </c>
    </row>
    <row r="2950" spans="1:12">
      <c r="A2950" t="s">
        <v>607</v>
      </c>
      <c r="B2950" t="s">
        <v>346</v>
      </c>
      <c r="C2950" t="s">
        <v>353</v>
      </c>
      <c r="D2950" s="3" t="s">
        <v>28</v>
      </c>
      <c r="E2950" s="4">
        <v>0.4</v>
      </c>
      <c r="F2950" s="4" t="s">
        <v>176</v>
      </c>
      <c r="G2950" s="9">
        <v>85</v>
      </c>
      <c r="H2950" s="9">
        <f t="shared" si="92"/>
        <v>34</v>
      </c>
      <c r="I2950" t="s">
        <v>179</v>
      </c>
      <c r="J2950" s="33">
        <v>0</v>
      </c>
      <c r="K2950" s="18">
        <f>VLOOKUP(D2950,Ingredients!C:G,5,0)</f>
        <v>70</v>
      </c>
      <c r="L2950" s="52">
        <f t="shared" si="93"/>
        <v>28</v>
      </c>
    </row>
    <row r="2951" spans="1:12">
      <c r="A2951" t="s">
        <v>607</v>
      </c>
      <c r="B2951" t="s">
        <v>346</v>
      </c>
      <c r="C2951" t="s">
        <v>353</v>
      </c>
      <c r="D2951" s="3" t="s">
        <v>880</v>
      </c>
      <c r="E2951" s="4">
        <v>0.04</v>
      </c>
      <c r="F2951" s="4" t="s">
        <v>176</v>
      </c>
      <c r="G2951" s="9">
        <v>650</v>
      </c>
      <c r="H2951" s="9">
        <f t="shared" si="92"/>
        <v>26</v>
      </c>
      <c r="I2951" t="s">
        <v>179</v>
      </c>
      <c r="J2951" s="33">
        <v>0</v>
      </c>
      <c r="K2951" s="18">
        <f>VLOOKUP(D2951,Ingredients!C:G,5,0)</f>
        <v>520</v>
      </c>
      <c r="L2951" s="52">
        <f t="shared" si="93"/>
        <v>20.8</v>
      </c>
    </row>
    <row r="2952" spans="1:12">
      <c r="A2952" t="s">
        <v>607</v>
      </c>
      <c r="B2952" t="s">
        <v>346</v>
      </c>
      <c r="C2952" t="s">
        <v>353</v>
      </c>
      <c r="D2952" s="3" t="s">
        <v>895</v>
      </c>
      <c r="E2952" s="4">
        <v>0.04</v>
      </c>
      <c r="F2952" s="4" t="s">
        <v>176</v>
      </c>
      <c r="G2952" s="9">
        <v>400</v>
      </c>
      <c r="H2952" s="9">
        <f t="shared" si="92"/>
        <v>16</v>
      </c>
      <c r="I2952" t="s">
        <v>179</v>
      </c>
      <c r="J2952" s="33">
        <v>0</v>
      </c>
      <c r="K2952" s="18">
        <f>VLOOKUP(D2952,Ingredients!C:G,5,0)</f>
        <v>400</v>
      </c>
      <c r="L2952" s="52">
        <f t="shared" si="93"/>
        <v>16</v>
      </c>
    </row>
    <row r="2953" spans="1:12">
      <c r="A2953" t="s">
        <v>607</v>
      </c>
      <c r="B2953" t="s">
        <v>346</v>
      </c>
      <c r="C2953" t="s">
        <v>353</v>
      </c>
      <c r="D2953" s="3" t="s">
        <v>860</v>
      </c>
      <c r="E2953" s="4">
        <v>0.02</v>
      </c>
      <c r="F2953" s="4" t="s">
        <v>176</v>
      </c>
      <c r="G2953" s="9">
        <v>2000</v>
      </c>
      <c r="H2953" s="9">
        <f t="shared" si="92"/>
        <v>40</v>
      </c>
      <c r="I2953" t="s">
        <v>179</v>
      </c>
      <c r="J2953" s="33">
        <v>0</v>
      </c>
      <c r="K2953" s="18">
        <f>VLOOKUP(D2953,Ingredients!C:G,5,0)</f>
        <v>1900</v>
      </c>
      <c r="L2953" s="52">
        <f t="shared" si="93"/>
        <v>38</v>
      </c>
    </row>
    <row r="2954" spans="1:12">
      <c r="A2954" t="s">
        <v>607</v>
      </c>
      <c r="B2954" t="s">
        <v>346</v>
      </c>
      <c r="C2954" t="s">
        <v>353</v>
      </c>
      <c r="D2954" s="3" t="s">
        <v>171</v>
      </c>
      <c r="E2954" s="4">
        <v>0.5</v>
      </c>
      <c r="F2954" s="4" t="s">
        <v>176</v>
      </c>
      <c r="G2954" s="9">
        <v>65</v>
      </c>
      <c r="H2954" s="9">
        <f t="shared" si="92"/>
        <v>32.5</v>
      </c>
      <c r="I2954" t="s">
        <v>179</v>
      </c>
      <c r="J2954" s="33">
        <v>0</v>
      </c>
      <c r="K2954" s="18">
        <f>VLOOKUP(D2954,Ingredients!C:G,5,0)</f>
        <v>80</v>
      </c>
      <c r="L2954" s="52">
        <f t="shared" si="93"/>
        <v>40</v>
      </c>
    </row>
    <row r="2955" spans="1:12">
      <c r="A2955" t="s">
        <v>607</v>
      </c>
      <c r="B2955" t="s">
        <v>346</v>
      </c>
      <c r="C2955" t="s">
        <v>353</v>
      </c>
      <c r="D2955" s="3" t="s">
        <v>170</v>
      </c>
      <c r="E2955" s="4">
        <v>0.2</v>
      </c>
      <c r="F2955" s="4" t="s">
        <v>176</v>
      </c>
      <c r="G2955" s="9">
        <v>240</v>
      </c>
      <c r="H2955" s="9">
        <f t="shared" si="92"/>
        <v>48</v>
      </c>
      <c r="I2955" t="s">
        <v>179</v>
      </c>
      <c r="J2955" s="33">
        <v>0</v>
      </c>
      <c r="K2955" s="18">
        <f>VLOOKUP(D2955,Ingredients!C:G,5,0)</f>
        <v>240</v>
      </c>
      <c r="L2955" s="52">
        <f t="shared" si="93"/>
        <v>48</v>
      </c>
    </row>
    <row r="2956" spans="1:12">
      <c r="A2956" t="s">
        <v>607</v>
      </c>
      <c r="B2956" t="s">
        <v>346</v>
      </c>
      <c r="C2956" t="s">
        <v>353</v>
      </c>
      <c r="D2956" s="3" t="s">
        <v>853</v>
      </c>
      <c r="E2956" s="4">
        <v>7.4999999999999997E-2</v>
      </c>
      <c r="F2956" s="4" t="s">
        <v>176</v>
      </c>
      <c r="G2956" s="9">
        <v>30</v>
      </c>
      <c r="H2956" s="9">
        <f t="shared" si="92"/>
        <v>2.25</v>
      </c>
      <c r="I2956" t="s">
        <v>179</v>
      </c>
      <c r="J2956" s="33">
        <v>0</v>
      </c>
      <c r="K2956" s="18">
        <f>VLOOKUP(D2956,Ingredients!C:G,5,0)</f>
        <v>55</v>
      </c>
      <c r="L2956" s="52">
        <f t="shared" si="93"/>
        <v>4.125</v>
      </c>
    </row>
    <row r="2957" spans="1:12">
      <c r="A2957" t="s">
        <v>608</v>
      </c>
      <c r="B2957" t="s">
        <v>349</v>
      </c>
      <c r="C2957" t="s">
        <v>353</v>
      </c>
      <c r="D2957" s="33" t="s">
        <v>491</v>
      </c>
      <c r="E2957" s="11">
        <v>1</v>
      </c>
      <c r="F2957" s="7" t="s">
        <v>176</v>
      </c>
      <c r="G2957" s="9">
        <v>614</v>
      </c>
      <c r="H2957" s="9">
        <f t="shared" si="92"/>
        <v>614</v>
      </c>
      <c r="I2957" t="s">
        <v>179</v>
      </c>
      <c r="J2957" s="33" t="s">
        <v>491</v>
      </c>
      <c r="K2957" s="18">
        <f>VLOOKUP(D2957,Ingredients!C:G,5,0)</f>
        <v>650</v>
      </c>
      <c r="L2957" s="52">
        <f t="shared" si="93"/>
        <v>650</v>
      </c>
    </row>
    <row r="2958" spans="1:12">
      <c r="A2958" t="s">
        <v>608</v>
      </c>
      <c r="B2958" t="s">
        <v>349</v>
      </c>
      <c r="C2958" t="s">
        <v>353</v>
      </c>
      <c r="D2958" s="3" t="s">
        <v>884</v>
      </c>
      <c r="E2958" s="11">
        <v>1.2338425381903644</v>
      </c>
      <c r="F2958" s="7" t="s">
        <v>179</v>
      </c>
      <c r="G2958" s="9">
        <v>344</v>
      </c>
      <c r="H2958" s="9">
        <f t="shared" si="92"/>
        <v>424.44183313748533</v>
      </c>
      <c r="I2958" t="s">
        <v>179</v>
      </c>
      <c r="J2958" s="33" t="s">
        <v>491</v>
      </c>
      <c r="K2958" s="18">
        <f>VLOOKUP(D2958,Ingredients!C:G,5,0)</f>
        <v>344</v>
      </c>
      <c r="L2958" s="52">
        <f t="shared" si="93"/>
        <v>424.44183313748533</v>
      </c>
    </row>
    <row r="2959" spans="1:12">
      <c r="A2959" t="s">
        <v>608</v>
      </c>
      <c r="B2959" t="s">
        <v>349</v>
      </c>
      <c r="C2959" t="s">
        <v>353</v>
      </c>
      <c r="D2959" s="3" t="s">
        <v>852</v>
      </c>
      <c r="E2959" s="11">
        <v>0.10575793184488837</v>
      </c>
      <c r="F2959" s="7" t="s">
        <v>190</v>
      </c>
      <c r="G2959" s="9">
        <v>520.63</v>
      </c>
      <c r="H2959" s="9">
        <f t="shared" si="92"/>
        <v>55.060752056404233</v>
      </c>
      <c r="I2959" t="s">
        <v>179</v>
      </c>
      <c r="J2959" s="33" t="s">
        <v>491</v>
      </c>
      <c r="K2959" s="18">
        <v>550</v>
      </c>
      <c r="L2959" s="52">
        <f t="shared" si="93"/>
        <v>58.166862514688603</v>
      </c>
    </row>
    <row r="2960" spans="1:12">
      <c r="A2960" t="s">
        <v>608</v>
      </c>
      <c r="B2960" t="s">
        <v>349</v>
      </c>
      <c r="C2960" t="s">
        <v>353</v>
      </c>
      <c r="D2960" s="3" t="s">
        <v>73</v>
      </c>
      <c r="E2960" s="11">
        <v>0.27144535840188017</v>
      </c>
      <c r="F2960" s="7" t="s">
        <v>179</v>
      </c>
      <c r="G2960" s="9">
        <v>305</v>
      </c>
      <c r="H2960" s="9">
        <f t="shared" si="92"/>
        <v>82.790834312573452</v>
      </c>
      <c r="I2960" t="s">
        <v>179</v>
      </c>
      <c r="J2960" s="33" t="s">
        <v>491</v>
      </c>
      <c r="K2960" s="18">
        <f>VLOOKUP(D2960,Ingredients!C:G,5,0)</f>
        <v>300</v>
      </c>
      <c r="L2960" s="52">
        <f t="shared" si="93"/>
        <v>81.433607520564053</v>
      </c>
    </row>
    <row r="2961" spans="1:12">
      <c r="A2961" t="s">
        <v>608</v>
      </c>
      <c r="B2961" t="s">
        <v>349</v>
      </c>
      <c r="C2961" t="s">
        <v>353</v>
      </c>
      <c r="D2961" s="3" t="s">
        <v>955</v>
      </c>
      <c r="E2961" s="11">
        <v>1.4806110458284371E-3</v>
      </c>
      <c r="F2961" s="7" t="s">
        <v>179</v>
      </c>
      <c r="G2961" s="9">
        <v>3600</v>
      </c>
      <c r="H2961" s="9">
        <f t="shared" si="92"/>
        <v>5.3301997649823738</v>
      </c>
      <c r="I2961" t="s">
        <v>179</v>
      </c>
      <c r="J2961" s="33" t="s">
        <v>491</v>
      </c>
      <c r="K2961" s="18">
        <f>VLOOKUP(D2961,Ingredients!C:G,5,0)</f>
        <v>3400</v>
      </c>
      <c r="L2961" s="52">
        <f t="shared" si="93"/>
        <v>5.0340775558166859</v>
      </c>
    </row>
    <row r="2962" spans="1:12">
      <c r="A2962" t="s">
        <v>608</v>
      </c>
      <c r="B2962" t="s">
        <v>349</v>
      </c>
      <c r="C2962" t="s">
        <v>353</v>
      </c>
      <c r="D2962" s="3" t="s">
        <v>898</v>
      </c>
      <c r="E2962" s="11">
        <v>1.4806110458284371E-3</v>
      </c>
      <c r="F2962" s="7" t="s">
        <v>179</v>
      </c>
      <c r="G2962" s="9">
        <v>290</v>
      </c>
      <c r="H2962" s="9">
        <f t="shared" si="92"/>
        <v>0.42937720329024676</v>
      </c>
      <c r="I2962" t="s">
        <v>179</v>
      </c>
      <c r="J2962" s="33" t="s">
        <v>491</v>
      </c>
      <c r="K2962" s="18">
        <f>VLOOKUP(D2962,Ingredients!C:G,5,0)</f>
        <v>290</v>
      </c>
      <c r="L2962" s="52">
        <f t="shared" si="93"/>
        <v>0.42937720329024676</v>
      </c>
    </row>
    <row r="2963" spans="1:12">
      <c r="A2963" t="s">
        <v>608</v>
      </c>
      <c r="B2963" t="s">
        <v>349</v>
      </c>
      <c r="C2963" t="s">
        <v>353</v>
      </c>
      <c r="D2963" s="3" t="s">
        <v>926</v>
      </c>
      <c r="E2963" s="11">
        <v>3.5252643948296122E-2</v>
      </c>
      <c r="F2963" s="7" t="s">
        <v>300</v>
      </c>
      <c r="G2963" s="9">
        <v>62.5</v>
      </c>
      <c r="H2963" s="9">
        <f t="shared" si="92"/>
        <v>2.2032902467685078</v>
      </c>
      <c r="I2963" t="s">
        <v>179</v>
      </c>
      <c r="J2963" s="33" t="s">
        <v>491</v>
      </c>
      <c r="K2963" s="18">
        <f>VLOOKUP(D2963,Ingredients!C:F,3,0)</f>
        <v>50</v>
      </c>
      <c r="L2963" s="52">
        <f t="shared" si="93"/>
        <v>1.762632197414806</v>
      </c>
    </row>
    <row r="2964" spans="1:12">
      <c r="A2964" t="s">
        <v>608</v>
      </c>
      <c r="B2964" t="s">
        <v>349</v>
      </c>
      <c r="C2964" t="s">
        <v>353</v>
      </c>
      <c r="D2964" s="3" t="s">
        <v>882</v>
      </c>
      <c r="E2964" s="11">
        <v>1.4806110458284371E-3</v>
      </c>
      <c r="F2964" s="7" t="s">
        <v>179</v>
      </c>
      <c r="G2964" s="9">
        <v>1500</v>
      </c>
      <c r="H2964" s="9">
        <f t="shared" si="92"/>
        <v>2.2209165687426555</v>
      </c>
      <c r="I2964" t="s">
        <v>179</v>
      </c>
      <c r="J2964" s="33" t="s">
        <v>491</v>
      </c>
      <c r="K2964" s="18">
        <f>VLOOKUP(D2964,Ingredients!C:G,5,0)</f>
        <v>1450</v>
      </c>
      <c r="L2964" s="52">
        <f t="shared" si="93"/>
        <v>2.146886016451234</v>
      </c>
    </row>
    <row r="2965" spans="1:12">
      <c r="A2965" t="s">
        <v>608</v>
      </c>
      <c r="B2965" t="s">
        <v>349</v>
      </c>
      <c r="C2965" t="s">
        <v>353</v>
      </c>
      <c r="D2965" s="3" t="s">
        <v>880</v>
      </c>
      <c r="E2965" s="11">
        <v>9.8707403055229154E-3</v>
      </c>
      <c r="F2965" s="7" t="s">
        <v>179</v>
      </c>
      <c r="G2965" s="9">
        <v>650</v>
      </c>
      <c r="H2965" s="9">
        <f t="shared" si="92"/>
        <v>6.4159811985898951</v>
      </c>
      <c r="I2965" t="s">
        <v>179</v>
      </c>
      <c r="J2965" s="33" t="s">
        <v>491</v>
      </c>
      <c r="K2965" s="18">
        <f>VLOOKUP(D2965,Ingredients!C:G,5,0)</f>
        <v>520</v>
      </c>
      <c r="L2965" s="52">
        <f t="shared" si="93"/>
        <v>5.1327849588719161</v>
      </c>
    </row>
    <row r="2966" spans="1:12">
      <c r="A2966" t="s">
        <v>608</v>
      </c>
      <c r="B2966" t="s">
        <v>349</v>
      </c>
      <c r="C2966" t="s">
        <v>353</v>
      </c>
      <c r="D2966" s="3" t="s">
        <v>28</v>
      </c>
      <c r="E2966" s="11">
        <v>0.21386603995299647</v>
      </c>
      <c r="F2966" s="7" t="s">
        <v>179</v>
      </c>
      <c r="G2966" s="9">
        <v>85</v>
      </c>
      <c r="H2966" s="9">
        <f t="shared" si="92"/>
        <v>18.1786133960047</v>
      </c>
      <c r="I2966" t="s">
        <v>179</v>
      </c>
      <c r="J2966" s="33" t="s">
        <v>491</v>
      </c>
      <c r="K2966" s="18">
        <f>VLOOKUP(D2966,Ingredients!C:G,5,0)</f>
        <v>70</v>
      </c>
      <c r="L2966" s="52">
        <f t="shared" si="93"/>
        <v>14.970622796709753</v>
      </c>
    </row>
    <row r="2967" spans="1:12">
      <c r="A2967" t="s">
        <v>608</v>
      </c>
      <c r="B2967" t="s">
        <v>349</v>
      </c>
      <c r="C2967" t="s">
        <v>353</v>
      </c>
      <c r="D2967" s="3" t="s">
        <v>273</v>
      </c>
      <c r="E2967" s="11">
        <v>5.2878965922444184E-2</v>
      </c>
      <c r="F2967" s="7" t="s">
        <v>179</v>
      </c>
      <c r="G2967" s="9">
        <v>175</v>
      </c>
      <c r="H2967" s="9">
        <f t="shared" si="92"/>
        <v>9.253819036427732</v>
      </c>
      <c r="I2967" t="s">
        <v>179</v>
      </c>
      <c r="J2967" s="33" t="s">
        <v>491</v>
      </c>
      <c r="K2967" s="18">
        <f>VLOOKUP(D2967,Ingredients!C:G,5,0)</f>
        <v>200</v>
      </c>
      <c r="L2967" s="52">
        <f t="shared" si="93"/>
        <v>10.575793184488838</v>
      </c>
    </row>
    <row r="2968" spans="1:12">
      <c r="A2968" t="s">
        <v>608</v>
      </c>
      <c r="B2968" t="s">
        <v>349</v>
      </c>
      <c r="C2968" t="s">
        <v>353</v>
      </c>
      <c r="D2968" s="3" t="s">
        <v>301</v>
      </c>
      <c r="E2968" s="11">
        <v>2.1151586368977675E-2</v>
      </c>
      <c r="F2968" s="7" t="s">
        <v>300</v>
      </c>
      <c r="G2968" s="9">
        <v>70</v>
      </c>
      <c r="H2968" s="9">
        <f t="shared" si="92"/>
        <v>1.4806110458284372</v>
      </c>
      <c r="I2968" t="s">
        <v>179</v>
      </c>
      <c r="J2968" s="33" t="s">
        <v>491</v>
      </c>
      <c r="K2968" s="18">
        <f>VLOOKUP(D2968,Ingredients!C:G,5,0)</f>
        <v>70</v>
      </c>
      <c r="L2968" s="52">
        <f t="shared" si="93"/>
        <v>1.4806110458284372</v>
      </c>
    </row>
    <row r="2969" spans="1:12">
      <c r="A2969" t="s">
        <v>608</v>
      </c>
      <c r="B2969" t="s">
        <v>349</v>
      </c>
      <c r="C2969" t="s">
        <v>353</v>
      </c>
      <c r="D2969" s="3" t="s">
        <v>895</v>
      </c>
      <c r="E2969" s="11">
        <v>1.4101057579318449E-3</v>
      </c>
      <c r="F2969" s="7" t="s">
        <v>179</v>
      </c>
      <c r="G2969" s="9">
        <v>400</v>
      </c>
      <c r="H2969" s="9">
        <f t="shared" si="92"/>
        <v>0.56404230317273796</v>
      </c>
      <c r="I2969" t="s">
        <v>179</v>
      </c>
      <c r="J2969" s="33" t="s">
        <v>491</v>
      </c>
      <c r="K2969" s="18">
        <f>VLOOKUP(D2969,Ingredients!C:G,5,0)</f>
        <v>400</v>
      </c>
      <c r="L2969" s="52">
        <f t="shared" si="93"/>
        <v>0.56404230317273796</v>
      </c>
    </row>
    <row r="2970" spans="1:12">
      <c r="A2970" t="s">
        <v>608</v>
      </c>
      <c r="B2970" t="s">
        <v>349</v>
      </c>
      <c r="C2970" t="s">
        <v>353</v>
      </c>
      <c r="D2970" s="3" t="s">
        <v>927</v>
      </c>
      <c r="E2970" s="11">
        <v>5.2878965922444184E-2</v>
      </c>
      <c r="F2970" s="7" t="s">
        <v>179</v>
      </c>
      <c r="G2970" s="9">
        <v>600</v>
      </c>
      <c r="H2970" s="9">
        <f t="shared" si="92"/>
        <v>31.727379553466509</v>
      </c>
      <c r="I2970" t="s">
        <v>179</v>
      </c>
      <c r="J2970" s="33" t="s">
        <v>491</v>
      </c>
      <c r="K2970" s="18">
        <f>VLOOKUP(D2970,Ingredients!C:G,5,0)</f>
        <v>600</v>
      </c>
      <c r="L2970" s="52">
        <f t="shared" si="93"/>
        <v>31.727379553466509</v>
      </c>
    </row>
    <row r="2971" spans="1:12">
      <c r="A2971" t="s">
        <v>608</v>
      </c>
      <c r="B2971" t="s">
        <v>349</v>
      </c>
      <c r="C2971" t="s">
        <v>353</v>
      </c>
      <c r="D2971" s="3" t="s">
        <v>855</v>
      </c>
      <c r="E2971" s="11">
        <v>1.4806110458284371E-3</v>
      </c>
      <c r="F2971" s="7" t="s">
        <v>179</v>
      </c>
      <c r="G2971" s="9">
        <v>2400</v>
      </c>
      <c r="H2971" s="9">
        <f t="shared" si="92"/>
        <v>3.5534665099882492</v>
      </c>
      <c r="I2971" t="s">
        <v>179</v>
      </c>
      <c r="J2971" s="33" t="s">
        <v>491</v>
      </c>
      <c r="K2971" s="18">
        <f>VLOOKUP(D2971,Ingredients!C:G,5,0)</f>
        <v>1600</v>
      </c>
      <c r="L2971" s="52">
        <f t="shared" si="93"/>
        <v>2.3689776733254995</v>
      </c>
    </row>
    <row r="2972" spans="1:12">
      <c r="A2972" t="s">
        <v>608</v>
      </c>
      <c r="B2972" t="s">
        <v>349</v>
      </c>
      <c r="C2972" t="s">
        <v>353</v>
      </c>
      <c r="D2972" s="3" t="s">
        <v>858</v>
      </c>
      <c r="E2972" s="11">
        <v>1.4806110458284371E-3</v>
      </c>
      <c r="F2972" s="7" t="s">
        <v>179</v>
      </c>
      <c r="G2972" s="9">
        <v>1900</v>
      </c>
      <c r="H2972" s="9">
        <f t="shared" si="92"/>
        <v>2.8131609870740304</v>
      </c>
      <c r="I2972" t="s">
        <v>179</v>
      </c>
      <c r="J2972" s="33" t="s">
        <v>491</v>
      </c>
      <c r="K2972" s="18">
        <f>VLOOKUP(D2972,Ingredients!C:G,5,0)</f>
        <v>1900</v>
      </c>
      <c r="L2972" s="52">
        <f t="shared" si="93"/>
        <v>2.8131609870740304</v>
      </c>
    </row>
    <row r="2973" spans="1:12">
      <c r="A2973" t="s">
        <v>608</v>
      </c>
      <c r="B2973" t="s">
        <v>349</v>
      </c>
      <c r="C2973" t="s">
        <v>353</v>
      </c>
      <c r="D2973" s="3" t="s">
        <v>862</v>
      </c>
      <c r="E2973" s="11">
        <v>1.4806110458284371E-3</v>
      </c>
      <c r="F2973" s="7" t="s">
        <v>179</v>
      </c>
      <c r="G2973" s="9">
        <v>6500</v>
      </c>
      <c r="H2973" s="9">
        <f t="shared" si="92"/>
        <v>9.6239717978848418</v>
      </c>
      <c r="I2973" t="s">
        <v>179</v>
      </c>
      <c r="J2973" s="33" t="s">
        <v>491</v>
      </c>
      <c r="K2973" s="18">
        <f>VLOOKUP(D2973,Ingredients!C:G,5,0)</f>
        <v>6500</v>
      </c>
      <c r="L2973" s="52">
        <f t="shared" si="93"/>
        <v>9.6239717978848418</v>
      </c>
    </row>
    <row r="2974" spans="1:12">
      <c r="A2974" t="s">
        <v>608</v>
      </c>
      <c r="B2974" t="s">
        <v>349</v>
      </c>
      <c r="C2974" t="s">
        <v>353</v>
      </c>
      <c r="D2974" s="3" t="s">
        <v>954</v>
      </c>
      <c r="E2974" s="11">
        <v>1.4806110458284371E-3</v>
      </c>
      <c r="F2974" s="7" t="s">
        <v>179</v>
      </c>
      <c r="G2974" s="9">
        <v>1900</v>
      </c>
      <c r="H2974" s="9">
        <f t="shared" si="92"/>
        <v>2.8131609870740304</v>
      </c>
      <c r="I2974" t="s">
        <v>179</v>
      </c>
      <c r="J2974" s="33" t="s">
        <v>491</v>
      </c>
      <c r="K2974" s="18">
        <f>VLOOKUP(D2974,Ingredients!C:G,5,0)</f>
        <v>2000</v>
      </c>
      <c r="L2974" s="52">
        <f t="shared" si="93"/>
        <v>2.9612220916568743</v>
      </c>
    </row>
    <row r="2975" spans="1:12">
      <c r="A2975" t="s">
        <v>608</v>
      </c>
      <c r="B2975" t="s">
        <v>349</v>
      </c>
      <c r="C2975" t="s">
        <v>353</v>
      </c>
      <c r="D2975" s="3" t="s">
        <v>29</v>
      </c>
      <c r="E2975" s="11">
        <v>5.8754406580493537E-3</v>
      </c>
      <c r="F2975" s="7" t="s">
        <v>179</v>
      </c>
      <c r="G2975" s="9">
        <v>60</v>
      </c>
      <c r="H2975" s="9">
        <f t="shared" si="92"/>
        <v>0.35252643948296125</v>
      </c>
      <c r="I2975" t="s">
        <v>179</v>
      </c>
      <c r="J2975" s="33" t="s">
        <v>491</v>
      </c>
      <c r="K2975" s="18">
        <f>VLOOKUP(D2975,Ingredients!C:G,5,0)</f>
        <v>100</v>
      </c>
      <c r="L2975" s="52">
        <f t="shared" si="93"/>
        <v>0.58754406580493534</v>
      </c>
    </row>
    <row r="2976" spans="1:12">
      <c r="A2976" t="s">
        <v>608</v>
      </c>
      <c r="B2976" t="s">
        <v>349</v>
      </c>
      <c r="C2976" t="s">
        <v>353</v>
      </c>
      <c r="D2976" s="3" t="s">
        <v>7</v>
      </c>
      <c r="E2976" s="11">
        <v>0.21386603995299647</v>
      </c>
      <c r="F2976" s="7" t="s">
        <v>297</v>
      </c>
      <c r="G2976" s="9">
        <v>8</v>
      </c>
      <c r="H2976" s="9">
        <f t="shared" si="92"/>
        <v>1.7109283196239717</v>
      </c>
      <c r="I2976" t="s">
        <v>179</v>
      </c>
      <c r="J2976" s="33" t="s">
        <v>491</v>
      </c>
      <c r="K2976" s="18">
        <f>VLOOKUP(D2976,Ingredients!C:G,5,0)</f>
        <v>6</v>
      </c>
      <c r="L2976" s="52">
        <f t="shared" si="93"/>
        <v>1.2831962397179788</v>
      </c>
    </row>
    <row r="2977" spans="1:12">
      <c r="A2977" t="s">
        <v>608</v>
      </c>
      <c r="B2977" t="s">
        <v>349</v>
      </c>
      <c r="C2977" t="s">
        <v>353</v>
      </c>
      <c r="D2977" s="3" t="s">
        <v>35</v>
      </c>
      <c r="E2977" s="11">
        <v>0.21386603995299647</v>
      </c>
      <c r="F2977" s="7" t="s">
        <v>297</v>
      </c>
      <c r="G2977" s="9">
        <v>13</v>
      </c>
      <c r="H2977" s="9">
        <f t="shared" si="92"/>
        <v>2.780258519388954</v>
      </c>
      <c r="I2977" t="s">
        <v>179</v>
      </c>
      <c r="J2977" s="33" t="s">
        <v>491</v>
      </c>
      <c r="K2977" s="18">
        <f>VLOOKUP(D2977,Ingredients!C:G,5,0)</f>
        <v>15</v>
      </c>
      <c r="L2977" s="52">
        <f t="shared" si="93"/>
        <v>3.2079905992949471</v>
      </c>
    </row>
    <row r="2978" spans="1:12">
      <c r="A2978" t="s">
        <v>608</v>
      </c>
      <c r="B2978" t="s">
        <v>349</v>
      </c>
      <c r="C2978" t="s">
        <v>353</v>
      </c>
      <c r="D2978" s="3" t="s">
        <v>849</v>
      </c>
      <c r="E2978" s="11">
        <v>2.4676850763807288E-3</v>
      </c>
      <c r="F2978" s="7" t="s">
        <v>179</v>
      </c>
      <c r="G2978" s="9">
        <v>1000</v>
      </c>
      <c r="H2978" s="9">
        <f t="shared" si="92"/>
        <v>2.4676850763807288</v>
      </c>
      <c r="I2978" t="s">
        <v>179</v>
      </c>
      <c r="J2978" s="33" t="s">
        <v>491</v>
      </c>
      <c r="K2978" s="18">
        <f>VLOOKUP(D2978,Ingredients!C:G,5,0)</f>
        <v>950</v>
      </c>
      <c r="L2978" s="52">
        <f t="shared" si="93"/>
        <v>2.3443008225616926</v>
      </c>
    </row>
    <row r="2979" spans="1:12">
      <c r="A2979" t="s">
        <v>608</v>
      </c>
      <c r="B2979" t="s">
        <v>349</v>
      </c>
      <c r="C2979" t="s">
        <v>353</v>
      </c>
      <c r="D2979" s="3" t="s">
        <v>860</v>
      </c>
      <c r="E2979" s="11">
        <v>3.1727379553466513E-3</v>
      </c>
      <c r="F2979" s="7" t="s">
        <v>179</v>
      </c>
      <c r="G2979" s="9">
        <v>2000</v>
      </c>
      <c r="H2979" s="9">
        <f t="shared" si="92"/>
        <v>6.3454759106933025</v>
      </c>
      <c r="I2979" t="s">
        <v>179</v>
      </c>
      <c r="J2979" s="33" t="s">
        <v>491</v>
      </c>
      <c r="K2979" s="18">
        <f>VLOOKUP(D2979,Ingredients!C:G,5,0)</f>
        <v>1900</v>
      </c>
      <c r="L2979" s="52">
        <f t="shared" si="93"/>
        <v>6.0282021151586376</v>
      </c>
    </row>
    <row r="2980" spans="1:12">
      <c r="A2980" t="s">
        <v>608</v>
      </c>
      <c r="B2980" t="s">
        <v>349</v>
      </c>
      <c r="C2980" t="s">
        <v>353</v>
      </c>
      <c r="D2980" s="3" t="s">
        <v>853</v>
      </c>
      <c r="E2980" s="11">
        <v>0.21386603995299647</v>
      </c>
      <c r="F2980" s="7" t="s">
        <v>179</v>
      </c>
      <c r="G2980" s="9">
        <v>30</v>
      </c>
      <c r="H2980" s="9">
        <f t="shared" si="92"/>
        <v>6.4159811985898942</v>
      </c>
      <c r="I2980" t="s">
        <v>179</v>
      </c>
      <c r="J2980" s="33" t="s">
        <v>491</v>
      </c>
      <c r="K2980" s="18">
        <f>VLOOKUP(D2980,Ingredients!C:G,5,0)</f>
        <v>55</v>
      </c>
      <c r="L2980" s="52">
        <f t="shared" si="93"/>
        <v>11.762632197414806</v>
      </c>
    </row>
    <row r="2981" spans="1:12">
      <c r="A2981" t="s">
        <v>608</v>
      </c>
      <c r="B2981" t="s">
        <v>349</v>
      </c>
      <c r="C2981" t="s">
        <v>353</v>
      </c>
      <c r="D2981" s="3" t="s">
        <v>928</v>
      </c>
      <c r="E2981" s="11">
        <v>1.4806110458284371E-3</v>
      </c>
      <c r="F2981" s="7" t="s">
        <v>179</v>
      </c>
      <c r="G2981" s="9">
        <v>850</v>
      </c>
      <c r="H2981" s="9">
        <f t="shared" si="92"/>
        <v>1.2585193889541715</v>
      </c>
      <c r="I2981" t="s">
        <v>179</v>
      </c>
      <c r="J2981" s="33" t="s">
        <v>491</v>
      </c>
      <c r="K2981" s="18">
        <f>VLOOKUP(D2981,Ingredients!C:G,5,0)</f>
        <v>900</v>
      </c>
      <c r="L2981" s="52">
        <f t="shared" si="93"/>
        <v>1.3325499412455935</v>
      </c>
    </row>
    <row r="2982" spans="1:12">
      <c r="A2982" t="s">
        <v>608</v>
      </c>
      <c r="B2982" t="s">
        <v>349</v>
      </c>
      <c r="C2982" t="s">
        <v>353</v>
      </c>
      <c r="D2982" s="3" t="s">
        <v>50</v>
      </c>
      <c r="E2982" s="11">
        <v>2.5851938895417155E-2</v>
      </c>
      <c r="F2982" s="7" t="s">
        <v>179</v>
      </c>
      <c r="G2982" s="9">
        <v>120</v>
      </c>
      <c r="H2982" s="9">
        <f t="shared" si="92"/>
        <v>3.1022326674500587</v>
      </c>
      <c r="I2982" t="s">
        <v>179</v>
      </c>
      <c r="J2982" s="33" t="s">
        <v>491</v>
      </c>
      <c r="K2982" s="18">
        <f>VLOOKUP(D2982,Ingredients!C:G,5,0)</f>
        <v>120</v>
      </c>
      <c r="L2982" s="52">
        <f t="shared" si="93"/>
        <v>3.1022326674500587</v>
      </c>
    </row>
    <row r="2983" spans="1:12">
      <c r="A2983" t="s">
        <v>608</v>
      </c>
      <c r="B2983" t="s">
        <v>349</v>
      </c>
      <c r="C2983" t="s">
        <v>353</v>
      </c>
      <c r="D2983" s="3" t="s">
        <v>915</v>
      </c>
      <c r="E2983" s="11">
        <v>1.4806110458284371E-3</v>
      </c>
      <c r="F2983" s="7" t="s">
        <v>179</v>
      </c>
      <c r="G2983" s="9">
        <v>5000</v>
      </c>
      <c r="H2983" s="9">
        <f t="shared" si="92"/>
        <v>7.4030552291421854</v>
      </c>
      <c r="I2983" t="s">
        <v>179</v>
      </c>
      <c r="J2983" s="33" t="s">
        <v>491</v>
      </c>
      <c r="K2983" s="18">
        <f>VLOOKUP(D2983,Ingredients!C:G,5,0)</f>
        <v>3200</v>
      </c>
      <c r="L2983" s="52">
        <f t="shared" si="93"/>
        <v>4.7379553466509989</v>
      </c>
    </row>
    <row r="2984" spans="1:12">
      <c r="A2984" t="s">
        <v>608</v>
      </c>
      <c r="B2984" t="s">
        <v>349</v>
      </c>
      <c r="C2984" t="s">
        <v>353</v>
      </c>
      <c r="D2984" s="3" t="s">
        <v>929</v>
      </c>
      <c r="E2984" s="11">
        <v>1.4806110458284371E-2</v>
      </c>
      <c r="F2984" s="7" t="s">
        <v>179</v>
      </c>
      <c r="G2984" s="9">
        <v>650</v>
      </c>
      <c r="H2984" s="9">
        <f t="shared" si="92"/>
        <v>9.6239717978848418</v>
      </c>
      <c r="I2984" t="s">
        <v>179</v>
      </c>
      <c r="J2984" s="33" t="s">
        <v>491</v>
      </c>
      <c r="K2984" s="18">
        <f>VLOOKUP(D2984,Ingredients!C:G,5,0)</f>
        <v>650</v>
      </c>
      <c r="L2984" s="52">
        <f t="shared" si="93"/>
        <v>9.6239717978848418</v>
      </c>
    </row>
    <row r="2985" spans="1:12">
      <c r="A2985" t="s">
        <v>608</v>
      </c>
      <c r="B2985" t="s">
        <v>349</v>
      </c>
      <c r="C2985" t="s">
        <v>353</v>
      </c>
      <c r="D2985" s="3" t="s">
        <v>23</v>
      </c>
      <c r="E2985" s="11">
        <v>7.4030552291421857E-3</v>
      </c>
      <c r="F2985" s="7" t="s">
        <v>179</v>
      </c>
      <c r="G2985" s="9">
        <v>740</v>
      </c>
      <c r="H2985" s="9">
        <f t="shared" si="92"/>
        <v>5.4782608695652177</v>
      </c>
      <c r="I2985" t="s">
        <v>179</v>
      </c>
      <c r="J2985" s="33" t="s">
        <v>491</v>
      </c>
      <c r="K2985" s="18">
        <f>VLOOKUP(D2985,Ingredients!C:G,5,0)</f>
        <v>780</v>
      </c>
      <c r="L2985" s="52">
        <f t="shared" si="93"/>
        <v>5.7743830787309047</v>
      </c>
    </row>
    <row r="2986" spans="1:12">
      <c r="A2986" t="s">
        <v>608</v>
      </c>
      <c r="B2986" t="s">
        <v>349</v>
      </c>
      <c r="C2986" t="s">
        <v>353</v>
      </c>
      <c r="D2986" s="3" t="s">
        <v>16</v>
      </c>
      <c r="E2986" s="11">
        <v>4.9353701527614577E-3</v>
      </c>
      <c r="F2986" s="7" t="s">
        <v>179</v>
      </c>
      <c r="G2986" s="9">
        <v>270</v>
      </c>
      <c r="H2986" s="9">
        <f t="shared" si="92"/>
        <v>1.3325499412455937</v>
      </c>
      <c r="I2986" t="s">
        <v>179</v>
      </c>
      <c r="J2986" s="33" t="s">
        <v>491</v>
      </c>
      <c r="K2986" s="18">
        <f>VLOOKUP(D2986,Ingredients!C:G,5,0)</f>
        <v>310</v>
      </c>
      <c r="L2986" s="52">
        <f t="shared" si="93"/>
        <v>1.5299647473560518</v>
      </c>
    </row>
    <row r="2987" spans="1:12">
      <c r="A2987" t="s">
        <v>608</v>
      </c>
      <c r="B2987" t="s">
        <v>349</v>
      </c>
      <c r="C2987" t="s">
        <v>353</v>
      </c>
      <c r="D2987" s="3" t="s">
        <v>923</v>
      </c>
      <c r="E2987" s="11">
        <v>2.4676850763807288E-3</v>
      </c>
      <c r="F2987" s="7" t="s">
        <v>179</v>
      </c>
      <c r="G2987" s="9">
        <v>100</v>
      </c>
      <c r="H2987" s="9">
        <f t="shared" si="92"/>
        <v>0.2467685076380729</v>
      </c>
      <c r="I2987" t="s">
        <v>179</v>
      </c>
      <c r="J2987" s="33" t="s">
        <v>491</v>
      </c>
      <c r="K2987" s="18">
        <f>VLOOKUP(D2987,Ingredients!C:G,5,0)</f>
        <v>1000</v>
      </c>
      <c r="L2987" s="52">
        <f t="shared" si="93"/>
        <v>2.4676850763807288</v>
      </c>
    </row>
    <row r="2988" spans="1:12">
      <c r="A2988" t="s">
        <v>608</v>
      </c>
      <c r="B2988" t="s">
        <v>349</v>
      </c>
      <c r="C2988" t="s">
        <v>353</v>
      </c>
      <c r="D2988" s="3" t="s">
        <v>867</v>
      </c>
      <c r="E2988" s="11">
        <v>2.4676850763807288E-3</v>
      </c>
      <c r="F2988" s="7" t="s">
        <v>179</v>
      </c>
      <c r="G2988" s="9">
        <v>900</v>
      </c>
      <c r="H2988" s="9">
        <f t="shared" si="92"/>
        <v>2.220916568742656</v>
      </c>
      <c r="I2988" t="s">
        <v>179</v>
      </c>
      <c r="J2988" s="33" t="s">
        <v>491</v>
      </c>
      <c r="K2988" s="18">
        <f>VLOOKUP(D2988,Ingredients!C:G,5,0)</f>
        <v>950</v>
      </c>
      <c r="L2988" s="52">
        <f t="shared" si="93"/>
        <v>2.3443008225616926</v>
      </c>
    </row>
    <row r="2989" spans="1:12">
      <c r="A2989" t="s">
        <v>608</v>
      </c>
      <c r="B2989" t="s">
        <v>349</v>
      </c>
      <c r="C2989" t="s">
        <v>353</v>
      </c>
      <c r="D2989" s="3" t="s">
        <v>127</v>
      </c>
      <c r="E2989" s="4">
        <v>5.0000000000000001E-3</v>
      </c>
      <c r="F2989" s="7" t="s">
        <v>179</v>
      </c>
      <c r="G2989" s="9">
        <v>280</v>
      </c>
      <c r="H2989" s="9">
        <f t="shared" ref="H2989:H3052" si="94">G2989*E2989</f>
        <v>1.4000000000000001</v>
      </c>
      <c r="I2989" t="s">
        <v>179</v>
      </c>
      <c r="J2989" s="33" t="s">
        <v>491</v>
      </c>
      <c r="K2989" s="18">
        <f>VLOOKUP(D2989,Ingredients!C:G,5,0)</f>
        <v>14870</v>
      </c>
      <c r="L2989" s="52">
        <f t="shared" si="93"/>
        <v>74.350000000000009</v>
      </c>
    </row>
    <row r="2990" spans="1:12">
      <c r="A2990" s="21" t="s">
        <v>609</v>
      </c>
      <c r="B2990" t="s">
        <v>362</v>
      </c>
      <c r="C2990" t="s">
        <v>354</v>
      </c>
      <c r="D2990" s="3" t="s">
        <v>50</v>
      </c>
      <c r="E2990" s="4">
        <v>1</v>
      </c>
      <c r="F2990" s="7" t="s">
        <v>179</v>
      </c>
      <c r="G2990" s="9">
        <v>120</v>
      </c>
      <c r="H2990" s="9">
        <f t="shared" si="94"/>
        <v>120</v>
      </c>
      <c r="I2990" t="s">
        <v>179</v>
      </c>
      <c r="J2990" s="33">
        <v>0</v>
      </c>
      <c r="K2990" s="18">
        <f>VLOOKUP(D2990,Ingredients!C:G,5,0)</f>
        <v>120</v>
      </c>
      <c r="L2990" s="52">
        <f t="shared" si="93"/>
        <v>120</v>
      </c>
    </row>
    <row r="2991" spans="1:12">
      <c r="A2991" t="s">
        <v>610</v>
      </c>
      <c r="B2991" t="s">
        <v>346</v>
      </c>
      <c r="C2991" t="s">
        <v>993</v>
      </c>
      <c r="D2991" s="3" t="s">
        <v>935</v>
      </c>
      <c r="E2991" s="4">
        <v>1</v>
      </c>
      <c r="F2991" s="7" t="s">
        <v>176</v>
      </c>
      <c r="G2991" s="9">
        <v>230</v>
      </c>
      <c r="H2991" s="9">
        <f t="shared" si="94"/>
        <v>230</v>
      </c>
      <c r="I2991" t="s">
        <v>179</v>
      </c>
      <c r="J2991" s="33">
        <v>0</v>
      </c>
      <c r="K2991" s="18">
        <f>VLOOKUP(D2991,Ingredients!C:G,5,0)</f>
        <v>210</v>
      </c>
      <c r="L2991" s="52">
        <f t="shared" si="93"/>
        <v>210</v>
      </c>
    </row>
    <row r="2992" spans="1:12">
      <c r="A2992" t="s">
        <v>610</v>
      </c>
      <c r="B2992" t="s">
        <v>346</v>
      </c>
      <c r="C2992" t="s">
        <v>993</v>
      </c>
      <c r="D2992" s="3" t="s">
        <v>24</v>
      </c>
      <c r="E2992" s="4">
        <v>0.4</v>
      </c>
      <c r="F2992" s="7" t="s">
        <v>176</v>
      </c>
      <c r="G2992" s="9">
        <v>55</v>
      </c>
      <c r="H2992" s="9">
        <f t="shared" si="94"/>
        <v>22</v>
      </c>
      <c r="I2992" t="s">
        <v>179</v>
      </c>
      <c r="J2992" s="33">
        <v>0</v>
      </c>
      <c r="K2992" s="18">
        <f>VLOOKUP(D2992,Ingredients!C:G,5,0)</f>
        <v>80</v>
      </c>
      <c r="L2992" s="52">
        <f t="shared" si="93"/>
        <v>32</v>
      </c>
    </row>
    <row r="2993" spans="1:12">
      <c r="A2993" t="s">
        <v>610</v>
      </c>
      <c r="B2993" t="s">
        <v>346</v>
      </c>
      <c r="C2993" t="s">
        <v>993</v>
      </c>
      <c r="D2993" s="3" t="s">
        <v>28</v>
      </c>
      <c r="E2993" s="4">
        <v>0.35000000000000003</v>
      </c>
      <c r="F2993" s="7" t="s">
        <v>176</v>
      </c>
      <c r="G2993" s="9">
        <v>85</v>
      </c>
      <c r="H2993" s="9">
        <f t="shared" si="94"/>
        <v>29.750000000000004</v>
      </c>
      <c r="I2993" t="s">
        <v>179</v>
      </c>
      <c r="J2993" s="33">
        <v>0</v>
      </c>
      <c r="K2993" s="18">
        <f>VLOOKUP(D2993,Ingredients!C:G,5,0)</f>
        <v>70</v>
      </c>
      <c r="L2993" s="52">
        <f t="shared" si="93"/>
        <v>24.500000000000004</v>
      </c>
    </row>
    <row r="2994" spans="1:12">
      <c r="A2994" t="s">
        <v>610</v>
      </c>
      <c r="B2994" t="s">
        <v>346</v>
      </c>
      <c r="C2994" t="s">
        <v>993</v>
      </c>
      <c r="D2994" s="3" t="s">
        <v>23</v>
      </c>
      <c r="E2994" s="4">
        <v>7.4999999999999997E-2</v>
      </c>
      <c r="F2994" s="7" t="s">
        <v>176</v>
      </c>
      <c r="G2994" s="9">
        <v>740</v>
      </c>
      <c r="H2994" s="9">
        <f t="shared" si="94"/>
        <v>55.5</v>
      </c>
      <c r="I2994" t="s">
        <v>179</v>
      </c>
      <c r="J2994" s="33">
        <v>0</v>
      </c>
      <c r="K2994" s="18">
        <f>VLOOKUP(D2994,Ingredients!C:G,5,0)</f>
        <v>780</v>
      </c>
      <c r="L2994" s="52">
        <f t="shared" si="93"/>
        <v>58.5</v>
      </c>
    </row>
    <row r="2995" spans="1:12">
      <c r="A2995" t="s">
        <v>610</v>
      </c>
      <c r="B2995" t="s">
        <v>346</v>
      </c>
      <c r="C2995" t="s">
        <v>993</v>
      </c>
      <c r="D2995" s="3" t="s">
        <v>16</v>
      </c>
      <c r="E2995" s="4">
        <v>7.4999999999999997E-2</v>
      </c>
      <c r="F2995" s="7" t="s">
        <v>176</v>
      </c>
      <c r="G2995" s="9">
        <v>270</v>
      </c>
      <c r="H2995" s="9">
        <f t="shared" si="94"/>
        <v>20.25</v>
      </c>
      <c r="I2995" t="s">
        <v>179</v>
      </c>
      <c r="J2995" s="33">
        <v>0</v>
      </c>
      <c r="K2995" s="18">
        <f>VLOOKUP(D2995,Ingredients!C:G,5,0)</f>
        <v>310</v>
      </c>
      <c r="L2995" s="52">
        <f t="shared" si="93"/>
        <v>23.25</v>
      </c>
    </row>
    <row r="2996" spans="1:12">
      <c r="A2996" t="s">
        <v>610</v>
      </c>
      <c r="B2996" t="s">
        <v>346</v>
      </c>
      <c r="C2996" t="s">
        <v>993</v>
      </c>
      <c r="D2996" s="3" t="s">
        <v>867</v>
      </c>
      <c r="E2996" s="4">
        <v>0.15</v>
      </c>
      <c r="F2996" s="7" t="s">
        <v>176</v>
      </c>
      <c r="G2996" s="9">
        <v>900</v>
      </c>
      <c r="H2996" s="9">
        <f t="shared" si="94"/>
        <v>135</v>
      </c>
      <c r="I2996" t="s">
        <v>179</v>
      </c>
      <c r="J2996" s="33">
        <v>0</v>
      </c>
      <c r="K2996" s="18">
        <f>VLOOKUP(D2996,Ingredients!C:G,5,0)</f>
        <v>950</v>
      </c>
      <c r="L2996" s="52">
        <f t="shared" si="93"/>
        <v>142.5</v>
      </c>
    </row>
    <row r="2997" spans="1:12">
      <c r="A2997" t="s">
        <v>610</v>
      </c>
      <c r="B2997" t="s">
        <v>346</v>
      </c>
      <c r="C2997" t="s">
        <v>993</v>
      </c>
      <c r="D2997" s="3" t="s">
        <v>895</v>
      </c>
      <c r="E2997" s="4">
        <v>0.15</v>
      </c>
      <c r="F2997" s="7" t="s">
        <v>176</v>
      </c>
      <c r="G2997" s="9">
        <v>400</v>
      </c>
      <c r="H2997" s="9">
        <f t="shared" si="94"/>
        <v>60</v>
      </c>
      <c r="I2997" t="s">
        <v>179</v>
      </c>
      <c r="J2997" s="33">
        <v>0</v>
      </c>
      <c r="K2997" s="18">
        <f>VLOOKUP(D2997,Ingredients!C:G,5,0)</f>
        <v>400</v>
      </c>
      <c r="L2997" s="52">
        <f t="shared" si="93"/>
        <v>60</v>
      </c>
    </row>
    <row r="2998" spans="1:12">
      <c r="A2998" t="s">
        <v>610</v>
      </c>
      <c r="B2998" t="s">
        <v>346</v>
      </c>
      <c r="C2998" t="s">
        <v>993</v>
      </c>
      <c r="D2998" s="3" t="s">
        <v>880</v>
      </c>
      <c r="E2998" s="4">
        <v>7.4999999999999997E-2</v>
      </c>
      <c r="F2998" s="7" t="s">
        <v>176</v>
      </c>
      <c r="G2998" s="9">
        <v>650</v>
      </c>
      <c r="H2998" s="9">
        <f t="shared" si="94"/>
        <v>48.75</v>
      </c>
      <c r="I2998" t="s">
        <v>179</v>
      </c>
      <c r="J2998" s="33">
        <v>0</v>
      </c>
      <c r="K2998" s="18">
        <f>VLOOKUP(D2998,Ingredients!C:G,5,0)</f>
        <v>520</v>
      </c>
      <c r="L2998" s="52">
        <f t="shared" si="93"/>
        <v>39</v>
      </c>
    </row>
    <row r="2999" spans="1:12">
      <c r="A2999" t="s">
        <v>610</v>
      </c>
      <c r="B2999" t="s">
        <v>346</v>
      </c>
      <c r="C2999" t="s">
        <v>993</v>
      </c>
      <c r="D2999" s="3" t="s">
        <v>855</v>
      </c>
      <c r="E2999" s="4">
        <v>0.15</v>
      </c>
      <c r="F2999" s="7" t="s">
        <v>176</v>
      </c>
      <c r="G2999" s="9">
        <v>2400</v>
      </c>
      <c r="H2999" s="9">
        <f t="shared" si="94"/>
        <v>360</v>
      </c>
      <c r="I2999" t="s">
        <v>179</v>
      </c>
      <c r="J2999" s="33">
        <v>0</v>
      </c>
      <c r="K2999" s="18">
        <f>VLOOKUP(D2999,Ingredients!C:G,5,0)</f>
        <v>1600</v>
      </c>
      <c r="L2999" s="52">
        <f t="shared" si="93"/>
        <v>240</v>
      </c>
    </row>
    <row r="3000" spans="1:12">
      <c r="A3000" t="s">
        <v>610</v>
      </c>
      <c r="B3000" t="s">
        <v>346</v>
      </c>
      <c r="C3000" t="s">
        <v>993</v>
      </c>
      <c r="D3000" s="3" t="s">
        <v>148</v>
      </c>
      <c r="E3000" s="4">
        <v>2.5</v>
      </c>
      <c r="F3000" s="7" t="s">
        <v>252</v>
      </c>
      <c r="G3000" s="9">
        <v>5</v>
      </c>
      <c r="H3000" s="9">
        <f t="shared" si="94"/>
        <v>12.5</v>
      </c>
      <c r="I3000" t="s">
        <v>179</v>
      </c>
      <c r="J3000" s="33">
        <v>0</v>
      </c>
      <c r="K3000" s="18">
        <f>VLOOKUP(D3000,Ingredients!C:G,5,0)</f>
        <v>5</v>
      </c>
      <c r="L3000" s="52">
        <f t="shared" si="93"/>
        <v>12.5</v>
      </c>
    </row>
    <row r="3001" spans="1:12">
      <c r="A3001" t="s">
        <v>610</v>
      </c>
      <c r="B3001" t="s">
        <v>346</v>
      </c>
      <c r="C3001" t="s">
        <v>993</v>
      </c>
      <c r="D3001" s="3" t="s">
        <v>856</v>
      </c>
      <c r="E3001" s="4">
        <v>7.4999999999999997E-2</v>
      </c>
      <c r="F3001" s="7" t="s">
        <v>176</v>
      </c>
      <c r="G3001" s="9">
        <v>850</v>
      </c>
      <c r="H3001" s="9">
        <f t="shared" si="94"/>
        <v>63.75</v>
      </c>
      <c r="I3001" t="s">
        <v>179</v>
      </c>
      <c r="J3001" s="33">
        <v>0</v>
      </c>
      <c r="K3001" s="18">
        <f>VLOOKUP(D3001,Ingredients!C:G,5,0)</f>
        <v>980</v>
      </c>
      <c r="L3001" s="52">
        <f t="shared" si="93"/>
        <v>73.5</v>
      </c>
    </row>
    <row r="3002" spans="1:12">
      <c r="A3002" t="s">
        <v>610</v>
      </c>
      <c r="B3002" t="s">
        <v>346</v>
      </c>
      <c r="C3002" t="s">
        <v>993</v>
      </c>
      <c r="D3002" s="3" t="s">
        <v>860</v>
      </c>
      <c r="E3002" s="4">
        <v>7.4999999999999997E-2</v>
      </c>
      <c r="F3002" s="7" t="s">
        <v>176</v>
      </c>
      <c r="G3002" s="9">
        <v>2000</v>
      </c>
      <c r="H3002" s="9">
        <f t="shared" si="94"/>
        <v>150</v>
      </c>
      <c r="I3002" t="s">
        <v>179</v>
      </c>
      <c r="J3002" s="33">
        <v>0</v>
      </c>
      <c r="K3002" s="18">
        <f>VLOOKUP(D3002,Ingredients!C:G,5,0)</f>
        <v>1900</v>
      </c>
      <c r="L3002" s="52">
        <f t="shared" si="93"/>
        <v>142.5</v>
      </c>
    </row>
    <row r="3003" spans="1:12">
      <c r="A3003" t="s">
        <v>610</v>
      </c>
      <c r="B3003" t="s">
        <v>346</v>
      </c>
      <c r="C3003" t="s">
        <v>993</v>
      </c>
      <c r="D3003" s="3" t="s">
        <v>853</v>
      </c>
      <c r="E3003" s="4">
        <v>0.15</v>
      </c>
      <c r="F3003" s="7" t="s">
        <v>176</v>
      </c>
      <c r="G3003" s="9">
        <v>30</v>
      </c>
      <c r="H3003" s="9">
        <f t="shared" si="94"/>
        <v>4.5</v>
      </c>
      <c r="I3003" t="s">
        <v>179</v>
      </c>
      <c r="J3003" s="33">
        <v>0</v>
      </c>
      <c r="K3003" s="18">
        <f>VLOOKUP(D3003,Ingredients!C:G,5,0)</f>
        <v>55</v>
      </c>
      <c r="L3003" s="52">
        <f t="shared" si="93"/>
        <v>8.25</v>
      </c>
    </row>
    <row r="3004" spans="1:12">
      <c r="A3004" t="s">
        <v>610</v>
      </c>
      <c r="B3004" t="s">
        <v>346</v>
      </c>
      <c r="C3004" t="s">
        <v>993</v>
      </c>
      <c r="D3004" s="3" t="s">
        <v>852</v>
      </c>
      <c r="E3004" s="4">
        <v>0.5</v>
      </c>
      <c r="F3004" s="7" t="s">
        <v>176</v>
      </c>
      <c r="G3004" s="9">
        <v>520.63</v>
      </c>
      <c r="H3004" s="9">
        <f t="shared" si="94"/>
        <v>260.315</v>
      </c>
      <c r="I3004" t="s">
        <v>179</v>
      </c>
      <c r="J3004" s="33">
        <v>0</v>
      </c>
      <c r="K3004" s="18">
        <v>550</v>
      </c>
      <c r="L3004" s="52">
        <f t="shared" si="93"/>
        <v>275</v>
      </c>
    </row>
    <row r="3005" spans="1:12">
      <c r="A3005" t="s">
        <v>610</v>
      </c>
      <c r="B3005" t="s">
        <v>346</v>
      </c>
      <c r="C3005" t="s">
        <v>993</v>
      </c>
      <c r="D3005" s="3" t="s">
        <v>377</v>
      </c>
      <c r="E3005" s="4">
        <v>0.5</v>
      </c>
      <c r="F3005" s="7" t="s">
        <v>176</v>
      </c>
      <c r="G3005" s="9">
        <v>40</v>
      </c>
      <c r="H3005" s="9">
        <f t="shared" si="94"/>
        <v>20</v>
      </c>
      <c r="I3005" t="s">
        <v>179</v>
      </c>
      <c r="J3005" s="33">
        <v>0</v>
      </c>
      <c r="K3005" s="18">
        <f>VLOOKUP(D3005,Ingredients!C:G,5,0)</f>
        <v>50</v>
      </c>
      <c r="L3005" s="52">
        <f t="shared" si="93"/>
        <v>25</v>
      </c>
    </row>
    <row r="3006" spans="1:12">
      <c r="A3006" t="s">
        <v>611</v>
      </c>
      <c r="B3006" t="s">
        <v>349</v>
      </c>
      <c r="C3006" t="s">
        <v>350</v>
      </c>
      <c r="D3006" s="3" t="s">
        <v>865</v>
      </c>
      <c r="E3006" s="10">
        <v>0.04</v>
      </c>
      <c r="F3006" s="13" t="s">
        <v>176</v>
      </c>
      <c r="G3006" s="9">
        <v>1400</v>
      </c>
      <c r="H3006" s="9">
        <f t="shared" si="94"/>
        <v>56</v>
      </c>
      <c r="I3006" t="s">
        <v>179</v>
      </c>
      <c r="J3006" s="33" t="s">
        <v>489</v>
      </c>
      <c r="K3006" s="18">
        <f>VLOOKUP(D3006,Ingredients!C:G,5,0)</f>
        <v>1400</v>
      </c>
      <c r="L3006" s="52">
        <f t="shared" si="93"/>
        <v>56</v>
      </c>
    </row>
    <row r="3007" spans="1:12">
      <c r="A3007" t="s">
        <v>611</v>
      </c>
      <c r="B3007" t="s">
        <v>349</v>
      </c>
      <c r="C3007" t="s">
        <v>350</v>
      </c>
      <c r="D3007" s="3" t="s">
        <v>878</v>
      </c>
      <c r="E3007" s="10">
        <v>0.02</v>
      </c>
      <c r="F3007" s="13" t="s">
        <v>176</v>
      </c>
      <c r="G3007" s="9">
        <v>270</v>
      </c>
      <c r="H3007" s="9">
        <f t="shared" si="94"/>
        <v>5.4</v>
      </c>
      <c r="I3007" t="s">
        <v>179</v>
      </c>
      <c r="J3007" s="33" t="s">
        <v>489</v>
      </c>
      <c r="K3007" s="18">
        <f>VLOOKUP(D3007,Ingredients!C:G,5,0)</f>
        <v>1260.55</v>
      </c>
      <c r="L3007" s="52">
        <f t="shared" si="93"/>
        <v>25.210999999999999</v>
      </c>
    </row>
    <row r="3008" spans="1:12">
      <c r="A3008" t="s">
        <v>611</v>
      </c>
      <c r="B3008" t="s">
        <v>349</v>
      </c>
      <c r="C3008" t="s">
        <v>350</v>
      </c>
      <c r="D3008" s="3" t="s">
        <v>849</v>
      </c>
      <c r="E3008" s="10">
        <v>0.02</v>
      </c>
      <c r="F3008" s="13" t="s">
        <v>176</v>
      </c>
      <c r="G3008" s="9">
        <v>1000</v>
      </c>
      <c r="H3008" s="9">
        <f t="shared" si="94"/>
        <v>20</v>
      </c>
      <c r="I3008" t="s">
        <v>179</v>
      </c>
      <c r="J3008" s="33" t="s">
        <v>489</v>
      </c>
      <c r="K3008" s="18">
        <f>VLOOKUP(D3008,Ingredients!C:G,5,0)</f>
        <v>950</v>
      </c>
      <c r="L3008" s="52">
        <f t="shared" si="93"/>
        <v>19</v>
      </c>
    </row>
    <row r="3009" spans="1:12">
      <c r="A3009" t="s">
        <v>611</v>
      </c>
      <c r="B3009" t="s">
        <v>349</v>
      </c>
      <c r="C3009" t="s">
        <v>350</v>
      </c>
      <c r="D3009" s="3" t="s">
        <v>859</v>
      </c>
      <c r="E3009" s="10">
        <v>0.02</v>
      </c>
      <c r="F3009" s="13" t="s">
        <v>176</v>
      </c>
      <c r="G3009" s="9">
        <v>650</v>
      </c>
      <c r="H3009" s="9">
        <f t="shared" si="94"/>
        <v>13</v>
      </c>
      <c r="I3009" t="s">
        <v>179</v>
      </c>
      <c r="J3009" s="33" t="s">
        <v>489</v>
      </c>
      <c r="K3009" s="18">
        <f>VLOOKUP(D3009,Ingredients!C:G,5,0)</f>
        <v>700</v>
      </c>
      <c r="L3009" s="52">
        <f t="shared" si="93"/>
        <v>14</v>
      </c>
    </row>
    <row r="3010" spans="1:12">
      <c r="A3010" t="s">
        <v>611</v>
      </c>
      <c r="B3010" t="s">
        <v>349</v>
      </c>
      <c r="C3010" t="s">
        <v>350</v>
      </c>
      <c r="D3010" s="3" t="s">
        <v>860</v>
      </c>
      <c r="E3010" s="10">
        <v>0.02</v>
      </c>
      <c r="F3010" s="13" t="s">
        <v>176</v>
      </c>
      <c r="G3010" s="9">
        <v>2000</v>
      </c>
      <c r="H3010" s="9">
        <f t="shared" si="94"/>
        <v>40</v>
      </c>
      <c r="I3010" t="s">
        <v>179</v>
      </c>
      <c r="J3010" s="33" t="s">
        <v>489</v>
      </c>
      <c r="K3010" s="18">
        <f>VLOOKUP(D3010,Ingredients!C:G,5,0)</f>
        <v>1900</v>
      </c>
      <c r="L3010" s="52">
        <f t="shared" si="93"/>
        <v>38</v>
      </c>
    </row>
    <row r="3011" spans="1:12">
      <c r="A3011" t="s">
        <v>611</v>
      </c>
      <c r="B3011" t="s">
        <v>349</v>
      </c>
      <c r="C3011" t="s">
        <v>350</v>
      </c>
      <c r="D3011" s="3" t="s">
        <v>832</v>
      </c>
      <c r="E3011" s="10">
        <v>0.02</v>
      </c>
      <c r="F3011" s="13" t="s">
        <v>176</v>
      </c>
      <c r="G3011" s="9">
        <v>128</v>
      </c>
      <c r="H3011" s="9">
        <f t="shared" si="94"/>
        <v>2.56</v>
      </c>
      <c r="I3011" t="s">
        <v>179</v>
      </c>
      <c r="J3011" s="33" t="s">
        <v>489</v>
      </c>
      <c r="K3011" s="18">
        <f>VLOOKUP(D3011,Ingredients!C:G,5,0)</f>
        <v>131.19999999999999</v>
      </c>
      <c r="L3011" s="52">
        <f t="shared" si="93"/>
        <v>2.6239999999999997</v>
      </c>
    </row>
    <row r="3012" spans="1:12">
      <c r="A3012" t="s">
        <v>611</v>
      </c>
      <c r="B3012" t="s">
        <v>349</v>
      </c>
      <c r="C3012" t="s">
        <v>350</v>
      </c>
      <c r="D3012" s="3" t="s">
        <v>35</v>
      </c>
      <c r="E3012" s="10">
        <v>0.04</v>
      </c>
      <c r="F3012" s="13" t="s">
        <v>176</v>
      </c>
      <c r="G3012" s="9">
        <v>13</v>
      </c>
      <c r="H3012" s="9">
        <f t="shared" si="94"/>
        <v>0.52</v>
      </c>
      <c r="I3012" t="s">
        <v>179</v>
      </c>
      <c r="J3012" s="33" t="s">
        <v>489</v>
      </c>
      <c r="K3012" s="18">
        <f>VLOOKUP(D3012,Ingredients!C:G,5,0)</f>
        <v>15</v>
      </c>
      <c r="L3012" s="52">
        <f t="shared" ref="L3012:L3075" si="95">K3012*E3012</f>
        <v>0.6</v>
      </c>
    </row>
    <row r="3013" spans="1:12">
      <c r="A3013" t="s">
        <v>611</v>
      </c>
      <c r="B3013" t="s">
        <v>349</v>
      </c>
      <c r="C3013" t="s">
        <v>350</v>
      </c>
      <c r="D3013" s="3" t="s">
        <v>855</v>
      </c>
      <c r="E3013" s="10">
        <v>0.02</v>
      </c>
      <c r="F3013" s="13" t="s">
        <v>176</v>
      </c>
      <c r="G3013" s="9">
        <v>2400</v>
      </c>
      <c r="H3013" s="9">
        <f t="shared" si="94"/>
        <v>48</v>
      </c>
      <c r="I3013" t="s">
        <v>179</v>
      </c>
      <c r="J3013" s="33" t="s">
        <v>489</v>
      </c>
      <c r="K3013" s="18">
        <f>VLOOKUP(D3013,Ingredients!C:G,5,0)</f>
        <v>1600</v>
      </c>
      <c r="L3013" s="52">
        <f t="shared" si="95"/>
        <v>32</v>
      </c>
    </row>
    <row r="3014" spans="1:12">
      <c r="A3014" t="s">
        <v>611</v>
      </c>
      <c r="B3014" t="s">
        <v>349</v>
      </c>
      <c r="C3014" t="s">
        <v>350</v>
      </c>
      <c r="D3014" s="3" t="s">
        <v>853</v>
      </c>
      <c r="E3014" s="10">
        <v>0.02</v>
      </c>
      <c r="F3014" s="13" t="s">
        <v>176</v>
      </c>
      <c r="G3014" s="9">
        <v>30</v>
      </c>
      <c r="H3014" s="9">
        <f t="shared" si="94"/>
        <v>0.6</v>
      </c>
      <c r="I3014" t="s">
        <v>179</v>
      </c>
      <c r="J3014" s="33" t="s">
        <v>489</v>
      </c>
      <c r="K3014" s="18">
        <f>VLOOKUP(D3014,Ingredients!C:G,5,0)</f>
        <v>55</v>
      </c>
      <c r="L3014" s="52">
        <f t="shared" si="95"/>
        <v>1.1000000000000001</v>
      </c>
    </row>
    <row r="3015" spans="1:12">
      <c r="A3015" t="s">
        <v>611</v>
      </c>
      <c r="B3015" t="s">
        <v>349</v>
      </c>
      <c r="C3015" t="s">
        <v>350</v>
      </c>
      <c r="D3015" s="3" t="s">
        <v>29</v>
      </c>
      <c r="E3015" s="10">
        <v>0.08</v>
      </c>
      <c r="F3015" s="13" t="s">
        <v>176</v>
      </c>
      <c r="G3015" s="9">
        <v>60</v>
      </c>
      <c r="H3015" s="9">
        <f t="shared" si="94"/>
        <v>4.8</v>
      </c>
      <c r="I3015" t="s">
        <v>179</v>
      </c>
      <c r="J3015" s="33" t="s">
        <v>489</v>
      </c>
      <c r="K3015" s="18">
        <f>VLOOKUP(D3015,Ingredients!C:G,5,0)</f>
        <v>100</v>
      </c>
      <c r="L3015" s="52">
        <f t="shared" si="95"/>
        <v>8</v>
      </c>
    </row>
    <row r="3016" spans="1:12">
      <c r="A3016" t="s">
        <v>611</v>
      </c>
      <c r="B3016" t="s">
        <v>349</v>
      </c>
      <c r="C3016" t="s">
        <v>350</v>
      </c>
      <c r="D3016" s="3" t="s">
        <v>24</v>
      </c>
      <c r="E3016" s="10">
        <v>0.2</v>
      </c>
      <c r="F3016" s="13" t="s">
        <v>176</v>
      </c>
      <c r="G3016" s="9">
        <v>55</v>
      </c>
      <c r="H3016" s="9">
        <f t="shared" si="94"/>
        <v>11</v>
      </c>
      <c r="I3016" t="s">
        <v>179</v>
      </c>
      <c r="J3016" s="33" t="s">
        <v>489</v>
      </c>
      <c r="K3016" s="18">
        <f>VLOOKUP(D3016,Ingredients!C:G,5,0)</f>
        <v>80</v>
      </c>
      <c r="L3016" s="52">
        <f t="shared" si="95"/>
        <v>16</v>
      </c>
    </row>
    <row r="3017" spans="1:12">
      <c r="A3017" t="s">
        <v>611</v>
      </c>
      <c r="B3017" t="s">
        <v>349</v>
      </c>
      <c r="C3017" t="s">
        <v>350</v>
      </c>
      <c r="D3017" s="3" t="s">
        <v>861</v>
      </c>
      <c r="E3017" s="10">
        <v>0.16</v>
      </c>
      <c r="F3017" s="13" t="s">
        <v>176</v>
      </c>
      <c r="G3017" s="9">
        <v>500</v>
      </c>
      <c r="H3017" s="9">
        <f t="shared" si="94"/>
        <v>80</v>
      </c>
      <c r="I3017" t="s">
        <v>179</v>
      </c>
      <c r="J3017" s="33" t="s">
        <v>489</v>
      </c>
      <c r="K3017" s="18">
        <f>VLOOKUP(D3017,Ingredients!C:G,5,0)</f>
        <v>500</v>
      </c>
      <c r="L3017" s="52">
        <f t="shared" si="95"/>
        <v>80</v>
      </c>
    </row>
    <row r="3018" spans="1:12">
      <c r="A3018" t="s">
        <v>611</v>
      </c>
      <c r="B3018" t="s">
        <v>349</v>
      </c>
      <c r="C3018" t="s">
        <v>350</v>
      </c>
      <c r="D3018" s="3" t="s">
        <v>831</v>
      </c>
      <c r="E3018" s="10">
        <v>1</v>
      </c>
      <c r="F3018" s="13" t="s">
        <v>176</v>
      </c>
      <c r="G3018" s="9">
        <v>908</v>
      </c>
      <c r="H3018" s="9">
        <f t="shared" si="94"/>
        <v>908</v>
      </c>
      <c r="I3018" t="s">
        <v>179</v>
      </c>
      <c r="J3018" s="33" t="s">
        <v>489</v>
      </c>
      <c r="K3018" s="18">
        <f>VLOOKUP(D3018,Ingredients!C:G,5,0)</f>
        <v>908</v>
      </c>
      <c r="L3018" s="52">
        <f t="shared" si="95"/>
        <v>908</v>
      </c>
    </row>
    <row r="3019" spans="1:12">
      <c r="A3019" t="s">
        <v>611</v>
      </c>
      <c r="B3019" t="s">
        <v>349</v>
      </c>
      <c r="C3019" t="s">
        <v>350</v>
      </c>
      <c r="D3019" s="3" t="s">
        <v>41</v>
      </c>
      <c r="E3019" s="10">
        <v>0.02</v>
      </c>
      <c r="F3019" s="13" t="s">
        <v>176</v>
      </c>
      <c r="G3019" s="9">
        <v>550</v>
      </c>
      <c r="H3019" s="9">
        <f t="shared" si="94"/>
        <v>11</v>
      </c>
      <c r="I3019" t="s">
        <v>179</v>
      </c>
      <c r="J3019" s="33" t="s">
        <v>489</v>
      </c>
      <c r="K3019" s="18">
        <f>VLOOKUP(D3019,Ingredients!C:G,5,0)</f>
        <v>550</v>
      </c>
      <c r="L3019" s="52">
        <f t="shared" si="95"/>
        <v>11</v>
      </c>
    </row>
    <row r="3020" spans="1:12">
      <c r="A3020" t="s">
        <v>612</v>
      </c>
      <c r="B3020" t="s">
        <v>345</v>
      </c>
      <c r="C3020" t="s">
        <v>612</v>
      </c>
      <c r="D3020" s="3" t="s">
        <v>863</v>
      </c>
      <c r="E3020" s="4">
        <v>1</v>
      </c>
      <c r="F3020" s="4" t="s">
        <v>176</v>
      </c>
      <c r="G3020" s="9">
        <v>675</v>
      </c>
      <c r="H3020" s="9">
        <f t="shared" si="94"/>
        <v>675</v>
      </c>
      <c r="I3020" t="s">
        <v>179</v>
      </c>
      <c r="J3020" s="33">
        <v>0</v>
      </c>
      <c r="K3020" s="18">
        <f>VLOOKUP(D3020,Ingredients!C:G,5,0)</f>
        <v>675</v>
      </c>
      <c r="L3020" s="52">
        <f t="shared" si="95"/>
        <v>675</v>
      </c>
    </row>
    <row r="3021" spans="1:12">
      <c r="A3021" s="21" t="s">
        <v>674</v>
      </c>
      <c r="B3021" t="s">
        <v>356</v>
      </c>
      <c r="C3021" t="s">
        <v>357</v>
      </c>
      <c r="D3021" s="3" t="s">
        <v>613</v>
      </c>
      <c r="E3021" s="4">
        <v>1</v>
      </c>
      <c r="F3021" s="4" t="s">
        <v>253</v>
      </c>
      <c r="G3021" s="9">
        <v>158</v>
      </c>
      <c r="H3021" s="9">
        <f t="shared" si="94"/>
        <v>158</v>
      </c>
      <c r="I3021" t="s">
        <v>253</v>
      </c>
      <c r="J3021" s="33">
        <v>0</v>
      </c>
      <c r="K3021" s="18">
        <f>VLOOKUP(D3021,Ingredients!C:G,5,0)</f>
        <v>158</v>
      </c>
      <c r="L3021" s="52">
        <f t="shared" si="95"/>
        <v>158</v>
      </c>
    </row>
    <row r="3022" spans="1:12">
      <c r="A3022" t="s">
        <v>614</v>
      </c>
      <c r="B3022" t="s">
        <v>349</v>
      </c>
      <c r="C3022" t="s">
        <v>351</v>
      </c>
      <c r="D3022" s="3" t="s">
        <v>831</v>
      </c>
      <c r="E3022" s="4">
        <v>2.5000000000000001E-2</v>
      </c>
      <c r="F3022" s="4" t="s">
        <v>176</v>
      </c>
      <c r="G3022" s="9">
        <v>908</v>
      </c>
      <c r="H3022" s="9">
        <f t="shared" si="94"/>
        <v>22.700000000000003</v>
      </c>
      <c r="I3022" t="s">
        <v>253</v>
      </c>
      <c r="J3022" s="33" t="s">
        <v>489</v>
      </c>
      <c r="K3022" s="18">
        <f>VLOOKUP(D3022,Ingredients!C:G,5,0)</f>
        <v>908</v>
      </c>
      <c r="L3022" s="52">
        <f t="shared" si="95"/>
        <v>22.700000000000003</v>
      </c>
    </row>
    <row r="3023" spans="1:12">
      <c r="A3023" t="s">
        <v>614</v>
      </c>
      <c r="B3023" t="s">
        <v>349</v>
      </c>
      <c r="C3023" t="s">
        <v>351</v>
      </c>
      <c r="D3023" s="3" t="s">
        <v>171</v>
      </c>
      <c r="E3023" s="4">
        <v>2.4E-2</v>
      </c>
      <c r="F3023" s="4" t="s">
        <v>176</v>
      </c>
      <c r="G3023" s="9">
        <v>65</v>
      </c>
      <c r="H3023" s="9">
        <f t="shared" si="94"/>
        <v>1.56</v>
      </c>
      <c r="I3023" t="s">
        <v>253</v>
      </c>
      <c r="J3023" s="33" t="s">
        <v>489</v>
      </c>
      <c r="K3023" s="18">
        <f>VLOOKUP(D3023,Ingredients!C:G,5,0)</f>
        <v>80</v>
      </c>
      <c r="L3023" s="52">
        <f t="shared" si="95"/>
        <v>1.92</v>
      </c>
    </row>
    <row r="3024" spans="1:12">
      <c r="A3024" t="s">
        <v>614</v>
      </c>
      <c r="B3024" t="s">
        <v>349</v>
      </c>
      <c r="C3024" t="s">
        <v>351</v>
      </c>
      <c r="D3024" s="3" t="s">
        <v>24</v>
      </c>
      <c r="E3024" s="4">
        <v>7.000000000000001E-3</v>
      </c>
      <c r="F3024" s="4" t="s">
        <v>176</v>
      </c>
      <c r="G3024" s="9">
        <v>55</v>
      </c>
      <c r="H3024" s="9">
        <f t="shared" si="94"/>
        <v>0.38500000000000006</v>
      </c>
      <c r="I3024" t="s">
        <v>253</v>
      </c>
      <c r="J3024" s="33" t="s">
        <v>489</v>
      </c>
      <c r="K3024" s="18">
        <f>VLOOKUP(D3024,Ingredients!C:G,5,0)</f>
        <v>80</v>
      </c>
      <c r="L3024" s="52">
        <f t="shared" si="95"/>
        <v>0.56000000000000005</v>
      </c>
    </row>
    <row r="3025" spans="1:12">
      <c r="A3025" t="s">
        <v>614</v>
      </c>
      <c r="B3025" t="s">
        <v>349</v>
      </c>
      <c r="C3025" t="s">
        <v>351</v>
      </c>
      <c r="D3025" s="3" t="s">
        <v>865</v>
      </c>
      <c r="E3025" s="4">
        <v>1.5E-3</v>
      </c>
      <c r="F3025" s="4" t="s">
        <v>176</v>
      </c>
      <c r="G3025" s="9">
        <v>1400</v>
      </c>
      <c r="H3025" s="9">
        <f t="shared" si="94"/>
        <v>2.1</v>
      </c>
      <c r="I3025" t="s">
        <v>253</v>
      </c>
      <c r="J3025" s="33" t="s">
        <v>489</v>
      </c>
      <c r="K3025" s="18">
        <f>VLOOKUP(D3025,Ingredients!C:G,5,0)</f>
        <v>1400</v>
      </c>
      <c r="L3025" s="52">
        <f t="shared" si="95"/>
        <v>2.1</v>
      </c>
    </row>
    <row r="3026" spans="1:12">
      <c r="A3026" t="s">
        <v>614</v>
      </c>
      <c r="B3026" t="s">
        <v>349</v>
      </c>
      <c r="C3026" t="s">
        <v>351</v>
      </c>
      <c r="D3026" s="3" t="s">
        <v>29</v>
      </c>
      <c r="E3026" s="4">
        <v>1.5E-3</v>
      </c>
      <c r="F3026" s="4" t="s">
        <v>176</v>
      </c>
      <c r="G3026" s="9">
        <v>60</v>
      </c>
      <c r="H3026" s="9">
        <f t="shared" si="94"/>
        <v>0.09</v>
      </c>
      <c r="I3026" t="s">
        <v>253</v>
      </c>
      <c r="J3026" s="33" t="s">
        <v>489</v>
      </c>
      <c r="K3026" s="18">
        <f>VLOOKUP(D3026,Ingredients!C:G,5,0)</f>
        <v>100</v>
      </c>
      <c r="L3026" s="52">
        <f t="shared" si="95"/>
        <v>0.15</v>
      </c>
    </row>
    <row r="3027" spans="1:12">
      <c r="A3027" t="s">
        <v>614</v>
      </c>
      <c r="B3027" t="s">
        <v>349</v>
      </c>
      <c r="C3027" t="s">
        <v>351</v>
      </c>
      <c r="D3027" s="3" t="s">
        <v>23</v>
      </c>
      <c r="E3027" s="4">
        <v>1.5E-3</v>
      </c>
      <c r="F3027" s="4" t="s">
        <v>176</v>
      </c>
      <c r="G3027" s="9">
        <v>740</v>
      </c>
      <c r="H3027" s="9">
        <f t="shared" si="94"/>
        <v>1.1100000000000001</v>
      </c>
      <c r="I3027" t="s">
        <v>253</v>
      </c>
      <c r="J3027" s="33" t="s">
        <v>489</v>
      </c>
      <c r="K3027" s="18">
        <f>VLOOKUP(D3027,Ingredients!C:G,5,0)</f>
        <v>780</v>
      </c>
      <c r="L3027" s="52">
        <f t="shared" si="95"/>
        <v>1.17</v>
      </c>
    </row>
    <row r="3028" spans="1:12">
      <c r="A3028" t="s">
        <v>614</v>
      </c>
      <c r="B3028" t="s">
        <v>349</v>
      </c>
      <c r="C3028" t="s">
        <v>351</v>
      </c>
      <c r="D3028" s="3" t="s">
        <v>16</v>
      </c>
      <c r="E3028" s="4">
        <v>8.0000000000000004E-4</v>
      </c>
      <c r="F3028" s="4" t="s">
        <v>176</v>
      </c>
      <c r="G3028" s="9">
        <v>270</v>
      </c>
      <c r="H3028" s="9">
        <f t="shared" si="94"/>
        <v>0.216</v>
      </c>
      <c r="I3028" t="s">
        <v>253</v>
      </c>
      <c r="J3028" s="33" t="s">
        <v>489</v>
      </c>
      <c r="K3028" s="18">
        <f>VLOOKUP(D3028,Ingredients!C:G,5,0)</f>
        <v>310</v>
      </c>
      <c r="L3028" s="52">
        <f t="shared" si="95"/>
        <v>0.248</v>
      </c>
    </row>
    <row r="3029" spans="1:12">
      <c r="A3029" t="s">
        <v>614</v>
      </c>
      <c r="B3029" t="s">
        <v>349</v>
      </c>
      <c r="C3029" t="s">
        <v>351</v>
      </c>
      <c r="D3029" s="3" t="s">
        <v>853</v>
      </c>
      <c r="E3029" s="4">
        <v>8.0000000000000004E-4</v>
      </c>
      <c r="F3029" s="4" t="s">
        <v>176</v>
      </c>
      <c r="G3029" s="9">
        <v>30</v>
      </c>
      <c r="H3029" s="9">
        <f t="shared" si="94"/>
        <v>2.4E-2</v>
      </c>
      <c r="I3029" t="s">
        <v>253</v>
      </c>
      <c r="J3029" s="33" t="s">
        <v>489</v>
      </c>
      <c r="K3029" s="18">
        <f>VLOOKUP(D3029,Ingredients!C:G,5,0)</f>
        <v>55</v>
      </c>
      <c r="L3029" s="52">
        <f t="shared" si="95"/>
        <v>4.4000000000000004E-2</v>
      </c>
    </row>
    <row r="3030" spans="1:12">
      <c r="A3030" t="s">
        <v>614</v>
      </c>
      <c r="B3030" t="s">
        <v>349</v>
      </c>
      <c r="C3030" t="s">
        <v>351</v>
      </c>
      <c r="D3030" s="3" t="s">
        <v>887</v>
      </c>
      <c r="E3030" s="4">
        <v>8.0000000000000004E-4</v>
      </c>
      <c r="F3030" s="4" t="s">
        <v>176</v>
      </c>
      <c r="G3030" s="9">
        <v>1600</v>
      </c>
      <c r="H3030" s="9">
        <f t="shared" si="94"/>
        <v>1.28</v>
      </c>
      <c r="I3030" t="s">
        <v>253</v>
      </c>
      <c r="J3030" s="33" t="s">
        <v>489</v>
      </c>
      <c r="K3030" s="18">
        <f>VLOOKUP(D3030,Ingredients!C:G,5,0)</f>
        <v>1830</v>
      </c>
      <c r="L3030" s="52">
        <f t="shared" si="95"/>
        <v>1.464</v>
      </c>
    </row>
    <row r="3031" spans="1:12">
      <c r="A3031" t="s">
        <v>614</v>
      </c>
      <c r="B3031" t="s">
        <v>349</v>
      </c>
      <c r="C3031" t="s">
        <v>351</v>
      </c>
      <c r="D3031" s="3" t="s">
        <v>867</v>
      </c>
      <c r="E3031" s="4">
        <v>8.0000000000000004E-4</v>
      </c>
      <c r="F3031" s="4" t="s">
        <v>176</v>
      </c>
      <c r="G3031" s="9">
        <v>900</v>
      </c>
      <c r="H3031" s="9">
        <f t="shared" si="94"/>
        <v>0.72000000000000008</v>
      </c>
      <c r="I3031" t="s">
        <v>253</v>
      </c>
      <c r="J3031" s="33" t="s">
        <v>489</v>
      </c>
      <c r="K3031" s="18">
        <f>VLOOKUP(D3031,Ingredients!C:G,5,0)</f>
        <v>950</v>
      </c>
      <c r="L3031" s="52">
        <f t="shared" si="95"/>
        <v>0.76</v>
      </c>
    </row>
    <row r="3032" spans="1:12">
      <c r="A3032" t="s">
        <v>614</v>
      </c>
      <c r="B3032" t="s">
        <v>349</v>
      </c>
      <c r="C3032" t="s">
        <v>351</v>
      </c>
      <c r="D3032" s="3" t="s">
        <v>849</v>
      </c>
      <c r="E3032" s="4">
        <v>8.0000000000000004E-4</v>
      </c>
      <c r="F3032" s="4" t="s">
        <v>176</v>
      </c>
      <c r="G3032" s="9">
        <v>1000</v>
      </c>
      <c r="H3032" s="9">
        <f t="shared" si="94"/>
        <v>0.8</v>
      </c>
      <c r="I3032" t="s">
        <v>253</v>
      </c>
      <c r="J3032" s="33" t="s">
        <v>489</v>
      </c>
      <c r="K3032" s="18">
        <f>VLOOKUP(D3032,Ingredients!C:G,5,0)</f>
        <v>950</v>
      </c>
      <c r="L3032" s="52">
        <f t="shared" si="95"/>
        <v>0.76</v>
      </c>
    </row>
    <row r="3033" spans="1:12">
      <c r="A3033" t="s">
        <v>614</v>
      </c>
      <c r="B3033" t="s">
        <v>349</v>
      </c>
      <c r="C3033" t="s">
        <v>351</v>
      </c>
      <c r="D3033" s="3" t="s">
        <v>882</v>
      </c>
      <c r="E3033" s="4">
        <v>8.0000000000000004E-4</v>
      </c>
      <c r="F3033" s="4" t="s">
        <v>176</v>
      </c>
      <c r="G3033" s="9">
        <v>1500</v>
      </c>
      <c r="H3033" s="9">
        <f t="shared" si="94"/>
        <v>1.2</v>
      </c>
      <c r="I3033" t="s">
        <v>253</v>
      </c>
      <c r="J3033" s="33" t="s">
        <v>489</v>
      </c>
      <c r="K3033" s="18">
        <f>VLOOKUP(D3033,Ingredients!C:G,5,0)</f>
        <v>1450</v>
      </c>
      <c r="L3033" s="52">
        <f t="shared" si="95"/>
        <v>1.1600000000000001</v>
      </c>
    </row>
    <row r="3034" spans="1:12">
      <c r="A3034" t="s">
        <v>614</v>
      </c>
      <c r="B3034" t="s">
        <v>349</v>
      </c>
      <c r="C3034" t="s">
        <v>351</v>
      </c>
      <c r="D3034" s="3" t="s">
        <v>50</v>
      </c>
      <c r="E3034" s="4">
        <v>2E-3</v>
      </c>
      <c r="F3034" s="4" t="s">
        <v>176</v>
      </c>
      <c r="G3034" s="9">
        <v>120</v>
      </c>
      <c r="H3034" s="9">
        <f t="shared" si="94"/>
        <v>0.24</v>
      </c>
      <c r="I3034" t="s">
        <v>253</v>
      </c>
      <c r="J3034" s="33" t="s">
        <v>489</v>
      </c>
      <c r="K3034" s="18">
        <f>VLOOKUP(D3034,Ingredients!C:G,5,0)</f>
        <v>120</v>
      </c>
      <c r="L3034" s="52">
        <f t="shared" si="95"/>
        <v>0.24</v>
      </c>
    </row>
    <row r="3035" spans="1:12">
      <c r="A3035" t="s">
        <v>614</v>
      </c>
      <c r="B3035" t="s">
        <v>349</v>
      </c>
      <c r="C3035" t="s">
        <v>351</v>
      </c>
      <c r="D3035" s="3" t="s">
        <v>854</v>
      </c>
      <c r="E3035" s="4">
        <v>0.1</v>
      </c>
      <c r="F3035" s="4" t="s">
        <v>253</v>
      </c>
      <c r="G3035" s="9">
        <v>24.64</v>
      </c>
      <c r="H3035" s="9">
        <f t="shared" si="94"/>
        <v>2.4640000000000004</v>
      </c>
      <c r="I3035" t="s">
        <v>253</v>
      </c>
      <c r="J3035" s="33" t="s">
        <v>489</v>
      </c>
      <c r="K3035" s="18">
        <f>VLOOKUP(D3035,Ingredients!C:G,5,0)</f>
        <v>20.059999999999999</v>
      </c>
      <c r="L3035" s="52">
        <f t="shared" si="95"/>
        <v>2.0059999999999998</v>
      </c>
    </row>
    <row r="3036" spans="1:12">
      <c r="A3036" t="s">
        <v>614</v>
      </c>
      <c r="B3036" t="s">
        <v>349</v>
      </c>
      <c r="C3036" t="s">
        <v>351</v>
      </c>
      <c r="D3036" s="3" t="s">
        <v>900</v>
      </c>
      <c r="E3036" s="4">
        <v>1.2E-2</v>
      </c>
      <c r="F3036" s="4" t="s">
        <v>176</v>
      </c>
      <c r="G3036" s="9">
        <v>440</v>
      </c>
      <c r="H3036" s="9">
        <f t="shared" si="94"/>
        <v>5.28</v>
      </c>
      <c r="I3036" t="s">
        <v>253</v>
      </c>
      <c r="J3036" s="33" t="s">
        <v>489</v>
      </c>
      <c r="K3036" s="18">
        <f>VLOOKUP(D3036,Ingredients!C:G,5,0)</f>
        <v>440</v>
      </c>
      <c r="L3036" s="52">
        <f t="shared" si="95"/>
        <v>5.28</v>
      </c>
    </row>
    <row r="3037" spans="1:12">
      <c r="A3037" t="s">
        <v>614</v>
      </c>
      <c r="B3037" t="s">
        <v>349</v>
      </c>
      <c r="C3037" t="s">
        <v>351</v>
      </c>
      <c r="D3037" s="3" t="s">
        <v>852</v>
      </c>
      <c r="E3037" s="4">
        <v>1.2E-2</v>
      </c>
      <c r="F3037" s="4" t="s">
        <v>190</v>
      </c>
      <c r="G3037" s="9">
        <v>520.63</v>
      </c>
      <c r="H3037" s="9">
        <f t="shared" si="94"/>
        <v>6.24756</v>
      </c>
      <c r="I3037" t="s">
        <v>253</v>
      </c>
      <c r="J3037" s="33" t="s">
        <v>489</v>
      </c>
      <c r="K3037" s="18">
        <v>550</v>
      </c>
      <c r="L3037" s="52">
        <f t="shared" si="95"/>
        <v>6.6000000000000005</v>
      </c>
    </row>
    <row r="3038" spans="1:12">
      <c r="A3038" t="s">
        <v>615</v>
      </c>
      <c r="B3038" t="s">
        <v>349</v>
      </c>
      <c r="C3038" t="s">
        <v>352</v>
      </c>
      <c r="D3038" s="33" t="s">
        <v>491</v>
      </c>
      <c r="E3038" s="10">
        <v>1</v>
      </c>
      <c r="F3038" s="7" t="s">
        <v>179</v>
      </c>
      <c r="G3038" s="9">
        <v>614</v>
      </c>
      <c r="H3038" s="9">
        <f t="shared" si="94"/>
        <v>614</v>
      </c>
      <c r="I3038" t="s">
        <v>179</v>
      </c>
      <c r="J3038" s="33" t="s">
        <v>491</v>
      </c>
      <c r="K3038" s="18">
        <f>VLOOKUP(D3038,Ingredients!C:G,5,0)</f>
        <v>650</v>
      </c>
      <c r="L3038" s="52">
        <f t="shared" si="95"/>
        <v>650</v>
      </c>
    </row>
    <row r="3039" spans="1:12">
      <c r="A3039" t="s">
        <v>615</v>
      </c>
      <c r="B3039" t="s">
        <v>349</v>
      </c>
      <c r="C3039" t="s">
        <v>352</v>
      </c>
      <c r="D3039" s="3" t="s">
        <v>852</v>
      </c>
      <c r="E3039" s="10">
        <v>0.125</v>
      </c>
      <c r="F3039" s="7" t="s">
        <v>179</v>
      </c>
      <c r="G3039" s="9">
        <v>520.63</v>
      </c>
      <c r="H3039" s="9">
        <f t="shared" si="94"/>
        <v>65.078749999999999</v>
      </c>
      <c r="I3039" t="s">
        <v>179</v>
      </c>
      <c r="J3039" s="33" t="s">
        <v>491</v>
      </c>
      <c r="K3039" s="18">
        <v>550</v>
      </c>
      <c r="L3039" s="52">
        <f t="shared" si="95"/>
        <v>68.75</v>
      </c>
    </row>
    <row r="3040" spans="1:12">
      <c r="A3040" t="s">
        <v>615</v>
      </c>
      <c r="B3040" t="s">
        <v>349</v>
      </c>
      <c r="C3040" t="s">
        <v>352</v>
      </c>
      <c r="D3040" s="3" t="s">
        <v>24</v>
      </c>
      <c r="E3040" s="10">
        <v>0.125</v>
      </c>
      <c r="F3040" s="7" t="s">
        <v>179</v>
      </c>
      <c r="G3040" s="9">
        <v>55</v>
      </c>
      <c r="H3040" s="9">
        <f t="shared" si="94"/>
        <v>6.875</v>
      </c>
      <c r="I3040" t="s">
        <v>179</v>
      </c>
      <c r="J3040" s="33" t="s">
        <v>491</v>
      </c>
      <c r="K3040" s="18">
        <f>VLOOKUP(D3040,Ingredients!C:G,5,0)</f>
        <v>80</v>
      </c>
      <c r="L3040" s="52">
        <f t="shared" si="95"/>
        <v>10</v>
      </c>
    </row>
    <row r="3041" spans="1:12">
      <c r="A3041" t="s">
        <v>615</v>
      </c>
      <c r="B3041" t="s">
        <v>349</v>
      </c>
      <c r="C3041" t="s">
        <v>352</v>
      </c>
      <c r="D3041" s="3" t="s">
        <v>16</v>
      </c>
      <c r="E3041" s="10">
        <v>6.2500000000000003E-3</v>
      </c>
      <c r="F3041" s="7" t="s">
        <v>179</v>
      </c>
      <c r="G3041" s="9">
        <v>270</v>
      </c>
      <c r="H3041" s="9">
        <f t="shared" si="94"/>
        <v>1.6875</v>
      </c>
      <c r="I3041" t="s">
        <v>179</v>
      </c>
      <c r="J3041" s="33" t="s">
        <v>491</v>
      </c>
      <c r="K3041" s="18">
        <f>VLOOKUP(D3041,Ingredients!C:G,5,0)</f>
        <v>310</v>
      </c>
      <c r="L3041" s="52">
        <f t="shared" si="95"/>
        <v>1.9375</v>
      </c>
    </row>
    <row r="3042" spans="1:12">
      <c r="A3042" t="s">
        <v>615</v>
      </c>
      <c r="B3042" t="s">
        <v>349</v>
      </c>
      <c r="C3042" t="s">
        <v>352</v>
      </c>
      <c r="D3042" s="3" t="s">
        <v>23</v>
      </c>
      <c r="E3042" s="10">
        <v>6.2500000000000003E-3</v>
      </c>
      <c r="F3042" s="7" t="s">
        <v>179</v>
      </c>
      <c r="G3042" s="9">
        <v>740</v>
      </c>
      <c r="H3042" s="9">
        <f t="shared" si="94"/>
        <v>4.625</v>
      </c>
      <c r="I3042" t="s">
        <v>179</v>
      </c>
      <c r="J3042" s="33" t="s">
        <v>491</v>
      </c>
      <c r="K3042" s="18">
        <f>VLOOKUP(D3042,Ingredients!C:G,5,0)</f>
        <v>780</v>
      </c>
      <c r="L3042" s="52">
        <f t="shared" si="95"/>
        <v>4.875</v>
      </c>
    </row>
    <row r="3043" spans="1:12">
      <c r="A3043" t="s">
        <v>615</v>
      </c>
      <c r="B3043" t="s">
        <v>349</v>
      </c>
      <c r="C3043" t="s">
        <v>352</v>
      </c>
      <c r="D3043" s="3" t="s">
        <v>867</v>
      </c>
      <c r="E3043" s="10">
        <v>8.7500000000000008E-3</v>
      </c>
      <c r="F3043" s="7" t="s">
        <v>179</v>
      </c>
      <c r="G3043" s="9">
        <v>900</v>
      </c>
      <c r="H3043" s="9">
        <f t="shared" si="94"/>
        <v>7.8750000000000009</v>
      </c>
      <c r="I3043" t="s">
        <v>179</v>
      </c>
      <c r="J3043" s="33" t="s">
        <v>491</v>
      </c>
      <c r="K3043" s="18">
        <f>VLOOKUP(D3043,Ingredients!C:G,5,0)</f>
        <v>950</v>
      </c>
      <c r="L3043" s="52">
        <f t="shared" si="95"/>
        <v>8.3125</v>
      </c>
    </row>
    <row r="3044" spans="1:12">
      <c r="A3044" t="s">
        <v>615</v>
      </c>
      <c r="B3044" t="s">
        <v>349</v>
      </c>
      <c r="C3044" t="s">
        <v>352</v>
      </c>
      <c r="D3044" s="3" t="s">
        <v>880</v>
      </c>
      <c r="E3044" s="10">
        <v>8.7500000000000008E-3</v>
      </c>
      <c r="F3044" s="7" t="s">
        <v>179</v>
      </c>
      <c r="G3044" s="9">
        <v>650</v>
      </c>
      <c r="H3044" s="9">
        <f t="shared" si="94"/>
        <v>5.6875000000000009</v>
      </c>
      <c r="I3044" t="s">
        <v>179</v>
      </c>
      <c r="J3044" s="33" t="s">
        <v>491</v>
      </c>
      <c r="K3044" s="18">
        <f>VLOOKUP(D3044,Ingredients!C:G,5,0)</f>
        <v>520</v>
      </c>
      <c r="L3044" s="52">
        <f t="shared" si="95"/>
        <v>4.5500000000000007</v>
      </c>
    </row>
    <row r="3045" spans="1:12">
      <c r="A3045" t="s">
        <v>615</v>
      </c>
      <c r="B3045" t="s">
        <v>349</v>
      </c>
      <c r="C3045" t="s">
        <v>352</v>
      </c>
      <c r="D3045" s="3" t="s">
        <v>887</v>
      </c>
      <c r="E3045" s="10">
        <v>6.2500000000000003E-3</v>
      </c>
      <c r="F3045" s="7" t="s">
        <v>179</v>
      </c>
      <c r="G3045" s="9">
        <v>1600</v>
      </c>
      <c r="H3045" s="9">
        <f t="shared" si="94"/>
        <v>10</v>
      </c>
      <c r="I3045" t="s">
        <v>179</v>
      </c>
      <c r="J3045" s="33" t="s">
        <v>491</v>
      </c>
      <c r="K3045" s="18">
        <f>VLOOKUP(D3045,Ingredients!C:G,5,0)</f>
        <v>1830</v>
      </c>
      <c r="L3045" s="52">
        <f t="shared" si="95"/>
        <v>11.4375</v>
      </c>
    </row>
    <row r="3046" spans="1:12">
      <c r="A3046" t="s">
        <v>615</v>
      </c>
      <c r="B3046" t="s">
        <v>349</v>
      </c>
      <c r="C3046" t="s">
        <v>352</v>
      </c>
      <c r="D3046" s="3" t="s">
        <v>895</v>
      </c>
      <c r="E3046" s="10">
        <v>6.2500000000000003E-3</v>
      </c>
      <c r="F3046" s="7" t="s">
        <v>179</v>
      </c>
      <c r="G3046" s="9">
        <v>400</v>
      </c>
      <c r="H3046" s="9">
        <f t="shared" si="94"/>
        <v>2.5</v>
      </c>
      <c r="I3046" t="s">
        <v>179</v>
      </c>
      <c r="J3046" s="33" t="s">
        <v>491</v>
      </c>
      <c r="K3046" s="18">
        <f>VLOOKUP(D3046,Ingredients!C:G,5,0)</f>
        <v>400</v>
      </c>
      <c r="L3046" s="52">
        <f t="shared" si="95"/>
        <v>2.5</v>
      </c>
    </row>
    <row r="3047" spans="1:12">
      <c r="A3047" t="s">
        <v>615</v>
      </c>
      <c r="B3047" t="s">
        <v>349</v>
      </c>
      <c r="C3047" t="s">
        <v>352</v>
      </c>
      <c r="D3047" s="3" t="s">
        <v>853</v>
      </c>
      <c r="E3047" s="10">
        <v>8.7500000000000008E-3</v>
      </c>
      <c r="F3047" s="7" t="s">
        <v>179</v>
      </c>
      <c r="G3047" s="9">
        <v>30</v>
      </c>
      <c r="H3047" s="9">
        <f t="shared" si="94"/>
        <v>0.26250000000000001</v>
      </c>
      <c r="I3047" t="s">
        <v>179</v>
      </c>
      <c r="J3047" s="33" t="s">
        <v>491</v>
      </c>
      <c r="K3047" s="18">
        <f>VLOOKUP(D3047,Ingredients!C:G,5,0)</f>
        <v>55</v>
      </c>
      <c r="L3047" s="52">
        <f t="shared" si="95"/>
        <v>0.48125000000000007</v>
      </c>
    </row>
    <row r="3048" spans="1:12">
      <c r="A3048" t="s">
        <v>615</v>
      </c>
      <c r="B3048" t="s">
        <v>349</v>
      </c>
      <c r="C3048" t="s">
        <v>352</v>
      </c>
      <c r="D3048" s="3" t="s">
        <v>28</v>
      </c>
      <c r="E3048" s="10">
        <v>0.1875</v>
      </c>
      <c r="F3048" s="7" t="s">
        <v>179</v>
      </c>
      <c r="G3048" s="9">
        <v>85</v>
      </c>
      <c r="H3048" s="9">
        <f t="shared" si="94"/>
        <v>15.9375</v>
      </c>
      <c r="I3048" t="s">
        <v>179</v>
      </c>
      <c r="J3048" s="33" t="s">
        <v>491</v>
      </c>
      <c r="K3048" s="18">
        <f>VLOOKUP(D3048,Ingredients!C:G,5,0)</f>
        <v>70</v>
      </c>
      <c r="L3048" s="52">
        <f t="shared" si="95"/>
        <v>13.125</v>
      </c>
    </row>
    <row r="3049" spans="1:12">
      <c r="A3049" t="s">
        <v>615</v>
      </c>
      <c r="B3049" t="s">
        <v>349</v>
      </c>
      <c r="C3049" t="s">
        <v>352</v>
      </c>
      <c r="D3049" s="3" t="s">
        <v>158</v>
      </c>
      <c r="E3049" s="10">
        <v>0.75</v>
      </c>
      <c r="F3049" s="7" t="s">
        <v>179</v>
      </c>
      <c r="G3049" s="9">
        <v>40</v>
      </c>
      <c r="H3049" s="9">
        <f t="shared" si="94"/>
        <v>30</v>
      </c>
      <c r="I3049" t="s">
        <v>179</v>
      </c>
      <c r="J3049" s="33" t="s">
        <v>491</v>
      </c>
      <c r="K3049" s="18">
        <f>VLOOKUP(D3049,Ingredients!C:G,5,0)</f>
        <v>45</v>
      </c>
      <c r="L3049" s="52">
        <f t="shared" si="95"/>
        <v>33.75</v>
      </c>
    </row>
    <row r="3050" spans="1:12">
      <c r="A3050" t="s">
        <v>616</v>
      </c>
      <c r="B3050" t="s">
        <v>349</v>
      </c>
      <c r="C3050" t="s">
        <v>352</v>
      </c>
      <c r="D3050" s="3" t="s">
        <v>831</v>
      </c>
      <c r="E3050" s="10">
        <v>1</v>
      </c>
      <c r="F3050" s="7" t="s">
        <v>179</v>
      </c>
      <c r="G3050" s="9">
        <v>908</v>
      </c>
      <c r="H3050" s="9">
        <f t="shared" si="94"/>
        <v>908</v>
      </c>
      <c r="I3050" t="s">
        <v>179</v>
      </c>
      <c r="J3050" s="33" t="s">
        <v>489</v>
      </c>
      <c r="K3050" s="18">
        <f>VLOOKUP(D3050,Ingredients!C:G,5,0)</f>
        <v>908</v>
      </c>
      <c r="L3050" s="52">
        <f t="shared" si="95"/>
        <v>908</v>
      </c>
    </row>
    <row r="3051" spans="1:12">
      <c r="A3051" t="s">
        <v>616</v>
      </c>
      <c r="B3051" t="s">
        <v>349</v>
      </c>
      <c r="C3051" t="s">
        <v>352</v>
      </c>
      <c r="D3051" s="3" t="s">
        <v>852</v>
      </c>
      <c r="E3051" s="10">
        <v>0.125</v>
      </c>
      <c r="F3051" s="7" t="s">
        <v>179</v>
      </c>
      <c r="G3051" s="9">
        <v>520.63</v>
      </c>
      <c r="H3051" s="9">
        <f t="shared" si="94"/>
        <v>65.078749999999999</v>
      </c>
      <c r="I3051" t="s">
        <v>179</v>
      </c>
      <c r="J3051" s="33" t="s">
        <v>489</v>
      </c>
      <c r="K3051" s="18">
        <v>550</v>
      </c>
      <c r="L3051" s="52">
        <f t="shared" si="95"/>
        <v>68.75</v>
      </c>
    </row>
    <row r="3052" spans="1:12">
      <c r="A3052" t="s">
        <v>616</v>
      </c>
      <c r="B3052" t="s">
        <v>349</v>
      </c>
      <c r="C3052" t="s">
        <v>352</v>
      </c>
      <c r="D3052" s="3" t="s">
        <v>24</v>
      </c>
      <c r="E3052" s="10">
        <v>0.125</v>
      </c>
      <c r="F3052" s="7" t="s">
        <v>179</v>
      </c>
      <c r="G3052" s="9">
        <v>55</v>
      </c>
      <c r="H3052" s="9">
        <f t="shared" si="94"/>
        <v>6.875</v>
      </c>
      <c r="I3052" t="s">
        <v>179</v>
      </c>
      <c r="J3052" s="33" t="s">
        <v>489</v>
      </c>
      <c r="K3052" s="18">
        <f>VLOOKUP(D3052,Ingredients!C:G,5,0)</f>
        <v>80</v>
      </c>
      <c r="L3052" s="52">
        <f t="shared" si="95"/>
        <v>10</v>
      </c>
    </row>
    <row r="3053" spans="1:12">
      <c r="A3053" t="s">
        <v>616</v>
      </c>
      <c r="B3053" t="s">
        <v>349</v>
      </c>
      <c r="C3053" t="s">
        <v>352</v>
      </c>
      <c r="D3053" s="3" t="s">
        <v>16</v>
      </c>
      <c r="E3053" s="10">
        <v>6.2500000000000003E-3</v>
      </c>
      <c r="F3053" s="7" t="s">
        <v>179</v>
      </c>
      <c r="G3053" s="9">
        <v>270</v>
      </c>
      <c r="H3053" s="9">
        <f t="shared" ref="H3053:H3116" si="96">G3053*E3053</f>
        <v>1.6875</v>
      </c>
      <c r="I3053" t="s">
        <v>179</v>
      </c>
      <c r="J3053" s="33" t="s">
        <v>489</v>
      </c>
      <c r="K3053" s="18">
        <f>VLOOKUP(D3053,Ingredients!C:G,5,0)</f>
        <v>310</v>
      </c>
      <c r="L3053" s="52">
        <f t="shared" si="95"/>
        <v>1.9375</v>
      </c>
    </row>
    <row r="3054" spans="1:12">
      <c r="A3054" t="s">
        <v>616</v>
      </c>
      <c r="B3054" t="s">
        <v>349</v>
      </c>
      <c r="C3054" t="s">
        <v>352</v>
      </c>
      <c r="D3054" s="3" t="s">
        <v>23</v>
      </c>
      <c r="E3054" s="10">
        <v>6.2500000000000003E-3</v>
      </c>
      <c r="F3054" s="7" t="s">
        <v>179</v>
      </c>
      <c r="G3054" s="9">
        <v>740</v>
      </c>
      <c r="H3054" s="9">
        <f t="shared" si="96"/>
        <v>4.625</v>
      </c>
      <c r="I3054" t="s">
        <v>179</v>
      </c>
      <c r="J3054" s="33" t="s">
        <v>489</v>
      </c>
      <c r="K3054" s="18">
        <f>VLOOKUP(D3054,Ingredients!C:G,5,0)</f>
        <v>780</v>
      </c>
      <c r="L3054" s="52">
        <f t="shared" si="95"/>
        <v>4.875</v>
      </c>
    </row>
    <row r="3055" spans="1:12">
      <c r="A3055" t="s">
        <v>616</v>
      </c>
      <c r="B3055" t="s">
        <v>349</v>
      </c>
      <c r="C3055" t="s">
        <v>352</v>
      </c>
      <c r="D3055" s="3" t="s">
        <v>867</v>
      </c>
      <c r="E3055" s="10">
        <v>8.7500000000000008E-3</v>
      </c>
      <c r="F3055" s="7" t="s">
        <v>179</v>
      </c>
      <c r="G3055" s="9">
        <v>900</v>
      </c>
      <c r="H3055" s="9">
        <f t="shared" si="96"/>
        <v>7.8750000000000009</v>
      </c>
      <c r="I3055" t="s">
        <v>179</v>
      </c>
      <c r="J3055" s="33" t="s">
        <v>489</v>
      </c>
      <c r="K3055" s="18">
        <f>VLOOKUP(D3055,Ingredients!C:G,5,0)</f>
        <v>950</v>
      </c>
      <c r="L3055" s="52">
        <f t="shared" si="95"/>
        <v>8.3125</v>
      </c>
    </row>
    <row r="3056" spans="1:12">
      <c r="A3056" t="s">
        <v>616</v>
      </c>
      <c r="B3056" t="s">
        <v>349</v>
      </c>
      <c r="C3056" t="s">
        <v>352</v>
      </c>
      <c r="D3056" s="3" t="s">
        <v>880</v>
      </c>
      <c r="E3056" s="10">
        <v>8.7500000000000008E-3</v>
      </c>
      <c r="F3056" s="7" t="s">
        <v>179</v>
      </c>
      <c r="G3056" s="9">
        <v>650</v>
      </c>
      <c r="H3056" s="9">
        <f t="shared" si="96"/>
        <v>5.6875000000000009</v>
      </c>
      <c r="I3056" t="s">
        <v>179</v>
      </c>
      <c r="J3056" s="33" t="s">
        <v>489</v>
      </c>
      <c r="K3056" s="18">
        <f>VLOOKUP(D3056,Ingredients!C:G,5,0)</f>
        <v>520</v>
      </c>
      <c r="L3056" s="52">
        <f t="shared" si="95"/>
        <v>4.5500000000000007</v>
      </c>
    </row>
    <row r="3057" spans="1:12">
      <c r="A3057" t="s">
        <v>616</v>
      </c>
      <c r="B3057" t="s">
        <v>349</v>
      </c>
      <c r="C3057" t="s">
        <v>352</v>
      </c>
      <c r="D3057" s="3" t="s">
        <v>887</v>
      </c>
      <c r="E3057" s="10">
        <v>6.2500000000000003E-3</v>
      </c>
      <c r="F3057" s="7" t="s">
        <v>179</v>
      </c>
      <c r="G3057" s="9">
        <v>1600</v>
      </c>
      <c r="H3057" s="9">
        <f t="shared" si="96"/>
        <v>10</v>
      </c>
      <c r="I3057" t="s">
        <v>179</v>
      </c>
      <c r="J3057" s="33" t="s">
        <v>489</v>
      </c>
      <c r="K3057" s="18">
        <f>VLOOKUP(D3057,Ingredients!C:G,5,0)</f>
        <v>1830</v>
      </c>
      <c r="L3057" s="52">
        <f t="shared" si="95"/>
        <v>11.4375</v>
      </c>
    </row>
    <row r="3058" spans="1:12">
      <c r="A3058" t="s">
        <v>616</v>
      </c>
      <c r="B3058" t="s">
        <v>349</v>
      </c>
      <c r="C3058" t="s">
        <v>352</v>
      </c>
      <c r="D3058" s="3" t="s">
        <v>895</v>
      </c>
      <c r="E3058" s="10">
        <v>6.2500000000000003E-3</v>
      </c>
      <c r="F3058" s="7" t="s">
        <v>179</v>
      </c>
      <c r="G3058" s="9">
        <v>400</v>
      </c>
      <c r="H3058" s="9">
        <f t="shared" si="96"/>
        <v>2.5</v>
      </c>
      <c r="I3058" t="s">
        <v>179</v>
      </c>
      <c r="J3058" s="33" t="s">
        <v>489</v>
      </c>
      <c r="K3058" s="18">
        <f>VLOOKUP(D3058,Ingredients!C:G,5,0)</f>
        <v>400</v>
      </c>
      <c r="L3058" s="52">
        <f t="shared" si="95"/>
        <v>2.5</v>
      </c>
    </row>
    <row r="3059" spans="1:12">
      <c r="A3059" t="s">
        <v>616</v>
      </c>
      <c r="B3059" t="s">
        <v>349</v>
      </c>
      <c r="C3059" t="s">
        <v>352</v>
      </c>
      <c r="D3059" s="3" t="s">
        <v>853</v>
      </c>
      <c r="E3059" s="10">
        <v>8.7500000000000008E-3</v>
      </c>
      <c r="F3059" s="7" t="s">
        <v>179</v>
      </c>
      <c r="G3059" s="9">
        <v>30</v>
      </c>
      <c r="H3059" s="9">
        <f t="shared" si="96"/>
        <v>0.26250000000000001</v>
      </c>
      <c r="I3059" t="s">
        <v>179</v>
      </c>
      <c r="J3059" s="33" t="s">
        <v>489</v>
      </c>
      <c r="K3059" s="18">
        <f>VLOOKUP(D3059,Ingredients!C:G,5,0)</f>
        <v>55</v>
      </c>
      <c r="L3059" s="52">
        <f t="shared" si="95"/>
        <v>0.48125000000000007</v>
      </c>
    </row>
    <row r="3060" spans="1:12">
      <c r="A3060" t="s">
        <v>616</v>
      </c>
      <c r="B3060" t="s">
        <v>349</v>
      </c>
      <c r="C3060" t="s">
        <v>352</v>
      </c>
      <c r="D3060" s="3" t="s">
        <v>28</v>
      </c>
      <c r="E3060" s="10">
        <v>0.1875</v>
      </c>
      <c r="F3060" s="7" t="s">
        <v>179</v>
      </c>
      <c r="G3060" s="9">
        <v>85</v>
      </c>
      <c r="H3060" s="9">
        <f t="shared" si="96"/>
        <v>15.9375</v>
      </c>
      <c r="I3060" t="s">
        <v>179</v>
      </c>
      <c r="J3060" s="33" t="s">
        <v>489</v>
      </c>
      <c r="K3060" s="18">
        <f>VLOOKUP(D3060,Ingredients!C:G,5,0)</f>
        <v>70</v>
      </c>
      <c r="L3060" s="52">
        <f t="shared" si="95"/>
        <v>13.125</v>
      </c>
    </row>
    <row r="3061" spans="1:12">
      <c r="A3061" t="s">
        <v>616</v>
      </c>
      <c r="B3061" t="s">
        <v>349</v>
      </c>
      <c r="C3061" t="s">
        <v>352</v>
      </c>
      <c r="D3061" s="3" t="s">
        <v>158</v>
      </c>
      <c r="E3061" s="10">
        <v>0.75</v>
      </c>
      <c r="F3061" s="7" t="s">
        <v>179</v>
      </c>
      <c r="G3061" s="9">
        <v>40</v>
      </c>
      <c r="H3061" s="9">
        <f t="shared" si="96"/>
        <v>30</v>
      </c>
      <c r="I3061" t="s">
        <v>179</v>
      </c>
      <c r="J3061" s="33" t="s">
        <v>489</v>
      </c>
      <c r="K3061" s="18">
        <f>VLOOKUP(D3061,Ingredients!C:G,5,0)</f>
        <v>45</v>
      </c>
      <c r="L3061" s="52">
        <f t="shared" si="95"/>
        <v>33.75</v>
      </c>
    </row>
    <row r="3062" spans="1:12">
      <c r="A3062" t="s">
        <v>617</v>
      </c>
      <c r="B3062" t="s">
        <v>346</v>
      </c>
      <c r="C3062" t="s">
        <v>617</v>
      </c>
      <c r="D3062" s="3" t="s">
        <v>95</v>
      </c>
      <c r="E3062" s="4">
        <v>0.16</v>
      </c>
      <c r="F3062" s="13" t="s">
        <v>176</v>
      </c>
      <c r="G3062" s="9">
        <v>140</v>
      </c>
      <c r="H3062" s="9">
        <f t="shared" si="96"/>
        <v>22.400000000000002</v>
      </c>
      <c r="I3062" t="s">
        <v>179</v>
      </c>
      <c r="J3062" s="33" t="s">
        <v>489</v>
      </c>
      <c r="K3062" s="18">
        <f>VLOOKUP(D3062,Ingredients!C:G,5,0)</f>
        <v>90</v>
      </c>
      <c r="L3062" s="52">
        <f t="shared" si="95"/>
        <v>14.4</v>
      </c>
    </row>
    <row r="3063" spans="1:12">
      <c r="A3063" t="s">
        <v>617</v>
      </c>
      <c r="B3063" t="s">
        <v>346</v>
      </c>
      <c r="C3063" t="s">
        <v>617</v>
      </c>
      <c r="D3063" s="3" t="s">
        <v>96</v>
      </c>
      <c r="E3063" s="4">
        <v>0.16</v>
      </c>
      <c r="F3063" s="13" t="s">
        <v>176</v>
      </c>
      <c r="G3063" s="9">
        <v>160</v>
      </c>
      <c r="H3063" s="9">
        <f t="shared" si="96"/>
        <v>25.6</v>
      </c>
      <c r="I3063" t="s">
        <v>179</v>
      </c>
      <c r="J3063" s="33" t="s">
        <v>489</v>
      </c>
      <c r="K3063" s="18">
        <f>VLOOKUP(D3063,Ingredients!C:G,5,0)</f>
        <v>120</v>
      </c>
      <c r="L3063" s="52">
        <f t="shared" si="95"/>
        <v>19.2</v>
      </c>
    </row>
    <row r="3064" spans="1:12">
      <c r="A3064" t="s">
        <v>617</v>
      </c>
      <c r="B3064" t="s">
        <v>346</v>
      </c>
      <c r="C3064" t="s">
        <v>617</v>
      </c>
      <c r="D3064" s="3" t="s">
        <v>24</v>
      </c>
      <c r="E3064" s="4">
        <v>0.16</v>
      </c>
      <c r="F3064" s="13" t="s">
        <v>176</v>
      </c>
      <c r="G3064" s="9">
        <v>55</v>
      </c>
      <c r="H3064" s="9">
        <f t="shared" si="96"/>
        <v>8.8000000000000007</v>
      </c>
      <c r="I3064" t="s">
        <v>179</v>
      </c>
      <c r="J3064" s="33" t="s">
        <v>489</v>
      </c>
      <c r="K3064" s="18">
        <f>VLOOKUP(D3064,Ingredients!C:G,5,0)</f>
        <v>80</v>
      </c>
      <c r="L3064" s="52">
        <f t="shared" si="95"/>
        <v>12.8</v>
      </c>
    </row>
    <row r="3065" spans="1:12">
      <c r="A3065" t="s">
        <v>617</v>
      </c>
      <c r="B3065" t="s">
        <v>346</v>
      </c>
      <c r="C3065" t="s">
        <v>617</v>
      </c>
      <c r="D3065" s="3" t="s">
        <v>16</v>
      </c>
      <c r="E3065" s="4">
        <v>0.03</v>
      </c>
      <c r="F3065" s="13" t="s">
        <v>176</v>
      </c>
      <c r="G3065" s="9">
        <v>270</v>
      </c>
      <c r="H3065" s="9">
        <f t="shared" si="96"/>
        <v>8.1</v>
      </c>
      <c r="I3065" t="s">
        <v>179</v>
      </c>
      <c r="J3065" s="33" t="s">
        <v>489</v>
      </c>
      <c r="K3065" s="18">
        <f>VLOOKUP(D3065,Ingredients!C:G,5,0)</f>
        <v>310</v>
      </c>
      <c r="L3065" s="52">
        <f t="shared" si="95"/>
        <v>9.2999999999999989</v>
      </c>
    </row>
    <row r="3066" spans="1:12">
      <c r="A3066" t="s">
        <v>617</v>
      </c>
      <c r="B3066" t="s">
        <v>346</v>
      </c>
      <c r="C3066" t="s">
        <v>617</v>
      </c>
      <c r="D3066" s="3" t="s">
        <v>29</v>
      </c>
      <c r="E3066" s="4">
        <v>0.16</v>
      </c>
      <c r="F3066" s="13" t="s">
        <v>176</v>
      </c>
      <c r="G3066" s="9">
        <v>60</v>
      </c>
      <c r="H3066" s="9">
        <f t="shared" si="96"/>
        <v>9.6</v>
      </c>
      <c r="I3066" t="s">
        <v>179</v>
      </c>
      <c r="J3066" s="33" t="s">
        <v>489</v>
      </c>
      <c r="K3066" s="18">
        <f>VLOOKUP(D3066,Ingredients!C:G,5,0)</f>
        <v>100</v>
      </c>
      <c r="L3066" s="52">
        <f t="shared" si="95"/>
        <v>16</v>
      </c>
    </row>
    <row r="3067" spans="1:12">
      <c r="A3067" t="s">
        <v>617</v>
      </c>
      <c r="B3067" t="s">
        <v>346</v>
      </c>
      <c r="C3067" t="s">
        <v>617</v>
      </c>
      <c r="D3067" s="3" t="s">
        <v>883</v>
      </c>
      <c r="E3067" s="4">
        <v>0.06</v>
      </c>
      <c r="F3067" s="13" t="s">
        <v>176</v>
      </c>
      <c r="G3067" s="9">
        <v>950</v>
      </c>
      <c r="H3067" s="9">
        <f t="shared" si="96"/>
        <v>57</v>
      </c>
      <c r="I3067" t="s">
        <v>179</v>
      </c>
      <c r="J3067" s="33" t="s">
        <v>489</v>
      </c>
      <c r="K3067" s="18">
        <f>VLOOKUP(D3067,Ingredients!C:G,5,0)</f>
        <v>313</v>
      </c>
      <c r="L3067" s="52">
        <f t="shared" si="95"/>
        <v>18.779999999999998</v>
      </c>
    </row>
    <row r="3068" spans="1:12">
      <c r="A3068" t="s">
        <v>617</v>
      </c>
      <c r="B3068" t="s">
        <v>346</v>
      </c>
      <c r="C3068" t="s">
        <v>617</v>
      </c>
      <c r="D3068" s="3" t="s">
        <v>310</v>
      </c>
      <c r="E3068" s="4">
        <v>0.06</v>
      </c>
      <c r="F3068" s="13" t="s">
        <v>176</v>
      </c>
      <c r="G3068" s="9">
        <v>425</v>
      </c>
      <c r="H3068" s="9">
        <f t="shared" si="96"/>
        <v>25.5</v>
      </c>
      <c r="I3068" t="s">
        <v>179</v>
      </c>
      <c r="J3068" s="33" t="s">
        <v>489</v>
      </c>
      <c r="K3068" s="18">
        <f>VLOOKUP(D3068,Ingredients!C:G,5,0)</f>
        <v>850</v>
      </c>
      <c r="L3068" s="52">
        <f t="shared" si="95"/>
        <v>51</v>
      </c>
    </row>
    <row r="3069" spans="1:12">
      <c r="A3069" t="s">
        <v>617</v>
      </c>
      <c r="B3069" t="s">
        <v>346</v>
      </c>
      <c r="C3069" t="s">
        <v>617</v>
      </c>
      <c r="D3069" s="3" t="s">
        <v>882</v>
      </c>
      <c r="E3069" s="4">
        <v>0.03</v>
      </c>
      <c r="F3069" s="13" t="s">
        <v>176</v>
      </c>
      <c r="G3069" s="9">
        <v>1500</v>
      </c>
      <c r="H3069" s="9">
        <f t="shared" si="96"/>
        <v>45</v>
      </c>
      <c r="I3069" t="s">
        <v>179</v>
      </c>
      <c r="J3069" s="33" t="s">
        <v>489</v>
      </c>
      <c r="K3069" s="18">
        <f>VLOOKUP(D3069,Ingredients!C:G,5,0)</f>
        <v>1450</v>
      </c>
      <c r="L3069" s="52">
        <f t="shared" si="95"/>
        <v>43.5</v>
      </c>
    </row>
    <row r="3070" spans="1:12">
      <c r="A3070" t="s">
        <v>617</v>
      </c>
      <c r="B3070" t="s">
        <v>346</v>
      </c>
      <c r="C3070" t="s">
        <v>617</v>
      </c>
      <c r="D3070" s="3" t="s">
        <v>867</v>
      </c>
      <c r="E3070" s="4">
        <v>0.03</v>
      </c>
      <c r="F3070" s="13" t="s">
        <v>176</v>
      </c>
      <c r="G3070" s="9">
        <v>900</v>
      </c>
      <c r="H3070" s="9">
        <f t="shared" si="96"/>
        <v>27</v>
      </c>
      <c r="I3070" t="s">
        <v>179</v>
      </c>
      <c r="J3070" s="33" t="s">
        <v>489</v>
      </c>
      <c r="K3070" s="18">
        <f>VLOOKUP(D3070,Ingredients!C:G,5,0)</f>
        <v>950</v>
      </c>
      <c r="L3070" s="52">
        <f t="shared" si="95"/>
        <v>28.5</v>
      </c>
    </row>
    <row r="3071" spans="1:12">
      <c r="A3071" t="s">
        <v>617</v>
      </c>
      <c r="B3071" t="s">
        <v>346</v>
      </c>
      <c r="C3071" t="s">
        <v>617</v>
      </c>
      <c r="D3071" s="3" t="s">
        <v>855</v>
      </c>
      <c r="E3071" s="4">
        <v>1.6E-2</v>
      </c>
      <c r="F3071" s="13" t="s">
        <v>176</v>
      </c>
      <c r="G3071" s="9">
        <v>2400</v>
      </c>
      <c r="H3071" s="9">
        <f t="shared" si="96"/>
        <v>38.4</v>
      </c>
      <c r="I3071" t="s">
        <v>179</v>
      </c>
      <c r="J3071" s="33" t="s">
        <v>489</v>
      </c>
      <c r="K3071" s="18">
        <f>VLOOKUP(D3071,Ingredients!C:G,5,0)</f>
        <v>1600</v>
      </c>
      <c r="L3071" s="52">
        <f t="shared" si="95"/>
        <v>25.6</v>
      </c>
    </row>
    <row r="3072" spans="1:12">
      <c r="A3072" t="s">
        <v>617</v>
      </c>
      <c r="B3072" t="s">
        <v>346</v>
      </c>
      <c r="C3072" t="s">
        <v>617</v>
      </c>
      <c r="D3072" s="3" t="s">
        <v>879</v>
      </c>
      <c r="E3072" s="4">
        <v>1.6E-2</v>
      </c>
      <c r="F3072" s="13" t="s">
        <v>176</v>
      </c>
      <c r="G3072" s="9">
        <v>1113.51</v>
      </c>
      <c r="H3072" s="9">
        <f t="shared" si="96"/>
        <v>17.81616</v>
      </c>
      <c r="I3072" t="s">
        <v>179</v>
      </c>
      <c r="J3072" s="33" t="s">
        <v>489</v>
      </c>
      <c r="K3072" s="18">
        <f>VLOOKUP(D3072,Ingredients!C:G,5,0)</f>
        <v>1066.33</v>
      </c>
      <c r="L3072" s="52">
        <f t="shared" si="95"/>
        <v>17.06128</v>
      </c>
    </row>
    <row r="3073" spans="1:12">
      <c r="A3073" t="s">
        <v>617</v>
      </c>
      <c r="B3073" t="s">
        <v>346</v>
      </c>
      <c r="C3073" t="s">
        <v>617</v>
      </c>
      <c r="D3073" s="3" t="s">
        <v>965</v>
      </c>
      <c r="E3073" s="4">
        <v>0.06</v>
      </c>
      <c r="F3073" s="13" t="s">
        <v>176</v>
      </c>
      <c r="G3073" s="9">
        <v>302.49</v>
      </c>
      <c r="H3073" s="9">
        <f t="shared" si="96"/>
        <v>18.1494</v>
      </c>
      <c r="I3073" t="s">
        <v>179</v>
      </c>
      <c r="J3073" s="33" t="s">
        <v>489</v>
      </c>
      <c r="K3073" s="18">
        <f>VLOOKUP(D3073,Ingredients!C:G,5,0)</f>
        <v>302</v>
      </c>
      <c r="L3073" s="52">
        <f t="shared" si="95"/>
        <v>18.12</v>
      </c>
    </row>
    <row r="3074" spans="1:12">
      <c r="A3074" t="s">
        <v>617</v>
      </c>
      <c r="B3074" t="s">
        <v>346</v>
      </c>
      <c r="C3074" t="s">
        <v>617</v>
      </c>
      <c r="D3074" s="3" t="s">
        <v>853</v>
      </c>
      <c r="E3074" s="4">
        <v>0.03</v>
      </c>
      <c r="F3074" s="13" t="s">
        <v>176</v>
      </c>
      <c r="G3074" s="9">
        <v>30</v>
      </c>
      <c r="H3074" s="9">
        <f t="shared" si="96"/>
        <v>0.89999999999999991</v>
      </c>
      <c r="I3074" t="s">
        <v>179</v>
      </c>
      <c r="J3074" s="33" t="s">
        <v>489</v>
      </c>
      <c r="K3074" s="18">
        <f>VLOOKUP(D3074,Ingredients!C:G,5,0)</f>
        <v>55</v>
      </c>
      <c r="L3074" s="52">
        <f t="shared" si="95"/>
        <v>1.65</v>
      </c>
    </row>
    <row r="3075" spans="1:12">
      <c r="A3075" t="s">
        <v>617</v>
      </c>
      <c r="B3075" t="s">
        <v>346</v>
      </c>
      <c r="C3075" t="s">
        <v>617</v>
      </c>
      <c r="D3075" s="3" t="s">
        <v>884</v>
      </c>
      <c r="E3075" s="4">
        <v>1</v>
      </c>
      <c r="F3075" s="13" t="s">
        <v>176</v>
      </c>
      <c r="G3075" s="9">
        <v>344</v>
      </c>
      <c r="H3075" s="9">
        <f t="shared" si="96"/>
        <v>344</v>
      </c>
      <c r="I3075" t="s">
        <v>179</v>
      </c>
      <c r="J3075" s="33" t="s">
        <v>489</v>
      </c>
      <c r="K3075" s="18">
        <f>VLOOKUP(D3075,Ingredients!C:G,5,0)</f>
        <v>344</v>
      </c>
      <c r="L3075" s="52">
        <f t="shared" si="95"/>
        <v>344</v>
      </c>
    </row>
    <row r="3076" spans="1:12">
      <c r="A3076" t="s">
        <v>617</v>
      </c>
      <c r="B3076" t="s">
        <v>346</v>
      </c>
      <c r="C3076" t="s">
        <v>617</v>
      </c>
      <c r="D3076" s="3" t="s">
        <v>16</v>
      </c>
      <c r="E3076" s="4">
        <v>0.12</v>
      </c>
      <c r="F3076" s="13" t="s">
        <v>176</v>
      </c>
      <c r="G3076" s="9">
        <v>270</v>
      </c>
      <c r="H3076" s="9">
        <f t="shared" si="96"/>
        <v>32.4</v>
      </c>
      <c r="I3076" t="s">
        <v>179</v>
      </c>
      <c r="J3076" s="33" t="s">
        <v>489</v>
      </c>
      <c r="K3076" s="18">
        <f>VLOOKUP(D3076,Ingredients!C:G,5,0)</f>
        <v>310</v>
      </c>
      <c r="L3076" s="52">
        <f t="shared" ref="L3076:L3139" si="97">K3076*E3076</f>
        <v>37.199999999999996</v>
      </c>
    </row>
    <row r="3077" spans="1:12">
      <c r="A3077" t="s">
        <v>617</v>
      </c>
      <c r="B3077" t="s">
        <v>346</v>
      </c>
      <c r="C3077" t="s">
        <v>617</v>
      </c>
      <c r="D3077" s="3" t="s">
        <v>29</v>
      </c>
      <c r="E3077" s="4">
        <v>0.16</v>
      </c>
      <c r="F3077" s="13" t="s">
        <v>176</v>
      </c>
      <c r="G3077" s="9">
        <v>60</v>
      </c>
      <c r="H3077" s="9">
        <f t="shared" si="96"/>
        <v>9.6</v>
      </c>
      <c r="I3077" t="s">
        <v>179</v>
      </c>
      <c r="J3077" s="33" t="s">
        <v>489</v>
      </c>
      <c r="K3077" s="18">
        <f>VLOOKUP(D3077,Ingredients!C:G,5,0)</f>
        <v>100</v>
      </c>
      <c r="L3077" s="52">
        <f t="shared" si="97"/>
        <v>16</v>
      </c>
    </row>
    <row r="3078" spans="1:12">
      <c r="A3078" t="s">
        <v>617</v>
      </c>
      <c r="B3078" t="s">
        <v>346</v>
      </c>
      <c r="C3078" t="s">
        <v>617</v>
      </c>
      <c r="D3078" s="3" t="s">
        <v>95</v>
      </c>
      <c r="E3078" s="4">
        <v>0.16</v>
      </c>
      <c r="F3078" s="13" t="s">
        <v>176</v>
      </c>
      <c r="G3078" s="9">
        <v>140</v>
      </c>
      <c r="H3078" s="9">
        <f t="shared" si="96"/>
        <v>22.400000000000002</v>
      </c>
      <c r="I3078" t="s">
        <v>179</v>
      </c>
      <c r="J3078" s="33" t="s">
        <v>489</v>
      </c>
      <c r="K3078" s="18">
        <f>VLOOKUP(D3078,Ingredients!C:G,5,0)</f>
        <v>90</v>
      </c>
      <c r="L3078" s="52">
        <f t="shared" si="97"/>
        <v>14.4</v>
      </c>
    </row>
    <row r="3079" spans="1:12">
      <c r="A3079" t="s">
        <v>617</v>
      </c>
      <c r="B3079" t="s">
        <v>346</v>
      </c>
      <c r="C3079" t="s">
        <v>617</v>
      </c>
      <c r="D3079" s="3" t="s">
        <v>96</v>
      </c>
      <c r="E3079" s="4">
        <v>0.16</v>
      </c>
      <c r="F3079" s="13" t="s">
        <v>176</v>
      </c>
      <c r="G3079" s="9">
        <v>160</v>
      </c>
      <c r="H3079" s="9">
        <f t="shared" si="96"/>
        <v>25.6</v>
      </c>
      <c r="I3079" t="s">
        <v>179</v>
      </c>
      <c r="J3079" s="33" t="s">
        <v>489</v>
      </c>
      <c r="K3079" s="18">
        <f>VLOOKUP(D3079,Ingredients!C:G,5,0)</f>
        <v>120</v>
      </c>
      <c r="L3079" s="52">
        <f t="shared" si="97"/>
        <v>19.2</v>
      </c>
    </row>
    <row r="3080" spans="1:12">
      <c r="A3080" t="s">
        <v>617</v>
      </c>
      <c r="B3080" t="s">
        <v>346</v>
      </c>
      <c r="C3080" t="s">
        <v>617</v>
      </c>
      <c r="D3080" s="3" t="s">
        <v>24</v>
      </c>
      <c r="E3080" s="4">
        <v>0.16</v>
      </c>
      <c r="F3080" s="13" t="s">
        <v>176</v>
      </c>
      <c r="G3080" s="9">
        <v>55</v>
      </c>
      <c r="H3080" s="9">
        <f t="shared" si="96"/>
        <v>8.8000000000000007</v>
      </c>
      <c r="I3080" t="s">
        <v>179</v>
      </c>
      <c r="J3080" s="33" t="s">
        <v>489</v>
      </c>
      <c r="K3080" s="18">
        <f>VLOOKUP(D3080,Ingredients!C:G,5,0)</f>
        <v>80</v>
      </c>
      <c r="L3080" s="52">
        <f t="shared" si="97"/>
        <v>12.8</v>
      </c>
    </row>
    <row r="3081" spans="1:12">
      <c r="A3081" t="s">
        <v>617</v>
      </c>
      <c r="B3081" t="s">
        <v>346</v>
      </c>
      <c r="C3081" t="s">
        <v>617</v>
      </c>
      <c r="D3081" s="3" t="s">
        <v>15</v>
      </c>
      <c r="E3081" s="4">
        <v>0.18</v>
      </c>
      <c r="F3081" s="13" t="s">
        <v>176</v>
      </c>
      <c r="G3081" s="9">
        <v>130</v>
      </c>
      <c r="H3081" s="9">
        <f t="shared" si="96"/>
        <v>23.4</v>
      </c>
      <c r="I3081" t="s">
        <v>179</v>
      </c>
      <c r="J3081" s="33" t="s">
        <v>489</v>
      </c>
      <c r="K3081" s="18">
        <f>VLOOKUP(D3081,Ingredients!C:G,5,0)</f>
        <v>90</v>
      </c>
      <c r="L3081" s="52">
        <f t="shared" si="97"/>
        <v>16.2</v>
      </c>
    </row>
    <row r="3082" spans="1:12">
      <c r="A3082" t="s">
        <v>617</v>
      </c>
      <c r="B3082" t="s">
        <v>346</v>
      </c>
      <c r="C3082" t="s">
        <v>617</v>
      </c>
      <c r="D3082" s="3" t="s">
        <v>853</v>
      </c>
      <c r="E3082" s="4">
        <v>0.03</v>
      </c>
      <c r="F3082" s="13" t="s">
        <v>176</v>
      </c>
      <c r="G3082" s="9">
        <v>30</v>
      </c>
      <c r="H3082" s="9">
        <f t="shared" si="96"/>
        <v>0.89999999999999991</v>
      </c>
      <c r="I3082" t="s">
        <v>179</v>
      </c>
      <c r="J3082" s="33" t="s">
        <v>489</v>
      </c>
      <c r="K3082" s="18">
        <f>VLOOKUP(D3082,Ingredients!C:G,5,0)</f>
        <v>55</v>
      </c>
      <c r="L3082" s="52">
        <f t="shared" si="97"/>
        <v>1.65</v>
      </c>
    </row>
    <row r="3083" spans="1:12">
      <c r="A3083" t="s">
        <v>617</v>
      </c>
      <c r="B3083" t="s">
        <v>346</v>
      </c>
      <c r="C3083" t="s">
        <v>617</v>
      </c>
      <c r="D3083" s="3" t="s">
        <v>953</v>
      </c>
      <c r="E3083" s="4">
        <v>1</v>
      </c>
      <c r="F3083" s="4" t="s">
        <v>263</v>
      </c>
      <c r="G3083" s="9">
        <v>156.25</v>
      </c>
      <c r="H3083" s="9">
        <f t="shared" si="96"/>
        <v>156.25</v>
      </c>
      <c r="I3083" t="s">
        <v>179</v>
      </c>
      <c r="J3083" s="33" t="s">
        <v>489</v>
      </c>
      <c r="K3083" s="18">
        <f>VLOOKUP(D3083,Ingredients!C:G,5,0)</f>
        <v>141.66</v>
      </c>
      <c r="L3083" s="52">
        <f t="shared" si="97"/>
        <v>141.66</v>
      </c>
    </row>
    <row r="3084" spans="1:12">
      <c r="A3084" t="s">
        <v>617</v>
      </c>
      <c r="B3084" t="s">
        <v>346</v>
      </c>
      <c r="C3084" t="s">
        <v>617</v>
      </c>
      <c r="D3084" s="3" t="s">
        <v>888</v>
      </c>
      <c r="E3084" s="14">
        <v>0.24</v>
      </c>
      <c r="F3084" s="4" t="s">
        <v>176</v>
      </c>
      <c r="G3084" s="9">
        <v>580</v>
      </c>
      <c r="H3084" s="9">
        <f t="shared" si="96"/>
        <v>139.19999999999999</v>
      </c>
      <c r="I3084" t="s">
        <v>179</v>
      </c>
      <c r="J3084" s="33" t="s">
        <v>489</v>
      </c>
      <c r="K3084" s="18">
        <f>VLOOKUP(D3084,Ingredients!C:G,5,0)</f>
        <v>580</v>
      </c>
      <c r="L3084" s="52">
        <f t="shared" si="97"/>
        <v>139.19999999999999</v>
      </c>
    </row>
    <row r="3085" spans="1:12">
      <c r="A3085" t="s">
        <v>617</v>
      </c>
      <c r="B3085" t="s">
        <v>346</v>
      </c>
      <c r="C3085" t="s">
        <v>617</v>
      </c>
      <c r="D3085" s="3" t="s">
        <v>863</v>
      </c>
      <c r="E3085" s="14">
        <v>0.24</v>
      </c>
      <c r="F3085" s="4" t="s">
        <v>176</v>
      </c>
      <c r="G3085" s="9">
        <v>675</v>
      </c>
      <c r="H3085" s="9">
        <f t="shared" si="96"/>
        <v>162</v>
      </c>
      <c r="I3085" t="s">
        <v>179</v>
      </c>
      <c r="J3085" s="33" t="s">
        <v>489</v>
      </c>
      <c r="K3085" s="18">
        <f>VLOOKUP(D3085,Ingredients!C:G,5,0)</f>
        <v>675</v>
      </c>
      <c r="L3085" s="52">
        <f t="shared" si="97"/>
        <v>162</v>
      </c>
    </row>
    <row r="3086" spans="1:12">
      <c r="A3086" t="s">
        <v>617</v>
      </c>
      <c r="B3086" t="s">
        <v>346</v>
      </c>
      <c r="C3086" t="s">
        <v>617</v>
      </c>
      <c r="D3086" s="3" t="s">
        <v>965</v>
      </c>
      <c r="E3086" s="14">
        <v>0.24</v>
      </c>
      <c r="F3086" s="4" t="s">
        <v>176</v>
      </c>
      <c r="G3086" s="9">
        <v>302.49</v>
      </c>
      <c r="H3086" s="9">
        <f t="shared" si="96"/>
        <v>72.5976</v>
      </c>
      <c r="I3086" t="s">
        <v>179</v>
      </c>
      <c r="J3086" s="33" t="s">
        <v>489</v>
      </c>
      <c r="K3086" s="18">
        <f>VLOOKUP(D3086,Ingredients!C:G,5,0)</f>
        <v>302</v>
      </c>
      <c r="L3086" s="52">
        <f t="shared" si="97"/>
        <v>72.48</v>
      </c>
    </row>
    <row r="3087" spans="1:12">
      <c r="A3087" t="s">
        <v>617</v>
      </c>
      <c r="B3087" t="s">
        <v>346</v>
      </c>
      <c r="C3087" t="s">
        <v>617</v>
      </c>
      <c r="D3087" s="3" t="s">
        <v>874</v>
      </c>
      <c r="E3087" s="14">
        <v>0.12</v>
      </c>
      <c r="F3087" s="4" t="s">
        <v>176</v>
      </c>
      <c r="G3087" s="9">
        <v>110</v>
      </c>
      <c r="H3087" s="9">
        <f t="shared" si="96"/>
        <v>13.2</v>
      </c>
      <c r="I3087" t="s">
        <v>179</v>
      </c>
      <c r="J3087" s="33" t="s">
        <v>489</v>
      </c>
      <c r="K3087" s="18">
        <f>VLOOKUP(D3087,Ingredients!C:G,5,0)</f>
        <v>179</v>
      </c>
      <c r="L3087" s="52">
        <f t="shared" si="97"/>
        <v>21.48</v>
      </c>
    </row>
    <row r="3088" spans="1:12">
      <c r="A3088" t="s">
        <v>618</v>
      </c>
      <c r="B3088" t="s">
        <v>349</v>
      </c>
      <c r="C3088" t="s">
        <v>351</v>
      </c>
      <c r="D3088" s="3" t="s">
        <v>935</v>
      </c>
      <c r="E3088" s="14">
        <v>0.08</v>
      </c>
      <c r="F3088" s="4" t="s">
        <v>176</v>
      </c>
      <c r="G3088" s="9">
        <v>230</v>
      </c>
      <c r="H3088" s="9">
        <f t="shared" si="96"/>
        <v>18.400000000000002</v>
      </c>
      <c r="I3088" t="s">
        <v>253</v>
      </c>
      <c r="J3088" s="33">
        <v>0</v>
      </c>
      <c r="K3088" s="18">
        <f>VLOOKUP(D3088,Ingredients!C:G,5,0)</f>
        <v>210</v>
      </c>
      <c r="L3088" s="52">
        <f t="shared" si="97"/>
        <v>16.8</v>
      </c>
    </row>
    <row r="3089" spans="1:12">
      <c r="A3089" t="s">
        <v>618</v>
      </c>
      <c r="B3089" t="s">
        <v>349</v>
      </c>
      <c r="C3089" t="s">
        <v>351</v>
      </c>
      <c r="D3089" s="3" t="s">
        <v>16</v>
      </c>
      <c r="E3089" s="14">
        <v>9.3749999999999997E-4</v>
      </c>
      <c r="F3089" s="4" t="s">
        <v>176</v>
      </c>
      <c r="G3089" s="9">
        <v>270</v>
      </c>
      <c r="H3089" s="9">
        <f t="shared" si="96"/>
        <v>0.25312499999999999</v>
      </c>
      <c r="I3089" t="s">
        <v>253</v>
      </c>
      <c r="J3089" s="33">
        <v>0</v>
      </c>
      <c r="K3089" s="18">
        <f>VLOOKUP(D3089,Ingredients!C:G,5,0)</f>
        <v>310</v>
      </c>
      <c r="L3089" s="52">
        <f t="shared" si="97"/>
        <v>0.29062499999999997</v>
      </c>
    </row>
    <row r="3090" spans="1:12">
      <c r="A3090" t="s">
        <v>618</v>
      </c>
      <c r="B3090" t="s">
        <v>349</v>
      </c>
      <c r="C3090" t="s">
        <v>351</v>
      </c>
      <c r="D3090" s="3" t="s">
        <v>23</v>
      </c>
      <c r="E3090" s="14">
        <v>1.8749999999999999E-3</v>
      </c>
      <c r="F3090" s="4" t="s">
        <v>176</v>
      </c>
      <c r="G3090" s="9">
        <v>740</v>
      </c>
      <c r="H3090" s="9">
        <f t="shared" si="96"/>
        <v>1.3875</v>
      </c>
      <c r="I3090" t="s">
        <v>253</v>
      </c>
      <c r="J3090" s="33">
        <v>0</v>
      </c>
      <c r="K3090" s="18">
        <f>VLOOKUP(D3090,Ingredients!C:G,5,0)</f>
        <v>780</v>
      </c>
      <c r="L3090" s="52">
        <f t="shared" si="97"/>
        <v>1.4624999999999999</v>
      </c>
    </row>
    <row r="3091" spans="1:12">
      <c r="A3091" t="s">
        <v>618</v>
      </c>
      <c r="B3091" t="s">
        <v>349</v>
      </c>
      <c r="C3091" t="s">
        <v>351</v>
      </c>
      <c r="D3091" s="3" t="s">
        <v>853</v>
      </c>
      <c r="E3091" s="14">
        <v>9.3749999999999997E-4</v>
      </c>
      <c r="F3091" s="4" t="s">
        <v>176</v>
      </c>
      <c r="G3091" s="9">
        <v>30</v>
      </c>
      <c r="H3091" s="9">
        <f t="shared" si="96"/>
        <v>2.8124999999999997E-2</v>
      </c>
      <c r="I3091" t="s">
        <v>253</v>
      </c>
      <c r="J3091" s="33">
        <v>0</v>
      </c>
      <c r="K3091" s="18">
        <f>VLOOKUP(D3091,Ingredients!C:G,5,0)</f>
        <v>55</v>
      </c>
      <c r="L3091" s="52">
        <f t="shared" si="97"/>
        <v>5.1562499999999997E-2</v>
      </c>
    </row>
    <row r="3092" spans="1:12">
      <c r="A3092" t="s">
        <v>618</v>
      </c>
      <c r="B3092" t="s">
        <v>349</v>
      </c>
      <c r="C3092" t="s">
        <v>351</v>
      </c>
      <c r="D3092" s="3" t="s">
        <v>860</v>
      </c>
      <c r="E3092" s="14">
        <v>9.3749999999999997E-4</v>
      </c>
      <c r="F3092" s="4" t="s">
        <v>176</v>
      </c>
      <c r="G3092" s="9">
        <v>2000</v>
      </c>
      <c r="H3092" s="9">
        <f t="shared" si="96"/>
        <v>1.875</v>
      </c>
      <c r="I3092" t="s">
        <v>253</v>
      </c>
      <c r="J3092" s="33">
        <v>0</v>
      </c>
      <c r="K3092" s="18">
        <f>VLOOKUP(D3092,Ingredients!C:G,5,0)</f>
        <v>1900</v>
      </c>
      <c r="L3092" s="52">
        <f t="shared" si="97"/>
        <v>1.78125</v>
      </c>
    </row>
    <row r="3093" spans="1:12">
      <c r="A3093" t="s">
        <v>618</v>
      </c>
      <c r="B3093" t="s">
        <v>349</v>
      </c>
      <c r="C3093" t="s">
        <v>351</v>
      </c>
      <c r="D3093" s="3" t="s">
        <v>887</v>
      </c>
      <c r="E3093" s="14">
        <v>9.3749999999999997E-4</v>
      </c>
      <c r="F3093" s="4" t="s">
        <v>176</v>
      </c>
      <c r="G3093" s="9">
        <v>1600</v>
      </c>
      <c r="H3093" s="9">
        <f t="shared" si="96"/>
        <v>1.5</v>
      </c>
      <c r="I3093" t="s">
        <v>253</v>
      </c>
      <c r="J3093" s="33">
        <v>0</v>
      </c>
      <c r="K3093" s="18">
        <f>VLOOKUP(D3093,Ingredients!C:G,5,0)</f>
        <v>1830</v>
      </c>
      <c r="L3093" s="52">
        <f t="shared" si="97"/>
        <v>1.715625</v>
      </c>
    </row>
    <row r="3094" spans="1:12">
      <c r="A3094" t="s">
        <v>618</v>
      </c>
      <c r="B3094" t="s">
        <v>349</v>
      </c>
      <c r="C3094" t="s">
        <v>351</v>
      </c>
      <c r="D3094" s="3" t="s">
        <v>867</v>
      </c>
      <c r="E3094" s="14">
        <v>9.3749999999999997E-4</v>
      </c>
      <c r="F3094" s="4" t="s">
        <v>176</v>
      </c>
      <c r="G3094" s="9">
        <v>900</v>
      </c>
      <c r="H3094" s="9">
        <f t="shared" si="96"/>
        <v>0.84375</v>
      </c>
      <c r="I3094" t="s">
        <v>253</v>
      </c>
      <c r="J3094" s="33">
        <v>0</v>
      </c>
      <c r="K3094" s="18">
        <f>VLOOKUP(D3094,Ingredients!C:G,5,0)</f>
        <v>950</v>
      </c>
      <c r="L3094" s="52">
        <f t="shared" si="97"/>
        <v>0.890625</v>
      </c>
    </row>
    <row r="3095" spans="1:12">
      <c r="A3095" t="s">
        <v>618</v>
      </c>
      <c r="B3095" t="s">
        <v>349</v>
      </c>
      <c r="C3095" t="s">
        <v>351</v>
      </c>
      <c r="D3095" s="3" t="s">
        <v>849</v>
      </c>
      <c r="E3095" s="14">
        <v>9.3749999999999997E-4</v>
      </c>
      <c r="F3095" s="4" t="s">
        <v>176</v>
      </c>
      <c r="G3095" s="9">
        <v>1000</v>
      </c>
      <c r="H3095" s="9">
        <f t="shared" si="96"/>
        <v>0.9375</v>
      </c>
      <c r="I3095" t="s">
        <v>253</v>
      </c>
      <c r="J3095" s="33">
        <v>0</v>
      </c>
      <c r="K3095" s="18">
        <f>VLOOKUP(D3095,Ingredients!C:G,5,0)</f>
        <v>950</v>
      </c>
      <c r="L3095" s="52">
        <f t="shared" si="97"/>
        <v>0.890625</v>
      </c>
    </row>
    <row r="3096" spans="1:12">
      <c r="A3096" t="s">
        <v>618</v>
      </c>
      <c r="B3096" t="s">
        <v>349</v>
      </c>
      <c r="C3096" t="s">
        <v>351</v>
      </c>
      <c r="D3096" s="3" t="s">
        <v>24</v>
      </c>
      <c r="E3096" s="14">
        <v>9.3749999999999997E-3</v>
      </c>
      <c r="F3096" s="4" t="s">
        <v>176</v>
      </c>
      <c r="G3096" s="9">
        <v>55</v>
      </c>
      <c r="H3096" s="9">
        <f t="shared" si="96"/>
        <v>0.515625</v>
      </c>
      <c r="I3096" t="s">
        <v>253</v>
      </c>
      <c r="J3096" s="33">
        <v>0</v>
      </c>
      <c r="K3096" s="18">
        <f>VLOOKUP(D3096,Ingredients!C:G,5,0)</f>
        <v>80</v>
      </c>
      <c r="L3096" s="52">
        <f t="shared" si="97"/>
        <v>0.75</v>
      </c>
    </row>
    <row r="3097" spans="1:12">
      <c r="A3097" t="s">
        <v>618</v>
      </c>
      <c r="B3097" t="s">
        <v>349</v>
      </c>
      <c r="C3097" t="s">
        <v>351</v>
      </c>
      <c r="D3097" s="3" t="s">
        <v>29</v>
      </c>
      <c r="E3097" s="14">
        <v>9.3749999999999997E-4</v>
      </c>
      <c r="F3097" s="4" t="s">
        <v>176</v>
      </c>
      <c r="G3097" s="9">
        <v>60</v>
      </c>
      <c r="H3097" s="9">
        <f t="shared" si="96"/>
        <v>5.6249999999999994E-2</v>
      </c>
      <c r="I3097" t="s">
        <v>253</v>
      </c>
      <c r="J3097" s="33">
        <v>0</v>
      </c>
      <c r="K3097" s="18">
        <f>VLOOKUP(D3097,Ingredients!C:G,5,0)</f>
        <v>100</v>
      </c>
      <c r="L3097" s="52">
        <f t="shared" si="97"/>
        <v>9.375E-2</v>
      </c>
    </row>
    <row r="3098" spans="1:12">
      <c r="A3098" t="s">
        <v>618</v>
      </c>
      <c r="B3098" t="s">
        <v>349</v>
      </c>
      <c r="C3098" t="s">
        <v>351</v>
      </c>
      <c r="D3098" s="3" t="s">
        <v>7</v>
      </c>
      <c r="E3098" s="14">
        <v>4.3750000000000004E-3</v>
      </c>
      <c r="F3098" s="4" t="s">
        <v>252</v>
      </c>
      <c r="G3098" s="9">
        <v>8</v>
      </c>
      <c r="H3098" s="9">
        <f t="shared" si="96"/>
        <v>3.5000000000000003E-2</v>
      </c>
      <c r="I3098" t="s">
        <v>253</v>
      </c>
      <c r="J3098" s="33">
        <v>0</v>
      </c>
      <c r="K3098" s="18">
        <f>VLOOKUP(D3098,Ingredients!C:G,5,0)</f>
        <v>6</v>
      </c>
      <c r="L3098" s="52">
        <f t="shared" si="97"/>
        <v>2.6250000000000002E-2</v>
      </c>
    </row>
    <row r="3099" spans="1:12">
      <c r="A3099" t="s">
        <v>618</v>
      </c>
      <c r="B3099" t="s">
        <v>349</v>
      </c>
      <c r="C3099" t="s">
        <v>351</v>
      </c>
      <c r="D3099" s="3" t="s">
        <v>854</v>
      </c>
      <c r="E3099" s="14">
        <v>0.125</v>
      </c>
      <c r="F3099" s="4" t="s">
        <v>253</v>
      </c>
      <c r="G3099" s="9">
        <v>24.64</v>
      </c>
      <c r="H3099" s="9">
        <f t="shared" si="96"/>
        <v>3.08</v>
      </c>
      <c r="I3099" t="s">
        <v>253</v>
      </c>
      <c r="J3099" s="33">
        <v>0</v>
      </c>
      <c r="K3099" s="18">
        <f>VLOOKUP(D3099,Ingredients!C:G,5,0)</f>
        <v>20.059999999999999</v>
      </c>
      <c r="L3099" s="52">
        <f t="shared" si="97"/>
        <v>2.5074999999999998</v>
      </c>
    </row>
    <row r="3100" spans="1:12">
      <c r="A3100" t="s">
        <v>618</v>
      </c>
      <c r="B3100" t="s">
        <v>349</v>
      </c>
      <c r="C3100" t="s">
        <v>351</v>
      </c>
      <c r="D3100" s="3" t="s">
        <v>35</v>
      </c>
      <c r="E3100" s="14">
        <v>9.3749999999999997E-3</v>
      </c>
      <c r="F3100" s="4" t="s">
        <v>252</v>
      </c>
      <c r="G3100" s="9">
        <v>13</v>
      </c>
      <c r="H3100" s="9">
        <f t="shared" si="96"/>
        <v>0.121875</v>
      </c>
      <c r="I3100" t="s">
        <v>253</v>
      </c>
      <c r="J3100" s="33">
        <v>0</v>
      </c>
      <c r="K3100" s="18">
        <f>VLOOKUP(D3100,Ingredients!C:G,5,0)</f>
        <v>15</v>
      </c>
      <c r="L3100" s="52">
        <f t="shared" si="97"/>
        <v>0.140625</v>
      </c>
    </row>
    <row r="3101" spans="1:12">
      <c r="A3101" t="s">
        <v>618</v>
      </c>
      <c r="B3101" t="s">
        <v>349</v>
      </c>
      <c r="C3101" t="s">
        <v>351</v>
      </c>
      <c r="D3101" s="3" t="s">
        <v>966</v>
      </c>
      <c r="E3101" s="4">
        <v>1</v>
      </c>
      <c r="F3101" s="4" t="s">
        <v>253</v>
      </c>
      <c r="G3101" s="9">
        <v>17</v>
      </c>
      <c r="H3101" s="9">
        <f t="shared" si="96"/>
        <v>17</v>
      </c>
      <c r="I3101" t="s">
        <v>253</v>
      </c>
      <c r="J3101" s="33">
        <v>0</v>
      </c>
      <c r="K3101" s="18">
        <f>VLOOKUP(D3101,Ingredients!C:G,5,0)</f>
        <v>17</v>
      </c>
      <c r="L3101" s="52">
        <f t="shared" si="97"/>
        <v>17</v>
      </c>
    </row>
    <row r="3102" spans="1:12">
      <c r="A3102" t="s">
        <v>620</v>
      </c>
      <c r="B3102" t="s">
        <v>356</v>
      </c>
      <c r="C3102" t="s">
        <v>357</v>
      </c>
      <c r="D3102" s="3" t="s">
        <v>585</v>
      </c>
      <c r="E3102" s="4">
        <v>1</v>
      </c>
      <c r="F3102" s="4" t="s">
        <v>253</v>
      </c>
      <c r="G3102" s="9">
        <v>84</v>
      </c>
      <c r="H3102" s="9">
        <f t="shared" si="96"/>
        <v>84</v>
      </c>
      <c r="I3102" t="s">
        <v>253</v>
      </c>
      <c r="J3102" s="33">
        <v>0</v>
      </c>
      <c r="K3102" s="18">
        <f>VLOOKUP(D3102,Ingredients!C:G,5,0)</f>
        <v>84</v>
      </c>
      <c r="L3102" s="52">
        <f t="shared" si="97"/>
        <v>84</v>
      </c>
    </row>
    <row r="3103" spans="1:12">
      <c r="A3103" t="s">
        <v>621</v>
      </c>
      <c r="B3103" t="s">
        <v>349</v>
      </c>
      <c r="C3103" t="s">
        <v>352</v>
      </c>
      <c r="D3103" s="33" t="s">
        <v>491</v>
      </c>
      <c r="E3103" s="4">
        <v>1</v>
      </c>
      <c r="F3103" s="4" t="s">
        <v>176</v>
      </c>
      <c r="G3103" s="9">
        <v>614</v>
      </c>
      <c r="H3103" s="9">
        <f t="shared" si="96"/>
        <v>614</v>
      </c>
      <c r="I3103" t="s">
        <v>179</v>
      </c>
      <c r="J3103" s="33" t="s">
        <v>491</v>
      </c>
      <c r="K3103" s="18">
        <f>VLOOKUP(D3103,Ingredients!C:G,5,0)</f>
        <v>650</v>
      </c>
      <c r="L3103" s="52">
        <f t="shared" si="97"/>
        <v>650</v>
      </c>
    </row>
    <row r="3104" spans="1:12">
      <c r="A3104" t="s">
        <v>621</v>
      </c>
      <c r="B3104" t="s">
        <v>349</v>
      </c>
      <c r="C3104" t="s">
        <v>352</v>
      </c>
      <c r="D3104" s="3" t="s">
        <v>852</v>
      </c>
      <c r="E3104" s="4">
        <v>0.24</v>
      </c>
      <c r="F3104" s="4" t="s">
        <v>176</v>
      </c>
      <c r="G3104" s="9">
        <v>520.63</v>
      </c>
      <c r="H3104" s="9">
        <f t="shared" si="96"/>
        <v>124.9512</v>
      </c>
      <c r="I3104" t="s">
        <v>179</v>
      </c>
      <c r="J3104" s="33" t="s">
        <v>491</v>
      </c>
      <c r="K3104" s="18">
        <v>550</v>
      </c>
      <c r="L3104" s="52">
        <f t="shared" si="97"/>
        <v>132</v>
      </c>
    </row>
    <row r="3105" spans="1:12">
      <c r="A3105" t="s">
        <v>621</v>
      </c>
      <c r="B3105" t="s">
        <v>349</v>
      </c>
      <c r="C3105" t="s">
        <v>352</v>
      </c>
      <c r="D3105" s="3" t="s">
        <v>16</v>
      </c>
      <c r="E3105" s="4">
        <v>4.3999999999999997E-2</v>
      </c>
      <c r="F3105" s="4" t="s">
        <v>176</v>
      </c>
      <c r="G3105" s="9">
        <v>270</v>
      </c>
      <c r="H3105" s="9">
        <f t="shared" si="96"/>
        <v>11.879999999999999</v>
      </c>
      <c r="I3105" t="s">
        <v>179</v>
      </c>
      <c r="J3105" s="33" t="s">
        <v>491</v>
      </c>
      <c r="K3105" s="18">
        <f>VLOOKUP(D3105,Ingredients!C:G,5,0)</f>
        <v>310</v>
      </c>
      <c r="L3105" s="52">
        <f t="shared" si="97"/>
        <v>13.639999999999999</v>
      </c>
    </row>
    <row r="3106" spans="1:12">
      <c r="A3106" t="s">
        <v>621</v>
      </c>
      <c r="B3106" t="s">
        <v>349</v>
      </c>
      <c r="C3106" t="s">
        <v>352</v>
      </c>
      <c r="D3106" s="3" t="s">
        <v>855</v>
      </c>
      <c r="E3106" s="4">
        <v>1.6E-2</v>
      </c>
      <c r="F3106" s="4" t="s">
        <v>176</v>
      </c>
      <c r="G3106" s="9">
        <v>2400</v>
      </c>
      <c r="H3106" s="9">
        <f t="shared" si="96"/>
        <v>38.4</v>
      </c>
      <c r="I3106" t="s">
        <v>179</v>
      </c>
      <c r="J3106" s="33" t="s">
        <v>491</v>
      </c>
      <c r="K3106" s="18">
        <f>VLOOKUP(D3106,Ingredients!C:G,5,0)</f>
        <v>1600</v>
      </c>
      <c r="L3106" s="52">
        <f t="shared" si="97"/>
        <v>25.6</v>
      </c>
    </row>
    <row r="3107" spans="1:12">
      <c r="A3107" t="s">
        <v>621</v>
      </c>
      <c r="B3107" t="s">
        <v>349</v>
      </c>
      <c r="C3107" t="s">
        <v>352</v>
      </c>
      <c r="D3107" s="3" t="s">
        <v>931</v>
      </c>
      <c r="E3107" s="4">
        <v>2.8000000000000001E-2</v>
      </c>
      <c r="F3107" s="4" t="s">
        <v>176</v>
      </c>
      <c r="G3107" s="9">
        <v>4000</v>
      </c>
      <c r="H3107" s="9">
        <f t="shared" si="96"/>
        <v>112</v>
      </c>
      <c r="I3107" t="s">
        <v>179</v>
      </c>
      <c r="J3107" s="33" t="s">
        <v>491</v>
      </c>
      <c r="K3107" s="18">
        <f>VLOOKUP(D3107,Ingredients!C:G,5,0)</f>
        <v>2900</v>
      </c>
      <c r="L3107" s="52">
        <f t="shared" si="97"/>
        <v>81.2</v>
      </c>
    </row>
    <row r="3108" spans="1:12">
      <c r="A3108" t="s">
        <v>621</v>
      </c>
      <c r="B3108" t="s">
        <v>349</v>
      </c>
      <c r="C3108" t="s">
        <v>352</v>
      </c>
      <c r="D3108" s="3" t="s">
        <v>955</v>
      </c>
      <c r="E3108" s="4">
        <v>1.6E-2</v>
      </c>
      <c r="F3108" s="4" t="s">
        <v>176</v>
      </c>
      <c r="G3108" s="9">
        <v>3600</v>
      </c>
      <c r="H3108" s="9">
        <f t="shared" si="96"/>
        <v>57.6</v>
      </c>
      <c r="I3108" t="s">
        <v>179</v>
      </c>
      <c r="J3108" s="33" t="s">
        <v>491</v>
      </c>
      <c r="K3108" s="18">
        <f>VLOOKUP(D3108,Ingredients!C:G,5,0)</f>
        <v>3400</v>
      </c>
      <c r="L3108" s="52">
        <f t="shared" si="97"/>
        <v>54.4</v>
      </c>
    </row>
    <row r="3109" spans="1:12">
      <c r="A3109" t="s">
        <v>621</v>
      </c>
      <c r="B3109" t="s">
        <v>349</v>
      </c>
      <c r="C3109" t="s">
        <v>352</v>
      </c>
      <c r="D3109" s="3" t="s">
        <v>928</v>
      </c>
      <c r="E3109" s="4">
        <v>4.3999999999999997E-2</v>
      </c>
      <c r="F3109" s="4" t="s">
        <v>176</v>
      </c>
      <c r="G3109" s="9">
        <v>850</v>
      </c>
      <c r="H3109" s="9">
        <f t="shared" si="96"/>
        <v>37.4</v>
      </c>
      <c r="I3109" t="s">
        <v>179</v>
      </c>
      <c r="J3109" s="33" t="s">
        <v>491</v>
      </c>
      <c r="K3109" s="18">
        <f>VLOOKUP(D3109,Ingredients!C:G,5,0)</f>
        <v>900</v>
      </c>
      <c r="L3109" s="52">
        <f t="shared" si="97"/>
        <v>39.599999999999994</v>
      </c>
    </row>
    <row r="3110" spans="1:12">
      <c r="A3110" t="s">
        <v>621</v>
      </c>
      <c r="B3110" t="s">
        <v>349</v>
      </c>
      <c r="C3110" t="s">
        <v>352</v>
      </c>
      <c r="D3110" s="3" t="s">
        <v>915</v>
      </c>
      <c r="E3110" s="4">
        <v>2.1999999999999999E-2</v>
      </c>
      <c r="F3110" s="4" t="s">
        <v>176</v>
      </c>
      <c r="G3110" s="9">
        <v>5000</v>
      </c>
      <c r="H3110" s="9">
        <f t="shared" si="96"/>
        <v>110</v>
      </c>
      <c r="I3110" t="s">
        <v>179</v>
      </c>
      <c r="J3110" s="33" t="s">
        <v>491</v>
      </c>
      <c r="K3110" s="18">
        <f>VLOOKUP(D3110,Ingredients!C:G,5,0)</f>
        <v>3200</v>
      </c>
      <c r="L3110" s="52">
        <f t="shared" si="97"/>
        <v>70.399999999999991</v>
      </c>
    </row>
    <row r="3111" spans="1:12">
      <c r="A3111" t="s">
        <v>621</v>
      </c>
      <c r="B3111" t="s">
        <v>349</v>
      </c>
      <c r="C3111" t="s">
        <v>352</v>
      </c>
      <c r="D3111" s="3" t="s">
        <v>864</v>
      </c>
      <c r="E3111" s="4">
        <v>1.6E-2</v>
      </c>
      <c r="F3111" s="4" t="s">
        <v>176</v>
      </c>
      <c r="G3111" s="9">
        <v>1400</v>
      </c>
      <c r="H3111" s="9">
        <f t="shared" si="96"/>
        <v>22.400000000000002</v>
      </c>
      <c r="I3111" t="s">
        <v>179</v>
      </c>
      <c r="J3111" s="33" t="s">
        <v>491</v>
      </c>
      <c r="K3111" s="18">
        <f>VLOOKUP(D3111,Ingredients!C:G,5,0)</f>
        <v>1400</v>
      </c>
      <c r="L3111" s="52">
        <f t="shared" si="97"/>
        <v>22.400000000000002</v>
      </c>
    </row>
    <row r="3112" spans="1:12">
      <c r="A3112" t="s">
        <v>621</v>
      </c>
      <c r="B3112" t="s">
        <v>349</v>
      </c>
      <c r="C3112" t="s">
        <v>352</v>
      </c>
      <c r="D3112" s="3" t="s">
        <v>867</v>
      </c>
      <c r="E3112" s="4">
        <v>0.06</v>
      </c>
      <c r="F3112" s="4" t="s">
        <v>176</v>
      </c>
      <c r="G3112" s="9">
        <v>900</v>
      </c>
      <c r="H3112" s="9">
        <f t="shared" si="96"/>
        <v>54</v>
      </c>
      <c r="I3112" t="s">
        <v>179</v>
      </c>
      <c r="J3112" s="33" t="s">
        <v>491</v>
      </c>
      <c r="K3112" s="18">
        <f>VLOOKUP(D3112,Ingredients!C:G,5,0)</f>
        <v>950</v>
      </c>
      <c r="L3112" s="52">
        <f t="shared" si="97"/>
        <v>57</v>
      </c>
    </row>
    <row r="3113" spans="1:12">
      <c r="A3113" t="s">
        <v>621</v>
      </c>
      <c r="B3113" t="s">
        <v>349</v>
      </c>
      <c r="C3113" t="s">
        <v>352</v>
      </c>
      <c r="D3113" s="3" t="s">
        <v>895</v>
      </c>
      <c r="E3113" s="4">
        <v>0.06</v>
      </c>
      <c r="F3113" s="4" t="s">
        <v>176</v>
      </c>
      <c r="G3113" s="9">
        <v>400</v>
      </c>
      <c r="H3113" s="9">
        <f t="shared" si="96"/>
        <v>24</v>
      </c>
      <c r="I3113" t="s">
        <v>179</v>
      </c>
      <c r="J3113" s="33" t="s">
        <v>491</v>
      </c>
      <c r="K3113" s="18">
        <f>VLOOKUP(D3113,Ingredients!C:G,5,0)</f>
        <v>400</v>
      </c>
      <c r="L3113" s="52">
        <f t="shared" si="97"/>
        <v>24</v>
      </c>
    </row>
    <row r="3114" spans="1:12">
      <c r="A3114" t="s">
        <v>621</v>
      </c>
      <c r="B3114" t="s">
        <v>349</v>
      </c>
      <c r="C3114" t="s">
        <v>352</v>
      </c>
      <c r="D3114" s="3" t="s">
        <v>860</v>
      </c>
      <c r="E3114" s="4">
        <v>0.03</v>
      </c>
      <c r="F3114" s="4" t="s">
        <v>176</v>
      </c>
      <c r="G3114" s="9">
        <v>2000</v>
      </c>
      <c r="H3114" s="9">
        <f t="shared" si="96"/>
        <v>60</v>
      </c>
      <c r="I3114" t="s">
        <v>179</v>
      </c>
      <c r="J3114" s="33" t="s">
        <v>491</v>
      </c>
      <c r="K3114" s="18">
        <f>VLOOKUP(D3114,Ingredients!C:G,5,0)</f>
        <v>1900</v>
      </c>
      <c r="L3114" s="52">
        <f t="shared" si="97"/>
        <v>57</v>
      </c>
    </row>
    <row r="3115" spans="1:12">
      <c r="A3115" t="s">
        <v>621</v>
      </c>
      <c r="B3115" t="s">
        <v>349</v>
      </c>
      <c r="C3115" t="s">
        <v>352</v>
      </c>
      <c r="D3115" s="3" t="s">
        <v>880</v>
      </c>
      <c r="E3115" s="4">
        <v>1.6E-2</v>
      </c>
      <c r="F3115" s="4" t="s">
        <v>176</v>
      </c>
      <c r="G3115" s="9">
        <v>650</v>
      </c>
      <c r="H3115" s="9">
        <f t="shared" si="96"/>
        <v>10.4</v>
      </c>
      <c r="I3115" t="s">
        <v>179</v>
      </c>
      <c r="J3115" s="33" t="s">
        <v>491</v>
      </c>
      <c r="K3115" s="18">
        <f>VLOOKUP(D3115,Ingredients!C:G,5,0)</f>
        <v>520</v>
      </c>
      <c r="L3115" s="52">
        <f t="shared" si="97"/>
        <v>8.32</v>
      </c>
    </row>
    <row r="3116" spans="1:12">
      <c r="A3116" t="s">
        <v>621</v>
      </c>
      <c r="B3116" t="s">
        <v>349</v>
      </c>
      <c r="C3116" t="s">
        <v>352</v>
      </c>
      <c r="D3116" s="3" t="s">
        <v>867</v>
      </c>
      <c r="E3116" s="4">
        <v>0.03</v>
      </c>
      <c r="F3116" s="4" t="s">
        <v>176</v>
      </c>
      <c r="G3116" s="9">
        <v>900</v>
      </c>
      <c r="H3116" s="9">
        <f t="shared" si="96"/>
        <v>27</v>
      </c>
      <c r="I3116" t="s">
        <v>179</v>
      </c>
      <c r="J3116" s="33" t="s">
        <v>491</v>
      </c>
      <c r="K3116" s="18">
        <f>VLOOKUP(D3116,Ingredients!C:G,5,0)</f>
        <v>950</v>
      </c>
      <c r="L3116" s="52">
        <f t="shared" si="97"/>
        <v>28.5</v>
      </c>
    </row>
    <row r="3117" spans="1:12">
      <c r="A3117" t="s">
        <v>621</v>
      </c>
      <c r="B3117" t="s">
        <v>349</v>
      </c>
      <c r="C3117" t="s">
        <v>352</v>
      </c>
      <c r="D3117" s="3" t="s">
        <v>853</v>
      </c>
      <c r="E3117" s="4">
        <v>0.03</v>
      </c>
      <c r="F3117" s="4" t="s">
        <v>176</v>
      </c>
      <c r="G3117" s="9">
        <v>30</v>
      </c>
      <c r="H3117" s="9">
        <f t="shared" ref="H3117:H3180" si="98">G3117*E3117</f>
        <v>0.89999999999999991</v>
      </c>
      <c r="I3117" t="s">
        <v>179</v>
      </c>
      <c r="J3117" s="33" t="s">
        <v>491</v>
      </c>
      <c r="K3117" s="18">
        <f>VLOOKUP(D3117,Ingredients!C:G,5,0)</f>
        <v>55</v>
      </c>
      <c r="L3117" s="52">
        <f t="shared" si="97"/>
        <v>1.65</v>
      </c>
    </row>
    <row r="3118" spans="1:12">
      <c r="A3118" t="s">
        <v>621</v>
      </c>
      <c r="B3118" t="s">
        <v>349</v>
      </c>
      <c r="C3118" t="s">
        <v>352</v>
      </c>
      <c r="D3118" s="3" t="s">
        <v>73</v>
      </c>
      <c r="E3118" s="4">
        <v>0.36</v>
      </c>
      <c r="F3118" s="4" t="s">
        <v>176</v>
      </c>
      <c r="G3118" s="9">
        <v>305</v>
      </c>
      <c r="H3118" s="9">
        <f t="shared" si="98"/>
        <v>109.8</v>
      </c>
      <c r="I3118" t="s">
        <v>179</v>
      </c>
      <c r="J3118" s="33" t="s">
        <v>491</v>
      </c>
      <c r="K3118" s="18">
        <f>VLOOKUP(D3118,Ingredients!C:G,5,0)</f>
        <v>300</v>
      </c>
      <c r="L3118" s="52">
        <f t="shared" si="97"/>
        <v>108</v>
      </c>
    </row>
    <row r="3119" spans="1:12">
      <c r="A3119" t="s">
        <v>621</v>
      </c>
      <c r="B3119" t="s">
        <v>349</v>
      </c>
      <c r="C3119" t="s">
        <v>352</v>
      </c>
      <c r="D3119" s="3" t="s">
        <v>29</v>
      </c>
      <c r="E3119" s="4">
        <v>7.0000000000000007E-2</v>
      </c>
      <c r="F3119" s="4" t="s">
        <v>176</v>
      </c>
      <c r="G3119" s="9">
        <v>60</v>
      </c>
      <c r="H3119" s="9">
        <f t="shared" si="98"/>
        <v>4.2</v>
      </c>
      <c r="I3119" t="s">
        <v>179</v>
      </c>
      <c r="J3119" s="33" t="s">
        <v>491</v>
      </c>
      <c r="K3119" s="18">
        <f>VLOOKUP(D3119,Ingredients!C:G,5,0)</f>
        <v>100</v>
      </c>
      <c r="L3119" s="52">
        <f t="shared" si="97"/>
        <v>7.0000000000000009</v>
      </c>
    </row>
    <row r="3120" spans="1:12">
      <c r="A3120" t="s">
        <v>621</v>
      </c>
      <c r="B3120" t="s">
        <v>349</v>
      </c>
      <c r="C3120" t="s">
        <v>352</v>
      </c>
      <c r="D3120" s="3" t="s">
        <v>35</v>
      </c>
      <c r="E3120" s="4">
        <v>0.3</v>
      </c>
      <c r="F3120" s="4" t="s">
        <v>252</v>
      </c>
      <c r="G3120" s="9">
        <v>13</v>
      </c>
      <c r="H3120" s="9">
        <f t="shared" si="98"/>
        <v>3.9</v>
      </c>
      <c r="I3120" t="s">
        <v>179</v>
      </c>
      <c r="J3120" s="33" t="s">
        <v>491</v>
      </c>
      <c r="K3120" s="18">
        <f>VLOOKUP(D3120,Ingredients!C:G,5,0)</f>
        <v>15</v>
      </c>
      <c r="L3120" s="52">
        <f t="shared" si="97"/>
        <v>4.5</v>
      </c>
    </row>
    <row r="3121" spans="1:12">
      <c r="A3121" t="s">
        <v>621</v>
      </c>
      <c r="B3121" t="s">
        <v>349</v>
      </c>
      <c r="C3121" t="s">
        <v>352</v>
      </c>
      <c r="D3121" s="3" t="s">
        <v>858</v>
      </c>
      <c r="E3121" s="4">
        <v>6.0000000000000001E-3</v>
      </c>
      <c r="F3121" s="4" t="s">
        <v>176</v>
      </c>
      <c r="G3121" s="9">
        <v>1900</v>
      </c>
      <c r="H3121" s="9">
        <f t="shared" si="98"/>
        <v>11.4</v>
      </c>
      <c r="I3121" t="s">
        <v>179</v>
      </c>
      <c r="J3121" s="33" t="s">
        <v>491</v>
      </c>
      <c r="K3121" s="18">
        <f>VLOOKUP(D3121,Ingredients!C:G,5,0)</f>
        <v>1900</v>
      </c>
      <c r="L3121" s="52">
        <f t="shared" si="97"/>
        <v>11.4</v>
      </c>
    </row>
    <row r="3122" spans="1:12">
      <c r="A3122" t="s">
        <v>621</v>
      </c>
      <c r="B3122" t="s">
        <v>349</v>
      </c>
      <c r="C3122" t="s">
        <v>352</v>
      </c>
      <c r="D3122" s="3" t="s">
        <v>862</v>
      </c>
      <c r="E3122" s="4">
        <v>6.0000000000000001E-3</v>
      </c>
      <c r="F3122" s="4" t="s">
        <v>176</v>
      </c>
      <c r="G3122" s="9">
        <v>6500</v>
      </c>
      <c r="H3122" s="9">
        <f t="shared" si="98"/>
        <v>39</v>
      </c>
      <c r="I3122" t="s">
        <v>179</v>
      </c>
      <c r="J3122" s="33" t="s">
        <v>491</v>
      </c>
      <c r="K3122" s="18">
        <f>VLOOKUP(D3122,Ingredients!C:G,5,0)</f>
        <v>6500</v>
      </c>
      <c r="L3122" s="52">
        <f t="shared" si="97"/>
        <v>39</v>
      </c>
    </row>
    <row r="3123" spans="1:12">
      <c r="A3123" t="s">
        <v>621</v>
      </c>
      <c r="B3123" t="s">
        <v>349</v>
      </c>
      <c r="C3123" t="s">
        <v>352</v>
      </c>
      <c r="D3123" s="3" t="s">
        <v>878</v>
      </c>
      <c r="E3123" s="4">
        <v>0.03</v>
      </c>
      <c r="F3123" s="4" t="s">
        <v>176</v>
      </c>
      <c r="G3123" s="9">
        <v>270</v>
      </c>
      <c r="H3123" s="9">
        <f t="shared" si="98"/>
        <v>8.1</v>
      </c>
      <c r="I3123" t="s">
        <v>179</v>
      </c>
      <c r="J3123" s="33" t="s">
        <v>491</v>
      </c>
      <c r="K3123" s="18">
        <f>VLOOKUP(D3123,Ingredients!C:G,5,0)</f>
        <v>1260.55</v>
      </c>
      <c r="L3123" s="52">
        <f t="shared" si="97"/>
        <v>37.816499999999998</v>
      </c>
    </row>
    <row r="3124" spans="1:12">
      <c r="A3124" t="s">
        <v>621</v>
      </c>
      <c r="B3124" t="s">
        <v>349</v>
      </c>
      <c r="C3124" t="s">
        <v>352</v>
      </c>
      <c r="D3124" s="3" t="s">
        <v>29</v>
      </c>
      <c r="E3124" s="4">
        <v>0.03</v>
      </c>
      <c r="F3124" s="4" t="s">
        <v>176</v>
      </c>
      <c r="G3124" s="9">
        <v>60</v>
      </c>
      <c r="H3124" s="9">
        <f t="shared" si="98"/>
        <v>1.7999999999999998</v>
      </c>
      <c r="I3124" t="s">
        <v>179</v>
      </c>
      <c r="J3124" s="33" t="s">
        <v>491</v>
      </c>
      <c r="K3124" s="18">
        <f>VLOOKUP(D3124,Ingredients!C:G,5,0)</f>
        <v>100</v>
      </c>
      <c r="L3124" s="52">
        <f t="shared" si="97"/>
        <v>3</v>
      </c>
    </row>
    <row r="3125" spans="1:12">
      <c r="A3125" t="s">
        <v>621</v>
      </c>
      <c r="B3125" t="s">
        <v>349</v>
      </c>
      <c r="C3125" t="s">
        <v>352</v>
      </c>
      <c r="D3125" s="3" t="s">
        <v>35</v>
      </c>
      <c r="E3125" s="4">
        <v>0.3</v>
      </c>
      <c r="F3125" s="4" t="s">
        <v>252</v>
      </c>
      <c r="G3125" s="9">
        <v>13</v>
      </c>
      <c r="H3125" s="9">
        <f t="shared" si="98"/>
        <v>3.9</v>
      </c>
      <c r="I3125" t="s">
        <v>179</v>
      </c>
      <c r="J3125" s="33" t="s">
        <v>491</v>
      </c>
      <c r="K3125" s="18">
        <f>VLOOKUP(D3125,Ingredients!C:G,5,0)</f>
        <v>15</v>
      </c>
      <c r="L3125" s="52">
        <f t="shared" si="97"/>
        <v>4.5</v>
      </c>
    </row>
    <row r="3126" spans="1:12">
      <c r="A3126" t="s">
        <v>622</v>
      </c>
      <c r="B3126" t="s">
        <v>349</v>
      </c>
      <c r="C3126" t="s">
        <v>984</v>
      </c>
      <c r="D3126" s="3" t="s">
        <v>13</v>
      </c>
      <c r="E3126" s="4">
        <v>0.16</v>
      </c>
      <c r="F3126" s="4" t="s">
        <v>176</v>
      </c>
      <c r="G3126" s="9">
        <v>30</v>
      </c>
      <c r="H3126" s="9">
        <f t="shared" si="98"/>
        <v>4.8</v>
      </c>
      <c r="I3126" t="s">
        <v>179</v>
      </c>
      <c r="J3126" s="33" t="s">
        <v>489</v>
      </c>
      <c r="K3126" s="18">
        <f>VLOOKUP(D3126,Ingredients!C:G,5,0)</f>
        <v>60</v>
      </c>
      <c r="L3126" s="52">
        <f t="shared" si="97"/>
        <v>9.6</v>
      </c>
    </row>
    <row r="3127" spans="1:12">
      <c r="A3127" t="s">
        <v>622</v>
      </c>
      <c r="B3127" t="s">
        <v>349</v>
      </c>
      <c r="C3127" t="s">
        <v>984</v>
      </c>
      <c r="D3127" s="3" t="s">
        <v>502</v>
      </c>
      <c r="E3127" s="4">
        <v>0.13</v>
      </c>
      <c r="F3127" s="4" t="s">
        <v>176</v>
      </c>
      <c r="G3127" s="9">
        <v>500</v>
      </c>
      <c r="H3127" s="9">
        <f t="shared" si="98"/>
        <v>65</v>
      </c>
      <c r="I3127" t="s">
        <v>179</v>
      </c>
      <c r="J3127" s="33" t="s">
        <v>489</v>
      </c>
      <c r="K3127" s="18">
        <f>VLOOKUP(D3127,Ingredients!C:G,5,0)</f>
        <v>130</v>
      </c>
      <c r="L3127" s="52">
        <f t="shared" si="97"/>
        <v>16.900000000000002</v>
      </c>
    </row>
    <row r="3128" spans="1:12">
      <c r="A3128" t="s">
        <v>622</v>
      </c>
      <c r="B3128" t="s">
        <v>349</v>
      </c>
      <c r="C3128" t="s">
        <v>984</v>
      </c>
      <c r="D3128" s="3" t="s">
        <v>24</v>
      </c>
      <c r="E3128" s="4">
        <v>0.16</v>
      </c>
      <c r="F3128" s="4" t="s">
        <v>176</v>
      </c>
      <c r="G3128" s="9">
        <v>55</v>
      </c>
      <c r="H3128" s="9">
        <f t="shared" si="98"/>
        <v>8.8000000000000007</v>
      </c>
      <c r="I3128" t="s">
        <v>179</v>
      </c>
      <c r="J3128" s="33" t="s">
        <v>489</v>
      </c>
      <c r="K3128" s="18">
        <f>VLOOKUP(D3128,Ingredients!C:G,5,0)</f>
        <v>80</v>
      </c>
      <c r="L3128" s="52">
        <f t="shared" si="97"/>
        <v>12.8</v>
      </c>
    </row>
    <row r="3129" spans="1:12">
      <c r="A3129" t="s">
        <v>622</v>
      </c>
      <c r="B3129" t="s">
        <v>349</v>
      </c>
      <c r="C3129" t="s">
        <v>984</v>
      </c>
      <c r="D3129" s="3" t="s">
        <v>28</v>
      </c>
      <c r="E3129" s="4">
        <v>0.8</v>
      </c>
      <c r="F3129" s="4" t="s">
        <v>176</v>
      </c>
      <c r="G3129" s="9">
        <v>85</v>
      </c>
      <c r="H3129" s="9">
        <f t="shared" si="98"/>
        <v>68</v>
      </c>
      <c r="I3129" t="s">
        <v>179</v>
      </c>
      <c r="J3129" s="33" t="s">
        <v>489</v>
      </c>
      <c r="K3129" s="18">
        <f>VLOOKUP(D3129,Ingredients!C:G,5,0)</f>
        <v>70</v>
      </c>
      <c r="L3129" s="52">
        <f t="shared" si="97"/>
        <v>56</v>
      </c>
    </row>
    <row r="3130" spans="1:12">
      <c r="A3130" t="s">
        <v>622</v>
      </c>
      <c r="B3130" t="s">
        <v>349</v>
      </c>
      <c r="C3130" t="s">
        <v>984</v>
      </c>
      <c r="D3130" s="3" t="s">
        <v>50</v>
      </c>
      <c r="E3130" s="4">
        <v>0.03</v>
      </c>
      <c r="F3130" s="4" t="s">
        <v>176</v>
      </c>
      <c r="G3130" s="9">
        <v>120</v>
      </c>
      <c r="H3130" s="9">
        <f t="shared" si="98"/>
        <v>3.5999999999999996</v>
      </c>
      <c r="I3130" t="s">
        <v>179</v>
      </c>
      <c r="J3130" s="33" t="s">
        <v>489</v>
      </c>
      <c r="K3130" s="18">
        <f>VLOOKUP(D3130,Ingredients!C:G,5,0)</f>
        <v>120</v>
      </c>
      <c r="L3130" s="52">
        <f t="shared" si="97"/>
        <v>3.5999999999999996</v>
      </c>
    </row>
    <row r="3131" spans="1:12">
      <c r="A3131" t="s">
        <v>622</v>
      </c>
      <c r="B3131" t="s">
        <v>349</v>
      </c>
      <c r="C3131" t="s">
        <v>984</v>
      </c>
      <c r="D3131" s="3" t="s">
        <v>852</v>
      </c>
      <c r="E3131" s="4">
        <v>0.12</v>
      </c>
      <c r="F3131" s="4" t="s">
        <v>176</v>
      </c>
      <c r="G3131" s="9">
        <v>520.63</v>
      </c>
      <c r="H3131" s="9">
        <f t="shared" si="98"/>
        <v>62.4756</v>
      </c>
      <c r="I3131" t="s">
        <v>179</v>
      </c>
      <c r="J3131" s="33" t="s">
        <v>489</v>
      </c>
      <c r="K3131" s="18">
        <v>550</v>
      </c>
      <c r="L3131" s="52">
        <f t="shared" si="97"/>
        <v>66</v>
      </c>
    </row>
    <row r="3132" spans="1:12">
      <c r="A3132" t="s">
        <v>622</v>
      </c>
      <c r="B3132" t="s">
        <v>349</v>
      </c>
      <c r="C3132" t="s">
        <v>984</v>
      </c>
      <c r="D3132" s="3" t="s">
        <v>874</v>
      </c>
      <c r="E3132" s="4">
        <v>0.12</v>
      </c>
      <c r="F3132" s="4" t="s">
        <v>176</v>
      </c>
      <c r="G3132" s="9">
        <v>110</v>
      </c>
      <c r="H3132" s="9">
        <f t="shared" si="98"/>
        <v>13.2</v>
      </c>
      <c r="I3132" t="s">
        <v>179</v>
      </c>
      <c r="J3132" s="33" t="s">
        <v>489</v>
      </c>
      <c r="K3132" s="18">
        <f>VLOOKUP(D3132,Ingredients!C:G,5,0)</f>
        <v>179</v>
      </c>
      <c r="L3132" s="52">
        <f t="shared" si="97"/>
        <v>21.48</v>
      </c>
    </row>
    <row r="3133" spans="1:12">
      <c r="A3133" t="s">
        <v>622</v>
      </c>
      <c r="B3133" t="s">
        <v>349</v>
      </c>
      <c r="C3133" t="s">
        <v>984</v>
      </c>
      <c r="D3133" s="3" t="s">
        <v>16</v>
      </c>
      <c r="E3133" s="4">
        <v>0.04</v>
      </c>
      <c r="F3133" s="4" t="s">
        <v>176</v>
      </c>
      <c r="G3133" s="9">
        <v>270</v>
      </c>
      <c r="H3133" s="9">
        <f t="shared" si="98"/>
        <v>10.8</v>
      </c>
      <c r="I3133" t="s">
        <v>179</v>
      </c>
      <c r="J3133" s="33" t="s">
        <v>489</v>
      </c>
      <c r="K3133" s="18">
        <f>VLOOKUP(D3133,Ingredients!C:G,5,0)</f>
        <v>310</v>
      </c>
      <c r="L3133" s="52">
        <f t="shared" si="97"/>
        <v>12.4</v>
      </c>
    </row>
    <row r="3134" spans="1:12">
      <c r="A3134" t="s">
        <v>622</v>
      </c>
      <c r="B3134" t="s">
        <v>349</v>
      </c>
      <c r="C3134" t="s">
        <v>984</v>
      </c>
      <c r="D3134" s="3" t="s">
        <v>565</v>
      </c>
      <c r="E3134" s="4">
        <v>1.6E-2</v>
      </c>
      <c r="F3134" s="4" t="s">
        <v>176</v>
      </c>
      <c r="G3134" s="9">
        <v>795</v>
      </c>
      <c r="H3134" s="9">
        <f t="shared" si="98"/>
        <v>12.72</v>
      </c>
      <c r="I3134" t="s">
        <v>179</v>
      </c>
      <c r="J3134" s="33" t="s">
        <v>489</v>
      </c>
      <c r="K3134" s="18">
        <f>VLOOKUP(D3134,Ingredients!C:G,5,0)</f>
        <v>650</v>
      </c>
      <c r="L3134" s="52">
        <f t="shared" si="97"/>
        <v>10.4</v>
      </c>
    </row>
    <row r="3135" spans="1:12">
      <c r="A3135" t="s">
        <v>622</v>
      </c>
      <c r="B3135" t="s">
        <v>349</v>
      </c>
      <c r="C3135" t="s">
        <v>984</v>
      </c>
      <c r="D3135" s="3" t="s">
        <v>323</v>
      </c>
      <c r="E3135" s="4">
        <v>1.6E-2</v>
      </c>
      <c r="F3135" s="4" t="s">
        <v>176</v>
      </c>
      <c r="G3135" s="9">
        <v>5000</v>
      </c>
      <c r="H3135" s="9">
        <f t="shared" si="98"/>
        <v>80</v>
      </c>
      <c r="I3135" t="s">
        <v>179</v>
      </c>
      <c r="J3135" s="33" t="s">
        <v>489</v>
      </c>
      <c r="K3135" s="18">
        <f>VLOOKUP(D3135,Ingredients!C:G,5,0)</f>
        <v>5000</v>
      </c>
      <c r="L3135" s="52">
        <f t="shared" si="97"/>
        <v>80</v>
      </c>
    </row>
    <row r="3136" spans="1:12">
      <c r="A3136" t="s">
        <v>622</v>
      </c>
      <c r="B3136" t="s">
        <v>349</v>
      </c>
      <c r="C3136" t="s">
        <v>984</v>
      </c>
      <c r="D3136" s="3" t="s">
        <v>853</v>
      </c>
      <c r="E3136" s="4">
        <v>1.6E-2</v>
      </c>
      <c r="F3136" s="4" t="s">
        <v>176</v>
      </c>
      <c r="G3136" s="9">
        <v>30</v>
      </c>
      <c r="H3136" s="9">
        <f t="shared" si="98"/>
        <v>0.48</v>
      </c>
      <c r="I3136" t="s">
        <v>179</v>
      </c>
      <c r="J3136" s="33" t="s">
        <v>489</v>
      </c>
      <c r="K3136" s="18">
        <f>VLOOKUP(D3136,Ingredients!C:G,5,0)</f>
        <v>55</v>
      </c>
      <c r="L3136" s="52">
        <f t="shared" si="97"/>
        <v>0.88</v>
      </c>
    </row>
    <row r="3137" spans="1:12">
      <c r="A3137" t="s">
        <v>622</v>
      </c>
      <c r="B3137" t="s">
        <v>349</v>
      </c>
      <c r="C3137" t="s">
        <v>984</v>
      </c>
      <c r="D3137" s="3" t="s">
        <v>882</v>
      </c>
      <c r="E3137" s="4">
        <v>8.0000000000000002E-3</v>
      </c>
      <c r="F3137" s="4" t="s">
        <v>176</v>
      </c>
      <c r="G3137" s="9">
        <v>1500</v>
      </c>
      <c r="H3137" s="9">
        <f t="shared" si="98"/>
        <v>12</v>
      </c>
      <c r="I3137" t="s">
        <v>179</v>
      </c>
      <c r="J3137" s="33" t="s">
        <v>489</v>
      </c>
      <c r="K3137" s="18">
        <f>VLOOKUP(D3137,Ingredients!C:G,5,0)</f>
        <v>1450</v>
      </c>
      <c r="L3137" s="52">
        <f t="shared" si="97"/>
        <v>11.6</v>
      </c>
    </row>
    <row r="3138" spans="1:12">
      <c r="A3138" t="s">
        <v>622</v>
      </c>
      <c r="B3138" t="s">
        <v>349</v>
      </c>
      <c r="C3138" t="s">
        <v>984</v>
      </c>
      <c r="D3138" s="3" t="s">
        <v>497</v>
      </c>
      <c r="E3138" s="4">
        <v>0.08</v>
      </c>
      <c r="F3138" s="4" t="s">
        <v>176</v>
      </c>
      <c r="G3138" s="9">
        <v>350</v>
      </c>
      <c r="H3138" s="9">
        <f t="shared" si="98"/>
        <v>28</v>
      </c>
      <c r="I3138" t="s">
        <v>179</v>
      </c>
      <c r="J3138" s="33" t="s">
        <v>489</v>
      </c>
      <c r="K3138" s="18">
        <f>VLOOKUP(D3138,Ingredients!C:G,5,0)</f>
        <v>400</v>
      </c>
      <c r="L3138" s="52">
        <f t="shared" si="97"/>
        <v>32</v>
      </c>
    </row>
    <row r="3139" spans="1:12">
      <c r="A3139" t="s">
        <v>622</v>
      </c>
      <c r="B3139" t="s">
        <v>349</v>
      </c>
      <c r="C3139" t="s">
        <v>984</v>
      </c>
      <c r="D3139" s="3" t="s">
        <v>50</v>
      </c>
      <c r="E3139" s="4">
        <v>0.1</v>
      </c>
      <c r="F3139" s="4" t="s">
        <v>176</v>
      </c>
      <c r="G3139" s="9">
        <v>120</v>
      </c>
      <c r="H3139" s="9">
        <f t="shared" si="98"/>
        <v>12</v>
      </c>
      <c r="I3139" t="s">
        <v>179</v>
      </c>
      <c r="J3139" s="33" t="s">
        <v>489</v>
      </c>
      <c r="K3139" s="18">
        <f>VLOOKUP(D3139,Ingredients!C:G,5,0)</f>
        <v>120</v>
      </c>
      <c r="L3139" s="52">
        <f t="shared" si="97"/>
        <v>12</v>
      </c>
    </row>
    <row r="3140" spans="1:12">
      <c r="A3140" t="s">
        <v>622</v>
      </c>
      <c r="B3140" t="s">
        <v>349</v>
      </c>
      <c r="C3140" t="s">
        <v>984</v>
      </c>
      <c r="D3140" s="3" t="s">
        <v>831</v>
      </c>
      <c r="E3140" s="4">
        <v>1</v>
      </c>
      <c r="F3140" s="4" t="s">
        <v>176</v>
      </c>
      <c r="G3140" s="9">
        <v>908</v>
      </c>
      <c r="H3140" s="9">
        <f t="shared" si="98"/>
        <v>908</v>
      </c>
      <c r="I3140" t="s">
        <v>179</v>
      </c>
      <c r="J3140" s="33" t="s">
        <v>489</v>
      </c>
      <c r="K3140" s="18">
        <f>VLOOKUP(D3140,Ingredients!C:G,5,0)</f>
        <v>908</v>
      </c>
      <c r="L3140" s="52">
        <f t="shared" ref="L3140:L3203" si="99">K3140*E3140</f>
        <v>908</v>
      </c>
    </row>
    <row r="3141" spans="1:12">
      <c r="A3141" t="s">
        <v>622</v>
      </c>
      <c r="B3141" t="s">
        <v>349</v>
      </c>
      <c r="C3141" t="s">
        <v>984</v>
      </c>
      <c r="D3141" s="3" t="s">
        <v>847</v>
      </c>
      <c r="E3141" s="4">
        <v>12</v>
      </c>
      <c r="F3141" s="4" t="s">
        <v>253</v>
      </c>
      <c r="G3141" s="9">
        <v>60</v>
      </c>
      <c r="H3141" s="9">
        <f t="shared" si="98"/>
        <v>720</v>
      </c>
      <c r="I3141" t="s">
        <v>179</v>
      </c>
      <c r="J3141" s="33" t="s">
        <v>489</v>
      </c>
      <c r="K3141" s="18">
        <f>VLOOKUP(D3141,Ingredients!C:G,5,0)</f>
        <v>12</v>
      </c>
      <c r="L3141" s="52">
        <f t="shared" si="99"/>
        <v>144</v>
      </c>
    </row>
    <row r="3142" spans="1:12">
      <c r="A3142" t="s">
        <v>623</v>
      </c>
      <c r="B3142" t="s">
        <v>992</v>
      </c>
      <c r="C3142" t="s">
        <v>623</v>
      </c>
      <c r="D3142" s="3" t="s">
        <v>967</v>
      </c>
      <c r="E3142" s="4">
        <v>1</v>
      </c>
      <c r="F3142" s="4" t="s">
        <v>300</v>
      </c>
      <c r="G3142" s="9">
        <v>260</v>
      </c>
      <c r="H3142" s="9">
        <f t="shared" si="98"/>
        <v>260</v>
      </c>
      <c r="I3142" t="s">
        <v>300</v>
      </c>
      <c r="J3142" s="33">
        <v>0</v>
      </c>
      <c r="K3142" s="18">
        <f>VLOOKUP(D3142,Ingredients!C:G,5,0)</f>
        <v>300</v>
      </c>
      <c r="L3142" s="52">
        <f t="shared" si="99"/>
        <v>300</v>
      </c>
    </row>
    <row r="3143" spans="1:12">
      <c r="A3143" t="s">
        <v>625</v>
      </c>
      <c r="B3143" t="s">
        <v>992</v>
      </c>
      <c r="C3143" t="s">
        <v>625</v>
      </c>
      <c r="D3143" s="3" t="s">
        <v>865</v>
      </c>
      <c r="E3143" s="4">
        <v>1</v>
      </c>
      <c r="F3143" s="4" t="s">
        <v>263</v>
      </c>
      <c r="G3143" s="9">
        <v>1400</v>
      </c>
      <c r="H3143" s="9">
        <f t="shared" si="98"/>
        <v>1400</v>
      </c>
      <c r="I3143" t="s">
        <v>263</v>
      </c>
      <c r="J3143" s="33">
        <v>0</v>
      </c>
      <c r="K3143" s="18">
        <f>VLOOKUP(D3143,Ingredients!C:G,5,0)</f>
        <v>1400</v>
      </c>
      <c r="L3143" s="52">
        <f t="shared" si="99"/>
        <v>1400</v>
      </c>
    </row>
    <row r="3144" spans="1:12">
      <c r="A3144" t="s">
        <v>996</v>
      </c>
      <c r="B3144" t="s">
        <v>358</v>
      </c>
      <c r="C3144" t="s">
        <v>996</v>
      </c>
      <c r="D3144" s="3" t="s">
        <v>968</v>
      </c>
      <c r="E3144" s="4">
        <v>1</v>
      </c>
      <c r="F3144" s="4" t="s">
        <v>300</v>
      </c>
      <c r="G3144" s="9">
        <v>260</v>
      </c>
      <c r="H3144" s="9">
        <f t="shared" si="98"/>
        <v>260</v>
      </c>
      <c r="I3144" t="s">
        <v>300</v>
      </c>
      <c r="J3144" s="33">
        <v>0</v>
      </c>
      <c r="K3144" s="18">
        <f>VLOOKUP(D3144,Ingredients!C:G,5,0)</f>
        <v>260</v>
      </c>
      <c r="L3144" s="52">
        <f t="shared" si="99"/>
        <v>260</v>
      </c>
    </row>
    <row r="3145" spans="1:12">
      <c r="A3145" t="s">
        <v>26</v>
      </c>
      <c r="B3145" t="s">
        <v>346</v>
      </c>
      <c r="C3145" t="s">
        <v>351</v>
      </c>
      <c r="D3145" s="3" t="s">
        <v>854</v>
      </c>
      <c r="E3145" s="4">
        <v>1</v>
      </c>
      <c r="F3145" s="4" t="s">
        <v>253</v>
      </c>
      <c r="G3145" s="9">
        <v>24.64</v>
      </c>
      <c r="H3145" s="9">
        <f t="shared" si="98"/>
        <v>24.64</v>
      </c>
      <c r="I3145" t="s">
        <v>253</v>
      </c>
      <c r="J3145" s="33">
        <v>0</v>
      </c>
      <c r="K3145" s="18">
        <f>VLOOKUP(D3145,Ingredients!C:G,5,0)</f>
        <v>20.059999999999999</v>
      </c>
      <c r="L3145" s="52">
        <f t="shared" si="99"/>
        <v>20.059999999999999</v>
      </c>
    </row>
    <row r="3146" spans="1:12">
      <c r="A3146" t="s">
        <v>26</v>
      </c>
      <c r="B3146" t="s">
        <v>346</v>
      </c>
      <c r="C3146" t="s">
        <v>351</v>
      </c>
      <c r="D3146" s="3" t="s">
        <v>852</v>
      </c>
      <c r="E3146" s="4">
        <v>1.4999999999999999E-2</v>
      </c>
      <c r="F3146" s="4" t="s">
        <v>190</v>
      </c>
      <c r="G3146" s="9">
        <v>520.63</v>
      </c>
      <c r="H3146" s="9">
        <f t="shared" si="98"/>
        <v>7.80945</v>
      </c>
      <c r="I3146" t="s">
        <v>253</v>
      </c>
      <c r="J3146" s="33">
        <v>0</v>
      </c>
      <c r="K3146" s="18">
        <v>550</v>
      </c>
      <c r="L3146" s="52">
        <f t="shared" si="99"/>
        <v>8.25</v>
      </c>
    </row>
    <row r="3147" spans="1:12">
      <c r="A3147" t="s">
        <v>26</v>
      </c>
      <c r="B3147" t="s">
        <v>346</v>
      </c>
      <c r="C3147" t="s">
        <v>351</v>
      </c>
      <c r="D3147" s="3" t="s">
        <v>853</v>
      </c>
      <c r="E3147" s="4">
        <v>4.0000000000000001E-3</v>
      </c>
      <c r="F3147" s="4" t="s">
        <v>179</v>
      </c>
      <c r="G3147" s="9">
        <v>30</v>
      </c>
      <c r="H3147" s="9">
        <f t="shared" si="98"/>
        <v>0.12</v>
      </c>
      <c r="I3147" t="s">
        <v>253</v>
      </c>
      <c r="J3147" s="33">
        <v>0</v>
      </c>
      <c r="K3147" s="18">
        <f>VLOOKUP(D3147,Ingredients!C:G,5,0)</f>
        <v>55</v>
      </c>
      <c r="L3147" s="52">
        <f t="shared" si="99"/>
        <v>0.22</v>
      </c>
    </row>
    <row r="3148" spans="1:12">
      <c r="A3148" t="s">
        <v>26</v>
      </c>
      <c r="B3148" t="s">
        <v>346</v>
      </c>
      <c r="C3148" t="s">
        <v>351</v>
      </c>
      <c r="D3148" s="3" t="s">
        <v>882</v>
      </c>
      <c r="E3148" s="4">
        <v>4.0000000000000001E-3</v>
      </c>
      <c r="F3148" s="4" t="s">
        <v>179</v>
      </c>
      <c r="G3148" s="9">
        <v>1500</v>
      </c>
      <c r="H3148" s="9">
        <f t="shared" si="98"/>
        <v>6</v>
      </c>
      <c r="I3148" t="s">
        <v>253</v>
      </c>
      <c r="J3148" s="33">
        <v>0</v>
      </c>
      <c r="K3148" s="18">
        <f>VLOOKUP(D3148,Ingredients!C:G,5,0)</f>
        <v>1450</v>
      </c>
      <c r="L3148" s="52">
        <f t="shared" si="99"/>
        <v>5.8</v>
      </c>
    </row>
    <row r="3149" spans="1:12">
      <c r="A3149" t="s">
        <v>628</v>
      </c>
      <c r="B3149" t="s">
        <v>346</v>
      </c>
      <c r="C3149" t="s">
        <v>993</v>
      </c>
      <c r="D3149" s="3" t="s">
        <v>946</v>
      </c>
      <c r="E3149" s="14">
        <v>1</v>
      </c>
      <c r="F3149" s="4" t="s">
        <v>176</v>
      </c>
      <c r="G3149" s="9">
        <v>525</v>
      </c>
      <c r="H3149" s="9">
        <f t="shared" si="98"/>
        <v>525</v>
      </c>
      <c r="I3149" t="s">
        <v>179</v>
      </c>
      <c r="J3149" s="33">
        <v>0</v>
      </c>
      <c r="K3149" s="18">
        <f>VLOOKUP(D3149,Ingredients!C:G,5,0)</f>
        <v>430</v>
      </c>
      <c r="L3149" s="52">
        <f t="shared" si="99"/>
        <v>430</v>
      </c>
    </row>
    <row r="3150" spans="1:12">
      <c r="A3150" t="s">
        <v>628</v>
      </c>
      <c r="B3150" t="s">
        <v>346</v>
      </c>
      <c r="C3150" t="s">
        <v>993</v>
      </c>
      <c r="D3150" s="3" t="s">
        <v>852</v>
      </c>
      <c r="E3150" s="14">
        <v>0.16666666666666666</v>
      </c>
      <c r="F3150" s="4" t="s">
        <v>176</v>
      </c>
      <c r="G3150" s="9">
        <v>520.63</v>
      </c>
      <c r="H3150" s="9">
        <f t="shared" si="98"/>
        <v>86.771666666666661</v>
      </c>
      <c r="I3150" t="s">
        <v>179</v>
      </c>
      <c r="J3150" s="33">
        <v>0</v>
      </c>
      <c r="K3150" s="18">
        <v>550</v>
      </c>
      <c r="L3150" s="52">
        <f t="shared" si="99"/>
        <v>91.666666666666657</v>
      </c>
    </row>
    <row r="3151" spans="1:12">
      <c r="A3151" t="s">
        <v>628</v>
      </c>
      <c r="B3151" t="s">
        <v>346</v>
      </c>
      <c r="C3151" t="s">
        <v>993</v>
      </c>
      <c r="D3151" s="3" t="s">
        <v>864</v>
      </c>
      <c r="E3151" s="14">
        <v>6.6666666666666671E-3</v>
      </c>
      <c r="F3151" s="4" t="s">
        <v>179</v>
      </c>
      <c r="G3151" s="9">
        <v>1400</v>
      </c>
      <c r="H3151" s="9">
        <f t="shared" si="98"/>
        <v>9.3333333333333339</v>
      </c>
      <c r="I3151" t="s">
        <v>179</v>
      </c>
      <c r="J3151" s="33">
        <v>0</v>
      </c>
      <c r="K3151" s="18">
        <f>VLOOKUP(D3151,Ingredients!C:G,5,0)</f>
        <v>1400</v>
      </c>
      <c r="L3151" s="52">
        <f t="shared" si="99"/>
        <v>9.3333333333333339</v>
      </c>
    </row>
    <row r="3152" spans="1:12">
      <c r="A3152" t="s">
        <v>628</v>
      </c>
      <c r="B3152" t="s">
        <v>346</v>
      </c>
      <c r="C3152" t="s">
        <v>993</v>
      </c>
      <c r="D3152" s="3" t="s">
        <v>853</v>
      </c>
      <c r="E3152" s="14">
        <v>6.6666666666666671E-3</v>
      </c>
      <c r="F3152" s="4" t="s">
        <v>179</v>
      </c>
      <c r="G3152" s="9">
        <v>30</v>
      </c>
      <c r="H3152" s="9">
        <f t="shared" si="98"/>
        <v>0.2</v>
      </c>
      <c r="I3152" t="s">
        <v>179</v>
      </c>
      <c r="J3152" s="33">
        <v>0</v>
      </c>
      <c r="K3152" s="18">
        <f>VLOOKUP(D3152,Ingredients!C:G,5,0)</f>
        <v>55</v>
      </c>
      <c r="L3152" s="52">
        <f t="shared" si="99"/>
        <v>0.3666666666666667</v>
      </c>
    </row>
    <row r="3153" spans="1:12">
      <c r="A3153" t="s">
        <v>628</v>
      </c>
      <c r="B3153" t="s">
        <v>346</v>
      </c>
      <c r="C3153" t="s">
        <v>993</v>
      </c>
      <c r="D3153" s="3" t="s">
        <v>879</v>
      </c>
      <c r="E3153" s="14">
        <v>6.6666666666666671E-3</v>
      </c>
      <c r="F3153" s="4" t="s">
        <v>179</v>
      </c>
      <c r="G3153" s="9">
        <v>1113.51</v>
      </c>
      <c r="H3153" s="9">
        <f t="shared" si="98"/>
        <v>7.4234</v>
      </c>
      <c r="I3153" t="s">
        <v>179</v>
      </c>
      <c r="J3153" s="33">
        <v>0</v>
      </c>
      <c r="K3153" s="18">
        <f>VLOOKUP(D3153,Ingredients!C:G,5,0)</f>
        <v>1066.33</v>
      </c>
      <c r="L3153" s="52">
        <f t="shared" si="99"/>
        <v>7.1088666666666667</v>
      </c>
    </row>
    <row r="3154" spans="1:12">
      <c r="A3154" t="s">
        <v>628</v>
      </c>
      <c r="B3154" t="s">
        <v>346</v>
      </c>
      <c r="C3154" t="s">
        <v>993</v>
      </c>
      <c r="D3154" s="3" t="s">
        <v>855</v>
      </c>
      <c r="E3154" s="14">
        <v>6.6666666666666671E-3</v>
      </c>
      <c r="F3154" s="4" t="s">
        <v>179</v>
      </c>
      <c r="G3154" s="9">
        <v>2400</v>
      </c>
      <c r="H3154" s="9">
        <f t="shared" si="98"/>
        <v>16</v>
      </c>
      <c r="I3154" t="s">
        <v>179</v>
      </c>
      <c r="J3154" s="33">
        <v>0</v>
      </c>
      <c r="K3154" s="18">
        <f>VLOOKUP(D3154,Ingredients!C:G,5,0)</f>
        <v>1600</v>
      </c>
      <c r="L3154" s="52">
        <f t="shared" si="99"/>
        <v>10.666666666666668</v>
      </c>
    </row>
    <row r="3155" spans="1:12">
      <c r="A3155" t="s">
        <v>628</v>
      </c>
      <c r="B3155" t="s">
        <v>346</v>
      </c>
      <c r="C3155" t="s">
        <v>993</v>
      </c>
      <c r="D3155" s="3" t="s">
        <v>880</v>
      </c>
      <c r="E3155" s="14">
        <v>6.6666666666666671E-3</v>
      </c>
      <c r="F3155" s="4" t="s">
        <v>179</v>
      </c>
      <c r="G3155" s="9">
        <v>650</v>
      </c>
      <c r="H3155" s="9">
        <f t="shared" si="98"/>
        <v>4.3333333333333339</v>
      </c>
      <c r="I3155" t="s">
        <v>179</v>
      </c>
      <c r="J3155" s="33">
        <v>0</v>
      </c>
      <c r="K3155" s="18">
        <f>VLOOKUP(D3155,Ingredients!C:G,5,0)</f>
        <v>520</v>
      </c>
      <c r="L3155" s="52">
        <f t="shared" si="99"/>
        <v>3.4666666666666668</v>
      </c>
    </row>
    <row r="3156" spans="1:12">
      <c r="A3156" t="s">
        <v>628</v>
      </c>
      <c r="B3156" t="s">
        <v>346</v>
      </c>
      <c r="C3156" t="s">
        <v>993</v>
      </c>
      <c r="D3156" s="3" t="s">
        <v>24</v>
      </c>
      <c r="E3156" s="14">
        <v>0.16666666666666666</v>
      </c>
      <c r="F3156" s="4" t="s">
        <v>176</v>
      </c>
      <c r="G3156" s="9">
        <v>55</v>
      </c>
      <c r="H3156" s="9">
        <f t="shared" si="98"/>
        <v>9.1666666666666661</v>
      </c>
      <c r="I3156" t="s">
        <v>179</v>
      </c>
      <c r="J3156" s="33">
        <v>0</v>
      </c>
      <c r="K3156" s="18">
        <f>VLOOKUP(D3156,Ingredients!C:G,5,0)</f>
        <v>80</v>
      </c>
      <c r="L3156" s="52">
        <f t="shared" si="99"/>
        <v>13.333333333333332</v>
      </c>
    </row>
    <row r="3157" spans="1:12">
      <c r="A3157" t="s">
        <v>628</v>
      </c>
      <c r="B3157" t="s">
        <v>346</v>
      </c>
      <c r="C3157" t="s">
        <v>993</v>
      </c>
      <c r="D3157" s="3" t="s">
        <v>73</v>
      </c>
      <c r="E3157" s="4">
        <v>0.15</v>
      </c>
      <c r="F3157" s="4" t="s">
        <v>176</v>
      </c>
      <c r="G3157" s="9">
        <v>305</v>
      </c>
      <c r="H3157" s="9">
        <f t="shared" si="98"/>
        <v>45.75</v>
      </c>
      <c r="I3157" t="s">
        <v>179</v>
      </c>
      <c r="J3157" s="33">
        <v>0</v>
      </c>
      <c r="K3157" s="18">
        <f>VLOOKUP(D3157,Ingredients!C:G,5,0)</f>
        <v>300</v>
      </c>
      <c r="L3157" s="52">
        <f t="shared" si="99"/>
        <v>45</v>
      </c>
    </row>
    <row r="3158" spans="1:12">
      <c r="A3158" t="s">
        <v>629</v>
      </c>
      <c r="B3158" t="s">
        <v>349</v>
      </c>
      <c r="C3158" t="s">
        <v>984</v>
      </c>
      <c r="D3158" s="3" t="s">
        <v>831</v>
      </c>
      <c r="E3158" s="14">
        <v>2.5000000000000001E-2</v>
      </c>
      <c r="F3158" s="4" t="s">
        <v>176</v>
      </c>
      <c r="G3158" s="9">
        <v>908</v>
      </c>
      <c r="H3158" s="9">
        <f t="shared" si="98"/>
        <v>22.700000000000003</v>
      </c>
      <c r="I3158" t="s">
        <v>253</v>
      </c>
      <c r="J3158" s="33" t="s">
        <v>489</v>
      </c>
      <c r="K3158" s="18">
        <f>VLOOKUP(D3158,Ingredients!C:G,5,0)</f>
        <v>908</v>
      </c>
      <c r="L3158" s="52">
        <f t="shared" si="99"/>
        <v>22.700000000000003</v>
      </c>
    </row>
    <row r="3159" spans="1:12">
      <c r="A3159" t="s">
        <v>629</v>
      </c>
      <c r="B3159" t="s">
        <v>349</v>
      </c>
      <c r="C3159" t="s">
        <v>984</v>
      </c>
      <c r="D3159" s="3" t="s">
        <v>96</v>
      </c>
      <c r="E3159" s="14">
        <v>3.0000000000000001E-3</v>
      </c>
      <c r="F3159" s="4" t="s">
        <v>176</v>
      </c>
      <c r="G3159" s="9">
        <v>160</v>
      </c>
      <c r="H3159" s="9">
        <f t="shared" si="98"/>
        <v>0.48</v>
      </c>
      <c r="I3159" t="s">
        <v>253</v>
      </c>
      <c r="J3159" s="33" t="s">
        <v>489</v>
      </c>
      <c r="K3159" s="18">
        <f>VLOOKUP(D3159,Ingredients!C:G,5,0)</f>
        <v>120</v>
      </c>
      <c r="L3159" s="52">
        <f t="shared" si="99"/>
        <v>0.36</v>
      </c>
    </row>
    <row r="3160" spans="1:12">
      <c r="A3160" t="s">
        <v>629</v>
      </c>
      <c r="B3160" t="s">
        <v>349</v>
      </c>
      <c r="C3160" t="s">
        <v>984</v>
      </c>
      <c r="D3160" s="3" t="s">
        <v>854</v>
      </c>
      <c r="E3160" s="14">
        <v>0.05</v>
      </c>
      <c r="F3160" s="4" t="s">
        <v>253</v>
      </c>
      <c r="G3160" s="9">
        <v>24.64</v>
      </c>
      <c r="H3160" s="9">
        <f t="shared" si="98"/>
        <v>1.2320000000000002</v>
      </c>
      <c r="I3160" t="s">
        <v>253</v>
      </c>
      <c r="J3160" s="33" t="s">
        <v>489</v>
      </c>
      <c r="K3160" s="18">
        <f>VLOOKUP(D3160,Ingredients!C:G,5,0)</f>
        <v>20.059999999999999</v>
      </c>
      <c r="L3160" s="52">
        <f t="shared" si="99"/>
        <v>1.0029999999999999</v>
      </c>
    </row>
    <row r="3161" spans="1:12">
      <c r="A3161" t="s">
        <v>629</v>
      </c>
      <c r="B3161" t="s">
        <v>349</v>
      </c>
      <c r="C3161" t="s">
        <v>984</v>
      </c>
      <c r="D3161" s="3" t="s">
        <v>888</v>
      </c>
      <c r="E3161" s="14">
        <v>7.6257000000000009E-3</v>
      </c>
      <c r="F3161" s="4" t="s">
        <v>179</v>
      </c>
      <c r="G3161" s="9">
        <v>580</v>
      </c>
      <c r="H3161" s="9">
        <f t="shared" si="98"/>
        <v>4.4229060000000002</v>
      </c>
      <c r="I3161" t="s">
        <v>253</v>
      </c>
      <c r="J3161" s="33" t="s">
        <v>489</v>
      </c>
      <c r="K3161" s="18">
        <f>VLOOKUP(D3161,Ingredients!C:G,5,0)</f>
        <v>580</v>
      </c>
      <c r="L3161" s="52">
        <f t="shared" si="99"/>
        <v>4.4229060000000002</v>
      </c>
    </row>
    <row r="3162" spans="1:12">
      <c r="A3162" t="s">
        <v>629</v>
      </c>
      <c r="B3162" t="s">
        <v>349</v>
      </c>
      <c r="C3162" t="s">
        <v>984</v>
      </c>
      <c r="D3162" s="3" t="s">
        <v>834</v>
      </c>
      <c r="E3162" s="14">
        <v>2E-3</v>
      </c>
      <c r="F3162" s="4" t="s">
        <v>179</v>
      </c>
      <c r="G3162" s="9">
        <v>515</v>
      </c>
      <c r="H3162" s="9">
        <f t="shared" si="98"/>
        <v>1.03</v>
      </c>
      <c r="I3162" t="s">
        <v>253</v>
      </c>
      <c r="J3162" s="33" t="s">
        <v>489</v>
      </c>
      <c r="K3162" s="18">
        <f>VLOOKUP(D3162,Ingredients!C:G,5,0)</f>
        <v>540</v>
      </c>
      <c r="L3162" s="52">
        <f t="shared" si="99"/>
        <v>1.08</v>
      </c>
    </row>
    <row r="3163" spans="1:12">
      <c r="A3163" t="s">
        <v>629</v>
      </c>
      <c r="B3163" t="s">
        <v>349</v>
      </c>
      <c r="C3163" t="s">
        <v>984</v>
      </c>
      <c r="D3163" s="3" t="s">
        <v>310</v>
      </c>
      <c r="E3163" s="14">
        <v>2E-3</v>
      </c>
      <c r="F3163" s="4" t="s">
        <v>179</v>
      </c>
      <c r="G3163" s="9">
        <v>425</v>
      </c>
      <c r="H3163" s="9">
        <f t="shared" si="98"/>
        <v>0.85</v>
      </c>
      <c r="I3163" t="s">
        <v>253</v>
      </c>
      <c r="J3163" s="33" t="s">
        <v>489</v>
      </c>
      <c r="K3163" s="18">
        <f>VLOOKUP(D3163,Ingredients!C:G,5,0)</f>
        <v>850</v>
      </c>
      <c r="L3163" s="52">
        <f t="shared" si="99"/>
        <v>1.7</v>
      </c>
    </row>
    <row r="3164" spans="1:12">
      <c r="A3164" t="s">
        <v>629</v>
      </c>
      <c r="B3164" t="s">
        <v>349</v>
      </c>
      <c r="C3164" t="s">
        <v>984</v>
      </c>
      <c r="D3164" s="3" t="s">
        <v>24</v>
      </c>
      <c r="E3164" s="14">
        <v>2E-3</v>
      </c>
      <c r="F3164" s="4" t="s">
        <v>179</v>
      </c>
      <c r="G3164" s="9">
        <v>55</v>
      </c>
      <c r="H3164" s="9">
        <f t="shared" si="98"/>
        <v>0.11</v>
      </c>
      <c r="I3164" t="s">
        <v>253</v>
      </c>
      <c r="J3164" s="33" t="s">
        <v>489</v>
      </c>
      <c r="K3164" s="18">
        <f>VLOOKUP(D3164,Ingredients!C:G,5,0)</f>
        <v>80</v>
      </c>
      <c r="L3164" s="52">
        <f t="shared" si="99"/>
        <v>0.16</v>
      </c>
    </row>
    <row r="3165" spans="1:12">
      <c r="A3165" t="s">
        <v>629</v>
      </c>
      <c r="B3165" t="s">
        <v>349</v>
      </c>
      <c r="C3165" t="s">
        <v>984</v>
      </c>
      <c r="D3165" s="3" t="s">
        <v>853</v>
      </c>
      <c r="E3165" s="14">
        <v>2E-3</v>
      </c>
      <c r="F3165" s="4" t="s">
        <v>179</v>
      </c>
      <c r="G3165" s="9">
        <v>30</v>
      </c>
      <c r="H3165" s="9">
        <f t="shared" si="98"/>
        <v>0.06</v>
      </c>
      <c r="I3165" t="s">
        <v>253</v>
      </c>
      <c r="J3165" s="33" t="s">
        <v>489</v>
      </c>
      <c r="K3165" s="18">
        <f>VLOOKUP(D3165,Ingredients!C:G,5,0)</f>
        <v>55</v>
      </c>
      <c r="L3165" s="52">
        <f t="shared" si="99"/>
        <v>0.11</v>
      </c>
    </row>
    <row r="3166" spans="1:12">
      <c r="A3166" t="s">
        <v>629</v>
      </c>
      <c r="B3166" t="s">
        <v>349</v>
      </c>
      <c r="C3166" t="s">
        <v>984</v>
      </c>
      <c r="D3166" s="3" t="s">
        <v>882</v>
      </c>
      <c r="E3166" s="14">
        <v>2E-3</v>
      </c>
      <c r="F3166" s="4" t="s">
        <v>179</v>
      </c>
      <c r="G3166" s="9">
        <v>1500</v>
      </c>
      <c r="H3166" s="9">
        <f t="shared" si="98"/>
        <v>3</v>
      </c>
      <c r="I3166" t="s">
        <v>253</v>
      </c>
      <c r="J3166" s="33" t="s">
        <v>489</v>
      </c>
      <c r="K3166" s="18">
        <f>VLOOKUP(D3166,Ingredients!C:G,5,0)</f>
        <v>1450</v>
      </c>
      <c r="L3166" s="52">
        <f t="shared" si="99"/>
        <v>2.9</v>
      </c>
    </row>
    <row r="3167" spans="1:12">
      <c r="A3167" t="s">
        <v>629</v>
      </c>
      <c r="B3167" t="s">
        <v>349</v>
      </c>
      <c r="C3167" t="s">
        <v>984</v>
      </c>
      <c r="D3167" s="3" t="s">
        <v>865</v>
      </c>
      <c r="E3167" s="14">
        <v>2E-3</v>
      </c>
      <c r="F3167" s="4" t="s">
        <v>179</v>
      </c>
      <c r="G3167" s="9">
        <v>1400</v>
      </c>
      <c r="H3167" s="9">
        <f t="shared" si="98"/>
        <v>2.8000000000000003</v>
      </c>
      <c r="I3167" t="s">
        <v>253</v>
      </c>
      <c r="J3167" s="33" t="s">
        <v>489</v>
      </c>
      <c r="K3167" s="18">
        <f>VLOOKUP(D3167,Ingredients!C:G,5,0)</f>
        <v>1400</v>
      </c>
      <c r="L3167" s="52">
        <f t="shared" si="99"/>
        <v>2.8000000000000003</v>
      </c>
    </row>
    <row r="3168" spans="1:12">
      <c r="A3168" t="s">
        <v>629</v>
      </c>
      <c r="B3168" t="s">
        <v>349</v>
      </c>
      <c r="C3168" t="s">
        <v>984</v>
      </c>
      <c r="D3168" s="3" t="s">
        <v>959</v>
      </c>
      <c r="E3168" s="14">
        <v>1</v>
      </c>
      <c r="F3168" s="4" t="s">
        <v>557</v>
      </c>
      <c r="G3168" s="9">
        <v>7.4204166666666653</v>
      </c>
      <c r="H3168" s="9">
        <f t="shared" si="98"/>
        <v>7.4204166666666653</v>
      </c>
      <c r="I3168" t="s">
        <v>253</v>
      </c>
      <c r="J3168" s="33" t="s">
        <v>489</v>
      </c>
      <c r="K3168" s="18">
        <f>VLOOKUP(D3168,Ingredients!C:G,5,0)</f>
        <v>7.4204166666666653</v>
      </c>
      <c r="L3168" s="52">
        <f t="shared" si="99"/>
        <v>7.4204166666666653</v>
      </c>
    </row>
    <row r="3169" spans="1:12">
      <c r="A3169" t="s">
        <v>630</v>
      </c>
      <c r="B3169" t="s">
        <v>349</v>
      </c>
      <c r="C3169" t="s">
        <v>454</v>
      </c>
      <c r="D3169" s="3" t="s">
        <v>959</v>
      </c>
      <c r="E3169" s="4">
        <v>1</v>
      </c>
      <c r="F3169" s="4" t="s">
        <v>557</v>
      </c>
      <c r="G3169" s="9">
        <v>7.4204166666666653</v>
      </c>
      <c r="H3169" s="9">
        <f t="shared" si="98"/>
        <v>7.4204166666666653</v>
      </c>
      <c r="I3169" t="s">
        <v>253</v>
      </c>
      <c r="J3169" s="33">
        <v>0</v>
      </c>
      <c r="K3169" s="18">
        <f>VLOOKUP(D3169,Ingredients!C:G,5,0)</f>
        <v>7.4204166666666653</v>
      </c>
      <c r="L3169" s="52">
        <f t="shared" si="99"/>
        <v>7.4204166666666653</v>
      </c>
    </row>
    <row r="3170" spans="1:12">
      <c r="A3170" t="s">
        <v>630</v>
      </c>
      <c r="B3170" t="s">
        <v>349</v>
      </c>
      <c r="C3170" t="s">
        <v>454</v>
      </c>
      <c r="D3170" s="3" t="s">
        <v>171</v>
      </c>
      <c r="E3170" s="4">
        <v>1.4000000000000002E-2</v>
      </c>
      <c r="F3170" s="4" t="s">
        <v>176</v>
      </c>
      <c r="G3170" s="9">
        <v>65</v>
      </c>
      <c r="H3170" s="9">
        <f t="shared" si="98"/>
        <v>0.91000000000000014</v>
      </c>
      <c r="I3170" t="s">
        <v>253</v>
      </c>
      <c r="J3170" s="33">
        <v>0</v>
      </c>
      <c r="K3170" s="18">
        <f>VLOOKUP(D3170,Ingredients!C:G,5,0)</f>
        <v>80</v>
      </c>
      <c r="L3170" s="52">
        <f t="shared" si="99"/>
        <v>1.1200000000000001</v>
      </c>
    </row>
    <row r="3171" spans="1:12">
      <c r="A3171" t="s">
        <v>630</v>
      </c>
      <c r="B3171" t="s">
        <v>349</v>
      </c>
      <c r="C3171" t="s">
        <v>454</v>
      </c>
      <c r="D3171" s="3" t="s">
        <v>277</v>
      </c>
      <c r="E3171" s="4">
        <v>1.2E-2</v>
      </c>
      <c r="F3171" s="4" t="s">
        <v>176</v>
      </c>
      <c r="G3171" s="9">
        <v>30</v>
      </c>
      <c r="H3171" s="9">
        <f t="shared" si="98"/>
        <v>0.36</v>
      </c>
      <c r="I3171" t="s">
        <v>253</v>
      </c>
      <c r="J3171" s="33">
        <v>0</v>
      </c>
      <c r="K3171" s="18">
        <f>VLOOKUP(D3171,Ingredients!C:G,5,0)</f>
        <v>20</v>
      </c>
      <c r="L3171" s="52">
        <f t="shared" si="99"/>
        <v>0.24</v>
      </c>
    </row>
    <row r="3172" spans="1:12">
      <c r="A3172" t="s">
        <v>630</v>
      </c>
      <c r="B3172" t="s">
        <v>349</v>
      </c>
      <c r="C3172" t="s">
        <v>454</v>
      </c>
      <c r="D3172" s="3" t="s">
        <v>14</v>
      </c>
      <c r="E3172" s="4">
        <v>8.9999999999999993E-3</v>
      </c>
      <c r="F3172" s="4" t="s">
        <v>176</v>
      </c>
      <c r="G3172" s="9">
        <v>120</v>
      </c>
      <c r="H3172" s="9">
        <f t="shared" si="98"/>
        <v>1.0799999999999998</v>
      </c>
      <c r="I3172" t="s">
        <v>253</v>
      </c>
      <c r="J3172" s="33">
        <v>0</v>
      </c>
      <c r="K3172" s="18">
        <f>VLOOKUP(D3172,Ingredients!C:G,5,0)</f>
        <v>60</v>
      </c>
      <c r="L3172" s="52">
        <f t="shared" si="99"/>
        <v>0.53999999999999992</v>
      </c>
    </row>
    <row r="3173" spans="1:12">
      <c r="A3173" t="s">
        <v>630</v>
      </c>
      <c r="B3173" t="s">
        <v>349</v>
      </c>
      <c r="C3173" t="s">
        <v>454</v>
      </c>
      <c r="D3173" s="3" t="s">
        <v>24</v>
      </c>
      <c r="E3173" s="4">
        <v>8.0000000000000002E-3</v>
      </c>
      <c r="F3173" s="4" t="s">
        <v>176</v>
      </c>
      <c r="G3173" s="9">
        <v>55</v>
      </c>
      <c r="H3173" s="9">
        <f t="shared" si="98"/>
        <v>0.44</v>
      </c>
      <c r="I3173" t="s">
        <v>253</v>
      </c>
      <c r="J3173" s="33">
        <v>0</v>
      </c>
      <c r="K3173" s="18">
        <f>VLOOKUP(D3173,Ingredients!C:G,5,0)</f>
        <v>80</v>
      </c>
      <c r="L3173" s="52">
        <f t="shared" si="99"/>
        <v>0.64</v>
      </c>
    </row>
    <row r="3174" spans="1:12">
      <c r="A3174" t="s">
        <v>630</v>
      </c>
      <c r="B3174" t="s">
        <v>349</v>
      </c>
      <c r="C3174" t="s">
        <v>454</v>
      </c>
      <c r="D3174" s="3" t="s">
        <v>28</v>
      </c>
      <c r="E3174" s="4">
        <v>7.000000000000001E-3</v>
      </c>
      <c r="F3174" s="4" t="s">
        <v>176</v>
      </c>
      <c r="G3174" s="9">
        <v>85</v>
      </c>
      <c r="H3174" s="9">
        <f t="shared" si="98"/>
        <v>0.59500000000000008</v>
      </c>
      <c r="I3174" t="s">
        <v>253</v>
      </c>
      <c r="J3174" s="33">
        <v>0</v>
      </c>
      <c r="K3174" s="18">
        <f>VLOOKUP(D3174,Ingredients!C:G,5,0)</f>
        <v>70</v>
      </c>
      <c r="L3174" s="52">
        <f t="shared" si="99"/>
        <v>0.49000000000000005</v>
      </c>
    </row>
    <row r="3175" spans="1:12">
      <c r="A3175" t="s">
        <v>630</v>
      </c>
      <c r="B3175" t="s">
        <v>349</v>
      </c>
      <c r="C3175" t="s">
        <v>454</v>
      </c>
      <c r="D3175" s="3" t="s">
        <v>865</v>
      </c>
      <c r="E3175" s="4">
        <v>2.5000000000000001E-3</v>
      </c>
      <c r="F3175" s="4" t="s">
        <v>176</v>
      </c>
      <c r="G3175" s="9">
        <v>1400</v>
      </c>
      <c r="H3175" s="9">
        <f t="shared" si="98"/>
        <v>3.5</v>
      </c>
      <c r="I3175" t="s">
        <v>253</v>
      </c>
      <c r="J3175" s="33">
        <v>0</v>
      </c>
      <c r="K3175" s="18">
        <f>VLOOKUP(D3175,Ingredients!C:G,5,0)</f>
        <v>1400</v>
      </c>
      <c r="L3175" s="52">
        <f t="shared" si="99"/>
        <v>3.5</v>
      </c>
    </row>
    <row r="3176" spans="1:12">
      <c r="A3176" t="s">
        <v>630</v>
      </c>
      <c r="B3176" t="s">
        <v>349</v>
      </c>
      <c r="C3176" t="s">
        <v>454</v>
      </c>
      <c r="D3176" s="3" t="s">
        <v>841</v>
      </c>
      <c r="E3176" s="4">
        <v>2.5000000000000001E-3</v>
      </c>
      <c r="F3176" s="4" t="s">
        <v>176</v>
      </c>
      <c r="G3176" s="9">
        <v>50</v>
      </c>
      <c r="H3176" s="9">
        <f t="shared" si="98"/>
        <v>0.125</v>
      </c>
      <c r="I3176" t="s">
        <v>253</v>
      </c>
      <c r="J3176" s="33">
        <v>0</v>
      </c>
      <c r="K3176" s="18">
        <f>VLOOKUP(D3176,Ingredients!C:G,5,0)</f>
        <v>50</v>
      </c>
      <c r="L3176" s="52">
        <f t="shared" si="99"/>
        <v>0.125</v>
      </c>
    </row>
    <row r="3177" spans="1:12">
      <c r="A3177" t="s">
        <v>630</v>
      </c>
      <c r="B3177" t="s">
        <v>349</v>
      </c>
      <c r="C3177" t="s">
        <v>454</v>
      </c>
      <c r="D3177" s="3" t="s">
        <v>887</v>
      </c>
      <c r="E3177" s="4">
        <v>2.5000000000000001E-3</v>
      </c>
      <c r="F3177" s="4" t="s">
        <v>176</v>
      </c>
      <c r="G3177" s="9">
        <v>1600</v>
      </c>
      <c r="H3177" s="9">
        <f t="shared" si="98"/>
        <v>4</v>
      </c>
      <c r="I3177" t="s">
        <v>253</v>
      </c>
      <c r="J3177" s="33">
        <v>0</v>
      </c>
      <c r="K3177" s="18">
        <f>VLOOKUP(D3177,Ingredients!C:G,5,0)</f>
        <v>1830</v>
      </c>
      <c r="L3177" s="52">
        <f t="shared" si="99"/>
        <v>4.5750000000000002</v>
      </c>
    </row>
    <row r="3178" spans="1:12">
      <c r="A3178" t="s">
        <v>630</v>
      </c>
      <c r="B3178" t="s">
        <v>349</v>
      </c>
      <c r="C3178" t="s">
        <v>454</v>
      </c>
      <c r="D3178" s="3" t="s">
        <v>882</v>
      </c>
      <c r="E3178" s="4">
        <v>2.5000000000000001E-3</v>
      </c>
      <c r="F3178" s="4" t="s">
        <v>176</v>
      </c>
      <c r="G3178" s="9">
        <v>1500</v>
      </c>
      <c r="H3178" s="9">
        <f t="shared" si="98"/>
        <v>3.75</v>
      </c>
      <c r="I3178" t="s">
        <v>253</v>
      </c>
      <c r="J3178" s="33">
        <v>0</v>
      </c>
      <c r="K3178" s="18">
        <f>VLOOKUP(D3178,Ingredients!C:G,5,0)</f>
        <v>1450</v>
      </c>
      <c r="L3178" s="52">
        <f t="shared" si="99"/>
        <v>3.625</v>
      </c>
    </row>
    <row r="3179" spans="1:12">
      <c r="A3179" t="s">
        <v>630</v>
      </c>
      <c r="B3179" t="s">
        <v>349</v>
      </c>
      <c r="C3179" t="s">
        <v>454</v>
      </c>
      <c r="D3179" s="3" t="s">
        <v>853</v>
      </c>
      <c r="E3179" s="4">
        <v>2.5000000000000001E-3</v>
      </c>
      <c r="F3179" s="4" t="s">
        <v>176</v>
      </c>
      <c r="G3179" s="9">
        <v>30</v>
      </c>
      <c r="H3179" s="9">
        <f t="shared" si="98"/>
        <v>7.4999999999999997E-2</v>
      </c>
      <c r="I3179" t="s">
        <v>253</v>
      </c>
      <c r="J3179" s="33">
        <v>0</v>
      </c>
      <c r="K3179" s="18">
        <f>VLOOKUP(D3179,Ingredients!C:G,5,0)</f>
        <v>55</v>
      </c>
      <c r="L3179" s="52">
        <f t="shared" si="99"/>
        <v>0.13750000000000001</v>
      </c>
    </row>
    <row r="3180" spans="1:12">
      <c r="A3180" t="s">
        <v>631</v>
      </c>
      <c r="B3180" t="s">
        <v>349</v>
      </c>
      <c r="C3180" t="s">
        <v>351</v>
      </c>
      <c r="D3180" s="3" t="s">
        <v>831</v>
      </c>
      <c r="E3180" s="11">
        <v>1</v>
      </c>
      <c r="F3180" s="7" t="s">
        <v>176</v>
      </c>
      <c r="G3180" s="9">
        <v>908</v>
      </c>
      <c r="H3180" s="9">
        <f t="shared" si="98"/>
        <v>908</v>
      </c>
      <c r="I3180" t="s">
        <v>179</v>
      </c>
      <c r="J3180" s="33" t="s">
        <v>489</v>
      </c>
      <c r="K3180" s="18">
        <f>VLOOKUP(D3180,Ingredients!C:G,5,0)</f>
        <v>908</v>
      </c>
      <c r="L3180" s="52">
        <f t="shared" si="99"/>
        <v>908</v>
      </c>
    </row>
    <row r="3181" spans="1:12">
      <c r="A3181" t="s">
        <v>631</v>
      </c>
      <c r="B3181" t="s">
        <v>349</v>
      </c>
      <c r="C3181" t="s">
        <v>351</v>
      </c>
      <c r="D3181" s="3" t="s">
        <v>935</v>
      </c>
      <c r="E3181" s="11">
        <v>0.25</v>
      </c>
      <c r="F3181" s="7" t="s">
        <v>176</v>
      </c>
      <c r="G3181" s="9">
        <v>230</v>
      </c>
      <c r="H3181" s="9">
        <f t="shared" ref="H3181:H3244" si="100">G3181*E3181</f>
        <v>57.5</v>
      </c>
      <c r="I3181" t="s">
        <v>179</v>
      </c>
      <c r="J3181" s="33" t="s">
        <v>489</v>
      </c>
      <c r="K3181" s="18">
        <f>VLOOKUP(D3181,Ingredients!C:G,5,0)</f>
        <v>210</v>
      </c>
      <c r="L3181" s="52">
        <f t="shared" si="99"/>
        <v>52.5</v>
      </c>
    </row>
    <row r="3182" spans="1:12">
      <c r="A3182" t="s">
        <v>631</v>
      </c>
      <c r="B3182" t="s">
        <v>349</v>
      </c>
      <c r="C3182" t="s">
        <v>351</v>
      </c>
      <c r="D3182" s="3" t="s">
        <v>852</v>
      </c>
      <c r="E3182" s="11">
        <v>0.22826086956521738</v>
      </c>
      <c r="F3182" s="7" t="s">
        <v>176</v>
      </c>
      <c r="G3182" s="9">
        <v>520.63</v>
      </c>
      <c r="H3182" s="9">
        <f t="shared" si="100"/>
        <v>118.83945652173912</v>
      </c>
      <c r="I3182" t="s">
        <v>179</v>
      </c>
      <c r="J3182" s="33" t="s">
        <v>489</v>
      </c>
      <c r="K3182" s="18">
        <v>550</v>
      </c>
      <c r="L3182" s="52">
        <f t="shared" si="99"/>
        <v>125.54347826086956</v>
      </c>
    </row>
    <row r="3183" spans="1:12">
      <c r="A3183" t="s">
        <v>631</v>
      </c>
      <c r="B3183" t="s">
        <v>349</v>
      </c>
      <c r="C3183" t="s">
        <v>351</v>
      </c>
      <c r="D3183" s="3" t="s">
        <v>931</v>
      </c>
      <c r="E3183" s="11">
        <v>4.9999999999999992E-3</v>
      </c>
      <c r="F3183" s="7" t="s">
        <v>176</v>
      </c>
      <c r="G3183" s="9">
        <v>4000</v>
      </c>
      <c r="H3183" s="9">
        <f t="shared" si="100"/>
        <v>19.999999999999996</v>
      </c>
      <c r="I3183" t="s">
        <v>179</v>
      </c>
      <c r="J3183" s="33" t="s">
        <v>489</v>
      </c>
      <c r="K3183" s="18">
        <f>VLOOKUP(D3183,Ingredients!C:G,5,0)</f>
        <v>2900</v>
      </c>
      <c r="L3183" s="52">
        <f t="shared" si="99"/>
        <v>14.499999999999998</v>
      </c>
    </row>
    <row r="3184" spans="1:12">
      <c r="A3184" t="s">
        <v>631</v>
      </c>
      <c r="B3184" t="s">
        <v>349</v>
      </c>
      <c r="C3184" t="s">
        <v>351</v>
      </c>
      <c r="D3184" s="3" t="s">
        <v>855</v>
      </c>
      <c r="E3184" s="11">
        <v>9.9999999999999985E-3</v>
      </c>
      <c r="F3184" s="7" t="s">
        <v>176</v>
      </c>
      <c r="G3184" s="9">
        <v>2400</v>
      </c>
      <c r="H3184" s="9">
        <f t="shared" si="100"/>
        <v>23.999999999999996</v>
      </c>
      <c r="I3184" t="s">
        <v>179</v>
      </c>
      <c r="J3184" s="33" t="s">
        <v>489</v>
      </c>
      <c r="K3184" s="18">
        <f>VLOOKUP(D3184,Ingredients!C:G,5,0)</f>
        <v>1600</v>
      </c>
      <c r="L3184" s="52">
        <f t="shared" si="99"/>
        <v>15.999999999999998</v>
      </c>
    </row>
    <row r="3185" spans="1:12">
      <c r="A3185" t="s">
        <v>631</v>
      </c>
      <c r="B3185" t="s">
        <v>349</v>
      </c>
      <c r="C3185" t="s">
        <v>351</v>
      </c>
      <c r="D3185" s="3" t="s">
        <v>928</v>
      </c>
      <c r="E3185" s="11">
        <v>4.9999999999999992E-3</v>
      </c>
      <c r="F3185" s="7" t="s">
        <v>176</v>
      </c>
      <c r="G3185" s="9">
        <v>850</v>
      </c>
      <c r="H3185" s="9">
        <f t="shared" si="100"/>
        <v>4.2499999999999991</v>
      </c>
      <c r="I3185" t="s">
        <v>179</v>
      </c>
      <c r="J3185" s="33" t="s">
        <v>489</v>
      </c>
      <c r="K3185" s="18">
        <f>VLOOKUP(D3185,Ingredients!C:G,5,0)</f>
        <v>900</v>
      </c>
      <c r="L3185" s="52">
        <f t="shared" si="99"/>
        <v>4.4999999999999991</v>
      </c>
    </row>
    <row r="3186" spans="1:12">
      <c r="A3186" t="s">
        <v>631</v>
      </c>
      <c r="B3186" t="s">
        <v>349</v>
      </c>
      <c r="C3186" t="s">
        <v>351</v>
      </c>
      <c r="D3186" s="3" t="s">
        <v>864</v>
      </c>
      <c r="E3186" s="11">
        <v>4.9999999999999992E-3</v>
      </c>
      <c r="F3186" s="7" t="s">
        <v>176</v>
      </c>
      <c r="G3186" s="9">
        <v>1400</v>
      </c>
      <c r="H3186" s="9">
        <f t="shared" si="100"/>
        <v>6.9999999999999991</v>
      </c>
      <c r="I3186" t="s">
        <v>179</v>
      </c>
      <c r="J3186" s="33" t="s">
        <v>489</v>
      </c>
      <c r="K3186" s="18">
        <f>VLOOKUP(D3186,Ingredients!C:G,5,0)</f>
        <v>1400</v>
      </c>
      <c r="L3186" s="52">
        <f t="shared" si="99"/>
        <v>6.9999999999999991</v>
      </c>
    </row>
    <row r="3187" spans="1:12">
      <c r="A3187" t="s">
        <v>631</v>
      </c>
      <c r="B3187" t="s">
        <v>349</v>
      </c>
      <c r="C3187" t="s">
        <v>351</v>
      </c>
      <c r="D3187" s="3" t="s">
        <v>853</v>
      </c>
      <c r="E3187" s="11">
        <v>2.5000000000000001E-2</v>
      </c>
      <c r="F3187" s="7" t="s">
        <v>315</v>
      </c>
      <c r="G3187" s="9">
        <v>30</v>
      </c>
      <c r="H3187" s="9">
        <f t="shared" si="100"/>
        <v>0.75</v>
      </c>
      <c r="I3187" t="s">
        <v>179</v>
      </c>
      <c r="J3187" s="33" t="s">
        <v>489</v>
      </c>
      <c r="K3187" s="18">
        <f>VLOOKUP(D3187,Ingredients!C:G,5,0)</f>
        <v>55</v>
      </c>
      <c r="L3187" s="52">
        <f t="shared" si="99"/>
        <v>1.375</v>
      </c>
    </row>
    <row r="3188" spans="1:12">
      <c r="A3188" t="s">
        <v>631</v>
      </c>
      <c r="B3188" t="s">
        <v>349</v>
      </c>
      <c r="C3188" t="s">
        <v>351</v>
      </c>
      <c r="D3188" s="3" t="s">
        <v>23</v>
      </c>
      <c r="E3188" s="11">
        <v>7.4999999999999997E-3</v>
      </c>
      <c r="F3188" s="7" t="s">
        <v>176</v>
      </c>
      <c r="G3188" s="9">
        <v>740</v>
      </c>
      <c r="H3188" s="9">
        <f t="shared" si="100"/>
        <v>5.55</v>
      </c>
      <c r="I3188" t="s">
        <v>179</v>
      </c>
      <c r="J3188" s="33" t="s">
        <v>489</v>
      </c>
      <c r="K3188" s="18">
        <f>VLOOKUP(D3188,Ingredients!C:G,5,0)</f>
        <v>780</v>
      </c>
      <c r="L3188" s="52">
        <f t="shared" si="99"/>
        <v>5.85</v>
      </c>
    </row>
    <row r="3189" spans="1:12">
      <c r="A3189" t="s">
        <v>631</v>
      </c>
      <c r="B3189" t="s">
        <v>349</v>
      </c>
      <c r="C3189" t="s">
        <v>351</v>
      </c>
      <c r="D3189" s="3" t="s">
        <v>16</v>
      </c>
      <c r="E3189" s="11">
        <v>7.4999999999999997E-3</v>
      </c>
      <c r="F3189" s="7" t="s">
        <v>176</v>
      </c>
      <c r="G3189" s="9">
        <v>270</v>
      </c>
      <c r="H3189" s="9">
        <f t="shared" si="100"/>
        <v>2.0249999999999999</v>
      </c>
      <c r="I3189" t="s">
        <v>179</v>
      </c>
      <c r="J3189" s="33" t="s">
        <v>489</v>
      </c>
      <c r="K3189" s="18">
        <f>VLOOKUP(D3189,Ingredients!C:G,5,0)</f>
        <v>310</v>
      </c>
      <c r="L3189" s="52">
        <f t="shared" si="99"/>
        <v>2.3249999999999997</v>
      </c>
    </row>
    <row r="3190" spans="1:12">
      <c r="A3190" t="s">
        <v>631</v>
      </c>
      <c r="B3190" t="s">
        <v>349</v>
      </c>
      <c r="C3190" t="s">
        <v>351</v>
      </c>
      <c r="D3190" s="3" t="s">
        <v>856</v>
      </c>
      <c r="E3190" s="11">
        <v>9.9999999999999985E-3</v>
      </c>
      <c r="F3190" s="7" t="s">
        <v>176</v>
      </c>
      <c r="G3190" s="9">
        <v>850</v>
      </c>
      <c r="H3190" s="9">
        <f t="shared" si="100"/>
        <v>8.4999999999999982</v>
      </c>
      <c r="I3190" t="s">
        <v>179</v>
      </c>
      <c r="J3190" s="33" t="s">
        <v>489</v>
      </c>
      <c r="K3190" s="18">
        <f>VLOOKUP(D3190,Ingredients!C:G,5,0)</f>
        <v>980</v>
      </c>
      <c r="L3190" s="52">
        <f t="shared" si="99"/>
        <v>9.7999999999999989</v>
      </c>
    </row>
    <row r="3191" spans="1:12">
      <c r="A3191" t="s">
        <v>631</v>
      </c>
      <c r="B3191" t="s">
        <v>349</v>
      </c>
      <c r="C3191" t="s">
        <v>351</v>
      </c>
      <c r="D3191" s="3" t="s">
        <v>895</v>
      </c>
      <c r="E3191" s="11">
        <v>4.9999999999999992E-3</v>
      </c>
      <c r="F3191" s="7" t="s">
        <v>176</v>
      </c>
      <c r="G3191" s="9">
        <v>400</v>
      </c>
      <c r="H3191" s="9">
        <f t="shared" si="100"/>
        <v>1.9999999999999998</v>
      </c>
      <c r="I3191" t="s">
        <v>179</v>
      </c>
      <c r="J3191" s="33" t="s">
        <v>489</v>
      </c>
      <c r="K3191" s="18">
        <f>VLOOKUP(D3191,Ingredients!C:G,5,0)</f>
        <v>400</v>
      </c>
      <c r="L3191" s="52">
        <f t="shared" si="99"/>
        <v>1.9999999999999998</v>
      </c>
    </row>
    <row r="3192" spans="1:12">
      <c r="A3192" t="s">
        <v>632</v>
      </c>
      <c r="B3192" t="s">
        <v>346</v>
      </c>
      <c r="C3192" t="s">
        <v>353</v>
      </c>
      <c r="D3192" s="3" t="s">
        <v>884</v>
      </c>
      <c r="E3192" s="11">
        <v>1</v>
      </c>
      <c r="F3192" s="7" t="s">
        <v>176</v>
      </c>
      <c r="G3192" s="9">
        <v>344</v>
      </c>
      <c r="H3192" s="9">
        <f t="shared" si="100"/>
        <v>344</v>
      </c>
      <c r="I3192" t="s">
        <v>179</v>
      </c>
      <c r="J3192" s="33">
        <v>0</v>
      </c>
      <c r="K3192" s="18">
        <f>VLOOKUP(D3192,Ingredients!C:G,5,0)</f>
        <v>344</v>
      </c>
      <c r="L3192" s="52">
        <f t="shared" si="99"/>
        <v>344</v>
      </c>
    </row>
    <row r="3193" spans="1:12">
      <c r="A3193" t="s">
        <v>632</v>
      </c>
      <c r="B3193" t="s">
        <v>346</v>
      </c>
      <c r="C3193" t="s">
        <v>353</v>
      </c>
      <c r="D3193" s="3" t="s">
        <v>853</v>
      </c>
      <c r="E3193" s="11">
        <v>2.0000000000000004E-2</v>
      </c>
      <c r="F3193" s="7" t="s">
        <v>176</v>
      </c>
      <c r="G3193" s="9">
        <v>30</v>
      </c>
      <c r="H3193" s="9">
        <f t="shared" si="100"/>
        <v>0.60000000000000009</v>
      </c>
      <c r="I3193" t="s">
        <v>179</v>
      </c>
      <c r="J3193" s="33">
        <v>0</v>
      </c>
      <c r="K3193" s="18">
        <f>VLOOKUP(D3193,Ingredients!C:G,5,0)</f>
        <v>55</v>
      </c>
      <c r="L3193" s="52">
        <f t="shared" si="99"/>
        <v>1.1000000000000003</v>
      </c>
    </row>
    <row r="3194" spans="1:12">
      <c r="A3194" t="s">
        <v>632</v>
      </c>
      <c r="B3194" t="s">
        <v>346</v>
      </c>
      <c r="C3194" t="s">
        <v>353</v>
      </c>
      <c r="D3194" s="3" t="s">
        <v>852</v>
      </c>
      <c r="E3194" s="11">
        <v>2.0000000000000004E-2</v>
      </c>
      <c r="F3194" s="7" t="s">
        <v>176</v>
      </c>
      <c r="G3194" s="9">
        <v>520.63</v>
      </c>
      <c r="H3194" s="9">
        <f t="shared" si="100"/>
        <v>10.412600000000001</v>
      </c>
      <c r="I3194" t="s">
        <v>179</v>
      </c>
      <c r="J3194" s="33">
        <v>0</v>
      </c>
      <c r="K3194" s="18">
        <v>550</v>
      </c>
      <c r="L3194" s="52">
        <f t="shared" si="99"/>
        <v>11.000000000000002</v>
      </c>
    </row>
    <row r="3195" spans="1:12">
      <c r="A3195" t="s">
        <v>632</v>
      </c>
      <c r="B3195" t="s">
        <v>346</v>
      </c>
      <c r="C3195" t="s">
        <v>353</v>
      </c>
      <c r="D3195" s="3" t="s">
        <v>855</v>
      </c>
      <c r="E3195" s="4">
        <v>0.05</v>
      </c>
      <c r="F3195" s="7" t="s">
        <v>176</v>
      </c>
      <c r="G3195" s="9">
        <v>2400</v>
      </c>
      <c r="H3195" s="9">
        <f t="shared" si="100"/>
        <v>120</v>
      </c>
      <c r="I3195" t="s">
        <v>179</v>
      </c>
      <c r="J3195" s="33">
        <v>0</v>
      </c>
      <c r="K3195" s="18">
        <f>VLOOKUP(D3195,Ingredients!C:G,5,0)</f>
        <v>1600</v>
      </c>
      <c r="L3195" s="52">
        <f t="shared" si="99"/>
        <v>80</v>
      </c>
    </row>
    <row r="3196" spans="1:12">
      <c r="A3196" t="s">
        <v>633</v>
      </c>
      <c r="B3196" t="s">
        <v>346</v>
      </c>
      <c r="C3196" t="s">
        <v>351</v>
      </c>
      <c r="D3196" s="3" t="s">
        <v>853</v>
      </c>
      <c r="E3196" s="4">
        <v>6.0000000000000001E-3</v>
      </c>
      <c r="F3196" s="7" t="s">
        <v>176</v>
      </c>
      <c r="G3196" s="9">
        <v>30</v>
      </c>
      <c r="H3196" s="9">
        <f t="shared" si="100"/>
        <v>0.18</v>
      </c>
      <c r="I3196" t="s">
        <v>634</v>
      </c>
      <c r="J3196" s="33">
        <v>0</v>
      </c>
      <c r="K3196" s="18">
        <f>VLOOKUP(D3196,Ingredients!C:G,5,0)</f>
        <v>55</v>
      </c>
      <c r="L3196" s="52">
        <f t="shared" si="99"/>
        <v>0.33</v>
      </c>
    </row>
    <row r="3197" spans="1:12">
      <c r="A3197" t="s">
        <v>633</v>
      </c>
      <c r="B3197" t="s">
        <v>346</v>
      </c>
      <c r="C3197" t="s">
        <v>351</v>
      </c>
      <c r="D3197" s="3" t="s">
        <v>860</v>
      </c>
      <c r="E3197" s="4">
        <v>6.0000000000000001E-3</v>
      </c>
      <c r="F3197" s="7" t="s">
        <v>176</v>
      </c>
      <c r="G3197" s="9">
        <v>2000</v>
      </c>
      <c r="H3197" s="9">
        <f t="shared" si="100"/>
        <v>12</v>
      </c>
      <c r="I3197" t="s">
        <v>634</v>
      </c>
      <c r="J3197" s="33">
        <v>0</v>
      </c>
      <c r="K3197" s="18">
        <f>VLOOKUP(D3197,Ingredients!C:G,5,0)</f>
        <v>1900</v>
      </c>
      <c r="L3197" s="52">
        <f t="shared" si="99"/>
        <v>11.4</v>
      </c>
    </row>
    <row r="3198" spans="1:12">
      <c r="A3198" t="s">
        <v>633</v>
      </c>
      <c r="B3198" t="s">
        <v>346</v>
      </c>
      <c r="C3198" t="s">
        <v>351</v>
      </c>
      <c r="D3198" s="3" t="s">
        <v>895</v>
      </c>
      <c r="E3198" s="4">
        <v>6.0000000000000001E-3</v>
      </c>
      <c r="F3198" s="7" t="s">
        <v>176</v>
      </c>
      <c r="G3198" s="9">
        <v>400</v>
      </c>
      <c r="H3198" s="9">
        <f t="shared" si="100"/>
        <v>2.4</v>
      </c>
      <c r="I3198" t="s">
        <v>634</v>
      </c>
      <c r="J3198" s="33">
        <v>0</v>
      </c>
      <c r="K3198" s="18">
        <f>VLOOKUP(D3198,Ingredients!C:G,5,0)</f>
        <v>400</v>
      </c>
      <c r="L3198" s="52">
        <f t="shared" si="99"/>
        <v>2.4</v>
      </c>
    </row>
    <row r="3199" spans="1:12">
      <c r="A3199" t="s">
        <v>633</v>
      </c>
      <c r="B3199" t="s">
        <v>346</v>
      </c>
      <c r="C3199" t="s">
        <v>351</v>
      </c>
      <c r="D3199" s="3" t="s">
        <v>882</v>
      </c>
      <c r="E3199" s="4">
        <v>6.0000000000000001E-3</v>
      </c>
      <c r="F3199" s="7" t="s">
        <v>176</v>
      </c>
      <c r="G3199" s="9">
        <v>1500</v>
      </c>
      <c r="H3199" s="9">
        <f t="shared" si="100"/>
        <v>9</v>
      </c>
      <c r="I3199" t="s">
        <v>634</v>
      </c>
      <c r="J3199" s="33">
        <v>0</v>
      </c>
      <c r="K3199" s="18">
        <f>VLOOKUP(D3199,Ingredients!C:G,5,0)</f>
        <v>1450</v>
      </c>
      <c r="L3199" s="52">
        <f t="shared" si="99"/>
        <v>8.7000000000000011</v>
      </c>
    </row>
    <row r="3200" spans="1:12">
      <c r="A3200" t="s">
        <v>633</v>
      </c>
      <c r="B3200" t="s">
        <v>346</v>
      </c>
      <c r="C3200" t="s">
        <v>351</v>
      </c>
      <c r="D3200" s="3" t="s">
        <v>35</v>
      </c>
      <c r="E3200" s="4">
        <v>0.02</v>
      </c>
      <c r="F3200" s="4" t="s">
        <v>252</v>
      </c>
      <c r="G3200" s="9">
        <v>13</v>
      </c>
      <c r="H3200" s="9">
        <f t="shared" si="100"/>
        <v>0.26</v>
      </c>
      <c r="I3200" t="s">
        <v>634</v>
      </c>
      <c r="J3200" s="33">
        <v>0</v>
      </c>
      <c r="K3200" s="18">
        <f>VLOOKUP(D3200,Ingredients!C:G,5,0)</f>
        <v>15</v>
      </c>
      <c r="L3200" s="52">
        <f t="shared" si="99"/>
        <v>0.3</v>
      </c>
    </row>
    <row r="3201" spans="1:12">
      <c r="A3201" t="s">
        <v>633</v>
      </c>
      <c r="B3201" t="s">
        <v>346</v>
      </c>
      <c r="C3201" t="s">
        <v>351</v>
      </c>
      <c r="D3201" s="3" t="s">
        <v>900</v>
      </c>
      <c r="E3201" s="4">
        <v>1.7999999999999999E-2</v>
      </c>
      <c r="F3201" s="4" t="s">
        <v>176</v>
      </c>
      <c r="G3201" s="9">
        <v>440</v>
      </c>
      <c r="H3201" s="9">
        <f t="shared" si="100"/>
        <v>7.919999999999999</v>
      </c>
      <c r="I3201" t="s">
        <v>634</v>
      </c>
      <c r="J3201" s="33">
        <v>0</v>
      </c>
      <c r="K3201" s="18">
        <f>VLOOKUP(D3201,Ingredients!C:G,5,0)</f>
        <v>440</v>
      </c>
      <c r="L3201" s="52">
        <f t="shared" si="99"/>
        <v>7.919999999999999</v>
      </c>
    </row>
    <row r="3202" spans="1:12">
      <c r="A3202" t="s">
        <v>633</v>
      </c>
      <c r="B3202" t="s">
        <v>346</v>
      </c>
      <c r="C3202" t="s">
        <v>351</v>
      </c>
      <c r="D3202" s="3" t="s">
        <v>852</v>
      </c>
      <c r="E3202" s="4">
        <v>0.01</v>
      </c>
      <c r="F3202" s="4" t="s">
        <v>190</v>
      </c>
      <c r="G3202" s="9">
        <v>520.63</v>
      </c>
      <c r="H3202" s="9">
        <f t="shared" si="100"/>
        <v>5.2062999999999997</v>
      </c>
      <c r="I3202" t="s">
        <v>634</v>
      </c>
      <c r="J3202" s="33">
        <v>0</v>
      </c>
      <c r="K3202" s="18">
        <v>550</v>
      </c>
      <c r="L3202" s="52">
        <f t="shared" si="99"/>
        <v>5.5</v>
      </c>
    </row>
    <row r="3203" spans="1:12">
      <c r="A3203" t="s">
        <v>633</v>
      </c>
      <c r="B3203" t="s">
        <v>346</v>
      </c>
      <c r="C3203" t="s">
        <v>351</v>
      </c>
      <c r="D3203" s="3" t="s">
        <v>171</v>
      </c>
      <c r="E3203" s="4">
        <v>3.4999999999999996E-2</v>
      </c>
      <c r="F3203" s="4" t="s">
        <v>176</v>
      </c>
      <c r="G3203" s="9">
        <v>65</v>
      </c>
      <c r="H3203" s="9">
        <f t="shared" si="100"/>
        <v>2.2749999999999999</v>
      </c>
      <c r="I3203" t="s">
        <v>634</v>
      </c>
      <c r="J3203" s="33">
        <v>0</v>
      </c>
      <c r="K3203" s="18">
        <f>VLOOKUP(D3203,Ingredients!C:G,5,0)</f>
        <v>80</v>
      </c>
      <c r="L3203" s="52">
        <f t="shared" si="99"/>
        <v>2.8</v>
      </c>
    </row>
    <row r="3204" spans="1:12">
      <c r="A3204" s="21" t="s">
        <v>635</v>
      </c>
      <c r="B3204" t="s">
        <v>349</v>
      </c>
      <c r="C3204" t="s">
        <v>351</v>
      </c>
      <c r="D3204" s="3" t="s">
        <v>831</v>
      </c>
      <c r="E3204" s="4">
        <v>1</v>
      </c>
      <c r="F3204" s="4" t="s">
        <v>176</v>
      </c>
      <c r="G3204" s="9">
        <v>908</v>
      </c>
      <c r="H3204" s="9">
        <f t="shared" si="100"/>
        <v>908</v>
      </c>
      <c r="I3204" t="s">
        <v>179</v>
      </c>
      <c r="J3204" s="33" t="s">
        <v>489</v>
      </c>
      <c r="K3204" s="18">
        <f>VLOOKUP(D3204,Ingredients!C:G,5,0)</f>
        <v>908</v>
      </c>
      <c r="L3204" s="52">
        <f t="shared" ref="L3204:L3267" si="101">K3204*E3204</f>
        <v>908</v>
      </c>
    </row>
    <row r="3205" spans="1:12">
      <c r="A3205" s="21" t="s">
        <v>635</v>
      </c>
      <c r="B3205" t="s">
        <v>349</v>
      </c>
      <c r="C3205" t="s">
        <v>351</v>
      </c>
      <c r="D3205" s="3" t="s">
        <v>883</v>
      </c>
      <c r="E3205" s="4">
        <v>9.2399999999999996E-2</v>
      </c>
      <c r="F3205" s="4" t="s">
        <v>190</v>
      </c>
      <c r="G3205" s="9">
        <v>950</v>
      </c>
      <c r="H3205" s="9">
        <f t="shared" si="100"/>
        <v>87.78</v>
      </c>
      <c r="I3205" t="s">
        <v>179</v>
      </c>
      <c r="J3205" s="33" t="s">
        <v>489</v>
      </c>
      <c r="K3205" s="18">
        <f>VLOOKUP(D3205,Ingredients!C:G,5,0)</f>
        <v>313</v>
      </c>
      <c r="L3205" s="52">
        <f t="shared" si="101"/>
        <v>28.921199999999999</v>
      </c>
    </row>
    <row r="3206" spans="1:12">
      <c r="A3206" s="21" t="s">
        <v>635</v>
      </c>
      <c r="B3206" t="s">
        <v>349</v>
      </c>
      <c r="C3206" t="s">
        <v>351</v>
      </c>
      <c r="D3206" s="3" t="s">
        <v>872</v>
      </c>
      <c r="E3206" s="4">
        <v>2.3E-2</v>
      </c>
      <c r="F3206" s="4" t="s">
        <v>176</v>
      </c>
      <c r="G3206" s="9">
        <v>2100</v>
      </c>
      <c r="H3206" s="9">
        <f t="shared" si="100"/>
        <v>48.3</v>
      </c>
      <c r="I3206" t="s">
        <v>179</v>
      </c>
      <c r="J3206" s="33" t="s">
        <v>489</v>
      </c>
      <c r="K3206" s="18">
        <f>VLOOKUP(D3206,Ingredients!C:G,5,0)</f>
        <v>2150</v>
      </c>
      <c r="L3206" s="52">
        <f t="shared" si="101"/>
        <v>49.449999999999996</v>
      </c>
    </row>
    <row r="3207" spans="1:12">
      <c r="A3207" s="21" t="s">
        <v>635</v>
      </c>
      <c r="B3207" t="s">
        <v>349</v>
      </c>
      <c r="C3207" t="s">
        <v>351</v>
      </c>
      <c r="D3207" s="3" t="s">
        <v>853</v>
      </c>
      <c r="E3207" s="4">
        <v>2.3099999999999999E-2</v>
      </c>
      <c r="F3207" s="4" t="s">
        <v>176</v>
      </c>
      <c r="G3207" s="9">
        <v>30</v>
      </c>
      <c r="H3207" s="9">
        <f t="shared" si="100"/>
        <v>0.69299999999999995</v>
      </c>
      <c r="I3207" t="s">
        <v>179</v>
      </c>
      <c r="J3207" s="33" t="s">
        <v>489</v>
      </c>
      <c r="K3207" s="18">
        <f>VLOOKUP(D3207,Ingredients!C:G,5,0)</f>
        <v>55</v>
      </c>
      <c r="L3207" s="52">
        <f t="shared" si="101"/>
        <v>1.2705</v>
      </c>
    </row>
    <row r="3208" spans="1:12">
      <c r="A3208" s="21" t="s">
        <v>635</v>
      </c>
      <c r="B3208" t="s">
        <v>349</v>
      </c>
      <c r="C3208" t="s">
        <v>351</v>
      </c>
      <c r="D3208" s="3" t="s">
        <v>882</v>
      </c>
      <c r="E3208" s="4">
        <v>2.3099999999999999E-2</v>
      </c>
      <c r="F3208" s="4" t="s">
        <v>176</v>
      </c>
      <c r="G3208" s="9">
        <v>1500</v>
      </c>
      <c r="H3208" s="9">
        <f t="shared" si="100"/>
        <v>34.65</v>
      </c>
      <c r="I3208" t="s">
        <v>179</v>
      </c>
      <c r="J3208" s="33" t="s">
        <v>489</v>
      </c>
      <c r="K3208" s="18">
        <f>VLOOKUP(D3208,Ingredients!C:G,5,0)</f>
        <v>1450</v>
      </c>
      <c r="L3208" s="52">
        <f t="shared" si="101"/>
        <v>33.494999999999997</v>
      </c>
    </row>
    <row r="3209" spans="1:12">
      <c r="A3209" s="21" t="s">
        <v>635</v>
      </c>
      <c r="B3209" t="s">
        <v>349</v>
      </c>
      <c r="C3209" t="s">
        <v>351</v>
      </c>
      <c r="D3209" s="3" t="s">
        <v>854</v>
      </c>
      <c r="E3209" s="4">
        <v>3.08</v>
      </c>
      <c r="F3209" s="4" t="s">
        <v>176</v>
      </c>
      <c r="G3209" s="9">
        <v>24.64</v>
      </c>
      <c r="H3209" s="9">
        <f t="shared" si="100"/>
        <v>75.891199999999998</v>
      </c>
      <c r="I3209" t="s">
        <v>179</v>
      </c>
      <c r="J3209" s="33" t="s">
        <v>489</v>
      </c>
      <c r="K3209" s="18">
        <f>VLOOKUP(D3209,Ingredients!C:G,5,0)</f>
        <v>20.059999999999999</v>
      </c>
      <c r="L3209" s="52">
        <f t="shared" si="101"/>
        <v>61.784799999999997</v>
      </c>
    </row>
    <row r="3210" spans="1:12">
      <c r="A3210" s="21" t="s">
        <v>635</v>
      </c>
      <c r="B3210" t="s">
        <v>349</v>
      </c>
      <c r="C3210" t="s">
        <v>351</v>
      </c>
      <c r="D3210" s="3" t="s">
        <v>835</v>
      </c>
      <c r="E3210" s="4">
        <v>0.23099999999999998</v>
      </c>
      <c r="F3210" s="4" t="s">
        <v>176</v>
      </c>
      <c r="G3210" s="9">
        <v>389.34</v>
      </c>
      <c r="H3210" s="9">
        <f t="shared" si="100"/>
        <v>89.937539999999984</v>
      </c>
      <c r="I3210" t="s">
        <v>179</v>
      </c>
      <c r="J3210" s="33" t="s">
        <v>489</v>
      </c>
      <c r="K3210" s="18">
        <f>VLOOKUP(D3210,Ingredients!C:G,5,0)</f>
        <v>394.63</v>
      </c>
      <c r="L3210" s="52">
        <f t="shared" si="101"/>
        <v>91.15952999999999</v>
      </c>
    </row>
    <row r="3211" spans="1:12">
      <c r="A3211" s="21" t="s">
        <v>635</v>
      </c>
      <c r="B3211" t="s">
        <v>349</v>
      </c>
      <c r="C3211" t="s">
        <v>351</v>
      </c>
      <c r="D3211" s="3" t="s">
        <v>24</v>
      </c>
      <c r="E3211" s="4">
        <v>0.1232</v>
      </c>
      <c r="F3211" s="4" t="s">
        <v>176</v>
      </c>
      <c r="G3211" s="9">
        <v>55</v>
      </c>
      <c r="H3211" s="9">
        <f t="shared" si="100"/>
        <v>6.7759999999999998</v>
      </c>
      <c r="I3211" t="s">
        <v>179</v>
      </c>
      <c r="J3211" s="33" t="s">
        <v>489</v>
      </c>
      <c r="K3211" s="18">
        <f>VLOOKUP(D3211,Ingredients!C:G,5,0)</f>
        <v>80</v>
      </c>
      <c r="L3211" s="52">
        <f t="shared" si="101"/>
        <v>9.8559999999999999</v>
      </c>
    </row>
    <row r="3212" spans="1:12">
      <c r="A3212" s="21" t="s">
        <v>635</v>
      </c>
      <c r="B3212" t="s">
        <v>349</v>
      </c>
      <c r="C3212" t="s">
        <v>351</v>
      </c>
      <c r="D3212" s="3" t="s">
        <v>502</v>
      </c>
      <c r="E3212" s="4">
        <v>7.7000000000000013E-2</v>
      </c>
      <c r="F3212" s="4" t="s">
        <v>176</v>
      </c>
      <c r="G3212" s="9">
        <v>500</v>
      </c>
      <c r="H3212" s="9">
        <f t="shared" si="100"/>
        <v>38.500000000000007</v>
      </c>
      <c r="I3212" t="s">
        <v>179</v>
      </c>
      <c r="J3212" s="33" t="s">
        <v>489</v>
      </c>
      <c r="K3212" s="18">
        <f>VLOOKUP(D3212,Ingredients!C:G,5,0)</f>
        <v>130</v>
      </c>
      <c r="L3212" s="52">
        <f t="shared" si="101"/>
        <v>10.010000000000002</v>
      </c>
    </row>
    <row r="3213" spans="1:12">
      <c r="A3213" s="21" t="s">
        <v>635</v>
      </c>
      <c r="B3213" t="s">
        <v>349</v>
      </c>
      <c r="C3213" t="s">
        <v>351</v>
      </c>
      <c r="D3213" s="3" t="s">
        <v>867</v>
      </c>
      <c r="E3213" s="4">
        <v>1.848E-2</v>
      </c>
      <c r="F3213" s="4" t="s">
        <v>176</v>
      </c>
      <c r="G3213" s="9">
        <v>900</v>
      </c>
      <c r="H3213" s="9">
        <f t="shared" si="100"/>
        <v>16.632000000000001</v>
      </c>
      <c r="I3213" t="s">
        <v>179</v>
      </c>
      <c r="J3213" s="33" t="s">
        <v>489</v>
      </c>
      <c r="K3213" s="18">
        <f>VLOOKUP(D3213,Ingredients!C:G,5,0)</f>
        <v>950</v>
      </c>
      <c r="L3213" s="52">
        <f t="shared" si="101"/>
        <v>17.556000000000001</v>
      </c>
    </row>
    <row r="3214" spans="1:12">
      <c r="A3214" s="21" t="s">
        <v>635</v>
      </c>
      <c r="B3214" t="s">
        <v>349</v>
      </c>
      <c r="C3214" t="s">
        <v>351</v>
      </c>
      <c r="D3214" s="3" t="s">
        <v>96</v>
      </c>
      <c r="E3214" s="4">
        <v>0.25</v>
      </c>
      <c r="F3214" s="4" t="s">
        <v>176</v>
      </c>
      <c r="G3214" s="9">
        <v>160</v>
      </c>
      <c r="H3214" s="9">
        <f t="shared" si="100"/>
        <v>40</v>
      </c>
      <c r="I3214" t="s">
        <v>179</v>
      </c>
      <c r="J3214" s="33" t="s">
        <v>489</v>
      </c>
      <c r="K3214" s="18">
        <f>VLOOKUP(D3214,Ingredients!C:G,5,0)</f>
        <v>120</v>
      </c>
      <c r="L3214" s="52">
        <f t="shared" si="101"/>
        <v>30</v>
      </c>
    </row>
    <row r="3215" spans="1:12">
      <c r="A3215" s="21" t="s">
        <v>635</v>
      </c>
      <c r="B3215" t="s">
        <v>349</v>
      </c>
      <c r="C3215" t="s">
        <v>351</v>
      </c>
      <c r="D3215" s="3" t="s">
        <v>16</v>
      </c>
      <c r="E3215" s="4">
        <v>2.3099999999999999E-2</v>
      </c>
      <c r="F3215" s="4" t="s">
        <v>176</v>
      </c>
      <c r="G3215" s="9">
        <v>270</v>
      </c>
      <c r="H3215" s="9">
        <f t="shared" si="100"/>
        <v>6.2370000000000001</v>
      </c>
      <c r="I3215" t="s">
        <v>179</v>
      </c>
      <c r="J3215" s="33" t="s">
        <v>489</v>
      </c>
      <c r="K3215" s="18">
        <f>VLOOKUP(D3215,Ingredients!C:G,5,0)</f>
        <v>310</v>
      </c>
      <c r="L3215" s="52">
        <f t="shared" si="101"/>
        <v>7.1609999999999996</v>
      </c>
    </row>
    <row r="3216" spans="1:12">
      <c r="A3216" s="21" t="s">
        <v>635</v>
      </c>
      <c r="B3216" t="s">
        <v>349</v>
      </c>
      <c r="C3216" t="s">
        <v>351</v>
      </c>
      <c r="D3216" s="3" t="s">
        <v>852</v>
      </c>
      <c r="E3216" s="4">
        <v>0.2</v>
      </c>
      <c r="F3216" s="4" t="s">
        <v>176</v>
      </c>
      <c r="G3216" s="9">
        <v>520.63</v>
      </c>
      <c r="H3216" s="9">
        <f t="shared" si="100"/>
        <v>104.126</v>
      </c>
      <c r="I3216" t="s">
        <v>179</v>
      </c>
      <c r="J3216" s="33" t="s">
        <v>489</v>
      </c>
      <c r="K3216" s="18">
        <v>550</v>
      </c>
      <c r="L3216" s="52">
        <f t="shared" si="101"/>
        <v>110</v>
      </c>
    </row>
    <row r="3217" spans="1:12">
      <c r="A3217" s="21" t="s">
        <v>636</v>
      </c>
      <c r="B3217" t="s">
        <v>358</v>
      </c>
      <c r="C3217" t="s">
        <v>637</v>
      </c>
      <c r="D3217" s="3" t="s">
        <v>637</v>
      </c>
      <c r="E3217" s="4">
        <v>1</v>
      </c>
      <c r="F3217" s="4" t="s">
        <v>485</v>
      </c>
      <c r="G3217" s="9">
        <v>10</v>
      </c>
      <c r="H3217" s="9">
        <f t="shared" si="100"/>
        <v>10</v>
      </c>
      <c r="I3217" t="s">
        <v>485</v>
      </c>
      <c r="J3217" s="33">
        <v>0</v>
      </c>
      <c r="K3217" s="18">
        <f>VLOOKUP(D3217,Ingredients!C:G,5,0)</f>
        <v>10</v>
      </c>
      <c r="L3217" s="52">
        <f t="shared" si="101"/>
        <v>10</v>
      </c>
    </row>
    <row r="3218" spans="1:12">
      <c r="A3218" s="21" t="s">
        <v>638</v>
      </c>
      <c r="B3218" t="s">
        <v>349</v>
      </c>
      <c r="C3218" t="s">
        <v>984</v>
      </c>
      <c r="D3218" s="3" t="s">
        <v>854</v>
      </c>
      <c r="E3218" s="4">
        <v>0.75</v>
      </c>
      <c r="F3218" s="4" t="s">
        <v>253</v>
      </c>
      <c r="G3218" s="9">
        <v>24.64</v>
      </c>
      <c r="H3218" s="9">
        <f t="shared" si="100"/>
        <v>18.48</v>
      </c>
      <c r="I3218" t="s">
        <v>253</v>
      </c>
      <c r="J3218" s="33">
        <v>0</v>
      </c>
      <c r="K3218" s="18">
        <f>VLOOKUP(D3218,Ingredients!C:G,5,0)</f>
        <v>20.059999999999999</v>
      </c>
      <c r="L3218" s="52">
        <f t="shared" si="101"/>
        <v>15.044999999999998</v>
      </c>
    </row>
    <row r="3219" spans="1:12">
      <c r="A3219" s="21" t="s">
        <v>638</v>
      </c>
      <c r="B3219" t="s">
        <v>349</v>
      </c>
      <c r="C3219" t="s">
        <v>984</v>
      </c>
      <c r="D3219" s="3" t="s">
        <v>888</v>
      </c>
      <c r="E3219" s="4">
        <v>3.7499999999999999E-3</v>
      </c>
      <c r="F3219" s="4" t="s">
        <v>176</v>
      </c>
      <c r="G3219" s="9">
        <v>580</v>
      </c>
      <c r="H3219" s="9">
        <f t="shared" si="100"/>
        <v>2.1749999999999998</v>
      </c>
      <c r="I3219" t="s">
        <v>253</v>
      </c>
      <c r="J3219" s="33">
        <v>0</v>
      </c>
      <c r="K3219" s="18">
        <f>VLOOKUP(D3219,Ingredients!C:G,5,0)</f>
        <v>580</v>
      </c>
      <c r="L3219" s="52">
        <f t="shared" si="101"/>
        <v>2.1749999999999998</v>
      </c>
    </row>
    <row r="3220" spans="1:12">
      <c r="A3220" s="21" t="s">
        <v>638</v>
      </c>
      <c r="B3220" t="s">
        <v>349</v>
      </c>
      <c r="C3220" t="s">
        <v>984</v>
      </c>
      <c r="D3220" s="3" t="s">
        <v>834</v>
      </c>
      <c r="E3220" s="4">
        <v>3.7499999999999999E-3</v>
      </c>
      <c r="F3220" s="4" t="s">
        <v>176</v>
      </c>
      <c r="G3220" s="9">
        <v>515</v>
      </c>
      <c r="H3220" s="9">
        <f t="shared" si="100"/>
        <v>1.9312499999999999</v>
      </c>
      <c r="I3220" t="s">
        <v>253</v>
      </c>
      <c r="J3220" s="33">
        <v>0</v>
      </c>
      <c r="K3220" s="18">
        <f>VLOOKUP(D3220,Ingredients!C:G,5,0)</f>
        <v>540</v>
      </c>
      <c r="L3220" s="52">
        <f t="shared" si="101"/>
        <v>2.0249999999999999</v>
      </c>
    </row>
    <row r="3221" spans="1:12">
      <c r="A3221" s="21" t="s">
        <v>638</v>
      </c>
      <c r="B3221" t="s">
        <v>349</v>
      </c>
      <c r="C3221" t="s">
        <v>984</v>
      </c>
      <c r="D3221" s="3" t="s">
        <v>96</v>
      </c>
      <c r="E3221" s="4">
        <v>6.2500000000000003E-3</v>
      </c>
      <c r="F3221" s="4" t="s">
        <v>176</v>
      </c>
      <c r="G3221" s="9">
        <v>160</v>
      </c>
      <c r="H3221" s="9">
        <f t="shared" si="100"/>
        <v>1</v>
      </c>
      <c r="I3221" t="s">
        <v>253</v>
      </c>
      <c r="J3221" s="33">
        <v>0</v>
      </c>
      <c r="K3221" s="18">
        <f>VLOOKUP(D3221,Ingredients!C:G,5,0)</f>
        <v>120</v>
      </c>
      <c r="L3221" s="52">
        <f t="shared" si="101"/>
        <v>0.75</v>
      </c>
    </row>
    <row r="3222" spans="1:12">
      <c r="A3222" s="21" t="s">
        <v>638</v>
      </c>
      <c r="B3222" t="s">
        <v>349</v>
      </c>
      <c r="C3222" t="s">
        <v>984</v>
      </c>
      <c r="D3222" s="3" t="s">
        <v>882</v>
      </c>
      <c r="E3222" s="4">
        <v>1E-3</v>
      </c>
      <c r="F3222" s="4" t="s">
        <v>176</v>
      </c>
      <c r="G3222" s="9">
        <v>1500</v>
      </c>
      <c r="H3222" s="9">
        <f t="shared" si="100"/>
        <v>1.5</v>
      </c>
      <c r="I3222" t="s">
        <v>253</v>
      </c>
      <c r="J3222" s="33">
        <v>0</v>
      </c>
      <c r="K3222" s="18">
        <f>VLOOKUP(D3222,Ingredients!C:G,5,0)</f>
        <v>1450</v>
      </c>
      <c r="L3222" s="52">
        <f t="shared" si="101"/>
        <v>1.45</v>
      </c>
    </row>
    <row r="3223" spans="1:12">
      <c r="A3223" s="21" t="s">
        <v>638</v>
      </c>
      <c r="B3223" t="s">
        <v>349</v>
      </c>
      <c r="C3223" t="s">
        <v>984</v>
      </c>
      <c r="D3223" s="3" t="s">
        <v>853</v>
      </c>
      <c r="E3223" s="4">
        <v>5.0000000000000001E-4</v>
      </c>
      <c r="F3223" s="4" t="s">
        <v>176</v>
      </c>
      <c r="G3223" s="9">
        <v>30</v>
      </c>
      <c r="H3223" s="9">
        <f t="shared" si="100"/>
        <v>1.4999999999999999E-2</v>
      </c>
      <c r="I3223" t="s">
        <v>253</v>
      </c>
      <c r="J3223" s="33">
        <v>0</v>
      </c>
      <c r="K3223" s="18">
        <f>VLOOKUP(D3223,Ingredients!C:G,5,0)</f>
        <v>55</v>
      </c>
      <c r="L3223" s="52">
        <f t="shared" si="101"/>
        <v>2.75E-2</v>
      </c>
    </row>
    <row r="3224" spans="1:12">
      <c r="A3224" s="21" t="s">
        <v>638</v>
      </c>
      <c r="B3224" t="s">
        <v>349</v>
      </c>
      <c r="C3224" t="s">
        <v>984</v>
      </c>
      <c r="D3224" s="3" t="s">
        <v>959</v>
      </c>
      <c r="E3224" s="4">
        <v>1</v>
      </c>
      <c r="F3224" s="4" t="s">
        <v>557</v>
      </c>
      <c r="G3224" s="9">
        <v>7.4204166666666653</v>
      </c>
      <c r="H3224" s="9">
        <f t="shared" si="100"/>
        <v>7.4204166666666653</v>
      </c>
      <c r="I3224" t="s">
        <v>253</v>
      </c>
      <c r="J3224" s="33">
        <v>0</v>
      </c>
      <c r="K3224" s="18">
        <f>VLOOKUP(D3224,Ingredients!C:G,5,0)</f>
        <v>7.4204166666666653</v>
      </c>
      <c r="L3224" s="52">
        <f t="shared" si="101"/>
        <v>7.4204166666666653</v>
      </c>
    </row>
    <row r="3225" spans="1:12">
      <c r="A3225" s="21" t="s">
        <v>638</v>
      </c>
      <c r="B3225" t="s">
        <v>349</v>
      </c>
      <c r="C3225" t="s">
        <v>984</v>
      </c>
      <c r="D3225" s="3" t="s">
        <v>865</v>
      </c>
      <c r="E3225" s="4">
        <v>2.5000000000000001E-3</v>
      </c>
      <c r="F3225" s="4" t="s">
        <v>176</v>
      </c>
      <c r="G3225" s="9">
        <v>1400</v>
      </c>
      <c r="H3225" s="9">
        <f t="shared" si="100"/>
        <v>3.5</v>
      </c>
      <c r="I3225" t="s">
        <v>253</v>
      </c>
      <c r="J3225" s="33">
        <v>0</v>
      </c>
      <c r="K3225" s="18">
        <f>VLOOKUP(D3225,Ingredients!C:G,5,0)</f>
        <v>1400</v>
      </c>
      <c r="L3225" s="52">
        <f t="shared" si="101"/>
        <v>3.5</v>
      </c>
    </row>
    <row r="3226" spans="1:12">
      <c r="A3226" t="s">
        <v>639</v>
      </c>
      <c r="B3226" t="s">
        <v>349</v>
      </c>
      <c r="C3226" t="s">
        <v>984</v>
      </c>
      <c r="D3226" s="3" t="s">
        <v>833</v>
      </c>
      <c r="E3226" s="4">
        <v>0.45</v>
      </c>
      <c r="F3226" s="4" t="s">
        <v>176</v>
      </c>
      <c r="G3226" s="9">
        <v>1020</v>
      </c>
      <c r="H3226" s="9">
        <f t="shared" si="100"/>
        <v>459</v>
      </c>
      <c r="I3226" t="s">
        <v>253</v>
      </c>
      <c r="J3226" s="33" t="s">
        <v>490</v>
      </c>
      <c r="K3226" s="18">
        <f>VLOOKUP(D3226,Ingredients!C:G,5,0)</f>
        <v>1000</v>
      </c>
      <c r="L3226" s="52">
        <f t="shared" si="101"/>
        <v>450</v>
      </c>
    </row>
    <row r="3227" spans="1:12">
      <c r="A3227" t="s">
        <v>639</v>
      </c>
      <c r="B3227" t="s">
        <v>349</v>
      </c>
      <c r="C3227" t="s">
        <v>984</v>
      </c>
      <c r="D3227" s="3" t="s">
        <v>853</v>
      </c>
      <c r="E3227" s="4">
        <v>0.03</v>
      </c>
      <c r="F3227" s="4" t="s">
        <v>176</v>
      </c>
      <c r="G3227" s="9">
        <v>30</v>
      </c>
      <c r="H3227" s="9">
        <f t="shared" si="100"/>
        <v>0.89999999999999991</v>
      </c>
      <c r="I3227" t="s">
        <v>253</v>
      </c>
      <c r="J3227" s="33" t="s">
        <v>490</v>
      </c>
      <c r="K3227" s="18">
        <f>VLOOKUP(D3227,Ingredients!C:G,5,0)</f>
        <v>55</v>
      </c>
      <c r="L3227" s="52">
        <f t="shared" si="101"/>
        <v>1.65</v>
      </c>
    </row>
    <row r="3228" spans="1:12">
      <c r="A3228" t="s">
        <v>639</v>
      </c>
      <c r="B3228" t="s">
        <v>349</v>
      </c>
      <c r="C3228" t="s">
        <v>984</v>
      </c>
      <c r="D3228" s="3" t="s">
        <v>882</v>
      </c>
      <c r="E3228" s="4">
        <v>1.4999999999999999E-2</v>
      </c>
      <c r="F3228" s="4" t="s">
        <v>176</v>
      </c>
      <c r="G3228" s="9">
        <v>1500</v>
      </c>
      <c r="H3228" s="9">
        <f t="shared" si="100"/>
        <v>22.5</v>
      </c>
      <c r="I3228" t="s">
        <v>253</v>
      </c>
      <c r="J3228" s="33" t="s">
        <v>490</v>
      </c>
      <c r="K3228" s="18">
        <f>VLOOKUP(D3228,Ingredients!C:G,5,0)</f>
        <v>1450</v>
      </c>
      <c r="L3228" s="52">
        <f t="shared" si="101"/>
        <v>21.75</v>
      </c>
    </row>
    <row r="3229" spans="1:12">
      <c r="A3229" t="s">
        <v>639</v>
      </c>
      <c r="B3229" t="s">
        <v>349</v>
      </c>
      <c r="C3229" t="s">
        <v>984</v>
      </c>
      <c r="D3229" s="3" t="s">
        <v>73</v>
      </c>
      <c r="E3229" s="4">
        <v>0.06</v>
      </c>
      <c r="F3229" s="4" t="s">
        <v>176</v>
      </c>
      <c r="G3229" s="9">
        <v>305</v>
      </c>
      <c r="H3229" s="9">
        <f t="shared" si="100"/>
        <v>18.3</v>
      </c>
      <c r="I3229" t="s">
        <v>253</v>
      </c>
      <c r="J3229" s="33" t="s">
        <v>490</v>
      </c>
      <c r="K3229" s="18">
        <f>VLOOKUP(D3229,Ingredients!C:G,5,0)</f>
        <v>300</v>
      </c>
      <c r="L3229" s="52">
        <f t="shared" si="101"/>
        <v>18</v>
      </c>
    </row>
    <row r="3230" spans="1:12">
      <c r="A3230" t="s">
        <v>639</v>
      </c>
      <c r="B3230" t="s">
        <v>349</v>
      </c>
      <c r="C3230" t="s">
        <v>984</v>
      </c>
      <c r="D3230" s="3" t="s">
        <v>50</v>
      </c>
      <c r="E3230" s="4">
        <v>0.02</v>
      </c>
      <c r="F3230" s="4" t="s">
        <v>176</v>
      </c>
      <c r="G3230" s="9">
        <v>120</v>
      </c>
      <c r="H3230" s="9">
        <f t="shared" si="100"/>
        <v>2.4</v>
      </c>
      <c r="I3230" t="s">
        <v>253</v>
      </c>
      <c r="J3230" s="33" t="s">
        <v>490</v>
      </c>
      <c r="K3230" s="18">
        <f>VLOOKUP(D3230,Ingredients!C:G,5,0)</f>
        <v>120</v>
      </c>
      <c r="L3230" s="52">
        <f t="shared" si="101"/>
        <v>2.4</v>
      </c>
    </row>
    <row r="3231" spans="1:12">
      <c r="A3231" t="s">
        <v>639</v>
      </c>
      <c r="B3231" t="s">
        <v>349</v>
      </c>
      <c r="C3231" t="s">
        <v>984</v>
      </c>
      <c r="D3231" s="3" t="s">
        <v>863</v>
      </c>
      <c r="E3231" s="4">
        <v>0.03</v>
      </c>
      <c r="F3231" s="4" t="s">
        <v>176</v>
      </c>
      <c r="G3231" s="9">
        <v>675</v>
      </c>
      <c r="H3231" s="9">
        <f t="shared" si="100"/>
        <v>20.25</v>
      </c>
      <c r="I3231" t="s">
        <v>253</v>
      </c>
      <c r="J3231" s="33" t="s">
        <v>490</v>
      </c>
      <c r="K3231" s="18">
        <f>VLOOKUP(D3231,Ingredients!C:G,5,0)</f>
        <v>675</v>
      </c>
      <c r="L3231" s="52">
        <f t="shared" si="101"/>
        <v>20.25</v>
      </c>
    </row>
    <row r="3232" spans="1:12">
      <c r="A3232" t="s">
        <v>639</v>
      </c>
      <c r="B3232" t="s">
        <v>349</v>
      </c>
      <c r="C3232" t="s">
        <v>984</v>
      </c>
      <c r="D3232" s="3" t="s">
        <v>94</v>
      </c>
      <c r="E3232" s="4">
        <v>0.08</v>
      </c>
      <c r="F3232" s="4" t="s">
        <v>176</v>
      </c>
      <c r="G3232" s="9">
        <v>90</v>
      </c>
      <c r="H3232" s="9">
        <f t="shared" si="100"/>
        <v>7.2</v>
      </c>
      <c r="I3232" t="s">
        <v>253</v>
      </c>
      <c r="J3232" s="33" t="s">
        <v>490</v>
      </c>
      <c r="K3232" s="18">
        <f>VLOOKUP(D3232,Ingredients!C:G,5,0)</f>
        <v>40</v>
      </c>
      <c r="L3232" s="52">
        <f t="shared" si="101"/>
        <v>3.2</v>
      </c>
    </row>
    <row r="3233" spans="1:12">
      <c r="A3233" t="s">
        <v>639</v>
      </c>
      <c r="B3233" t="s">
        <v>349</v>
      </c>
      <c r="C3233" t="s">
        <v>984</v>
      </c>
      <c r="D3233" s="3" t="s">
        <v>966</v>
      </c>
      <c r="E3233" s="4">
        <v>1</v>
      </c>
      <c r="F3233" s="4" t="s">
        <v>253</v>
      </c>
      <c r="G3233" s="9">
        <v>17</v>
      </c>
      <c r="H3233" s="9">
        <f t="shared" si="100"/>
        <v>17</v>
      </c>
      <c r="I3233" t="s">
        <v>253</v>
      </c>
      <c r="J3233" s="33" t="s">
        <v>490</v>
      </c>
      <c r="K3233" s="18">
        <f>VLOOKUP(D3233,Ingredients!C:G,5,0)</f>
        <v>17</v>
      </c>
      <c r="L3233" s="52">
        <f t="shared" si="101"/>
        <v>17</v>
      </c>
    </row>
    <row r="3234" spans="1:12">
      <c r="A3234" s="21" t="s">
        <v>640</v>
      </c>
      <c r="B3234" t="s">
        <v>362</v>
      </c>
      <c r="C3234" t="s">
        <v>994</v>
      </c>
      <c r="D3234" s="3" t="s">
        <v>922</v>
      </c>
      <c r="E3234" s="14">
        <v>2.75E-2</v>
      </c>
      <c r="F3234" s="4" t="s">
        <v>176</v>
      </c>
      <c r="G3234" s="9">
        <v>300</v>
      </c>
      <c r="H3234" s="9">
        <f t="shared" si="100"/>
        <v>8.25</v>
      </c>
      <c r="I3234" t="s">
        <v>641</v>
      </c>
      <c r="J3234" s="33">
        <v>0</v>
      </c>
      <c r="K3234" s="18">
        <f>VLOOKUP(D3234,Ingredients!C:G,5,0)</f>
        <v>315</v>
      </c>
      <c r="L3234" s="52">
        <f t="shared" si="101"/>
        <v>8.6624999999999996</v>
      </c>
    </row>
    <row r="3235" spans="1:12">
      <c r="A3235" s="21" t="s">
        <v>640</v>
      </c>
      <c r="B3235" t="s">
        <v>362</v>
      </c>
      <c r="C3235" t="s">
        <v>994</v>
      </c>
      <c r="D3235" s="3" t="s">
        <v>171</v>
      </c>
      <c r="E3235" s="14">
        <v>1.8749999999999999E-2</v>
      </c>
      <c r="F3235" s="4" t="s">
        <v>176</v>
      </c>
      <c r="G3235" s="9">
        <v>65</v>
      </c>
      <c r="H3235" s="9">
        <f t="shared" si="100"/>
        <v>1.21875</v>
      </c>
      <c r="I3235" t="s">
        <v>641</v>
      </c>
      <c r="J3235" s="33">
        <v>0</v>
      </c>
      <c r="K3235" s="18">
        <f>VLOOKUP(D3235,Ingredients!C:G,5,0)</f>
        <v>80</v>
      </c>
      <c r="L3235" s="52">
        <f t="shared" si="101"/>
        <v>1.5</v>
      </c>
    </row>
    <row r="3236" spans="1:12">
      <c r="A3236" s="21" t="s">
        <v>640</v>
      </c>
      <c r="B3236" t="s">
        <v>362</v>
      </c>
      <c r="C3236" t="s">
        <v>994</v>
      </c>
      <c r="D3236" s="3" t="s">
        <v>24</v>
      </c>
      <c r="E3236" s="14">
        <v>8.7500000000000008E-3</v>
      </c>
      <c r="F3236" s="4" t="s">
        <v>176</v>
      </c>
      <c r="G3236" s="9">
        <v>55</v>
      </c>
      <c r="H3236" s="9">
        <f t="shared" si="100"/>
        <v>0.48125000000000007</v>
      </c>
      <c r="I3236" t="s">
        <v>641</v>
      </c>
      <c r="J3236" s="33">
        <v>0</v>
      </c>
      <c r="K3236" s="18">
        <f>VLOOKUP(D3236,Ingredients!C:G,5,0)</f>
        <v>80</v>
      </c>
      <c r="L3236" s="52">
        <f t="shared" si="101"/>
        <v>0.70000000000000007</v>
      </c>
    </row>
    <row r="3237" spans="1:12">
      <c r="A3237" s="21" t="s">
        <v>640</v>
      </c>
      <c r="B3237" t="s">
        <v>362</v>
      </c>
      <c r="C3237" t="s">
        <v>994</v>
      </c>
      <c r="D3237" s="3" t="s">
        <v>28</v>
      </c>
      <c r="E3237" s="14">
        <v>1.4999999999999999E-2</v>
      </c>
      <c r="F3237" s="4" t="s">
        <v>176</v>
      </c>
      <c r="G3237" s="9">
        <v>85</v>
      </c>
      <c r="H3237" s="9">
        <f t="shared" si="100"/>
        <v>1.2749999999999999</v>
      </c>
      <c r="I3237" t="s">
        <v>641</v>
      </c>
      <c r="J3237" s="33">
        <v>0</v>
      </c>
      <c r="K3237" s="18">
        <f>VLOOKUP(D3237,Ingredients!C:G,5,0)</f>
        <v>70</v>
      </c>
      <c r="L3237" s="52">
        <f t="shared" si="101"/>
        <v>1.05</v>
      </c>
    </row>
    <row r="3238" spans="1:12">
      <c r="A3238" s="21" t="s">
        <v>640</v>
      </c>
      <c r="B3238" t="s">
        <v>362</v>
      </c>
      <c r="C3238" t="s">
        <v>994</v>
      </c>
      <c r="D3238" s="3" t="s">
        <v>29</v>
      </c>
      <c r="E3238" s="14">
        <v>5.0000000000000001E-3</v>
      </c>
      <c r="F3238" s="4" t="s">
        <v>176</v>
      </c>
      <c r="G3238" s="9">
        <v>60</v>
      </c>
      <c r="H3238" s="9">
        <f t="shared" si="100"/>
        <v>0.3</v>
      </c>
      <c r="I3238" t="s">
        <v>641</v>
      </c>
      <c r="J3238" s="33">
        <v>0</v>
      </c>
      <c r="K3238" s="18">
        <f>VLOOKUP(D3238,Ingredients!C:G,5,0)</f>
        <v>100</v>
      </c>
      <c r="L3238" s="52">
        <f t="shared" si="101"/>
        <v>0.5</v>
      </c>
    </row>
    <row r="3239" spans="1:12">
      <c r="A3239" s="21" t="s">
        <v>640</v>
      </c>
      <c r="B3239" t="s">
        <v>362</v>
      </c>
      <c r="C3239" t="s">
        <v>994</v>
      </c>
      <c r="D3239" s="3" t="s">
        <v>7</v>
      </c>
      <c r="E3239" s="14">
        <v>0.01</v>
      </c>
      <c r="F3239" s="4" t="s">
        <v>252</v>
      </c>
      <c r="G3239" s="9">
        <v>8</v>
      </c>
      <c r="H3239" s="9">
        <f t="shared" si="100"/>
        <v>0.08</v>
      </c>
      <c r="I3239" t="s">
        <v>641</v>
      </c>
      <c r="J3239" s="33">
        <v>0</v>
      </c>
      <c r="K3239" s="18">
        <f>VLOOKUP(D3239,Ingredients!C:G,5,0)</f>
        <v>6</v>
      </c>
      <c r="L3239" s="52">
        <f t="shared" si="101"/>
        <v>0.06</v>
      </c>
    </row>
    <row r="3240" spans="1:12">
      <c r="A3240" s="21" t="s">
        <v>640</v>
      </c>
      <c r="B3240" t="s">
        <v>362</v>
      </c>
      <c r="C3240" t="s">
        <v>994</v>
      </c>
      <c r="D3240" s="3" t="s">
        <v>35</v>
      </c>
      <c r="E3240" s="14">
        <v>0.01</v>
      </c>
      <c r="F3240" s="4" t="s">
        <v>252</v>
      </c>
      <c r="G3240" s="9">
        <v>13</v>
      </c>
      <c r="H3240" s="9">
        <f t="shared" si="100"/>
        <v>0.13</v>
      </c>
      <c r="I3240" t="s">
        <v>641</v>
      </c>
      <c r="J3240" s="33">
        <v>0</v>
      </c>
      <c r="K3240" s="18">
        <f>VLOOKUP(D3240,Ingredients!C:G,5,0)</f>
        <v>15</v>
      </c>
      <c r="L3240" s="52">
        <f t="shared" si="101"/>
        <v>0.15</v>
      </c>
    </row>
    <row r="3241" spans="1:12">
      <c r="A3241" s="21" t="s">
        <v>640</v>
      </c>
      <c r="B3241" t="s">
        <v>362</v>
      </c>
      <c r="C3241" t="s">
        <v>994</v>
      </c>
      <c r="D3241" s="3" t="s">
        <v>387</v>
      </c>
      <c r="E3241" s="14">
        <v>0.01</v>
      </c>
      <c r="F3241" s="4" t="s">
        <v>179</v>
      </c>
      <c r="G3241" s="9">
        <v>337.17500000000001</v>
      </c>
      <c r="H3241" s="9">
        <f t="shared" si="100"/>
        <v>3.37175</v>
      </c>
      <c r="I3241" t="s">
        <v>641</v>
      </c>
      <c r="J3241" s="33">
        <v>0</v>
      </c>
      <c r="K3241" s="18">
        <f>VLOOKUP(D3241,Ingredients!C:G,5,0)</f>
        <v>337.17500000000001</v>
      </c>
      <c r="L3241" s="52">
        <f t="shared" si="101"/>
        <v>3.37175</v>
      </c>
    </row>
    <row r="3242" spans="1:12">
      <c r="A3242" s="21" t="s">
        <v>640</v>
      </c>
      <c r="B3242" t="s">
        <v>362</v>
      </c>
      <c r="C3242" t="s">
        <v>994</v>
      </c>
      <c r="D3242" s="3" t="s">
        <v>867</v>
      </c>
      <c r="E3242" s="14">
        <v>1.5E-3</v>
      </c>
      <c r="F3242" s="4" t="s">
        <v>179</v>
      </c>
      <c r="G3242" s="9">
        <v>900</v>
      </c>
      <c r="H3242" s="9">
        <f t="shared" si="100"/>
        <v>1.35</v>
      </c>
      <c r="I3242" t="s">
        <v>641</v>
      </c>
      <c r="J3242" s="33">
        <v>0</v>
      </c>
      <c r="K3242" s="18">
        <f>VLOOKUP(D3242,Ingredients!C:G,5,0)</f>
        <v>950</v>
      </c>
      <c r="L3242" s="52">
        <f t="shared" si="101"/>
        <v>1.425</v>
      </c>
    </row>
    <row r="3243" spans="1:12">
      <c r="A3243" s="21" t="s">
        <v>640</v>
      </c>
      <c r="B3243" t="s">
        <v>362</v>
      </c>
      <c r="C3243" t="s">
        <v>994</v>
      </c>
      <c r="D3243" s="3" t="s">
        <v>923</v>
      </c>
      <c r="E3243" s="14">
        <v>7.4999999999999997E-3</v>
      </c>
      <c r="F3243" s="4" t="s">
        <v>179</v>
      </c>
      <c r="G3243" s="9">
        <v>100</v>
      </c>
      <c r="H3243" s="9">
        <f t="shared" si="100"/>
        <v>0.75</v>
      </c>
      <c r="I3243" t="s">
        <v>641</v>
      </c>
      <c r="J3243" s="33">
        <v>0</v>
      </c>
      <c r="K3243" s="18">
        <f>VLOOKUP(D3243,Ingredients!C:G,5,0)</f>
        <v>1000</v>
      </c>
      <c r="L3243" s="52">
        <f t="shared" si="101"/>
        <v>7.5</v>
      </c>
    </row>
    <row r="3244" spans="1:12">
      <c r="A3244" s="21" t="s">
        <v>640</v>
      </c>
      <c r="B3244" t="s">
        <v>362</v>
      </c>
      <c r="C3244" t="s">
        <v>994</v>
      </c>
      <c r="D3244" s="3" t="s">
        <v>849</v>
      </c>
      <c r="E3244" s="14">
        <v>1.25E-3</v>
      </c>
      <c r="F3244" s="4" t="s">
        <v>179</v>
      </c>
      <c r="G3244" s="9">
        <v>1000</v>
      </c>
      <c r="H3244" s="9">
        <f t="shared" si="100"/>
        <v>1.25</v>
      </c>
      <c r="I3244" t="s">
        <v>641</v>
      </c>
      <c r="J3244" s="33">
        <v>0</v>
      </c>
      <c r="K3244" s="18">
        <f>VLOOKUP(D3244,Ingredients!C:G,5,0)</f>
        <v>950</v>
      </c>
      <c r="L3244" s="52">
        <f t="shared" si="101"/>
        <v>1.1875</v>
      </c>
    </row>
    <row r="3245" spans="1:12">
      <c r="A3245" s="21" t="s">
        <v>640</v>
      </c>
      <c r="B3245" t="s">
        <v>362</v>
      </c>
      <c r="C3245" t="s">
        <v>994</v>
      </c>
      <c r="D3245" s="3" t="s">
        <v>830</v>
      </c>
      <c r="E3245" s="14">
        <v>3.7499999999999999E-3</v>
      </c>
      <c r="F3245" s="4" t="s">
        <v>179</v>
      </c>
      <c r="G3245" s="9">
        <v>149</v>
      </c>
      <c r="H3245" s="9">
        <f t="shared" ref="H3245:H3308" si="102">G3245*E3245</f>
        <v>0.55874999999999997</v>
      </c>
      <c r="I3245" t="s">
        <v>641</v>
      </c>
      <c r="J3245" s="33">
        <v>0</v>
      </c>
      <c r="K3245" s="18">
        <f>VLOOKUP(D3245,Ingredients!C:G,5,0)</f>
        <v>123</v>
      </c>
      <c r="L3245" s="52">
        <f t="shared" si="101"/>
        <v>0.46124999999999999</v>
      </c>
    </row>
    <row r="3246" spans="1:12">
      <c r="A3246" s="21" t="s">
        <v>640</v>
      </c>
      <c r="B3246" t="s">
        <v>362</v>
      </c>
      <c r="C3246" t="s">
        <v>994</v>
      </c>
      <c r="D3246" s="3" t="s">
        <v>853</v>
      </c>
      <c r="E3246" s="14">
        <v>1E-3</v>
      </c>
      <c r="F3246" s="4" t="s">
        <v>179</v>
      </c>
      <c r="G3246" s="9">
        <v>30</v>
      </c>
      <c r="H3246" s="9">
        <f t="shared" si="102"/>
        <v>0.03</v>
      </c>
      <c r="I3246" t="s">
        <v>641</v>
      </c>
      <c r="J3246" s="33">
        <v>0</v>
      </c>
      <c r="K3246" s="18">
        <f>VLOOKUP(D3246,Ingredients!C:G,5,0)</f>
        <v>55</v>
      </c>
      <c r="L3246" s="52">
        <f t="shared" si="101"/>
        <v>5.5E-2</v>
      </c>
    </row>
    <row r="3247" spans="1:12">
      <c r="A3247" s="21" t="s">
        <v>640</v>
      </c>
      <c r="B3247" t="s">
        <v>362</v>
      </c>
      <c r="C3247" t="s">
        <v>994</v>
      </c>
      <c r="D3247" s="3" t="s">
        <v>895</v>
      </c>
      <c r="E3247" s="14">
        <v>3.7499999999999999E-3</v>
      </c>
      <c r="F3247" s="4" t="s">
        <v>179</v>
      </c>
      <c r="G3247" s="9">
        <v>400</v>
      </c>
      <c r="H3247" s="9">
        <f t="shared" si="102"/>
        <v>1.5</v>
      </c>
      <c r="I3247" t="s">
        <v>641</v>
      </c>
      <c r="J3247" s="33">
        <v>0</v>
      </c>
      <c r="K3247" s="18">
        <f>VLOOKUP(D3247,Ingredients!C:G,5,0)</f>
        <v>400</v>
      </c>
      <c r="L3247" s="52">
        <f t="shared" si="101"/>
        <v>1.5</v>
      </c>
    </row>
    <row r="3248" spans="1:12">
      <c r="A3248" s="21" t="s">
        <v>640</v>
      </c>
      <c r="B3248" t="s">
        <v>362</v>
      </c>
      <c r="C3248" t="s">
        <v>994</v>
      </c>
      <c r="D3248" s="3" t="s">
        <v>887</v>
      </c>
      <c r="E3248" s="14">
        <v>3.7499999999999999E-3</v>
      </c>
      <c r="F3248" s="4" t="s">
        <v>179</v>
      </c>
      <c r="G3248" s="9">
        <v>1600</v>
      </c>
      <c r="H3248" s="9">
        <f t="shared" si="102"/>
        <v>6</v>
      </c>
      <c r="I3248" t="s">
        <v>641</v>
      </c>
      <c r="J3248" s="33">
        <v>0</v>
      </c>
      <c r="K3248" s="18">
        <f>VLOOKUP(D3248,Ingredients!C:G,5,0)</f>
        <v>1830</v>
      </c>
      <c r="L3248" s="52">
        <f t="shared" si="101"/>
        <v>6.8624999999999998</v>
      </c>
    </row>
    <row r="3249" spans="1:12">
      <c r="A3249" s="21" t="s">
        <v>640</v>
      </c>
      <c r="B3249" t="s">
        <v>362</v>
      </c>
      <c r="C3249" t="s">
        <v>994</v>
      </c>
      <c r="D3249" s="3" t="s">
        <v>55</v>
      </c>
      <c r="E3249" s="14">
        <v>2.5000000000000001E-4</v>
      </c>
      <c r="F3249" s="4" t="s">
        <v>179</v>
      </c>
      <c r="G3249" s="9">
        <v>350</v>
      </c>
      <c r="H3249" s="9">
        <f t="shared" si="102"/>
        <v>8.7500000000000008E-2</v>
      </c>
      <c r="I3249" t="s">
        <v>641</v>
      </c>
      <c r="J3249" s="33">
        <v>0</v>
      </c>
      <c r="K3249" s="18">
        <f>VLOOKUP(D3249,Ingredients!C:G,5,0)</f>
        <v>457.875</v>
      </c>
      <c r="L3249" s="52">
        <f t="shared" si="101"/>
        <v>0.11446875000000001</v>
      </c>
    </row>
    <row r="3250" spans="1:12">
      <c r="A3250" s="21" t="s">
        <v>640</v>
      </c>
      <c r="B3250" t="s">
        <v>362</v>
      </c>
      <c r="C3250" t="s">
        <v>994</v>
      </c>
      <c r="D3250" s="3" t="s">
        <v>73</v>
      </c>
      <c r="E3250" s="14">
        <v>1.4999999999999999E-2</v>
      </c>
      <c r="F3250" s="4" t="s">
        <v>179</v>
      </c>
      <c r="G3250" s="9">
        <v>305</v>
      </c>
      <c r="H3250" s="9">
        <f t="shared" si="102"/>
        <v>4.5750000000000002</v>
      </c>
      <c r="I3250" t="s">
        <v>641</v>
      </c>
      <c r="J3250" s="33">
        <v>0</v>
      </c>
      <c r="K3250" s="18">
        <f>VLOOKUP(D3250,Ingredients!C:G,5,0)</f>
        <v>300</v>
      </c>
      <c r="L3250" s="52">
        <f t="shared" si="101"/>
        <v>4.5</v>
      </c>
    </row>
    <row r="3251" spans="1:12">
      <c r="A3251" s="21" t="s">
        <v>642</v>
      </c>
      <c r="B3251" t="s">
        <v>355</v>
      </c>
      <c r="C3251" t="s">
        <v>986</v>
      </c>
      <c r="D3251" s="3" t="s">
        <v>903</v>
      </c>
      <c r="E3251" s="14">
        <v>0.08</v>
      </c>
      <c r="F3251" s="4" t="s">
        <v>179</v>
      </c>
      <c r="G3251" s="9">
        <v>153.97999999999999</v>
      </c>
      <c r="H3251" s="9">
        <f t="shared" si="102"/>
        <v>12.318399999999999</v>
      </c>
      <c r="I3251" t="s">
        <v>253</v>
      </c>
      <c r="J3251" s="33" t="s">
        <v>489</v>
      </c>
      <c r="K3251" s="18">
        <f>VLOOKUP(D3251,Ingredients!C:G,5,0)</f>
        <v>152</v>
      </c>
      <c r="L3251" s="52">
        <f t="shared" si="101"/>
        <v>12.16</v>
      </c>
    </row>
    <row r="3252" spans="1:12">
      <c r="A3252" s="21" t="s">
        <v>642</v>
      </c>
      <c r="B3252" t="s">
        <v>355</v>
      </c>
      <c r="C3252" t="s">
        <v>986</v>
      </c>
      <c r="D3252" s="3" t="s">
        <v>853</v>
      </c>
      <c r="E3252" s="14">
        <v>1E-3</v>
      </c>
      <c r="F3252" s="4" t="s">
        <v>179</v>
      </c>
      <c r="G3252" s="9">
        <v>30</v>
      </c>
      <c r="H3252" s="9">
        <f t="shared" si="102"/>
        <v>0.03</v>
      </c>
      <c r="I3252" t="s">
        <v>253</v>
      </c>
      <c r="J3252" s="33" t="s">
        <v>489</v>
      </c>
      <c r="K3252" s="18">
        <f>VLOOKUP(D3252,Ingredients!C:G,5,0)</f>
        <v>55</v>
      </c>
      <c r="L3252" s="52">
        <f t="shared" si="101"/>
        <v>5.5E-2</v>
      </c>
    </row>
    <row r="3253" spans="1:12">
      <c r="A3253" s="21" t="s">
        <v>642</v>
      </c>
      <c r="B3253" t="s">
        <v>355</v>
      </c>
      <c r="C3253" t="s">
        <v>986</v>
      </c>
      <c r="D3253" s="3" t="s">
        <v>852</v>
      </c>
      <c r="E3253" s="14">
        <v>0.01</v>
      </c>
      <c r="F3253" s="4" t="s">
        <v>179</v>
      </c>
      <c r="G3253" s="9">
        <v>520.63</v>
      </c>
      <c r="H3253" s="9">
        <f t="shared" si="102"/>
        <v>5.2062999999999997</v>
      </c>
      <c r="I3253" t="s">
        <v>253</v>
      </c>
      <c r="J3253" s="33" t="s">
        <v>489</v>
      </c>
      <c r="K3253" s="18">
        <v>550</v>
      </c>
      <c r="L3253" s="52">
        <f t="shared" si="101"/>
        <v>5.5</v>
      </c>
    </row>
    <row r="3254" spans="1:12">
      <c r="A3254" s="21" t="s">
        <v>642</v>
      </c>
      <c r="B3254" t="s">
        <v>355</v>
      </c>
      <c r="C3254" t="s">
        <v>986</v>
      </c>
      <c r="D3254" s="3" t="s">
        <v>913</v>
      </c>
      <c r="E3254" s="14">
        <v>0.01</v>
      </c>
      <c r="F3254" s="4" t="s">
        <v>179</v>
      </c>
      <c r="G3254" s="9">
        <v>229.16666666666666</v>
      </c>
      <c r="H3254" s="9">
        <f t="shared" si="102"/>
        <v>2.2916666666666665</v>
      </c>
      <c r="I3254" t="s">
        <v>253</v>
      </c>
      <c r="J3254" s="33" t="s">
        <v>489</v>
      </c>
      <c r="K3254" s="18">
        <f>VLOOKUP(D3254,Ingredients!C:F,3,0)</f>
        <v>343.75</v>
      </c>
      <c r="L3254" s="52">
        <f t="shared" si="101"/>
        <v>3.4375</v>
      </c>
    </row>
    <row r="3255" spans="1:12">
      <c r="A3255" s="21" t="s">
        <v>642</v>
      </c>
      <c r="B3255" t="s">
        <v>355</v>
      </c>
      <c r="C3255" t="s">
        <v>986</v>
      </c>
      <c r="D3255" s="3" t="s">
        <v>831</v>
      </c>
      <c r="E3255" s="14">
        <v>9.9999999999999992E-2</v>
      </c>
      <c r="F3255" s="4" t="s">
        <v>179</v>
      </c>
      <c r="G3255" s="9">
        <v>908</v>
      </c>
      <c r="H3255" s="9">
        <f t="shared" si="102"/>
        <v>90.8</v>
      </c>
      <c r="I3255" t="s">
        <v>253</v>
      </c>
      <c r="J3255" s="33" t="s">
        <v>489</v>
      </c>
      <c r="K3255" s="18">
        <f>VLOOKUP(D3255,Ingredients!C:G,5,0)</f>
        <v>908</v>
      </c>
      <c r="L3255" s="52">
        <f t="shared" si="101"/>
        <v>90.8</v>
      </c>
    </row>
    <row r="3256" spans="1:12">
      <c r="A3256" s="21" t="s">
        <v>642</v>
      </c>
      <c r="B3256" t="s">
        <v>355</v>
      </c>
      <c r="C3256" t="s">
        <v>986</v>
      </c>
      <c r="D3256" s="3" t="s">
        <v>29</v>
      </c>
      <c r="E3256" s="14">
        <v>1.1666666666666667E-2</v>
      </c>
      <c r="F3256" s="4" t="s">
        <v>179</v>
      </c>
      <c r="G3256" s="9">
        <v>60</v>
      </c>
      <c r="H3256" s="9">
        <f t="shared" si="102"/>
        <v>0.70000000000000007</v>
      </c>
      <c r="I3256" t="s">
        <v>253</v>
      </c>
      <c r="J3256" s="33" t="s">
        <v>489</v>
      </c>
      <c r="K3256" s="18">
        <f>VLOOKUP(D3256,Ingredients!C:G,5,0)</f>
        <v>100</v>
      </c>
      <c r="L3256" s="52">
        <f t="shared" si="101"/>
        <v>1.1666666666666667</v>
      </c>
    </row>
    <row r="3257" spans="1:12">
      <c r="A3257" s="21" t="s">
        <v>642</v>
      </c>
      <c r="B3257" t="s">
        <v>355</v>
      </c>
      <c r="C3257" t="s">
        <v>986</v>
      </c>
      <c r="D3257" s="3" t="s">
        <v>860</v>
      </c>
      <c r="E3257" s="14">
        <v>1E-3</v>
      </c>
      <c r="F3257" s="4" t="s">
        <v>179</v>
      </c>
      <c r="G3257" s="9">
        <v>2000</v>
      </c>
      <c r="H3257" s="9">
        <f t="shared" si="102"/>
        <v>2</v>
      </c>
      <c r="I3257" t="s">
        <v>253</v>
      </c>
      <c r="J3257" s="33" t="s">
        <v>489</v>
      </c>
      <c r="K3257" s="18">
        <f>VLOOKUP(D3257,Ingredients!C:G,5,0)</f>
        <v>1900</v>
      </c>
      <c r="L3257" s="52">
        <f t="shared" si="101"/>
        <v>1.9000000000000001</v>
      </c>
    </row>
    <row r="3258" spans="1:12">
      <c r="A3258" s="21" t="s">
        <v>642</v>
      </c>
      <c r="B3258" t="s">
        <v>355</v>
      </c>
      <c r="C3258" t="s">
        <v>986</v>
      </c>
      <c r="D3258" s="3" t="s">
        <v>853</v>
      </c>
      <c r="E3258" s="14">
        <v>0.01</v>
      </c>
      <c r="F3258" s="4" t="s">
        <v>179</v>
      </c>
      <c r="G3258" s="9">
        <v>30</v>
      </c>
      <c r="H3258" s="9">
        <f t="shared" si="102"/>
        <v>0.3</v>
      </c>
      <c r="I3258" t="s">
        <v>253</v>
      </c>
      <c r="J3258" s="33" t="s">
        <v>489</v>
      </c>
      <c r="K3258" s="18">
        <f>VLOOKUP(D3258,Ingredients!C:G,5,0)</f>
        <v>55</v>
      </c>
      <c r="L3258" s="52">
        <f t="shared" si="101"/>
        <v>0.55000000000000004</v>
      </c>
    </row>
    <row r="3259" spans="1:12">
      <c r="A3259" s="21" t="s">
        <v>642</v>
      </c>
      <c r="B3259" t="s">
        <v>355</v>
      </c>
      <c r="C3259" t="s">
        <v>986</v>
      </c>
      <c r="D3259" s="3" t="s">
        <v>24</v>
      </c>
      <c r="E3259" s="14">
        <v>2.6666666666666668E-2</v>
      </c>
      <c r="F3259" s="4" t="s">
        <v>179</v>
      </c>
      <c r="G3259" s="9">
        <v>55</v>
      </c>
      <c r="H3259" s="9">
        <f t="shared" si="102"/>
        <v>1.4666666666666668</v>
      </c>
      <c r="I3259" t="s">
        <v>253</v>
      </c>
      <c r="J3259" s="33" t="s">
        <v>489</v>
      </c>
      <c r="K3259" s="18">
        <f>VLOOKUP(D3259,Ingredients!C:G,5,0)</f>
        <v>80</v>
      </c>
      <c r="L3259" s="52">
        <f t="shared" si="101"/>
        <v>2.1333333333333333</v>
      </c>
    </row>
    <row r="3260" spans="1:12">
      <c r="A3260" s="21" t="s">
        <v>642</v>
      </c>
      <c r="B3260" t="s">
        <v>355</v>
      </c>
      <c r="C3260" t="s">
        <v>986</v>
      </c>
      <c r="D3260" s="3" t="s">
        <v>35</v>
      </c>
      <c r="E3260" s="14">
        <v>6.6666666666666666E-2</v>
      </c>
      <c r="F3260" s="4" t="s">
        <v>252</v>
      </c>
      <c r="G3260" s="9">
        <v>13</v>
      </c>
      <c r="H3260" s="9">
        <f t="shared" si="102"/>
        <v>0.8666666666666667</v>
      </c>
      <c r="I3260" t="s">
        <v>253</v>
      </c>
      <c r="J3260" s="33" t="s">
        <v>489</v>
      </c>
      <c r="K3260" s="18">
        <f>VLOOKUP(D3260,Ingredients!C:G,5,0)</f>
        <v>15</v>
      </c>
      <c r="L3260" s="52">
        <f t="shared" si="101"/>
        <v>1</v>
      </c>
    </row>
    <row r="3261" spans="1:12">
      <c r="A3261" s="21" t="s">
        <v>642</v>
      </c>
      <c r="B3261" t="s">
        <v>355</v>
      </c>
      <c r="C3261" t="s">
        <v>986</v>
      </c>
      <c r="D3261" s="3" t="s">
        <v>849</v>
      </c>
      <c r="E3261" s="14">
        <v>0.01</v>
      </c>
      <c r="F3261" s="4" t="s">
        <v>179</v>
      </c>
      <c r="G3261" s="9">
        <v>1000</v>
      </c>
      <c r="H3261" s="9">
        <f t="shared" si="102"/>
        <v>10</v>
      </c>
      <c r="I3261" t="s">
        <v>253</v>
      </c>
      <c r="J3261" s="33" t="s">
        <v>489</v>
      </c>
      <c r="K3261" s="18">
        <f>VLOOKUP(D3261,Ingredients!C:G,5,0)</f>
        <v>950</v>
      </c>
      <c r="L3261" s="52">
        <f t="shared" si="101"/>
        <v>9.5</v>
      </c>
    </row>
    <row r="3262" spans="1:12">
      <c r="A3262" s="21" t="s">
        <v>642</v>
      </c>
      <c r="B3262" t="s">
        <v>355</v>
      </c>
      <c r="C3262" t="s">
        <v>986</v>
      </c>
      <c r="D3262" s="3" t="s">
        <v>887</v>
      </c>
      <c r="E3262" s="14">
        <v>0.01</v>
      </c>
      <c r="F3262" s="4" t="s">
        <v>179</v>
      </c>
      <c r="G3262" s="9">
        <v>1600</v>
      </c>
      <c r="H3262" s="9">
        <f t="shared" si="102"/>
        <v>16</v>
      </c>
      <c r="I3262" t="s">
        <v>253</v>
      </c>
      <c r="J3262" s="33" t="s">
        <v>489</v>
      </c>
      <c r="K3262" s="18">
        <f>VLOOKUP(D3262,Ingredients!C:G,5,0)</f>
        <v>1830</v>
      </c>
      <c r="L3262" s="52">
        <f t="shared" si="101"/>
        <v>18.3</v>
      </c>
    </row>
    <row r="3263" spans="1:12">
      <c r="A3263" s="21" t="s">
        <v>642</v>
      </c>
      <c r="B3263" t="s">
        <v>355</v>
      </c>
      <c r="C3263" t="s">
        <v>986</v>
      </c>
      <c r="D3263" s="3" t="s">
        <v>871</v>
      </c>
      <c r="E3263" s="14">
        <v>0.04</v>
      </c>
      <c r="F3263" s="4" t="s">
        <v>179</v>
      </c>
      <c r="G3263" s="9">
        <v>612.03499999999997</v>
      </c>
      <c r="H3263" s="9">
        <f t="shared" si="102"/>
        <v>24.481400000000001</v>
      </c>
      <c r="I3263" t="s">
        <v>253</v>
      </c>
      <c r="J3263" s="33" t="s">
        <v>489</v>
      </c>
      <c r="K3263" s="18">
        <f>VLOOKUP(D3263,Ingredients!C:F,3,0)</f>
        <v>1500</v>
      </c>
      <c r="L3263" s="52">
        <f t="shared" si="101"/>
        <v>60</v>
      </c>
    </row>
    <row r="3264" spans="1:12">
      <c r="A3264" s="21" t="s">
        <v>642</v>
      </c>
      <c r="B3264" t="s">
        <v>355</v>
      </c>
      <c r="C3264" t="s">
        <v>986</v>
      </c>
      <c r="D3264" s="3" t="s">
        <v>899</v>
      </c>
      <c r="E3264" s="14">
        <v>0.04</v>
      </c>
      <c r="F3264" s="4" t="s">
        <v>179</v>
      </c>
      <c r="G3264" s="9">
        <v>1511.98</v>
      </c>
      <c r="H3264" s="9">
        <f t="shared" si="102"/>
        <v>60.479199999999999</v>
      </c>
      <c r="I3264" t="s">
        <v>253</v>
      </c>
      <c r="J3264" s="33" t="s">
        <v>489</v>
      </c>
      <c r="K3264" s="18">
        <f>VLOOKUP(D3264,Ingredients!C:G,5,0)</f>
        <v>1511.98</v>
      </c>
      <c r="L3264" s="52">
        <f t="shared" si="101"/>
        <v>60.479199999999999</v>
      </c>
    </row>
    <row r="3265" spans="1:12">
      <c r="A3265" s="21" t="s">
        <v>642</v>
      </c>
      <c r="B3265" t="s">
        <v>355</v>
      </c>
      <c r="C3265" t="s">
        <v>986</v>
      </c>
      <c r="D3265" s="3" t="s">
        <v>852</v>
      </c>
      <c r="E3265" s="14">
        <v>1.6666666666666666E-2</v>
      </c>
      <c r="F3265" s="4" t="s">
        <v>190</v>
      </c>
      <c r="G3265" s="9">
        <v>520.63</v>
      </c>
      <c r="H3265" s="9">
        <f t="shared" si="102"/>
        <v>8.6771666666666665</v>
      </c>
      <c r="I3265" t="s">
        <v>253</v>
      </c>
      <c r="J3265" s="33" t="s">
        <v>489</v>
      </c>
      <c r="K3265" s="18">
        <v>550</v>
      </c>
      <c r="L3265" s="52">
        <f t="shared" si="101"/>
        <v>9.1666666666666661</v>
      </c>
    </row>
    <row r="3266" spans="1:12">
      <c r="A3266" s="21" t="s">
        <v>644</v>
      </c>
      <c r="B3266" t="s">
        <v>346</v>
      </c>
      <c r="C3266" t="s">
        <v>993</v>
      </c>
      <c r="D3266" s="3" t="s">
        <v>854</v>
      </c>
      <c r="E3266" s="4">
        <v>20</v>
      </c>
      <c r="F3266" s="4" t="s">
        <v>253</v>
      </c>
      <c r="G3266" s="9">
        <v>24.64</v>
      </c>
      <c r="H3266" s="9">
        <f t="shared" si="102"/>
        <v>492.8</v>
      </c>
      <c r="I3266" t="s">
        <v>997</v>
      </c>
      <c r="J3266" s="33">
        <v>0</v>
      </c>
      <c r="K3266" s="18">
        <f>VLOOKUP(D3266,Ingredients!C:G,5,0)</f>
        <v>20.059999999999999</v>
      </c>
      <c r="L3266" s="52">
        <f t="shared" si="101"/>
        <v>401.2</v>
      </c>
    </row>
    <row r="3267" spans="1:12">
      <c r="A3267" s="21" t="s">
        <v>644</v>
      </c>
      <c r="B3267" t="s">
        <v>346</v>
      </c>
      <c r="C3267" t="s">
        <v>993</v>
      </c>
      <c r="D3267" s="3" t="s">
        <v>922</v>
      </c>
      <c r="E3267" s="4">
        <v>2.5</v>
      </c>
      <c r="F3267" s="4" t="s">
        <v>179</v>
      </c>
      <c r="G3267" s="9">
        <v>300</v>
      </c>
      <c r="H3267" s="9">
        <f t="shared" si="102"/>
        <v>750</v>
      </c>
      <c r="I3267" t="s">
        <v>997</v>
      </c>
      <c r="J3267" s="33">
        <v>0</v>
      </c>
      <c r="K3267" s="18">
        <f>VLOOKUP(D3267,Ingredients!C:G,5,0)</f>
        <v>315</v>
      </c>
      <c r="L3267" s="52">
        <f t="shared" si="101"/>
        <v>787.5</v>
      </c>
    </row>
    <row r="3268" spans="1:12">
      <c r="A3268" s="21" t="s">
        <v>644</v>
      </c>
      <c r="B3268" t="s">
        <v>346</v>
      </c>
      <c r="C3268" t="s">
        <v>993</v>
      </c>
      <c r="D3268" s="3" t="s">
        <v>24</v>
      </c>
      <c r="E3268" s="4">
        <v>0.70000000000000007</v>
      </c>
      <c r="F3268" s="4" t="s">
        <v>179</v>
      </c>
      <c r="G3268" s="9">
        <v>55</v>
      </c>
      <c r="H3268" s="9">
        <f t="shared" si="102"/>
        <v>38.500000000000007</v>
      </c>
      <c r="I3268" t="s">
        <v>997</v>
      </c>
      <c r="J3268" s="33">
        <v>0</v>
      </c>
      <c r="K3268" s="18">
        <f>VLOOKUP(D3268,Ingredients!C:G,5,0)</f>
        <v>80</v>
      </c>
      <c r="L3268" s="52">
        <f t="shared" ref="L3268:L3331" si="103">K3268*E3268</f>
        <v>56.000000000000007</v>
      </c>
    </row>
    <row r="3269" spans="1:12">
      <c r="A3269" s="21" t="s">
        <v>644</v>
      </c>
      <c r="B3269" t="s">
        <v>346</v>
      </c>
      <c r="C3269" t="s">
        <v>993</v>
      </c>
      <c r="D3269" s="3" t="s">
        <v>23</v>
      </c>
      <c r="E3269" s="4">
        <v>7.4999999999999997E-2</v>
      </c>
      <c r="F3269" s="4" t="s">
        <v>179</v>
      </c>
      <c r="G3269" s="9">
        <v>740</v>
      </c>
      <c r="H3269" s="9">
        <f t="shared" si="102"/>
        <v>55.5</v>
      </c>
      <c r="I3269" t="s">
        <v>997</v>
      </c>
      <c r="J3269" s="33">
        <v>0</v>
      </c>
      <c r="K3269" s="18">
        <f>VLOOKUP(D3269,Ingredients!C:G,5,0)</f>
        <v>780</v>
      </c>
      <c r="L3269" s="52">
        <f t="shared" si="103"/>
        <v>58.5</v>
      </c>
    </row>
    <row r="3270" spans="1:12">
      <c r="A3270" s="21" t="s">
        <v>644</v>
      </c>
      <c r="B3270" t="s">
        <v>346</v>
      </c>
      <c r="C3270" t="s">
        <v>993</v>
      </c>
      <c r="D3270" s="3" t="s">
        <v>16</v>
      </c>
      <c r="E3270" s="4">
        <v>7.4999999999999997E-2</v>
      </c>
      <c r="F3270" s="4" t="s">
        <v>179</v>
      </c>
      <c r="G3270" s="9">
        <v>270</v>
      </c>
      <c r="H3270" s="9">
        <f t="shared" si="102"/>
        <v>20.25</v>
      </c>
      <c r="I3270" t="s">
        <v>997</v>
      </c>
      <c r="J3270" s="33">
        <v>0</v>
      </c>
      <c r="K3270" s="18">
        <f>VLOOKUP(D3270,Ingredients!C:G,5,0)</f>
        <v>310</v>
      </c>
      <c r="L3270" s="52">
        <f t="shared" si="103"/>
        <v>23.25</v>
      </c>
    </row>
    <row r="3271" spans="1:12">
      <c r="A3271" s="21" t="s">
        <v>644</v>
      </c>
      <c r="B3271" t="s">
        <v>346</v>
      </c>
      <c r="C3271" t="s">
        <v>993</v>
      </c>
      <c r="D3271" s="3" t="s">
        <v>28</v>
      </c>
      <c r="E3271" s="4">
        <v>0.89999999999999991</v>
      </c>
      <c r="F3271" s="4" t="s">
        <v>179</v>
      </c>
      <c r="G3271" s="9">
        <v>85</v>
      </c>
      <c r="H3271" s="9">
        <f t="shared" si="102"/>
        <v>76.499999999999986</v>
      </c>
      <c r="I3271" t="s">
        <v>997</v>
      </c>
      <c r="J3271" s="33">
        <v>0</v>
      </c>
      <c r="K3271" s="18">
        <f>VLOOKUP(D3271,Ingredients!C:G,5,0)</f>
        <v>70</v>
      </c>
      <c r="L3271" s="52">
        <f t="shared" si="103"/>
        <v>62.999999999999993</v>
      </c>
    </row>
    <row r="3272" spans="1:12">
      <c r="A3272" s="21" t="s">
        <v>644</v>
      </c>
      <c r="B3272" t="s">
        <v>346</v>
      </c>
      <c r="C3272" t="s">
        <v>993</v>
      </c>
      <c r="D3272" s="3" t="s">
        <v>860</v>
      </c>
      <c r="E3272" s="4">
        <v>0.15</v>
      </c>
      <c r="F3272" s="4" t="s">
        <v>179</v>
      </c>
      <c r="G3272" s="9">
        <v>2000</v>
      </c>
      <c r="H3272" s="9">
        <f t="shared" si="102"/>
        <v>300</v>
      </c>
      <c r="I3272" t="s">
        <v>997</v>
      </c>
      <c r="J3272" s="33">
        <v>0</v>
      </c>
      <c r="K3272" s="18">
        <f>VLOOKUP(D3272,Ingredients!C:G,5,0)</f>
        <v>1900</v>
      </c>
      <c r="L3272" s="52">
        <f t="shared" si="103"/>
        <v>285</v>
      </c>
    </row>
    <row r="3273" spans="1:12">
      <c r="A3273" s="21" t="s">
        <v>644</v>
      </c>
      <c r="B3273" t="s">
        <v>346</v>
      </c>
      <c r="C3273" t="s">
        <v>993</v>
      </c>
      <c r="D3273" s="3" t="s">
        <v>895</v>
      </c>
      <c r="E3273" s="4">
        <v>0.15</v>
      </c>
      <c r="F3273" s="4" t="s">
        <v>179</v>
      </c>
      <c r="G3273" s="9">
        <v>400</v>
      </c>
      <c r="H3273" s="9">
        <f t="shared" si="102"/>
        <v>60</v>
      </c>
      <c r="I3273" t="s">
        <v>997</v>
      </c>
      <c r="J3273" s="33">
        <v>0</v>
      </c>
      <c r="K3273" s="18">
        <f>VLOOKUP(D3273,Ingredients!C:G,5,0)</f>
        <v>400</v>
      </c>
      <c r="L3273" s="52">
        <f t="shared" si="103"/>
        <v>60</v>
      </c>
    </row>
    <row r="3274" spans="1:12">
      <c r="A3274" s="21" t="s">
        <v>644</v>
      </c>
      <c r="B3274" t="s">
        <v>346</v>
      </c>
      <c r="C3274" t="s">
        <v>993</v>
      </c>
      <c r="D3274" s="3" t="s">
        <v>880</v>
      </c>
      <c r="E3274" s="4">
        <v>0.15</v>
      </c>
      <c r="F3274" s="4" t="s">
        <v>179</v>
      </c>
      <c r="G3274" s="9">
        <v>650</v>
      </c>
      <c r="H3274" s="9">
        <f t="shared" si="102"/>
        <v>97.5</v>
      </c>
      <c r="I3274" t="s">
        <v>997</v>
      </c>
      <c r="J3274" s="33">
        <v>0</v>
      </c>
      <c r="K3274" s="18">
        <f>VLOOKUP(D3274,Ingredients!C:G,5,0)</f>
        <v>520</v>
      </c>
      <c r="L3274" s="52">
        <f t="shared" si="103"/>
        <v>78</v>
      </c>
    </row>
    <row r="3275" spans="1:12">
      <c r="A3275" s="21" t="s">
        <v>644</v>
      </c>
      <c r="B3275" t="s">
        <v>346</v>
      </c>
      <c r="C3275" t="s">
        <v>993</v>
      </c>
      <c r="D3275" s="3" t="s">
        <v>29</v>
      </c>
      <c r="E3275" s="4">
        <v>0.4</v>
      </c>
      <c r="F3275" s="4" t="s">
        <v>179</v>
      </c>
      <c r="G3275" s="9">
        <v>60</v>
      </c>
      <c r="H3275" s="9">
        <f t="shared" si="102"/>
        <v>24</v>
      </c>
      <c r="I3275" t="s">
        <v>997</v>
      </c>
      <c r="J3275" s="33">
        <v>0</v>
      </c>
      <c r="K3275" s="18">
        <f>VLOOKUP(D3275,Ingredients!C:G,5,0)</f>
        <v>100</v>
      </c>
      <c r="L3275" s="52">
        <f t="shared" si="103"/>
        <v>40</v>
      </c>
    </row>
    <row r="3276" spans="1:12">
      <c r="A3276" s="21" t="s">
        <v>644</v>
      </c>
      <c r="B3276" t="s">
        <v>346</v>
      </c>
      <c r="C3276" t="s">
        <v>993</v>
      </c>
      <c r="D3276" s="3" t="s">
        <v>855</v>
      </c>
      <c r="E3276" s="4">
        <v>7.4999999999999997E-2</v>
      </c>
      <c r="F3276" s="4" t="s">
        <v>179</v>
      </c>
      <c r="G3276" s="9">
        <v>2400</v>
      </c>
      <c r="H3276" s="9">
        <f t="shared" si="102"/>
        <v>180</v>
      </c>
      <c r="I3276" t="s">
        <v>997</v>
      </c>
      <c r="J3276" s="33">
        <v>0</v>
      </c>
      <c r="K3276" s="18">
        <f>VLOOKUP(D3276,Ingredients!C:G,5,0)</f>
        <v>1600</v>
      </c>
      <c r="L3276" s="52">
        <f t="shared" si="103"/>
        <v>120</v>
      </c>
    </row>
    <row r="3277" spans="1:12">
      <c r="A3277" s="21" t="s">
        <v>644</v>
      </c>
      <c r="B3277" t="s">
        <v>346</v>
      </c>
      <c r="C3277" t="s">
        <v>993</v>
      </c>
      <c r="D3277" s="3" t="s">
        <v>882</v>
      </c>
      <c r="E3277" s="4">
        <v>7.4999999999999997E-2</v>
      </c>
      <c r="F3277" s="4" t="s">
        <v>179</v>
      </c>
      <c r="G3277" s="9">
        <v>1500</v>
      </c>
      <c r="H3277" s="9">
        <f t="shared" si="102"/>
        <v>112.5</v>
      </c>
      <c r="I3277" t="s">
        <v>997</v>
      </c>
      <c r="J3277" s="33">
        <v>0</v>
      </c>
      <c r="K3277" s="18">
        <f>VLOOKUP(D3277,Ingredients!C:G,5,0)</f>
        <v>1450</v>
      </c>
      <c r="L3277" s="52">
        <f t="shared" si="103"/>
        <v>108.75</v>
      </c>
    </row>
    <row r="3278" spans="1:12">
      <c r="A3278" s="21" t="s">
        <v>644</v>
      </c>
      <c r="B3278" t="s">
        <v>346</v>
      </c>
      <c r="C3278" t="s">
        <v>993</v>
      </c>
      <c r="D3278" s="3" t="s">
        <v>832</v>
      </c>
      <c r="E3278" s="4">
        <v>7.4999999999999997E-2</v>
      </c>
      <c r="F3278" s="4" t="s">
        <v>179</v>
      </c>
      <c r="G3278" s="9">
        <v>128</v>
      </c>
      <c r="H3278" s="9">
        <f t="shared" si="102"/>
        <v>9.6</v>
      </c>
      <c r="I3278" t="s">
        <v>997</v>
      </c>
      <c r="J3278" s="33">
        <v>0</v>
      </c>
      <c r="K3278" s="18">
        <f>VLOOKUP(D3278,Ingredients!C:G,5,0)</f>
        <v>131.19999999999999</v>
      </c>
      <c r="L3278" s="52">
        <f t="shared" si="103"/>
        <v>9.8399999999999981</v>
      </c>
    </row>
    <row r="3279" spans="1:12">
      <c r="A3279" s="21" t="s">
        <v>644</v>
      </c>
      <c r="B3279" t="s">
        <v>346</v>
      </c>
      <c r="C3279" t="s">
        <v>993</v>
      </c>
      <c r="D3279" s="3" t="s">
        <v>852</v>
      </c>
      <c r="E3279" s="4">
        <v>0.375</v>
      </c>
      <c r="F3279" s="4" t="s">
        <v>190</v>
      </c>
      <c r="G3279" s="9">
        <v>520.63</v>
      </c>
      <c r="H3279" s="9">
        <f t="shared" si="102"/>
        <v>195.23624999999998</v>
      </c>
      <c r="I3279" t="s">
        <v>997</v>
      </c>
      <c r="J3279" s="33">
        <v>0</v>
      </c>
      <c r="K3279" s="18">
        <v>550</v>
      </c>
      <c r="L3279" s="52">
        <f t="shared" si="103"/>
        <v>206.25</v>
      </c>
    </row>
    <row r="3280" spans="1:12">
      <c r="A3280" s="21" t="s">
        <v>644</v>
      </c>
      <c r="B3280" t="s">
        <v>346</v>
      </c>
      <c r="C3280" t="s">
        <v>993</v>
      </c>
      <c r="D3280" s="3" t="s">
        <v>853</v>
      </c>
      <c r="E3280" s="4">
        <v>0.4</v>
      </c>
      <c r="F3280" s="4" t="s">
        <v>176</v>
      </c>
      <c r="G3280" s="9">
        <v>30</v>
      </c>
      <c r="H3280" s="9">
        <f t="shared" si="102"/>
        <v>12</v>
      </c>
      <c r="I3280" t="s">
        <v>997</v>
      </c>
      <c r="J3280" s="33">
        <v>0</v>
      </c>
      <c r="K3280" s="18">
        <f>VLOOKUP(D3280,Ingredients!C:G,5,0)</f>
        <v>55</v>
      </c>
      <c r="L3280" s="52">
        <f t="shared" si="103"/>
        <v>22</v>
      </c>
    </row>
    <row r="3281" spans="1:12">
      <c r="A3281" s="21" t="s">
        <v>645</v>
      </c>
      <c r="B3281" t="s">
        <v>346</v>
      </c>
      <c r="C3281" t="s">
        <v>353</v>
      </c>
      <c r="D3281" s="3" t="s">
        <v>884</v>
      </c>
      <c r="E3281" s="4">
        <v>1</v>
      </c>
      <c r="F3281" s="4" t="s">
        <v>176</v>
      </c>
      <c r="G3281" s="9">
        <v>344</v>
      </c>
      <c r="H3281" s="9">
        <f t="shared" si="102"/>
        <v>344</v>
      </c>
      <c r="I3281" t="s">
        <v>179</v>
      </c>
      <c r="J3281" s="33">
        <v>0</v>
      </c>
      <c r="K3281" s="18">
        <f>VLOOKUP(D3281,Ingredients!C:G,5,0)</f>
        <v>344</v>
      </c>
      <c r="L3281" s="52">
        <f t="shared" si="103"/>
        <v>344</v>
      </c>
    </row>
    <row r="3282" spans="1:12">
      <c r="A3282" s="21" t="s">
        <v>645</v>
      </c>
      <c r="B3282" t="s">
        <v>346</v>
      </c>
      <c r="C3282" t="s">
        <v>353</v>
      </c>
      <c r="D3282" s="3" t="s">
        <v>922</v>
      </c>
      <c r="E3282" s="4">
        <v>0.4</v>
      </c>
      <c r="F3282" s="4" t="s">
        <v>176</v>
      </c>
      <c r="G3282" s="9">
        <v>300</v>
      </c>
      <c r="H3282" s="9">
        <f t="shared" si="102"/>
        <v>120</v>
      </c>
      <c r="I3282" t="s">
        <v>179</v>
      </c>
      <c r="J3282" s="33">
        <v>0</v>
      </c>
      <c r="K3282" s="18">
        <f>VLOOKUP(D3282,Ingredients!C:G,5,0)</f>
        <v>315</v>
      </c>
      <c r="L3282" s="52">
        <f t="shared" si="103"/>
        <v>126</v>
      </c>
    </row>
    <row r="3283" spans="1:12">
      <c r="A3283" s="21" t="s">
        <v>645</v>
      </c>
      <c r="B3283" t="s">
        <v>346</v>
      </c>
      <c r="C3283" t="s">
        <v>353</v>
      </c>
      <c r="D3283" s="3" t="s">
        <v>865</v>
      </c>
      <c r="E3283" s="4">
        <v>0.10999999999999999</v>
      </c>
      <c r="F3283" s="4" t="s">
        <v>176</v>
      </c>
      <c r="G3283" s="9">
        <v>1400</v>
      </c>
      <c r="H3283" s="9">
        <f t="shared" si="102"/>
        <v>153.99999999999997</v>
      </c>
      <c r="I3283" t="s">
        <v>179</v>
      </c>
      <c r="J3283" s="33">
        <v>0</v>
      </c>
      <c r="K3283" s="18">
        <f>VLOOKUP(D3283,Ingredients!C:G,5,0)</f>
        <v>1400</v>
      </c>
      <c r="L3283" s="52">
        <f t="shared" si="103"/>
        <v>153.99999999999997</v>
      </c>
    </row>
    <row r="3284" spans="1:12">
      <c r="A3284" s="21" t="s">
        <v>645</v>
      </c>
      <c r="B3284" t="s">
        <v>346</v>
      </c>
      <c r="C3284" t="s">
        <v>353</v>
      </c>
      <c r="D3284" s="3" t="s">
        <v>853</v>
      </c>
      <c r="E3284" s="4">
        <v>7.4999999999999997E-2</v>
      </c>
      <c r="F3284" s="4" t="s">
        <v>176</v>
      </c>
      <c r="G3284" s="9">
        <v>30</v>
      </c>
      <c r="H3284" s="9">
        <f t="shared" si="102"/>
        <v>2.25</v>
      </c>
      <c r="I3284" t="s">
        <v>179</v>
      </c>
      <c r="J3284" s="33">
        <v>0</v>
      </c>
      <c r="K3284" s="18">
        <f>VLOOKUP(D3284,Ingredients!C:G,5,0)</f>
        <v>55</v>
      </c>
      <c r="L3284" s="52">
        <f t="shared" si="103"/>
        <v>4.125</v>
      </c>
    </row>
    <row r="3285" spans="1:12">
      <c r="A3285" s="21" t="s">
        <v>646</v>
      </c>
      <c r="B3285" t="s">
        <v>346</v>
      </c>
      <c r="C3285" t="s">
        <v>352</v>
      </c>
      <c r="D3285" s="3" t="s">
        <v>854</v>
      </c>
      <c r="E3285" s="4">
        <v>4</v>
      </c>
      <c r="F3285" s="4" t="s">
        <v>253</v>
      </c>
      <c r="G3285" s="9">
        <v>24.64</v>
      </c>
      <c r="H3285" s="9">
        <f t="shared" si="102"/>
        <v>98.56</v>
      </c>
      <c r="I3285" t="s">
        <v>647</v>
      </c>
      <c r="J3285" s="33">
        <v>0</v>
      </c>
      <c r="K3285" s="18">
        <f>VLOOKUP(D3285,Ingredients!C:G,5,0)</f>
        <v>20.059999999999999</v>
      </c>
      <c r="L3285" s="52">
        <f t="shared" si="103"/>
        <v>80.239999999999995</v>
      </c>
    </row>
    <row r="3286" spans="1:12">
      <c r="A3286" s="21" t="s">
        <v>646</v>
      </c>
      <c r="B3286" t="s">
        <v>346</v>
      </c>
      <c r="C3286" t="s">
        <v>352</v>
      </c>
      <c r="D3286" s="3" t="s">
        <v>852</v>
      </c>
      <c r="E3286" s="4">
        <v>0.06</v>
      </c>
      <c r="F3286" s="4" t="s">
        <v>190</v>
      </c>
      <c r="G3286" s="9">
        <v>520.63</v>
      </c>
      <c r="H3286" s="9">
        <f t="shared" si="102"/>
        <v>31.2378</v>
      </c>
      <c r="I3286" t="s">
        <v>647</v>
      </c>
      <c r="J3286" s="33">
        <v>0</v>
      </c>
      <c r="K3286" s="18">
        <v>550</v>
      </c>
      <c r="L3286" s="52">
        <f t="shared" si="103"/>
        <v>33</v>
      </c>
    </row>
    <row r="3287" spans="1:12">
      <c r="A3287" s="21" t="s">
        <v>646</v>
      </c>
      <c r="B3287" t="s">
        <v>346</v>
      </c>
      <c r="C3287" t="s">
        <v>352</v>
      </c>
      <c r="D3287" s="3" t="s">
        <v>855</v>
      </c>
      <c r="E3287" s="4">
        <v>8.0000000000000002E-3</v>
      </c>
      <c r="F3287" s="4" t="s">
        <v>176</v>
      </c>
      <c r="G3287" s="9">
        <v>2400</v>
      </c>
      <c r="H3287" s="9">
        <f t="shared" si="102"/>
        <v>19.2</v>
      </c>
      <c r="I3287" t="s">
        <v>647</v>
      </c>
      <c r="J3287" s="33">
        <v>0</v>
      </c>
      <c r="K3287" s="18">
        <f>VLOOKUP(D3287,Ingredients!C:G,5,0)</f>
        <v>1600</v>
      </c>
      <c r="L3287" s="52">
        <f t="shared" si="103"/>
        <v>12.8</v>
      </c>
    </row>
    <row r="3288" spans="1:12">
      <c r="A3288" s="21" t="s">
        <v>646</v>
      </c>
      <c r="B3288" t="s">
        <v>346</v>
      </c>
      <c r="C3288" t="s">
        <v>352</v>
      </c>
      <c r="D3288" s="3" t="s">
        <v>915</v>
      </c>
      <c r="E3288" s="4">
        <v>0.01</v>
      </c>
      <c r="F3288" s="4" t="s">
        <v>176</v>
      </c>
      <c r="G3288" s="9">
        <v>5000</v>
      </c>
      <c r="H3288" s="9">
        <f t="shared" si="102"/>
        <v>50</v>
      </c>
      <c r="I3288" t="s">
        <v>647</v>
      </c>
      <c r="J3288" s="33">
        <v>0</v>
      </c>
      <c r="K3288" s="18">
        <f>VLOOKUP(D3288,Ingredients!C:G,5,0)</f>
        <v>3200</v>
      </c>
      <c r="L3288" s="52">
        <f t="shared" si="103"/>
        <v>32</v>
      </c>
    </row>
    <row r="3289" spans="1:12">
      <c r="A3289" s="21" t="s">
        <v>646</v>
      </c>
      <c r="B3289" t="s">
        <v>346</v>
      </c>
      <c r="C3289" t="s">
        <v>352</v>
      </c>
      <c r="D3289" s="3" t="s">
        <v>24</v>
      </c>
      <c r="E3289" s="4">
        <v>0.45</v>
      </c>
      <c r="F3289" s="4" t="s">
        <v>176</v>
      </c>
      <c r="G3289" s="9">
        <v>55</v>
      </c>
      <c r="H3289" s="9">
        <f t="shared" si="102"/>
        <v>24.75</v>
      </c>
      <c r="I3289" t="s">
        <v>647</v>
      </c>
      <c r="J3289" s="33">
        <v>0</v>
      </c>
      <c r="K3289" s="18">
        <f>VLOOKUP(D3289,Ingredients!C:G,5,0)</f>
        <v>80</v>
      </c>
      <c r="L3289" s="52">
        <f t="shared" si="103"/>
        <v>36</v>
      </c>
    </row>
    <row r="3290" spans="1:12">
      <c r="A3290" s="21" t="s">
        <v>646</v>
      </c>
      <c r="B3290" t="s">
        <v>346</v>
      </c>
      <c r="C3290" t="s">
        <v>352</v>
      </c>
      <c r="D3290" s="3" t="s">
        <v>28</v>
      </c>
      <c r="E3290" s="4">
        <v>0.18</v>
      </c>
      <c r="F3290" s="4" t="s">
        <v>176</v>
      </c>
      <c r="G3290" s="9">
        <v>85</v>
      </c>
      <c r="H3290" s="9">
        <f t="shared" si="102"/>
        <v>15.299999999999999</v>
      </c>
      <c r="I3290" t="s">
        <v>647</v>
      </c>
      <c r="J3290" s="33">
        <v>0</v>
      </c>
      <c r="K3290" s="18">
        <f>VLOOKUP(D3290,Ingredients!C:G,5,0)</f>
        <v>70</v>
      </c>
      <c r="L3290" s="52">
        <f t="shared" si="103"/>
        <v>12.6</v>
      </c>
    </row>
    <row r="3291" spans="1:12">
      <c r="A3291" s="21" t="s">
        <v>646</v>
      </c>
      <c r="B3291" t="s">
        <v>346</v>
      </c>
      <c r="C3291" t="s">
        <v>352</v>
      </c>
      <c r="D3291" s="3" t="s">
        <v>23</v>
      </c>
      <c r="E3291" s="4">
        <v>1.2E-2</v>
      </c>
      <c r="F3291" s="4" t="s">
        <v>176</v>
      </c>
      <c r="G3291" s="9">
        <v>740</v>
      </c>
      <c r="H3291" s="9">
        <f t="shared" si="102"/>
        <v>8.8800000000000008</v>
      </c>
      <c r="I3291" t="s">
        <v>647</v>
      </c>
      <c r="J3291" s="33">
        <v>0</v>
      </c>
      <c r="K3291" s="18">
        <f>VLOOKUP(D3291,Ingredients!C:G,5,0)</f>
        <v>780</v>
      </c>
      <c r="L3291" s="52">
        <f t="shared" si="103"/>
        <v>9.36</v>
      </c>
    </row>
    <row r="3292" spans="1:12">
      <c r="A3292" s="21" t="s">
        <v>646</v>
      </c>
      <c r="B3292" t="s">
        <v>346</v>
      </c>
      <c r="C3292" t="s">
        <v>352</v>
      </c>
      <c r="D3292" s="3" t="s">
        <v>16</v>
      </c>
      <c r="E3292" s="4">
        <v>1.2E-2</v>
      </c>
      <c r="F3292" s="4" t="s">
        <v>176</v>
      </c>
      <c r="G3292" s="9">
        <v>270</v>
      </c>
      <c r="H3292" s="9">
        <f t="shared" si="102"/>
        <v>3.24</v>
      </c>
      <c r="I3292" t="s">
        <v>647</v>
      </c>
      <c r="J3292" s="33">
        <v>0</v>
      </c>
      <c r="K3292" s="18">
        <f>VLOOKUP(D3292,Ingredients!C:G,5,0)</f>
        <v>310</v>
      </c>
      <c r="L3292" s="52">
        <f t="shared" si="103"/>
        <v>3.72</v>
      </c>
    </row>
    <row r="3293" spans="1:12">
      <c r="A3293" s="21" t="s">
        <v>646</v>
      </c>
      <c r="B3293" t="s">
        <v>346</v>
      </c>
      <c r="C3293" t="s">
        <v>352</v>
      </c>
      <c r="D3293" s="3" t="s">
        <v>880</v>
      </c>
      <c r="E3293" s="4">
        <v>3.0000000000000001E-3</v>
      </c>
      <c r="F3293" s="4" t="s">
        <v>176</v>
      </c>
      <c r="G3293" s="9">
        <v>650</v>
      </c>
      <c r="H3293" s="9">
        <f t="shared" si="102"/>
        <v>1.95</v>
      </c>
      <c r="I3293" t="s">
        <v>647</v>
      </c>
      <c r="J3293" s="33">
        <v>0</v>
      </c>
      <c r="K3293" s="18">
        <f>VLOOKUP(D3293,Ingredients!C:G,5,0)</f>
        <v>520</v>
      </c>
      <c r="L3293" s="52">
        <f t="shared" si="103"/>
        <v>1.56</v>
      </c>
    </row>
    <row r="3294" spans="1:12">
      <c r="A3294" s="21" t="s">
        <v>646</v>
      </c>
      <c r="B3294" t="s">
        <v>346</v>
      </c>
      <c r="C3294" t="s">
        <v>352</v>
      </c>
      <c r="D3294" s="3" t="s">
        <v>853</v>
      </c>
      <c r="E3294" s="4">
        <v>1.2E-2</v>
      </c>
      <c r="F3294" s="4" t="s">
        <v>176</v>
      </c>
      <c r="G3294" s="9">
        <v>30</v>
      </c>
      <c r="H3294" s="9">
        <f t="shared" si="102"/>
        <v>0.36</v>
      </c>
      <c r="I3294" t="s">
        <v>647</v>
      </c>
      <c r="J3294" s="33">
        <v>0</v>
      </c>
      <c r="K3294" s="18">
        <f>VLOOKUP(D3294,Ingredients!C:G,5,0)</f>
        <v>55</v>
      </c>
      <c r="L3294" s="52">
        <f t="shared" si="103"/>
        <v>0.66</v>
      </c>
    </row>
    <row r="3295" spans="1:12">
      <c r="A3295" s="21" t="s">
        <v>646</v>
      </c>
      <c r="B3295" t="s">
        <v>346</v>
      </c>
      <c r="C3295" t="s">
        <v>352</v>
      </c>
      <c r="D3295" s="3" t="s">
        <v>860</v>
      </c>
      <c r="E3295" s="4">
        <v>1.4999999999999999E-2</v>
      </c>
      <c r="F3295" s="4" t="s">
        <v>176</v>
      </c>
      <c r="G3295" s="9">
        <v>2000</v>
      </c>
      <c r="H3295" s="9">
        <f t="shared" si="102"/>
        <v>30</v>
      </c>
      <c r="I3295" t="s">
        <v>647</v>
      </c>
      <c r="J3295" s="33">
        <v>0</v>
      </c>
      <c r="K3295" s="18">
        <f>VLOOKUP(D3295,Ingredients!C:G,5,0)</f>
        <v>1900</v>
      </c>
      <c r="L3295" s="52">
        <f t="shared" si="103"/>
        <v>28.5</v>
      </c>
    </row>
    <row r="3296" spans="1:12">
      <c r="A3296" s="21" t="s">
        <v>646</v>
      </c>
      <c r="B3296" t="s">
        <v>346</v>
      </c>
      <c r="C3296" t="s">
        <v>352</v>
      </c>
      <c r="D3296" s="3" t="s">
        <v>867</v>
      </c>
      <c r="E3296" s="4">
        <v>1.4999999999999999E-2</v>
      </c>
      <c r="F3296" s="4" t="s">
        <v>176</v>
      </c>
      <c r="G3296" s="9">
        <v>900</v>
      </c>
      <c r="H3296" s="9">
        <f t="shared" si="102"/>
        <v>13.5</v>
      </c>
      <c r="I3296" t="s">
        <v>647</v>
      </c>
      <c r="J3296" s="33">
        <v>0</v>
      </c>
      <c r="K3296" s="18">
        <f>VLOOKUP(D3296,Ingredients!C:G,5,0)</f>
        <v>950</v>
      </c>
      <c r="L3296" s="52">
        <f t="shared" si="103"/>
        <v>14.25</v>
      </c>
    </row>
    <row r="3297" spans="1:12">
      <c r="A3297" s="21" t="s">
        <v>646</v>
      </c>
      <c r="B3297" t="s">
        <v>346</v>
      </c>
      <c r="C3297" t="s">
        <v>352</v>
      </c>
      <c r="D3297" s="3" t="s">
        <v>171</v>
      </c>
      <c r="E3297" s="4">
        <v>0.45</v>
      </c>
      <c r="F3297" s="4" t="s">
        <v>176</v>
      </c>
      <c r="G3297" s="9">
        <v>65</v>
      </c>
      <c r="H3297" s="9">
        <f t="shared" si="102"/>
        <v>29.25</v>
      </c>
      <c r="I3297" t="s">
        <v>647</v>
      </c>
      <c r="J3297" s="33">
        <v>0</v>
      </c>
      <c r="K3297" s="18">
        <f>VLOOKUP(D3297,Ingredients!C:G,5,0)</f>
        <v>80</v>
      </c>
      <c r="L3297" s="52">
        <f t="shared" si="103"/>
        <v>36</v>
      </c>
    </row>
    <row r="3298" spans="1:12">
      <c r="A3298" s="21" t="s">
        <v>646</v>
      </c>
      <c r="B3298" t="s">
        <v>346</v>
      </c>
      <c r="C3298" t="s">
        <v>352</v>
      </c>
      <c r="D3298" s="3" t="s">
        <v>878</v>
      </c>
      <c r="E3298" s="4">
        <v>1.4999999999999999E-2</v>
      </c>
      <c r="F3298" s="4" t="s">
        <v>176</v>
      </c>
      <c r="G3298" s="9">
        <v>270</v>
      </c>
      <c r="H3298" s="9">
        <f t="shared" si="102"/>
        <v>4.05</v>
      </c>
      <c r="I3298" t="s">
        <v>647</v>
      </c>
      <c r="J3298" s="33">
        <v>0</v>
      </c>
      <c r="K3298" s="18">
        <f>VLOOKUP(D3298,Ingredients!C:G,5,0)</f>
        <v>1260.55</v>
      </c>
      <c r="L3298" s="52">
        <f t="shared" si="103"/>
        <v>18.908249999999999</v>
      </c>
    </row>
    <row r="3299" spans="1:12">
      <c r="A3299" s="21" t="s">
        <v>648</v>
      </c>
      <c r="B3299" t="s">
        <v>362</v>
      </c>
      <c r="C3299" t="s">
        <v>354</v>
      </c>
      <c r="D3299" s="3" t="s">
        <v>14</v>
      </c>
      <c r="E3299" s="14">
        <v>2.5</v>
      </c>
      <c r="F3299" s="4" t="s">
        <v>176</v>
      </c>
      <c r="G3299" s="9">
        <v>120</v>
      </c>
      <c r="H3299" s="9">
        <f t="shared" si="102"/>
        <v>300</v>
      </c>
      <c r="I3299" t="s">
        <v>487</v>
      </c>
      <c r="J3299" s="33">
        <v>0</v>
      </c>
      <c r="K3299" s="18">
        <f>VLOOKUP(D3299,Ingredients!C:G,5,0)</f>
        <v>60</v>
      </c>
      <c r="L3299" s="52">
        <f t="shared" si="103"/>
        <v>150</v>
      </c>
    </row>
    <row r="3300" spans="1:12">
      <c r="A3300" s="21" t="s">
        <v>648</v>
      </c>
      <c r="B3300" t="s">
        <v>362</v>
      </c>
      <c r="C3300" t="s">
        <v>354</v>
      </c>
      <c r="D3300" s="3" t="s">
        <v>502</v>
      </c>
      <c r="E3300" s="14">
        <v>0.13</v>
      </c>
      <c r="F3300" s="4" t="s">
        <v>176</v>
      </c>
      <c r="G3300" s="9">
        <v>500</v>
      </c>
      <c r="H3300" s="9">
        <f t="shared" si="102"/>
        <v>65</v>
      </c>
      <c r="I3300" t="s">
        <v>487</v>
      </c>
      <c r="J3300" s="33">
        <v>0</v>
      </c>
      <c r="K3300" s="18">
        <f>VLOOKUP(D3300,Ingredients!C:G,5,0)</f>
        <v>130</v>
      </c>
      <c r="L3300" s="52">
        <f t="shared" si="103"/>
        <v>16.900000000000002</v>
      </c>
    </row>
    <row r="3301" spans="1:12">
      <c r="A3301" s="21" t="s">
        <v>648</v>
      </c>
      <c r="B3301" t="s">
        <v>362</v>
      </c>
      <c r="C3301" t="s">
        <v>354</v>
      </c>
      <c r="D3301" s="3" t="s">
        <v>24</v>
      </c>
      <c r="E3301" s="14">
        <v>0.43333333333333335</v>
      </c>
      <c r="F3301" s="4" t="s">
        <v>176</v>
      </c>
      <c r="G3301" s="9">
        <v>55</v>
      </c>
      <c r="H3301" s="9">
        <f t="shared" si="102"/>
        <v>23.833333333333336</v>
      </c>
      <c r="I3301" t="s">
        <v>487</v>
      </c>
      <c r="J3301" s="33">
        <v>0</v>
      </c>
      <c r="K3301" s="18">
        <f>VLOOKUP(D3301,Ingredients!C:G,5,0)</f>
        <v>80</v>
      </c>
      <c r="L3301" s="52">
        <f t="shared" si="103"/>
        <v>34.666666666666671</v>
      </c>
    </row>
    <row r="3302" spans="1:12">
      <c r="A3302" s="21" t="s">
        <v>648</v>
      </c>
      <c r="B3302" t="s">
        <v>362</v>
      </c>
      <c r="C3302" t="s">
        <v>354</v>
      </c>
      <c r="D3302" s="3" t="s">
        <v>649</v>
      </c>
      <c r="E3302" s="14">
        <v>8.3333333333333339</v>
      </c>
      <c r="F3302" s="4" t="s">
        <v>253</v>
      </c>
      <c r="G3302" s="9">
        <v>42.86</v>
      </c>
      <c r="H3302" s="9">
        <f t="shared" si="102"/>
        <v>357.16666666666669</v>
      </c>
      <c r="I3302" t="s">
        <v>487</v>
      </c>
      <c r="J3302" s="33">
        <v>0</v>
      </c>
      <c r="K3302" s="18">
        <f>VLOOKUP(D3302,Ingredients!C:G,5,0)</f>
        <v>45</v>
      </c>
      <c r="L3302" s="52">
        <f t="shared" si="103"/>
        <v>375</v>
      </c>
    </row>
    <row r="3303" spans="1:12">
      <c r="A3303" s="21" t="s">
        <v>648</v>
      </c>
      <c r="B3303" t="s">
        <v>362</v>
      </c>
      <c r="C3303" t="s">
        <v>354</v>
      </c>
      <c r="D3303" s="3" t="s">
        <v>883</v>
      </c>
      <c r="E3303" s="14">
        <v>0.25</v>
      </c>
      <c r="F3303" s="4" t="s">
        <v>190</v>
      </c>
      <c r="G3303" s="9">
        <v>950</v>
      </c>
      <c r="H3303" s="9">
        <f t="shared" si="102"/>
        <v>237.5</v>
      </c>
      <c r="I3303" t="s">
        <v>487</v>
      </c>
      <c r="J3303" s="33">
        <v>0</v>
      </c>
      <c r="K3303" s="18">
        <f>VLOOKUP(D3303,Ingredients!C:G,5,0)</f>
        <v>313</v>
      </c>
      <c r="L3303" s="52">
        <f t="shared" si="103"/>
        <v>78.25</v>
      </c>
    </row>
    <row r="3304" spans="1:12">
      <c r="A3304" s="21" t="s">
        <v>648</v>
      </c>
      <c r="B3304" t="s">
        <v>362</v>
      </c>
      <c r="C3304" t="s">
        <v>354</v>
      </c>
      <c r="D3304" s="3" t="s">
        <v>874</v>
      </c>
      <c r="E3304" s="14">
        <v>8.3333333333333343E-2</v>
      </c>
      <c r="F3304" s="4" t="s">
        <v>190</v>
      </c>
      <c r="G3304" s="9">
        <v>110</v>
      </c>
      <c r="H3304" s="9">
        <f t="shared" si="102"/>
        <v>9.1666666666666679</v>
      </c>
      <c r="I3304" t="s">
        <v>487</v>
      </c>
      <c r="J3304" s="33">
        <v>0</v>
      </c>
      <c r="K3304" s="18">
        <f>VLOOKUP(D3304,Ingredients!C:G,5,0)</f>
        <v>179</v>
      </c>
      <c r="L3304" s="52">
        <f t="shared" si="103"/>
        <v>14.916666666666668</v>
      </c>
    </row>
    <row r="3305" spans="1:12">
      <c r="A3305" s="21" t="s">
        <v>648</v>
      </c>
      <c r="B3305" t="s">
        <v>362</v>
      </c>
      <c r="C3305" t="s">
        <v>354</v>
      </c>
      <c r="D3305" s="3" t="s">
        <v>902</v>
      </c>
      <c r="E3305" s="4">
        <v>0.1</v>
      </c>
      <c r="F3305" s="4" t="s">
        <v>176</v>
      </c>
      <c r="G3305" s="9">
        <v>662.5</v>
      </c>
      <c r="H3305" s="9">
        <f t="shared" si="102"/>
        <v>66.25</v>
      </c>
      <c r="I3305" t="s">
        <v>487</v>
      </c>
      <c r="J3305" s="33">
        <v>0</v>
      </c>
      <c r="K3305" s="18">
        <f>VLOOKUP(D3305,Ingredients!C:G,5,0)</f>
        <v>700</v>
      </c>
      <c r="L3305" s="52">
        <f t="shared" si="103"/>
        <v>70</v>
      </c>
    </row>
    <row r="3306" spans="1:12">
      <c r="A3306" s="21" t="s">
        <v>650</v>
      </c>
      <c r="B3306" t="s">
        <v>349</v>
      </c>
      <c r="C3306" t="s">
        <v>456</v>
      </c>
      <c r="D3306" s="33" t="s">
        <v>491</v>
      </c>
      <c r="E3306" s="4">
        <v>1</v>
      </c>
      <c r="F3306" s="4" t="s">
        <v>176</v>
      </c>
      <c r="G3306" s="9">
        <v>614</v>
      </c>
      <c r="H3306" s="9">
        <f t="shared" si="102"/>
        <v>614</v>
      </c>
      <c r="I3306" t="s">
        <v>179</v>
      </c>
      <c r="J3306" s="33" t="s">
        <v>491</v>
      </c>
      <c r="K3306" s="18">
        <f>VLOOKUP(D3306,Ingredients!C:G,5,0)</f>
        <v>650</v>
      </c>
      <c r="L3306" s="52">
        <f t="shared" si="103"/>
        <v>650</v>
      </c>
    </row>
    <row r="3307" spans="1:12">
      <c r="A3307" s="21" t="s">
        <v>650</v>
      </c>
      <c r="B3307" t="s">
        <v>349</v>
      </c>
      <c r="C3307" t="s">
        <v>456</v>
      </c>
      <c r="D3307" s="3" t="s">
        <v>171</v>
      </c>
      <c r="E3307" s="4">
        <v>0.9</v>
      </c>
      <c r="F3307" s="4" t="s">
        <v>176</v>
      </c>
      <c r="G3307" s="9">
        <v>65</v>
      </c>
      <c r="H3307" s="9">
        <f t="shared" si="102"/>
        <v>58.5</v>
      </c>
      <c r="I3307" t="s">
        <v>179</v>
      </c>
      <c r="J3307" s="33" t="s">
        <v>491</v>
      </c>
      <c r="K3307" s="18">
        <f>VLOOKUP(D3307,Ingredients!C:G,5,0)</f>
        <v>80</v>
      </c>
      <c r="L3307" s="52">
        <f t="shared" si="103"/>
        <v>72</v>
      </c>
    </row>
    <row r="3308" spans="1:12">
      <c r="A3308" s="21" t="s">
        <v>650</v>
      </c>
      <c r="B3308" t="s">
        <v>349</v>
      </c>
      <c r="C3308" t="s">
        <v>456</v>
      </c>
      <c r="D3308" s="3" t="s">
        <v>16</v>
      </c>
      <c r="E3308" s="4">
        <f>0.014*6</f>
        <v>8.4000000000000005E-2</v>
      </c>
      <c r="F3308" s="4" t="s">
        <v>176</v>
      </c>
      <c r="G3308" s="9">
        <v>270</v>
      </c>
      <c r="H3308" s="9">
        <f t="shared" si="102"/>
        <v>22.68</v>
      </c>
      <c r="I3308" t="s">
        <v>179</v>
      </c>
      <c r="J3308" s="33" t="s">
        <v>491</v>
      </c>
      <c r="K3308" s="18">
        <f>VLOOKUP(D3308,Ingredients!C:G,5,0)</f>
        <v>310</v>
      </c>
      <c r="L3308" s="52">
        <f t="shared" si="103"/>
        <v>26.040000000000003</v>
      </c>
    </row>
    <row r="3309" spans="1:12">
      <c r="A3309" s="21" t="s">
        <v>650</v>
      </c>
      <c r="B3309" t="s">
        <v>349</v>
      </c>
      <c r="C3309" t="s">
        <v>456</v>
      </c>
      <c r="D3309" s="3" t="s">
        <v>24</v>
      </c>
      <c r="E3309" s="4">
        <v>0.16</v>
      </c>
      <c r="F3309" s="4" t="s">
        <v>176</v>
      </c>
      <c r="G3309" s="9">
        <v>55</v>
      </c>
      <c r="H3309" s="9">
        <f t="shared" ref="H3309:H3372" si="104">G3309*E3309</f>
        <v>8.8000000000000007</v>
      </c>
      <c r="I3309" t="s">
        <v>179</v>
      </c>
      <c r="J3309" s="33" t="s">
        <v>491</v>
      </c>
      <c r="K3309" s="18">
        <f>VLOOKUP(D3309,Ingredients!C:G,5,0)</f>
        <v>80</v>
      </c>
      <c r="L3309" s="52">
        <f t="shared" si="103"/>
        <v>12.8</v>
      </c>
    </row>
    <row r="3310" spans="1:12">
      <c r="A3310" s="21" t="s">
        <v>650</v>
      </c>
      <c r="B3310" t="s">
        <v>349</v>
      </c>
      <c r="C3310" t="s">
        <v>456</v>
      </c>
      <c r="D3310" s="3" t="s">
        <v>497</v>
      </c>
      <c r="E3310" s="4">
        <v>0.03</v>
      </c>
      <c r="F3310" s="4" t="s">
        <v>176</v>
      </c>
      <c r="G3310" s="9">
        <v>350</v>
      </c>
      <c r="H3310" s="9">
        <f t="shared" si="104"/>
        <v>10.5</v>
      </c>
      <c r="I3310" t="s">
        <v>179</v>
      </c>
      <c r="J3310" s="33" t="s">
        <v>491</v>
      </c>
      <c r="K3310" s="18">
        <f>VLOOKUP(D3310,Ingredients!C:G,5,0)</f>
        <v>400</v>
      </c>
      <c r="L3310" s="52">
        <f t="shared" si="103"/>
        <v>12</v>
      </c>
    </row>
    <row r="3311" spans="1:12">
      <c r="A3311" s="21" t="s">
        <v>650</v>
      </c>
      <c r="B3311" t="s">
        <v>349</v>
      </c>
      <c r="C3311" t="s">
        <v>456</v>
      </c>
      <c r="D3311" s="3" t="s">
        <v>871</v>
      </c>
      <c r="E3311" s="4">
        <v>0.12</v>
      </c>
      <c r="F3311" s="4" t="s">
        <v>176</v>
      </c>
      <c r="G3311" s="9">
        <v>612.03499999999997</v>
      </c>
      <c r="H3311" s="9">
        <f t="shared" si="104"/>
        <v>73.444199999999995</v>
      </c>
      <c r="I3311" t="s">
        <v>179</v>
      </c>
      <c r="J3311" s="33" t="s">
        <v>491</v>
      </c>
      <c r="K3311" s="18">
        <f>VLOOKUP(D3311,Ingredients!C:F,3,0)</f>
        <v>1500</v>
      </c>
      <c r="L3311" s="52">
        <f t="shared" si="103"/>
        <v>180</v>
      </c>
    </row>
    <row r="3312" spans="1:12">
      <c r="A3312" s="21" t="s">
        <v>650</v>
      </c>
      <c r="B3312" t="s">
        <v>349</v>
      </c>
      <c r="C3312" t="s">
        <v>456</v>
      </c>
      <c r="D3312" s="3" t="s">
        <v>323</v>
      </c>
      <c r="E3312" s="4">
        <v>0.03</v>
      </c>
      <c r="F3312" s="4" t="s">
        <v>176</v>
      </c>
      <c r="G3312" s="9">
        <v>5000</v>
      </c>
      <c r="H3312" s="9">
        <f t="shared" si="104"/>
        <v>150</v>
      </c>
      <c r="I3312" t="s">
        <v>179</v>
      </c>
      <c r="J3312" s="33" t="s">
        <v>491</v>
      </c>
      <c r="K3312" s="18">
        <f>VLOOKUP(D3312,Ingredients!C:G,5,0)</f>
        <v>5000</v>
      </c>
      <c r="L3312" s="52">
        <f t="shared" si="103"/>
        <v>150</v>
      </c>
    </row>
    <row r="3313" spans="1:12">
      <c r="A3313" s="21" t="s">
        <v>650</v>
      </c>
      <c r="B3313" t="s">
        <v>349</v>
      </c>
      <c r="C3313" t="s">
        <v>456</v>
      </c>
      <c r="D3313" s="3" t="s">
        <v>853</v>
      </c>
      <c r="E3313" s="4">
        <v>0.03</v>
      </c>
      <c r="F3313" s="4" t="s">
        <v>176</v>
      </c>
      <c r="G3313" s="9">
        <v>30</v>
      </c>
      <c r="H3313" s="9">
        <f t="shared" si="104"/>
        <v>0.89999999999999991</v>
      </c>
      <c r="I3313" t="s">
        <v>179</v>
      </c>
      <c r="J3313" s="33" t="s">
        <v>491</v>
      </c>
      <c r="K3313" s="18">
        <f>VLOOKUP(D3313,Ingredients!C:G,5,0)</f>
        <v>55</v>
      </c>
      <c r="L3313" s="52">
        <f t="shared" si="103"/>
        <v>1.65</v>
      </c>
    </row>
    <row r="3314" spans="1:12">
      <c r="A3314" s="21" t="s">
        <v>650</v>
      </c>
      <c r="B3314" t="s">
        <v>349</v>
      </c>
      <c r="C3314" t="s">
        <v>456</v>
      </c>
      <c r="D3314" s="3" t="s">
        <v>852</v>
      </c>
      <c r="E3314" s="4">
        <v>0.17</v>
      </c>
      <c r="F3314" s="4" t="s">
        <v>190</v>
      </c>
      <c r="G3314" s="9">
        <v>520.63</v>
      </c>
      <c r="H3314" s="9">
        <f t="shared" si="104"/>
        <v>88.507100000000008</v>
      </c>
      <c r="I3314" t="s">
        <v>179</v>
      </c>
      <c r="J3314" s="33" t="s">
        <v>491</v>
      </c>
      <c r="K3314" s="18">
        <v>550</v>
      </c>
      <c r="L3314" s="52">
        <f t="shared" si="103"/>
        <v>93.5</v>
      </c>
    </row>
    <row r="3315" spans="1:12">
      <c r="A3315" s="21" t="s">
        <v>650</v>
      </c>
      <c r="B3315" t="s">
        <v>349</v>
      </c>
      <c r="C3315" t="s">
        <v>456</v>
      </c>
      <c r="D3315" s="3" t="s">
        <v>882</v>
      </c>
      <c r="E3315" s="4">
        <v>1.4999999999999999E-2</v>
      </c>
      <c r="F3315" s="4" t="s">
        <v>176</v>
      </c>
      <c r="G3315" s="9">
        <v>1500</v>
      </c>
      <c r="H3315" s="9">
        <f t="shared" si="104"/>
        <v>22.5</v>
      </c>
      <c r="I3315" t="s">
        <v>179</v>
      </c>
      <c r="J3315" s="33" t="s">
        <v>491</v>
      </c>
      <c r="K3315" s="18">
        <f>VLOOKUP(D3315,Ingredients!C:G,5,0)</f>
        <v>1450</v>
      </c>
      <c r="L3315" s="52">
        <f t="shared" si="103"/>
        <v>21.75</v>
      </c>
    </row>
    <row r="3316" spans="1:12">
      <c r="A3316" s="21" t="s">
        <v>651</v>
      </c>
      <c r="B3316" t="s">
        <v>348</v>
      </c>
      <c r="C3316" t="s">
        <v>365</v>
      </c>
      <c r="D3316" s="3" t="s">
        <v>903</v>
      </c>
      <c r="E3316" s="14">
        <v>0.02</v>
      </c>
      <c r="F3316" s="4" t="s">
        <v>176</v>
      </c>
      <c r="G3316" s="9">
        <v>153.97999999999999</v>
      </c>
      <c r="H3316" s="9">
        <f t="shared" si="104"/>
        <v>3.0795999999999997</v>
      </c>
      <c r="I3316" t="s">
        <v>253</v>
      </c>
      <c r="J3316" s="33">
        <v>0</v>
      </c>
      <c r="K3316" s="18">
        <f>VLOOKUP(D3316,Ingredients!C:G,5,0)</f>
        <v>152</v>
      </c>
      <c r="L3316" s="52">
        <f t="shared" si="103"/>
        <v>3.04</v>
      </c>
    </row>
    <row r="3317" spans="1:12">
      <c r="A3317" s="21" t="s">
        <v>651</v>
      </c>
      <c r="B3317" t="s">
        <v>348</v>
      </c>
      <c r="C3317" t="s">
        <v>365</v>
      </c>
      <c r="D3317" s="3" t="s">
        <v>854</v>
      </c>
      <c r="E3317" s="14">
        <v>0.1</v>
      </c>
      <c r="F3317" s="4" t="s">
        <v>253</v>
      </c>
      <c r="G3317" s="9">
        <v>24.64</v>
      </c>
      <c r="H3317" s="9">
        <f t="shared" si="104"/>
        <v>2.4640000000000004</v>
      </c>
      <c r="I3317" t="s">
        <v>253</v>
      </c>
      <c r="J3317" s="33">
        <v>0</v>
      </c>
      <c r="K3317" s="18">
        <f>VLOOKUP(D3317,Ingredients!C:G,5,0)</f>
        <v>20.059999999999999</v>
      </c>
      <c r="L3317" s="52">
        <f t="shared" si="103"/>
        <v>2.0059999999999998</v>
      </c>
    </row>
    <row r="3318" spans="1:12">
      <c r="A3318" s="21" t="s">
        <v>651</v>
      </c>
      <c r="B3318" t="s">
        <v>348</v>
      </c>
      <c r="C3318" t="s">
        <v>365</v>
      </c>
      <c r="D3318" s="3" t="s">
        <v>853</v>
      </c>
      <c r="E3318" s="14">
        <v>2.5000000000000001E-4</v>
      </c>
      <c r="F3318" s="4" t="s">
        <v>176</v>
      </c>
      <c r="G3318" s="9">
        <v>30</v>
      </c>
      <c r="H3318" s="9">
        <f t="shared" si="104"/>
        <v>7.4999999999999997E-3</v>
      </c>
      <c r="I3318" t="s">
        <v>253</v>
      </c>
      <c r="J3318" s="33">
        <v>0</v>
      </c>
      <c r="K3318" s="18">
        <f>VLOOKUP(D3318,Ingredients!C:G,5,0)</f>
        <v>55</v>
      </c>
      <c r="L3318" s="52">
        <f t="shared" si="103"/>
        <v>1.375E-2</v>
      </c>
    </row>
    <row r="3319" spans="1:12">
      <c r="A3319" s="21" t="s">
        <v>651</v>
      </c>
      <c r="B3319" t="s">
        <v>348</v>
      </c>
      <c r="C3319" t="s">
        <v>365</v>
      </c>
      <c r="D3319" s="3" t="s">
        <v>831</v>
      </c>
      <c r="E3319" s="14">
        <v>0.01</v>
      </c>
      <c r="F3319" s="4" t="s">
        <v>176</v>
      </c>
      <c r="G3319" s="9">
        <v>908</v>
      </c>
      <c r="H3319" s="9">
        <f t="shared" si="104"/>
        <v>9.08</v>
      </c>
      <c r="I3319" t="s">
        <v>253</v>
      </c>
      <c r="J3319" s="33">
        <v>0</v>
      </c>
      <c r="K3319" s="18">
        <f>VLOOKUP(D3319,Ingredients!C:G,5,0)</f>
        <v>908</v>
      </c>
      <c r="L3319" s="52">
        <f t="shared" si="103"/>
        <v>9.08</v>
      </c>
    </row>
    <row r="3320" spans="1:12">
      <c r="A3320" s="21" t="s">
        <v>651</v>
      </c>
      <c r="B3320" t="s">
        <v>348</v>
      </c>
      <c r="C3320" t="s">
        <v>365</v>
      </c>
      <c r="D3320" s="3" t="s">
        <v>35</v>
      </c>
      <c r="E3320" s="14">
        <v>1.2499999999999999E-2</v>
      </c>
      <c r="F3320" s="4" t="s">
        <v>252</v>
      </c>
      <c r="G3320" s="9">
        <v>13</v>
      </c>
      <c r="H3320" s="9">
        <f t="shared" si="104"/>
        <v>0.16249999999999998</v>
      </c>
      <c r="I3320" t="s">
        <v>253</v>
      </c>
      <c r="J3320" s="33">
        <v>0</v>
      </c>
      <c r="K3320" s="18">
        <f>VLOOKUP(D3320,Ingredients!C:G,5,0)</f>
        <v>15</v>
      </c>
      <c r="L3320" s="52">
        <f t="shared" si="103"/>
        <v>0.18749999999999997</v>
      </c>
    </row>
    <row r="3321" spans="1:12">
      <c r="A3321" s="21" t="s">
        <v>651</v>
      </c>
      <c r="B3321" t="s">
        <v>348</v>
      </c>
      <c r="C3321" t="s">
        <v>365</v>
      </c>
      <c r="D3321" s="3" t="s">
        <v>883</v>
      </c>
      <c r="E3321" s="14">
        <v>8.3333333333333339E-4</v>
      </c>
      <c r="F3321" s="4" t="s">
        <v>190</v>
      </c>
      <c r="G3321" s="9">
        <v>950</v>
      </c>
      <c r="H3321" s="9">
        <f t="shared" si="104"/>
        <v>0.79166666666666674</v>
      </c>
      <c r="I3321" t="s">
        <v>253</v>
      </c>
      <c r="J3321" s="33">
        <v>0</v>
      </c>
      <c r="K3321" s="18">
        <f>VLOOKUP(D3321,Ingredients!C:G,5,0)</f>
        <v>313</v>
      </c>
      <c r="L3321" s="52">
        <f t="shared" si="103"/>
        <v>0.26083333333333336</v>
      </c>
    </row>
    <row r="3322" spans="1:12">
      <c r="A3322" s="21" t="s">
        <v>651</v>
      </c>
      <c r="B3322" t="s">
        <v>348</v>
      </c>
      <c r="C3322" t="s">
        <v>365</v>
      </c>
      <c r="D3322" s="3" t="s">
        <v>872</v>
      </c>
      <c r="E3322" s="14">
        <v>6.6666666666666664E-4</v>
      </c>
      <c r="F3322" s="4" t="s">
        <v>176</v>
      </c>
      <c r="G3322" s="9">
        <v>2100</v>
      </c>
      <c r="H3322" s="9">
        <f t="shared" si="104"/>
        <v>1.4</v>
      </c>
      <c r="I3322" t="s">
        <v>253</v>
      </c>
      <c r="J3322" s="33">
        <v>0</v>
      </c>
      <c r="K3322" s="18">
        <f>VLOOKUP(D3322,Ingredients!C:G,5,0)</f>
        <v>2150</v>
      </c>
      <c r="L3322" s="52">
        <f t="shared" si="103"/>
        <v>1.4333333333333333</v>
      </c>
    </row>
    <row r="3323" spans="1:12">
      <c r="A3323" s="21" t="s">
        <v>651</v>
      </c>
      <c r="B3323" t="s">
        <v>348</v>
      </c>
      <c r="C3323" t="s">
        <v>365</v>
      </c>
      <c r="D3323" s="3" t="s">
        <v>853</v>
      </c>
      <c r="E3323" s="14">
        <v>6.6666666666666664E-4</v>
      </c>
      <c r="F3323" s="4" t="s">
        <v>176</v>
      </c>
      <c r="G3323" s="9">
        <v>30</v>
      </c>
      <c r="H3323" s="9">
        <f t="shared" si="104"/>
        <v>0.02</v>
      </c>
      <c r="I3323" t="s">
        <v>253</v>
      </c>
      <c r="J3323" s="33">
        <v>0</v>
      </c>
      <c r="K3323" s="18">
        <f>VLOOKUP(D3323,Ingredients!C:G,5,0)</f>
        <v>55</v>
      </c>
      <c r="L3323" s="52">
        <f t="shared" si="103"/>
        <v>3.6666666666666667E-2</v>
      </c>
    </row>
    <row r="3324" spans="1:12">
      <c r="A3324" s="21" t="s">
        <v>652</v>
      </c>
      <c r="B3324" t="s">
        <v>346</v>
      </c>
      <c r="C3324" t="s">
        <v>351</v>
      </c>
      <c r="D3324" s="3" t="s">
        <v>29</v>
      </c>
      <c r="E3324" s="14">
        <v>1</v>
      </c>
      <c r="F3324" s="4" t="s">
        <v>176</v>
      </c>
      <c r="G3324" s="9">
        <v>60</v>
      </c>
      <c r="H3324" s="9">
        <f t="shared" si="104"/>
        <v>60</v>
      </c>
      <c r="I3324" t="s">
        <v>179</v>
      </c>
      <c r="J3324" s="33">
        <v>0</v>
      </c>
      <c r="K3324" s="18">
        <f>VLOOKUP(D3324,Ingredients!C:G,5,0)</f>
        <v>100</v>
      </c>
      <c r="L3324" s="52">
        <f t="shared" si="103"/>
        <v>100</v>
      </c>
    </row>
    <row r="3325" spans="1:12">
      <c r="A3325" s="21" t="s">
        <v>652</v>
      </c>
      <c r="B3325" t="s">
        <v>346</v>
      </c>
      <c r="C3325" t="s">
        <v>351</v>
      </c>
      <c r="D3325" s="3" t="s">
        <v>874</v>
      </c>
      <c r="E3325" s="14">
        <v>0.33333333333333331</v>
      </c>
      <c r="F3325" s="4" t="s">
        <v>190</v>
      </c>
      <c r="G3325" s="9">
        <v>110</v>
      </c>
      <c r="H3325" s="9">
        <f t="shared" si="104"/>
        <v>36.666666666666664</v>
      </c>
      <c r="I3325" t="s">
        <v>179</v>
      </c>
      <c r="J3325" s="33">
        <v>0</v>
      </c>
      <c r="K3325" s="18">
        <f>VLOOKUP(D3325,Ingredients!C:G,5,0)</f>
        <v>179</v>
      </c>
      <c r="L3325" s="52">
        <f t="shared" si="103"/>
        <v>59.666666666666664</v>
      </c>
    </row>
    <row r="3326" spans="1:12">
      <c r="A3326" s="21" t="s">
        <v>652</v>
      </c>
      <c r="B3326" t="s">
        <v>346</v>
      </c>
      <c r="C3326" t="s">
        <v>351</v>
      </c>
      <c r="D3326" s="3" t="s">
        <v>853</v>
      </c>
      <c r="E3326" s="14">
        <v>4.9999999999999996E-2</v>
      </c>
      <c r="F3326" s="4" t="s">
        <v>176</v>
      </c>
      <c r="G3326" s="9">
        <v>30</v>
      </c>
      <c r="H3326" s="9">
        <f t="shared" si="104"/>
        <v>1.4999999999999998</v>
      </c>
      <c r="I3326" t="s">
        <v>179</v>
      </c>
      <c r="J3326" s="33">
        <v>0</v>
      </c>
      <c r="K3326" s="18">
        <f>VLOOKUP(D3326,Ingredients!C:G,5,0)</f>
        <v>55</v>
      </c>
      <c r="L3326" s="52">
        <f t="shared" si="103"/>
        <v>2.7499999999999996</v>
      </c>
    </row>
    <row r="3327" spans="1:12">
      <c r="A3327" s="21" t="s">
        <v>652</v>
      </c>
      <c r="B3327" t="s">
        <v>346</v>
      </c>
      <c r="C3327" t="s">
        <v>351</v>
      </c>
      <c r="D3327" s="3" t="s">
        <v>830</v>
      </c>
      <c r="E3327" s="14">
        <v>6.6666666666666666E-2</v>
      </c>
      <c r="F3327" s="4" t="s">
        <v>176</v>
      </c>
      <c r="G3327" s="9">
        <v>149</v>
      </c>
      <c r="H3327" s="9">
        <f t="shared" si="104"/>
        <v>9.9333333333333336</v>
      </c>
      <c r="I3327" t="s">
        <v>179</v>
      </c>
      <c r="J3327" s="33">
        <v>0</v>
      </c>
      <c r="K3327" s="18">
        <f>VLOOKUP(D3327,Ingredients!C:G,5,0)</f>
        <v>123</v>
      </c>
      <c r="L3327" s="52">
        <f t="shared" si="103"/>
        <v>8.1999999999999993</v>
      </c>
    </row>
    <row r="3328" spans="1:12">
      <c r="A3328" s="21" t="s">
        <v>652</v>
      </c>
      <c r="B3328" t="s">
        <v>346</v>
      </c>
      <c r="C3328" t="s">
        <v>351</v>
      </c>
      <c r="D3328" s="3" t="s">
        <v>852</v>
      </c>
      <c r="E3328" s="14">
        <v>8.3333333333333329E-2</v>
      </c>
      <c r="F3328" s="4" t="s">
        <v>190</v>
      </c>
      <c r="G3328" s="9">
        <v>520.63</v>
      </c>
      <c r="H3328" s="9">
        <f t="shared" si="104"/>
        <v>43.385833333333331</v>
      </c>
      <c r="I3328" t="s">
        <v>179</v>
      </c>
      <c r="J3328" s="33">
        <v>0</v>
      </c>
      <c r="K3328" s="18">
        <v>550</v>
      </c>
      <c r="L3328" s="52">
        <f t="shared" si="103"/>
        <v>45.833333333333329</v>
      </c>
    </row>
    <row r="3329" spans="1:12">
      <c r="A3329" s="21" t="s">
        <v>653</v>
      </c>
      <c r="B3329" t="s">
        <v>349</v>
      </c>
      <c r="C3329" t="s">
        <v>352</v>
      </c>
      <c r="D3329" s="3" t="s">
        <v>838</v>
      </c>
      <c r="E3329" s="4">
        <v>1</v>
      </c>
      <c r="F3329" s="4" t="s">
        <v>179</v>
      </c>
      <c r="G3329" s="9">
        <v>800</v>
      </c>
      <c r="H3329" s="9">
        <f t="shared" si="104"/>
        <v>800</v>
      </c>
      <c r="I3329" t="s">
        <v>179</v>
      </c>
      <c r="J3329" s="33" t="s">
        <v>516</v>
      </c>
      <c r="K3329" s="18">
        <f>VLOOKUP(D3329,Ingredients!C:G,5,0)</f>
        <v>950</v>
      </c>
      <c r="L3329" s="52">
        <f t="shared" si="103"/>
        <v>950</v>
      </c>
    </row>
    <row r="3330" spans="1:12">
      <c r="A3330" s="21" t="s">
        <v>653</v>
      </c>
      <c r="B3330" t="s">
        <v>349</v>
      </c>
      <c r="C3330" t="s">
        <v>352</v>
      </c>
      <c r="D3330" s="3" t="s">
        <v>880</v>
      </c>
      <c r="E3330" s="4">
        <v>0.03</v>
      </c>
      <c r="F3330" s="4" t="s">
        <v>179</v>
      </c>
      <c r="G3330" s="9">
        <v>650</v>
      </c>
      <c r="H3330" s="9">
        <f t="shared" si="104"/>
        <v>19.5</v>
      </c>
      <c r="I3330" t="s">
        <v>179</v>
      </c>
      <c r="J3330" s="33" t="s">
        <v>516</v>
      </c>
      <c r="K3330" s="18">
        <f>VLOOKUP(D3330,Ingredients!C:G,5,0)</f>
        <v>520</v>
      </c>
      <c r="L3330" s="52">
        <f t="shared" si="103"/>
        <v>15.6</v>
      </c>
    </row>
    <row r="3331" spans="1:12">
      <c r="A3331" s="21" t="s">
        <v>653</v>
      </c>
      <c r="B3331" t="s">
        <v>349</v>
      </c>
      <c r="C3331" t="s">
        <v>352</v>
      </c>
      <c r="D3331" s="3" t="s">
        <v>882</v>
      </c>
      <c r="E3331" s="4">
        <v>1.6E-2</v>
      </c>
      <c r="F3331" s="4" t="s">
        <v>179</v>
      </c>
      <c r="G3331" s="9">
        <v>1500</v>
      </c>
      <c r="H3331" s="9">
        <f t="shared" si="104"/>
        <v>24</v>
      </c>
      <c r="I3331" t="s">
        <v>179</v>
      </c>
      <c r="J3331" s="33" t="s">
        <v>516</v>
      </c>
      <c r="K3331" s="18">
        <f>VLOOKUP(D3331,Ingredients!C:G,5,0)</f>
        <v>1450</v>
      </c>
      <c r="L3331" s="52">
        <f t="shared" si="103"/>
        <v>23.2</v>
      </c>
    </row>
    <row r="3332" spans="1:12">
      <c r="A3332" s="21" t="s">
        <v>653</v>
      </c>
      <c r="B3332" t="s">
        <v>349</v>
      </c>
      <c r="C3332" t="s">
        <v>352</v>
      </c>
      <c r="D3332" s="3" t="s">
        <v>23</v>
      </c>
      <c r="E3332" s="4">
        <v>2.5000000000000001E-2</v>
      </c>
      <c r="F3332" s="4" t="s">
        <v>179</v>
      </c>
      <c r="G3332" s="9">
        <v>740</v>
      </c>
      <c r="H3332" s="9">
        <f t="shared" si="104"/>
        <v>18.5</v>
      </c>
      <c r="I3332" t="s">
        <v>179</v>
      </c>
      <c r="J3332" s="33" t="s">
        <v>516</v>
      </c>
      <c r="K3332" s="18">
        <f>VLOOKUP(D3332,Ingredients!C:G,5,0)</f>
        <v>780</v>
      </c>
      <c r="L3332" s="52">
        <f t="shared" ref="L3332:L3395" si="105">K3332*E3332</f>
        <v>19.5</v>
      </c>
    </row>
    <row r="3333" spans="1:12">
      <c r="A3333" s="21" t="s">
        <v>653</v>
      </c>
      <c r="B3333" t="s">
        <v>349</v>
      </c>
      <c r="C3333" t="s">
        <v>352</v>
      </c>
      <c r="D3333" s="3" t="s">
        <v>16</v>
      </c>
      <c r="E3333" s="4">
        <v>2.5000000000000001E-2</v>
      </c>
      <c r="F3333" s="4" t="s">
        <v>179</v>
      </c>
      <c r="G3333" s="9">
        <v>270</v>
      </c>
      <c r="H3333" s="9">
        <f t="shared" si="104"/>
        <v>6.75</v>
      </c>
      <c r="I3333" t="s">
        <v>179</v>
      </c>
      <c r="J3333" s="33" t="s">
        <v>516</v>
      </c>
      <c r="K3333" s="18">
        <f>VLOOKUP(D3333,Ingredients!C:G,5,0)</f>
        <v>310</v>
      </c>
      <c r="L3333" s="52">
        <f t="shared" si="105"/>
        <v>7.75</v>
      </c>
    </row>
    <row r="3334" spans="1:12">
      <c r="A3334" s="21" t="s">
        <v>653</v>
      </c>
      <c r="B3334" t="s">
        <v>349</v>
      </c>
      <c r="C3334" t="s">
        <v>352</v>
      </c>
      <c r="D3334" s="3" t="s">
        <v>29</v>
      </c>
      <c r="E3334" s="4">
        <v>0.08</v>
      </c>
      <c r="F3334" s="4" t="s">
        <v>179</v>
      </c>
      <c r="G3334" s="9">
        <v>60</v>
      </c>
      <c r="H3334" s="9">
        <f t="shared" si="104"/>
        <v>4.8</v>
      </c>
      <c r="I3334" t="s">
        <v>179</v>
      </c>
      <c r="J3334" s="33" t="s">
        <v>516</v>
      </c>
      <c r="K3334" s="18">
        <f>VLOOKUP(D3334,Ingredients!C:G,5,0)</f>
        <v>100</v>
      </c>
      <c r="L3334" s="52">
        <f t="shared" si="105"/>
        <v>8</v>
      </c>
    </row>
    <row r="3335" spans="1:12">
      <c r="A3335" s="21" t="s">
        <v>653</v>
      </c>
      <c r="B3335" t="s">
        <v>349</v>
      </c>
      <c r="C3335" t="s">
        <v>352</v>
      </c>
      <c r="D3335" s="3" t="s">
        <v>24</v>
      </c>
      <c r="E3335" s="4">
        <v>0.6</v>
      </c>
      <c r="F3335" s="4" t="s">
        <v>179</v>
      </c>
      <c r="G3335" s="9">
        <v>55</v>
      </c>
      <c r="H3335" s="9">
        <f t="shared" si="104"/>
        <v>33</v>
      </c>
      <c r="I3335" t="s">
        <v>179</v>
      </c>
      <c r="J3335" s="33" t="s">
        <v>516</v>
      </c>
      <c r="K3335" s="18">
        <f>VLOOKUP(D3335,Ingredients!C:G,5,0)</f>
        <v>80</v>
      </c>
      <c r="L3335" s="52">
        <f t="shared" si="105"/>
        <v>48</v>
      </c>
    </row>
    <row r="3336" spans="1:12">
      <c r="A3336" s="21" t="s">
        <v>653</v>
      </c>
      <c r="B3336" t="s">
        <v>349</v>
      </c>
      <c r="C3336" t="s">
        <v>352</v>
      </c>
      <c r="D3336" s="3" t="s">
        <v>28</v>
      </c>
      <c r="E3336" s="4">
        <v>0.5</v>
      </c>
      <c r="F3336" s="4" t="s">
        <v>179</v>
      </c>
      <c r="G3336" s="9">
        <v>85</v>
      </c>
      <c r="H3336" s="9">
        <f t="shared" si="104"/>
        <v>42.5</v>
      </c>
      <c r="I3336" t="s">
        <v>179</v>
      </c>
      <c r="J3336" s="33" t="s">
        <v>516</v>
      </c>
      <c r="K3336" s="18">
        <f>VLOOKUP(D3336,Ingredients!C:G,5,0)</f>
        <v>70</v>
      </c>
      <c r="L3336" s="52">
        <f t="shared" si="105"/>
        <v>35</v>
      </c>
    </row>
    <row r="3337" spans="1:12">
      <c r="A3337" s="21" t="s">
        <v>653</v>
      </c>
      <c r="B3337" t="s">
        <v>349</v>
      </c>
      <c r="C3337" t="s">
        <v>352</v>
      </c>
      <c r="D3337" s="3" t="s">
        <v>852</v>
      </c>
      <c r="E3337" s="4">
        <v>0.12</v>
      </c>
      <c r="F3337" s="4" t="s">
        <v>190</v>
      </c>
      <c r="G3337" s="9">
        <v>520.63</v>
      </c>
      <c r="H3337" s="9">
        <f t="shared" si="104"/>
        <v>62.4756</v>
      </c>
      <c r="I3337" t="s">
        <v>179</v>
      </c>
      <c r="J3337" s="33" t="s">
        <v>516</v>
      </c>
      <c r="K3337" s="18">
        <v>550</v>
      </c>
      <c r="L3337" s="52">
        <f t="shared" si="105"/>
        <v>66</v>
      </c>
    </row>
    <row r="3338" spans="1:12">
      <c r="A3338" s="21" t="s">
        <v>653</v>
      </c>
      <c r="B3338" t="s">
        <v>349</v>
      </c>
      <c r="C3338" t="s">
        <v>352</v>
      </c>
      <c r="D3338" s="3" t="s">
        <v>887</v>
      </c>
      <c r="E3338" s="4">
        <v>1.4999999999999999E-2</v>
      </c>
      <c r="F3338" s="4" t="s">
        <v>179</v>
      </c>
      <c r="G3338" s="9">
        <v>1600</v>
      </c>
      <c r="H3338" s="9">
        <f t="shared" si="104"/>
        <v>24</v>
      </c>
      <c r="I3338" t="s">
        <v>179</v>
      </c>
      <c r="J3338" s="33" t="s">
        <v>516</v>
      </c>
      <c r="K3338" s="18">
        <f>VLOOKUP(D3338,Ingredients!C:G,5,0)</f>
        <v>1830</v>
      </c>
      <c r="L3338" s="52">
        <f t="shared" si="105"/>
        <v>27.45</v>
      </c>
    </row>
    <row r="3339" spans="1:12">
      <c r="A3339" s="21" t="s">
        <v>653</v>
      </c>
      <c r="B3339" t="s">
        <v>349</v>
      </c>
      <c r="C3339" t="s">
        <v>352</v>
      </c>
      <c r="D3339" s="3" t="s">
        <v>929</v>
      </c>
      <c r="E3339" s="4">
        <v>0.05</v>
      </c>
      <c r="F3339" s="4" t="s">
        <v>179</v>
      </c>
      <c r="G3339" s="9">
        <v>650</v>
      </c>
      <c r="H3339" s="9">
        <f t="shared" si="104"/>
        <v>32.5</v>
      </c>
      <c r="I3339" t="s">
        <v>179</v>
      </c>
      <c r="J3339" s="33" t="s">
        <v>516</v>
      </c>
      <c r="K3339" s="18">
        <f>VLOOKUP(D3339,Ingredients!C:G,5,0)</f>
        <v>650</v>
      </c>
      <c r="L3339" s="52">
        <f t="shared" si="105"/>
        <v>32.5</v>
      </c>
    </row>
    <row r="3340" spans="1:12">
      <c r="A3340" s="21" t="s">
        <v>653</v>
      </c>
      <c r="B3340" t="s">
        <v>349</v>
      </c>
      <c r="C3340" t="s">
        <v>352</v>
      </c>
      <c r="D3340" s="3" t="s">
        <v>895</v>
      </c>
      <c r="E3340" s="4">
        <v>0.09</v>
      </c>
      <c r="F3340" s="4" t="s">
        <v>179</v>
      </c>
      <c r="G3340" s="9">
        <v>400</v>
      </c>
      <c r="H3340" s="9">
        <f t="shared" si="104"/>
        <v>36</v>
      </c>
      <c r="I3340" t="s">
        <v>179</v>
      </c>
      <c r="J3340" s="33" t="s">
        <v>516</v>
      </c>
      <c r="K3340" s="18">
        <f>VLOOKUP(D3340,Ingredients!C:G,5,0)</f>
        <v>400</v>
      </c>
      <c r="L3340" s="52">
        <f t="shared" si="105"/>
        <v>36</v>
      </c>
    </row>
    <row r="3341" spans="1:12">
      <c r="A3341" s="21" t="s">
        <v>653</v>
      </c>
      <c r="B3341" t="s">
        <v>349</v>
      </c>
      <c r="C3341" t="s">
        <v>352</v>
      </c>
      <c r="D3341" s="3" t="s">
        <v>860</v>
      </c>
      <c r="E3341" s="4">
        <v>1.4999999999999999E-2</v>
      </c>
      <c r="F3341" s="4" t="s">
        <v>179</v>
      </c>
      <c r="G3341" s="9">
        <v>2000</v>
      </c>
      <c r="H3341" s="9">
        <f t="shared" si="104"/>
        <v>30</v>
      </c>
      <c r="I3341" t="s">
        <v>179</v>
      </c>
      <c r="J3341" s="33" t="s">
        <v>516</v>
      </c>
      <c r="K3341" s="18">
        <f>VLOOKUP(D3341,Ingredients!C:G,5,0)</f>
        <v>1900</v>
      </c>
      <c r="L3341" s="52">
        <f t="shared" si="105"/>
        <v>28.5</v>
      </c>
    </row>
    <row r="3342" spans="1:12">
      <c r="A3342" s="21" t="s">
        <v>653</v>
      </c>
      <c r="B3342" t="s">
        <v>349</v>
      </c>
      <c r="C3342" t="s">
        <v>352</v>
      </c>
      <c r="D3342" s="3" t="s">
        <v>7</v>
      </c>
      <c r="E3342" s="4">
        <v>0.1</v>
      </c>
      <c r="F3342" s="4" t="s">
        <v>252</v>
      </c>
      <c r="G3342" s="9">
        <v>8</v>
      </c>
      <c r="H3342" s="9">
        <f t="shared" si="104"/>
        <v>0.8</v>
      </c>
      <c r="I3342" t="s">
        <v>179</v>
      </c>
      <c r="J3342" s="33" t="s">
        <v>516</v>
      </c>
      <c r="K3342" s="18">
        <f>VLOOKUP(D3342,Ingredients!C:G,5,0)</f>
        <v>6</v>
      </c>
      <c r="L3342" s="52">
        <f t="shared" si="105"/>
        <v>0.60000000000000009</v>
      </c>
    </row>
    <row r="3343" spans="1:12">
      <c r="A3343" s="21" t="s">
        <v>653</v>
      </c>
      <c r="B3343" t="s">
        <v>349</v>
      </c>
      <c r="C3343" t="s">
        <v>352</v>
      </c>
      <c r="D3343" s="3" t="s">
        <v>853</v>
      </c>
      <c r="E3343" s="4">
        <v>0.06</v>
      </c>
      <c r="F3343" s="4" t="s">
        <v>179</v>
      </c>
      <c r="G3343" s="9">
        <v>30</v>
      </c>
      <c r="H3343" s="9">
        <f t="shared" si="104"/>
        <v>1.7999999999999998</v>
      </c>
      <c r="I3343" t="s">
        <v>179</v>
      </c>
      <c r="J3343" s="33" t="s">
        <v>516</v>
      </c>
      <c r="K3343" s="18">
        <f>VLOOKUP(D3343,Ingredients!C:G,5,0)</f>
        <v>55</v>
      </c>
      <c r="L3343" s="52">
        <f t="shared" si="105"/>
        <v>3.3</v>
      </c>
    </row>
    <row r="3344" spans="1:12">
      <c r="A3344" s="21" t="s">
        <v>654</v>
      </c>
      <c r="B3344" t="s">
        <v>349</v>
      </c>
      <c r="C3344" t="s">
        <v>352</v>
      </c>
      <c r="D3344" s="3" t="s">
        <v>837</v>
      </c>
      <c r="E3344" s="4">
        <v>1</v>
      </c>
      <c r="F3344" s="4" t="s">
        <v>179</v>
      </c>
      <c r="G3344" s="9">
        <v>1700</v>
      </c>
      <c r="H3344" s="9">
        <f t="shared" si="104"/>
        <v>1700</v>
      </c>
      <c r="I3344" t="s">
        <v>179</v>
      </c>
      <c r="J3344" s="33" t="s">
        <v>514</v>
      </c>
      <c r="K3344" s="18">
        <f>VLOOKUP(D3344,Ingredients!C:G,5,0)</f>
        <v>1800</v>
      </c>
      <c r="L3344" s="52">
        <f t="shared" si="105"/>
        <v>1800</v>
      </c>
    </row>
    <row r="3345" spans="1:12">
      <c r="A3345" s="21" t="s">
        <v>654</v>
      </c>
      <c r="B3345" t="s">
        <v>349</v>
      </c>
      <c r="C3345" t="s">
        <v>352</v>
      </c>
      <c r="D3345" s="3" t="s">
        <v>880</v>
      </c>
      <c r="E3345" s="4">
        <v>0.03</v>
      </c>
      <c r="F3345" s="4" t="s">
        <v>179</v>
      </c>
      <c r="G3345" s="9">
        <v>650</v>
      </c>
      <c r="H3345" s="9">
        <f t="shared" si="104"/>
        <v>19.5</v>
      </c>
      <c r="I3345" t="s">
        <v>179</v>
      </c>
      <c r="J3345" s="33" t="s">
        <v>514</v>
      </c>
      <c r="K3345" s="18">
        <f>VLOOKUP(D3345,Ingredients!C:G,5,0)</f>
        <v>520</v>
      </c>
      <c r="L3345" s="52">
        <f t="shared" si="105"/>
        <v>15.6</v>
      </c>
    </row>
    <row r="3346" spans="1:12">
      <c r="A3346" s="21" t="s">
        <v>654</v>
      </c>
      <c r="B3346" t="s">
        <v>349</v>
      </c>
      <c r="C3346" t="s">
        <v>352</v>
      </c>
      <c r="D3346" s="3" t="s">
        <v>882</v>
      </c>
      <c r="E3346" s="4">
        <v>1.6E-2</v>
      </c>
      <c r="F3346" s="4" t="s">
        <v>179</v>
      </c>
      <c r="G3346" s="9">
        <v>1500</v>
      </c>
      <c r="H3346" s="9">
        <f t="shared" si="104"/>
        <v>24</v>
      </c>
      <c r="I3346" t="s">
        <v>179</v>
      </c>
      <c r="J3346" s="33" t="s">
        <v>514</v>
      </c>
      <c r="K3346" s="18">
        <f>VLOOKUP(D3346,Ingredients!C:G,5,0)</f>
        <v>1450</v>
      </c>
      <c r="L3346" s="52">
        <f t="shared" si="105"/>
        <v>23.2</v>
      </c>
    </row>
    <row r="3347" spans="1:12">
      <c r="A3347" s="21" t="s">
        <v>654</v>
      </c>
      <c r="B3347" t="s">
        <v>349</v>
      </c>
      <c r="C3347" t="s">
        <v>352</v>
      </c>
      <c r="D3347" s="3" t="s">
        <v>23</v>
      </c>
      <c r="E3347" s="4">
        <v>2.5000000000000001E-2</v>
      </c>
      <c r="F3347" s="4" t="s">
        <v>179</v>
      </c>
      <c r="G3347" s="9">
        <v>740</v>
      </c>
      <c r="H3347" s="9">
        <f t="shared" si="104"/>
        <v>18.5</v>
      </c>
      <c r="I3347" t="s">
        <v>179</v>
      </c>
      <c r="J3347" s="33" t="s">
        <v>514</v>
      </c>
      <c r="K3347" s="18">
        <f>VLOOKUP(D3347,Ingredients!C:G,5,0)</f>
        <v>780</v>
      </c>
      <c r="L3347" s="52">
        <f t="shared" si="105"/>
        <v>19.5</v>
      </c>
    </row>
    <row r="3348" spans="1:12">
      <c r="A3348" s="21" t="s">
        <v>654</v>
      </c>
      <c r="B3348" t="s">
        <v>349</v>
      </c>
      <c r="C3348" t="s">
        <v>352</v>
      </c>
      <c r="D3348" s="3" t="s">
        <v>16</v>
      </c>
      <c r="E3348" s="4">
        <v>2.5000000000000001E-2</v>
      </c>
      <c r="F3348" s="4" t="s">
        <v>179</v>
      </c>
      <c r="G3348" s="9">
        <v>270</v>
      </c>
      <c r="H3348" s="9">
        <f t="shared" si="104"/>
        <v>6.75</v>
      </c>
      <c r="I3348" t="s">
        <v>179</v>
      </c>
      <c r="J3348" s="33" t="s">
        <v>514</v>
      </c>
      <c r="K3348" s="18">
        <f>VLOOKUP(D3348,Ingredients!C:G,5,0)</f>
        <v>310</v>
      </c>
      <c r="L3348" s="52">
        <f t="shared" si="105"/>
        <v>7.75</v>
      </c>
    </row>
    <row r="3349" spans="1:12">
      <c r="A3349" s="21" t="s">
        <v>654</v>
      </c>
      <c r="B3349" t="s">
        <v>349</v>
      </c>
      <c r="C3349" t="s">
        <v>352</v>
      </c>
      <c r="D3349" s="3" t="s">
        <v>29</v>
      </c>
      <c r="E3349" s="4">
        <v>0.08</v>
      </c>
      <c r="F3349" s="4" t="s">
        <v>179</v>
      </c>
      <c r="G3349" s="9">
        <v>60</v>
      </c>
      <c r="H3349" s="9">
        <f t="shared" si="104"/>
        <v>4.8</v>
      </c>
      <c r="I3349" t="s">
        <v>179</v>
      </c>
      <c r="J3349" s="33" t="s">
        <v>514</v>
      </c>
      <c r="K3349" s="18">
        <f>VLOOKUP(D3349,Ingredients!C:G,5,0)</f>
        <v>100</v>
      </c>
      <c r="L3349" s="52">
        <f t="shared" si="105"/>
        <v>8</v>
      </c>
    </row>
    <row r="3350" spans="1:12">
      <c r="A3350" s="21" t="s">
        <v>654</v>
      </c>
      <c r="B3350" t="s">
        <v>349</v>
      </c>
      <c r="C3350" t="s">
        <v>352</v>
      </c>
      <c r="D3350" s="3" t="s">
        <v>24</v>
      </c>
      <c r="E3350" s="4">
        <v>0.6</v>
      </c>
      <c r="F3350" s="4" t="s">
        <v>179</v>
      </c>
      <c r="G3350" s="9">
        <v>55</v>
      </c>
      <c r="H3350" s="9">
        <f t="shared" si="104"/>
        <v>33</v>
      </c>
      <c r="I3350" t="s">
        <v>179</v>
      </c>
      <c r="J3350" s="33" t="s">
        <v>514</v>
      </c>
      <c r="K3350" s="18">
        <f>VLOOKUP(D3350,Ingredients!C:G,5,0)</f>
        <v>80</v>
      </c>
      <c r="L3350" s="52">
        <f t="shared" si="105"/>
        <v>48</v>
      </c>
    </row>
    <row r="3351" spans="1:12">
      <c r="A3351" s="21" t="s">
        <v>654</v>
      </c>
      <c r="B3351" t="s">
        <v>349</v>
      </c>
      <c r="C3351" t="s">
        <v>352</v>
      </c>
      <c r="D3351" s="3" t="s">
        <v>28</v>
      </c>
      <c r="E3351" s="4">
        <v>0.5</v>
      </c>
      <c r="F3351" s="4" t="s">
        <v>179</v>
      </c>
      <c r="G3351" s="9">
        <v>85</v>
      </c>
      <c r="H3351" s="9">
        <f t="shared" si="104"/>
        <v>42.5</v>
      </c>
      <c r="I3351" t="s">
        <v>179</v>
      </c>
      <c r="J3351" s="33" t="s">
        <v>514</v>
      </c>
      <c r="K3351" s="18">
        <f>VLOOKUP(D3351,Ingredients!C:G,5,0)</f>
        <v>70</v>
      </c>
      <c r="L3351" s="52">
        <f t="shared" si="105"/>
        <v>35</v>
      </c>
    </row>
    <row r="3352" spans="1:12">
      <c r="A3352" s="21" t="s">
        <v>654</v>
      </c>
      <c r="B3352" t="s">
        <v>349</v>
      </c>
      <c r="C3352" t="s">
        <v>352</v>
      </c>
      <c r="D3352" s="3" t="s">
        <v>852</v>
      </c>
      <c r="E3352" s="4">
        <v>0.12</v>
      </c>
      <c r="F3352" s="4" t="s">
        <v>190</v>
      </c>
      <c r="G3352" s="9">
        <v>520.63</v>
      </c>
      <c r="H3352" s="9">
        <f t="shared" si="104"/>
        <v>62.4756</v>
      </c>
      <c r="I3352" t="s">
        <v>179</v>
      </c>
      <c r="J3352" s="33" t="s">
        <v>514</v>
      </c>
      <c r="K3352" s="18">
        <v>550</v>
      </c>
      <c r="L3352" s="52">
        <f t="shared" si="105"/>
        <v>66</v>
      </c>
    </row>
    <row r="3353" spans="1:12">
      <c r="A3353" s="21" t="s">
        <v>654</v>
      </c>
      <c r="B3353" t="s">
        <v>349</v>
      </c>
      <c r="C3353" t="s">
        <v>352</v>
      </c>
      <c r="D3353" s="3" t="s">
        <v>887</v>
      </c>
      <c r="E3353" s="4">
        <v>1.4999999999999999E-2</v>
      </c>
      <c r="F3353" s="4" t="s">
        <v>179</v>
      </c>
      <c r="G3353" s="9">
        <v>1600</v>
      </c>
      <c r="H3353" s="9">
        <f t="shared" si="104"/>
        <v>24</v>
      </c>
      <c r="I3353" t="s">
        <v>179</v>
      </c>
      <c r="J3353" s="33" t="s">
        <v>514</v>
      </c>
      <c r="K3353" s="18">
        <f>VLOOKUP(D3353,Ingredients!C:G,5,0)</f>
        <v>1830</v>
      </c>
      <c r="L3353" s="52">
        <f t="shared" si="105"/>
        <v>27.45</v>
      </c>
    </row>
    <row r="3354" spans="1:12">
      <c r="A3354" s="21" t="s">
        <v>654</v>
      </c>
      <c r="B3354" t="s">
        <v>349</v>
      </c>
      <c r="C3354" t="s">
        <v>352</v>
      </c>
      <c r="D3354" s="3" t="s">
        <v>929</v>
      </c>
      <c r="E3354" s="4">
        <v>0.05</v>
      </c>
      <c r="F3354" s="4" t="s">
        <v>179</v>
      </c>
      <c r="G3354" s="9">
        <v>650</v>
      </c>
      <c r="H3354" s="9">
        <f t="shared" si="104"/>
        <v>32.5</v>
      </c>
      <c r="I3354" t="s">
        <v>179</v>
      </c>
      <c r="J3354" s="33" t="s">
        <v>514</v>
      </c>
      <c r="K3354" s="18">
        <f>VLOOKUP(D3354,Ingredients!C:G,5,0)</f>
        <v>650</v>
      </c>
      <c r="L3354" s="52">
        <f t="shared" si="105"/>
        <v>32.5</v>
      </c>
    </row>
    <row r="3355" spans="1:12">
      <c r="A3355" s="21" t="s">
        <v>654</v>
      </c>
      <c r="B3355" t="s">
        <v>349</v>
      </c>
      <c r="C3355" t="s">
        <v>352</v>
      </c>
      <c r="D3355" s="3" t="s">
        <v>895</v>
      </c>
      <c r="E3355" s="4">
        <v>0.09</v>
      </c>
      <c r="F3355" s="4" t="s">
        <v>179</v>
      </c>
      <c r="G3355" s="9">
        <v>400</v>
      </c>
      <c r="H3355" s="9">
        <f t="shared" si="104"/>
        <v>36</v>
      </c>
      <c r="I3355" t="s">
        <v>179</v>
      </c>
      <c r="J3355" s="33" t="s">
        <v>514</v>
      </c>
      <c r="K3355" s="18">
        <f>VLOOKUP(D3355,Ingredients!C:G,5,0)</f>
        <v>400</v>
      </c>
      <c r="L3355" s="52">
        <f t="shared" si="105"/>
        <v>36</v>
      </c>
    </row>
    <row r="3356" spans="1:12">
      <c r="A3356" s="21" t="s">
        <v>654</v>
      </c>
      <c r="B3356" t="s">
        <v>349</v>
      </c>
      <c r="C3356" t="s">
        <v>352</v>
      </c>
      <c r="D3356" s="3" t="s">
        <v>860</v>
      </c>
      <c r="E3356" s="4">
        <v>1.4999999999999999E-2</v>
      </c>
      <c r="F3356" s="4" t="s">
        <v>179</v>
      </c>
      <c r="G3356" s="9">
        <v>2000</v>
      </c>
      <c r="H3356" s="9">
        <f t="shared" si="104"/>
        <v>30</v>
      </c>
      <c r="I3356" t="s">
        <v>179</v>
      </c>
      <c r="J3356" s="33" t="s">
        <v>514</v>
      </c>
      <c r="K3356" s="18">
        <f>VLOOKUP(D3356,Ingredients!C:G,5,0)</f>
        <v>1900</v>
      </c>
      <c r="L3356" s="52">
        <f t="shared" si="105"/>
        <v>28.5</v>
      </c>
    </row>
    <row r="3357" spans="1:12">
      <c r="A3357" s="21" t="s">
        <v>654</v>
      </c>
      <c r="B3357" t="s">
        <v>349</v>
      </c>
      <c r="C3357" t="s">
        <v>352</v>
      </c>
      <c r="D3357" s="3" t="s">
        <v>7</v>
      </c>
      <c r="E3357" s="4">
        <v>0.1</v>
      </c>
      <c r="F3357" s="4" t="s">
        <v>252</v>
      </c>
      <c r="G3357" s="9">
        <v>8</v>
      </c>
      <c r="H3357" s="9">
        <f t="shared" si="104"/>
        <v>0.8</v>
      </c>
      <c r="I3357" t="s">
        <v>179</v>
      </c>
      <c r="J3357" s="33" t="s">
        <v>514</v>
      </c>
      <c r="K3357" s="18">
        <f>VLOOKUP(D3357,Ingredients!C:G,5,0)</f>
        <v>6</v>
      </c>
      <c r="L3357" s="52">
        <f t="shared" si="105"/>
        <v>0.60000000000000009</v>
      </c>
    </row>
    <row r="3358" spans="1:12">
      <c r="A3358" s="21" t="s">
        <v>654</v>
      </c>
      <c r="B3358" t="s">
        <v>349</v>
      </c>
      <c r="C3358" t="s">
        <v>352</v>
      </c>
      <c r="D3358" s="3" t="s">
        <v>853</v>
      </c>
      <c r="E3358" s="4">
        <v>0.06</v>
      </c>
      <c r="F3358" s="4" t="s">
        <v>179</v>
      </c>
      <c r="G3358" s="9">
        <v>30</v>
      </c>
      <c r="H3358" s="9">
        <f t="shared" si="104"/>
        <v>1.7999999999999998</v>
      </c>
      <c r="I3358" t="s">
        <v>179</v>
      </c>
      <c r="J3358" s="33" t="s">
        <v>514</v>
      </c>
      <c r="K3358" s="18">
        <f>VLOOKUP(D3358,Ingredients!C:G,5,0)</f>
        <v>55</v>
      </c>
      <c r="L3358" s="52">
        <f t="shared" si="105"/>
        <v>3.3</v>
      </c>
    </row>
    <row r="3359" spans="1:12">
      <c r="A3359" s="21" t="s">
        <v>808</v>
      </c>
      <c r="B3359" t="s">
        <v>349</v>
      </c>
      <c r="C3359" t="s">
        <v>352</v>
      </c>
      <c r="D3359" s="33" t="s">
        <v>491</v>
      </c>
      <c r="E3359" s="4">
        <v>1</v>
      </c>
      <c r="F3359" s="4" t="s">
        <v>179</v>
      </c>
      <c r="G3359" s="9">
        <v>614</v>
      </c>
      <c r="H3359" s="9">
        <f t="shared" si="104"/>
        <v>614</v>
      </c>
      <c r="I3359" t="s">
        <v>179</v>
      </c>
      <c r="J3359" s="33" t="s">
        <v>491</v>
      </c>
      <c r="K3359" s="18">
        <f>VLOOKUP(D3359,Ingredients!C:G,5,0)</f>
        <v>650</v>
      </c>
      <c r="L3359" s="52">
        <f t="shared" si="105"/>
        <v>650</v>
      </c>
    </row>
    <row r="3360" spans="1:12">
      <c r="A3360" s="21" t="s">
        <v>808</v>
      </c>
      <c r="B3360" t="s">
        <v>349</v>
      </c>
      <c r="C3360" t="s">
        <v>352</v>
      </c>
      <c r="D3360" s="3" t="s">
        <v>880</v>
      </c>
      <c r="E3360" s="4">
        <v>0.03</v>
      </c>
      <c r="F3360" s="4" t="s">
        <v>179</v>
      </c>
      <c r="G3360" s="9">
        <v>650</v>
      </c>
      <c r="H3360" s="9">
        <f t="shared" si="104"/>
        <v>19.5</v>
      </c>
      <c r="I3360" t="s">
        <v>179</v>
      </c>
      <c r="J3360" s="33" t="s">
        <v>491</v>
      </c>
      <c r="K3360" s="18">
        <f>VLOOKUP(D3360,Ingredients!C:G,5,0)</f>
        <v>520</v>
      </c>
      <c r="L3360" s="52">
        <f t="shared" si="105"/>
        <v>15.6</v>
      </c>
    </row>
    <row r="3361" spans="1:12">
      <c r="A3361" s="21" t="s">
        <v>808</v>
      </c>
      <c r="B3361" t="s">
        <v>349</v>
      </c>
      <c r="C3361" t="s">
        <v>352</v>
      </c>
      <c r="D3361" s="3" t="s">
        <v>882</v>
      </c>
      <c r="E3361" s="4">
        <v>1.6E-2</v>
      </c>
      <c r="F3361" s="4" t="s">
        <v>179</v>
      </c>
      <c r="G3361" s="9">
        <v>1500</v>
      </c>
      <c r="H3361" s="9">
        <f t="shared" si="104"/>
        <v>24</v>
      </c>
      <c r="I3361" t="s">
        <v>179</v>
      </c>
      <c r="J3361" s="33" t="s">
        <v>491</v>
      </c>
      <c r="K3361" s="18">
        <f>VLOOKUP(D3361,Ingredients!C:G,5,0)</f>
        <v>1450</v>
      </c>
      <c r="L3361" s="52">
        <f t="shared" si="105"/>
        <v>23.2</v>
      </c>
    </row>
    <row r="3362" spans="1:12">
      <c r="A3362" s="21" t="s">
        <v>808</v>
      </c>
      <c r="B3362" t="s">
        <v>349</v>
      </c>
      <c r="C3362" t="s">
        <v>352</v>
      </c>
      <c r="D3362" s="3" t="s">
        <v>23</v>
      </c>
      <c r="E3362" s="4">
        <v>2.5000000000000001E-2</v>
      </c>
      <c r="F3362" s="4" t="s">
        <v>179</v>
      </c>
      <c r="G3362" s="9">
        <v>740</v>
      </c>
      <c r="H3362" s="9">
        <f t="shared" si="104"/>
        <v>18.5</v>
      </c>
      <c r="I3362" t="s">
        <v>179</v>
      </c>
      <c r="J3362" s="33" t="s">
        <v>491</v>
      </c>
      <c r="K3362" s="18">
        <f>VLOOKUP(D3362,Ingredients!C:G,5,0)</f>
        <v>780</v>
      </c>
      <c r="L3362" s="52">
        <f t="shared" si="105"/>
        <v>19.5</v>
      </c>
    </row>
    <row r="3363" spans="1:12">
      <c r="A3363" s="21" t="s">
        <v>808</v>
      </c>
      <c r="B3363" t="s">
        <v>349</v>
      </c>
      <c r="C3363" t="s">
        <v>352</v>
      </c>
      <c r="D3363" s="3" t="s">
        <v>16</v>
      </c>
      <c r="E3363" s="4">
        <v>2.5000000000000001E-2</v>
      </c>
      <c r="F3363" s="4" t="s">
        <v>179</v>
      </c>
      <c r="G3363" s="9">
        <v>270</v>
      </c>
      <c r="H3363" s="9">
        <f t="shared" si="104"/>
        <v>6.75</v>
      </c>
      <c r="I3363" t="s">
        <v>179</v>
      </c>
      <c r="J3363" s="33" t="s">
        <v>491</v>
      </c>
      <c r="K3363" s="18">
        <f>VLOOKUP(D3363,Ingredients!C:G,5,0)</f>
        <v>310</v>
      </c>
      <c r="L3363" s="52">
        <f t="shared" si="105"/>
        <v>7.75</v>
      </c>
    </row>
    <row r="3364" spans="1:12">
      <c r="A3364" s="21" t="s">
        <v>808</v>
      </c>
      <c r="B3364" t="s">
        <v>349</v>
      </c>
      <c r="C3364" t="s">
        <v>352</v>
      </c>
      <c r="D3364" s="3" t="s">
        <v>29</v>
      </c>
      <c r="E3364" s="4">
        <v>0.08</v>
      </c>
      <c r="F3364" s="4" t="s">
        <v>179</v>
      </c>
      <c r="G3364" s="9">
        <v>60</v>
      </c>
      <c r="H3364" s="9">
        <f t="shared" si="104"/>
        <v>4.8</v>
      </c>
      <c r="I3364" t="s">
        <v>179</v>
      </c>
      <c r="J3364" s="33" t="s">
        <v>491</v>
      </c>
      <c r="K3364" s="18">
        <f>VLOOKUP(D3364,Ingredients!C:G,5,0)</f>
        <v>100</v>
      </c>
      <c r="L3364" s="52">
        <f t="shared" si="105"/>
        <v>8</v>
      </c>
    </row>
    <row r="3365" spans="1:12">
      <c r="A3365" s="21" t="s">
        <v>808</v>
      </c>
      <c r="B3365" t="s">
        <v>349</v>
      </c>
      <c r="C3365" t="s">
        <v>352</v>
      </c>
      <c r="D3365" s="3" t="s">
        <v>24</v>
      </c>
      <c r="E3365" s="4">
        <v>0.6</v>
      </c>
      <c r="F3365" s="4" t="s">
        <v>179</v>
      </c>
      <c r="G3365" s="9">
        <v>55</v>
      </c>
      <c r="H3365" s="9">
        <f t="shared" si="104"/>
        <v>33</v>
      </c>
      <c r="I3365" t="s">
        <v>179</v>
      </c>
      <c r="J3365" s="33" t="s">
        <v>491</v>
      </c>
      <c r="K3365" s="18">
        <f>VLOOKUP(D3365,Ingredients!C:G,5,0)</f>
        <v>80</v>
      </c>
      <c r="L3365" s="52">
        <f t="shared" si="105"/>
        <v>48</v>
      </c>
    </row>
    <row r="3366" spans="1:12">
      <c r="A3366" s="21" t="s">
        <v>808</v>
      </c>
      <c r="B3366" t="s">
        <v>349</v>
      </c>
      <c r="C3366" t="s">
        <v>352</v>
      </c>
      <c r="D3366" s="3" t="s">
        <v>28</v>
      </c>
      <c r="E3366" s="4">
        <v>0.5</v>
      </c>
      <c r="F3366" s="4" t="s">
        <v>179</v>
      </c>
      <c r="G3366" s="9">
        <v>85</v>
      </c>
      <c r="H3366" s="9">
        <f t="shared" si="104"/>
        <v>42.5</v>
      </c>
      <c r="I3366" t="s">
        <v>179</v>
      </c>
      <c r="J3366" s="33" t="s">
        <v>491</v>
      </c>
      <c r="K3366" s="18">
        <f>VLOOKUP(D3366,Ingredients!C:G,5,0)</f>
        <v>70</v>
      </c>
      <c r="L3366" s="52">
        <f t="shared" si="105"/>
        <v>35</v>
      </c>
    </row>
    <row r="3367" spans="1:12">
      <c r="A3367" s="21" t="s">
        <v>808</v>
      </c>
      <c r="B3367" t="s">
        <v>349</v>
      </c>
      <c r="C3367" t="s">
        <v>352</v>
      </c>
      <c r="D3367" s="3" t="s">
        <v>852</v>
      </c>
      <c r="E3367" s="4">
        <v>0.12</v>
      </c>
      <c r="F3367" s="4" t="s">
        <v>190</v>
      </c>
      <c r="G3367" s="9">
        <v>520.63</v>
      </c>
      <c r="H3367" s="9">
        <f t="shared" si="104"/>
        <v>62.4756</v>
      </c>
      <c r="I3367" t="s">
        <v>179</v>
      </c>
      <c r="J3367" s="33" t="s">
        <v>491</v>
      </c>
      <c r="K3367" s="18">
        <v>550</v>
      </c>
      <c r="L3367" s="52">
        <f t="shared" si="105"/>
        <v>66</v>
      </c>
    </row>
    <row r="3368" spans="1:12">
      <c r="A3368" s="21" t="s">
        <v>808</v>
      </c>
      <c r="B3368" t="s">
        <v>349</v>
      </c>
      <c r="C3368" t="s">
        <v>352</v>
      </c>
      <c r="D3368" s="3" t="s">
        <v>887</v>
      </c>
      <c r="E3368" s="4">
        <v>1.4999999999999999E-2</v>
      </c>
      <c r="F3368" s="4" t="s">
        <v>179</v>
      </c>
      <c r="G3368" s="9">
        <v>1600</v>
      </c>
      <c r="H3368" s="9">
        <f t="shared" si="104"/>
        <v>24</v>
      </c>
      <c r="I3368" t="s">
        <v>179</v>
      </c>
      <c r="J3368" s="33" t="s">
        <v>491</v>
      </c>
      <c r="K3368" s="18">
        <f>VLOOKUP(D3368,Ingredients!C:G,5,0)</f>
        <v>1830</v>
      </c>
      <c r="L3368" s="52">
        <f t="shared" si="105"/>
        <v>27.45</v>
      </c>
    </row>
    <row r="3369" spans="1:12">
      <c r="A3369" s="21" t="s">
        <v>808</v>
      </c>
      <c r="B3369" t="s">
        <v>349</v>
      </c>
      <c r="C3369" t="s">
        <v>352</v>
      </c>
      <c r="D3369" s="3" t="s">
        <v>929</v>
      </c>
      <c r="E3369" s="4">
        <v>0.05</v>
      </c>
      <c r="F3369" s="4" t="s">
        <v>179</v>
      </c>
      <c r="G3369" s="9">
        <v>650</v>
      </c>
      <c r="H3369" s="9">
        <f t="shared" si="104"/>
        <v>32.5</v>
      </c>
      <c r="I3369" t="s">
        <v>179</v>
      </c>
      <c r="J3369" s="33" t="s">
        <v>491</v>
      </c>
      <c r="K3369" s="18">
        <f>VLOOKUP(D3369,Ingredients!C:G,5,0)</f>
        <v>650</v>
      </c>
      <c r="L3369" s="52">
        <f t="shared" si="105"/>
        <v>32.5</v>
      </c>
    </row>
    <row r="3370" spans="1:12">
      <c r="A3370" s="21" t="s">
        <v>808</v>
      </c>
      <c r="B3370" t="s">
        <v>349</v>
      </c>
      <c r="C3370" t="s">
        <v>352</v>
      </c>
      <c r="D3370" s="3" t="s">
        <v>895</v>
      </c>
      <c r="E3370" s="4">
        <v>0.09</v>
      </c>
      <c r="F3370" s="4" t="s">
        <v>179</v>
      </c>
      <c r="G3370" s="9">
        <v>400</v>
      </c>
      <c r="H3370" s="9">
        <f t="shared" si="104"/>
        <v>36</v>
      </c>
      <c r="I3370" t="s">
        <v>179</v>
      </c>
      <c r="J3370" s="33" t="s">
        <v>491</v>
      </c>
      <c r="K3370" s="18">
        <f>VLOOKUP(D3370,Ingredients!C:G,5,0)</f>
        <v>400</v>
      </c>
      <c r="L3370" s="52">
        <f t="shared" si="105"/>
        <v>36</v>
      </c>
    </row>
    <row r="3371" spans="1:12">
      <c r="A3371" s="21" t="s">
        <v>808</v>
      </c>
      <c r="B3371" t="s">
        <v>349</v>
      </c>
      <c r="C3371" t="s">
        <v>352</v>
      </c>
      <c r="D3371" s="3" t="s">
        <v>860</v>
      </c>
      <c r="E3371" s="4">
        <v>1.4999999999999999E-2</v>
      </c>
      <c r="F3371" s="4" t="s">
        <v>179</v>
      </c>
      <c r="G3371" s="9">
        <v>2000</v>
      </c>
      <c r="H3371" s="9">
        <f t="shared" si="104"/>
        <v>30</v>
      </c>
      <c r="I3371" t="s">
        <v>179</v>
      </c>
      <c r="J3371" s="33" t="s">
        <v>491</v>
      </c>
      <c r="K3371" s="18">
        <f>VLOOKUP(D3371,Ingredients!C:G,5,0)</f>
        <v>1900</v>
      </c>
      <c r="L3371" s="52">
        <f t="shared" si="105"/>
        <v>28.5</v>
      </c>
    </row>
    <row r="3372" spans="1:12">
      <c r="A3372" s="21" t="s">
        <v>808</v>
      </c>
      <c r="B3372" t="s">
        <v>349</v>
      </c>
      <c r="C3372" t="s">
        <v>352</v>
      </c>
      <c r="D3372" s="3" t="s">
        <v>7</v>
      </c>
      <c r="E3372" s="4">
        <v>0.1</v>
      </c>
      <c r="F3372" s="4" t="s">
        <v>252</v>
      </c>
      <c r="G3372" s="9">
        <v>8</v>
      </c>
      <c r="H3372" s="9">
        <f t="shared" si="104"/>
        <v>0.8</v>
      </c>
      <c r="I3372" t="s">
        <v>179</v>
      </c>
      <c r="J3372" s="33" t="s">
        <v>491</v>
      </c>
      <c r="K3372" s="18">
        <f>VLOOKUP(D3372,Ingredients!C:G,5,0)</f>
        <v>6</v>
      </c>
      <c r="L3372" s="52">
        <f t="shared" si="105"/>
        <v>0.60000000000000009</v>
      </c>
    </row>
    <row r="3373" spans="1:12">
      <c r="A3373" s="21" t="s">
        <v>808</v>
      </c>
      <c r="B3373" t="s">
        <v>349</v>
      </c>
      <c r="C3373" t="s">
        <v>352</v>
      </c>
      <c r="D3373" s="3" t="s">
        <v>853</v>
      </c>
      <c r="E3373" s="4">
        <v>0.06</v>
      </c>
      <c r="F3373" s="4" t="s">
        <v>179</v>
      </c>
      <c r="G3373" s="9">
        <v>30</v>
      </c>
      <c r="H3373" s="9">
        <f t="shared" ref="H3373:H3451" si="106">G3373*E3373</f>
        <v>1.7999999999999998</v>
      </c>
      <c r="I3373" t="s">
        <v>179</v>
      </c>
      <c r="J3373" s="33" t="s">
        <v>491</v>
      </c>
      <c r="K3373" s="18">
        <f>VLOOKUP(D3373,Ingredients!C:G,5,0)</f>
        <v>55</v>
      </c>
      <c r="L3373" s="52">
        <f t="shared" si="105"/>
        <v>3.3</v>
      </c>
    </row>
    <row r="3374" spans="1:12">
      <c r="A3374" s="21" t="s">
        <v>655</v>
      </c>
      <c r="B3374" t="s">
        <v>349</v>
      </c>
      <c r="C3374" t="s">
        <v>350</v>
      </c>
      <c r="D3374" s="3" t="s">
        <v>831</v>
      </c>
      <c r="E3374" s="14">
        <v>1</v>
      </c>
      <c r="F3374" s="4" t="s">
        <v>179</v>
      </c>
      <c r="G3374" s="9">
        <v>908</v>
      </c>
      <c r="H3374" s="9">
        <f t="shared" si="106"/>
        <v>908</v>
      </c>
      <c r="I3374" t="s">
        <v>179</v>
      </c>
      <c r="J3374" s="33" t="s">
        <v>489</v>
      </c>
      <c r="K3374" s="18">
        <f>VLOOKUP(D3374,Ingredients!C:G,5,0)</f>
        <v>908</v>
      </c>
      <c r="L3374" s="52">
        <f t="shared" si="105"/>
        <v>908</v>
      </c>
    </row>
    <row r="3375" spans="1:12">
      <c r="A3375" s="21" t="s">
        <v>655</v>
      </c>
      <c r="B3375" t="s">
        <v>349</v>
      </c>
      <c r="C3375" t="s">
        <v>350</v>
      </c>
      <c r="D3375" s="3" t="s">
        <v>73</v>
      </c>
      <c r="E3375" s="14">
        <v>0.21840000000000001</v>
      </c>
      <c r="F3375" s="4" t="s">
        <v>179</v>
      </c>
      <c r="G3375" s="9">
        <v>305</v>
      </c>
      <c r="H3375" s="9">
        <f t="shared" si="106"/>
        <v>66.612000000000009</v>
      </c>
      <c r="I3375" t="s">
        <v>179</v>
      </c>
      <c r="J3375" s="33" t="s">
        <v>489</v>
      </c>
      <c r="K3375" s="18">
        <f>VLOOKUP(D3375,Ingredients!C:G,5,0)</f>
        <v>300</v>
      </c>
      <c r="L3375" s="52">
        <f t="shared" si="105"/>
        <v>65.52000000000001</v>
      </c>
    </row>
    <row r="3376" spans="1:12">
      <c r="A3376" s="21" t="s">
        <v>655</v>
      </c>
      <c r="B3376" t="s">
        <v>349</v>
      </c>
      <c r="C3376" t="s">
        <v>350</v>
      </c>
      <c r="D3376" s="3" t="s">
        <v>16</v>
      </c>
      <c r="E3376" s="14">
        <v>7.6440000000000008E-2</v>
      </c>
      <c r="F3376" s="4" t="s">
        <v>179</v>
      </c>
      <c r="G3376" s="9">
        <v>270</v>
      </c>
      <c r="H3376" s="9">
        <f t="shared" si="106"/>
        <v>20.638800000000003</v>
      </c>
      <c r="I3376" t="s">
        <v>179</v>
      </c>
      <c r="J3376" s="33" t="s">
        <v>489</v>
      </c>
      <c r="K3376" s="18">
        <f>VLOOKUP(D3376,Ingredients!C:G,5,0)</f>
        <v>310</v>
      </c>
      <c r="L3376" s="52">
        <f t="shared" si="105"/>
        <v>23.696400000000004</v>
      </c>
    </row>
    <row r="3377" spans="1:12">
      <c r="A3377" s="21" t="s">
        <v>655</v>
      </c>
      <c r="B3377" t="s">
        <v>349</v>
      </c>
      <c r="C3377" t="s">
        <v>350</v>
      </c>
      <c r="D3377" s="3" t="s">
        <v>852</v>
      </c>
      <c r="E3377" s="14">
        <v>2.7300000000000001E-2</v>
      </c>
      <c r="F3377" s="4" t="s">
        <v>190</v>
      </c>
      <c r="G3377" s="9">
        <v>520.63</v>
      </c>
      <c r="H3377" s="9">
        <f t="shared" si="106"/>
        <v>14.213199000000001</v>
      </c>
      <c r="I3377" t="s">
        <v>179</v>
      </c>
      <c r="J3377" s="33" t="s">
        <v>489</v>
      </c>
      <c r="K3377" s="18">
        <v>550</v>
      </c>
      <c r="L3377" s="52">
        <f t="shared" si="105"/>
        <v>15.015000000000001</v>
      </c>
    </row>
    <row r="3378" spans="1:12">
      <c r="A3378" s="21" t="s">
        <v>655</v>
      </c>
      <c r="B3378" t="s">
        <v>349</v>
      </c>
      <c r="C3378" t="s">
        <v>350</v>
      </c>
      <c r="D3378" s="3" t="s">
        <v>50</v>
      </c>
      <c r="E3378" s="14">
        <v>7.2800000000000004E-2</v>
      </c>
      <c r="F3378" s="4" t="s">
        <v>179</v>
      </c>
      <c r="G3378" s="9">
        <v>120</v>
      </c>
      <c r="H3378" s="9">
        <f t="shared" si="106"/>
        <v>8.7360000000000007</v>
      </c>
      <c r="I3378" t="s">
        <v>179</v>
      </c>
      <c r="J3378" s="33" t="s">
        <v>489</v>
      </c>
      <c r="K3378" s="18">
        <f>VLOOKUP(D3378,Ingredients!C:G,5,0)</f>
        <v>120</v>
      </c>
      <c r="L3378" s="52">
        <f t="shared" si="105"/>
        <v>8.7360000000000007</v>
      </c>
    </row>
    <row r="3379" spans="1:12">
      <c r="A3379" s="21" t="s">
        <v>655</v>
      </c>
      <c r="B3379" t="s">
        <v>349</v>
      </c>
      <c r="C3379" t="s">
        <v>350</v>
      </c>
      <c r="D3379" s="3" t="s">
        <v>863</v>
      </c>
      <c r="E3379" s="14">
        <v>5.4600000000000003E-2</v>
      </c>
      <c r="F3379" s="4" t="s">
        <v>179</v>
      </c>
      <c r="G3379" s="9">
        <v>675</v>
      </c>
      <c r="H3379" s="9">
        <f t="shared" si="106"/>
        <v>36.855000000000004</v>
      </c>
      <c r="I3379" t="s">
        <v>179</v>
      </c>
      <c r="J3379" s="33" t="s">
        <v>489</v>
      </c>
      <c r="K3379" s="18">
        <f>VLOOKUP(D3379,Ingredients!C:G,5,0)</f>
        <v>675</v>
      </c>
      <c r="L3379" s="52">
        <f t="shared" si="105"/>
        <v>36.855000000000004</v>
      </c>
    </row>
    <row r="3380" spans="1:12">
      <c r="A3380" s="21" t="s">
        <v>655</v>
      </c>
      <c r="B3380" t="s">
        <v>349</v>
      </c>
      <c r="C3380" t="s">
        <v>350</v>
      </c>
      <c r="D3380" s="3" t="s">
        <v>849</v>
      </c>
      <c r="E3380" s="14">
        <v>2.7300000000000001E-2</v>
      </c>
      <c r="F3380" s="4" t="s">
        <v>179</v>
      </c>
      <c r="G3380" s="9">
        <v>1000</v>
      </c>
      <c r="H3380" s="9">
        <f t="shared" si="106"/>
        <v>27.3</v>
      </c>
      <c r="I3380" t="s">
        <v>179</v>
      </c>
      <c r="J3380" s="33" t="s">
        <v>489</v>
      </c>
      <c r="K3380" s="18">
        <f>VLOOKUP(D3380,Ingredients!C:G,5,0)</f>
        <v>950</v>
      </c>
      <c r="L3380" s="52">
        <f t="shared" si="105"/>
        <v>25.935000000000002</v>
      </c>
    </row>
    <row r="3381" spans="1:12">
      <c r="A3381" s="21" t="s">
        <v>655</v>
      </c>
      <c r="B3381" t="s">
        <v>349</v>
      </c>
      <c r="C3381" t="s">
        <v>350</v>
      </c>
      <c r="D3381" s="3" t="s">
        <v>853</v>
      </c>
      <c r="E3381" s="14">
        <v>2.7300000000000001E-2</v>
      </c>
      <c r="F3381" s="4" t="s">
        <v>179</v>
      </c>
      <c r="G3381" s="9">
        <v>30</v>
      </c>
      <c r="H3381" s="9">
        <f t="shared" si="106"/>
        <v>0.81900000000000006</v>
      </c>
      <c r="I3381" t="s">
        <v>179</v>
      </c>
      <c r="J3381" s="33" t="s">
        <v>489</v>
      </c>
      <c r="K3381" s="18">
        <f>VLOOKUP(D3381,Ingredients!C:G,5,0)</f>
        <v>55</v>
      </c>
      <c r="L3381" s="52">
        <f t="shared" si="105"/>
        <v>1.5015000000000001</v>
      </c>
    </row>
    <row r="3382" spans="1:12">
      <c r="A3382" s="21" t="s">
        <v>655</v>
      </c>
      <c r="B3382" t="s">
        <v>349</v>
      </c>
      <c r="C3382" t="s">
        <v>350</v>
      </c>
      <c r="D3382" s="3" t="s">
        <v>887</v>
      </c>
      <c r="E3382" s="14">
        <v>2.2750000000000003E-2</v>
      </c>
      <c r="F3382" s="4" t="s">
        <v>179</v>
      </c>
      <c r="G3382" s="9">
        <v>1600</v>
      </c>
      <c r="H3382" s="9">
        <f t="shared" si="106"/>
        <v>36.400000000000006</v>
      </c>
      <c r="I3382" t="s">
        <v>179</v>
      </c>
      <c r="J3382" s="33" t="s">
        <v>489</v>
      </c>
      <c r="K3382" s="18">
        <f>VLOOKUP(D3382,Ingredients!C:G,5,0)</f>
        <v>1830</v>
      </c>
      <c r="L3382" s="52">
        <f t="shared" si="105"/>
        <v>41.632500000000007</v>
      </c>
    </row>
    <row r="3383" spans="1:12">
      <c r="A3383" s="21" t="s">
        <v>655</v>
      </c>
      <c r="B3383" t="s">
        <v>349</v>
      </c>
      <c r="C3383" t="s">
        <v>350</v>
      </c>
      <c r="D3383" s="3" t="s">
        <v>882</v>
      </c>
      <c r="E3383" s="14">
        <v>1.3650000000000001E-2</v>
      </c>
      <c r="F3383" s="4" t="s">
        <v>179</v>
      </c>
      <c r="G3383" s="9">
        <v>1500</v>
      </c>
      <c r="H3383" s="9">
        <f t="shared" si="106"/>
        <v>20.475000000000001</v>
      </c>
      <c r="I3383" t="s">
        <v>179</v>
      </c>
      <c r="J3383" s="33" t="s">
        <v>489</v>
      </c>
      <c r="K3383" s="18">
        <f>VLOOKUP(D3383,Ingredients!C:G,5,0)</f>
        <v>1450</v>
      </c>
      <c r="L3383" s="52">
        <f t="shared" si="105"/>
        <v>19.7925</v>
      </c>
    </row>
    <row r="3384" spans="1:12">
      <c r="A3384" s="21" t="s">
        <v>655</v>
      </c>
      <c r="B3384" t="s">
        <v>349</v>
      </c>
      <c r="C3384" t="s">
        <v>350</v>
      </c>
      <c r="D3384" s="3" t="s">
        <v>928</v>
      </c>
      <c r="E3384" s="14">
        <v>2.7300000000000002E-3</v>
      </c>
      <c r="F3384" s="4" t="s">
        <v>179</v>
      </c>
      <c r="G3384" s="9">
        <v>850</v>
      </c>
      <c r="H3384" s="9">
        <f t="shared" si="106"/>
        <v>2.3205</v>
      </c>
      <c r="I3384" t="s">
        <v>179</v>
      </c>
      <c r="J3384" s="33" t="s">
        <v>489</v>
      </c>
      <c r="K3384" s="18">
        <f>VLOOKUP(D3384,Ingredients!C:G,5,0)</f>
        <v>900</v>
      </c>
      <c r="L3384" s="52">
        <f t="shared" si="105"/>
        <v>2.4570000000000003</v>
      </c>
    </row>
    <row r="3385" spans="1:12">
      <c r="A3385" t="s">
        <v>656</v>
      </c>
      <c r="B3385" t="s">
        <v>362</v>
      </c>
      <c r="C3385" t="s">
        <v>354</v>
      </c>
      <c r="D3385" s="3" t="s">
        <v>28</v>
      </c>
      <c r="E3385" s="4">
        <v>1.7999999999999998</v>
      </c>
      <c r="F3385" s="4" t="s">
        <v>179</v>
      </c>
      <c r="G3385" s="9">
        <v>85</v>
      </c>
      <c r="H3385" s="9">
        <f t="shared" si="106"/>
        <v>152.99999999999997</v>
      </c>
      <c r="I3385" t="s">
        <v>487</v>
      </c>
      <c r="J3385" s="33">
        <v>0</v>
      </c>
      <c r="K3385" s="18">
        <f>VLOOKUP(D3385,Ingredients!C:G,5,0)</f>
        <v>70</v>
      </c>
      <c r="L3385" s="52">
        <f t="shared" si="105"/>
        <v>125.99999999999999</v>
      </c>
    </row>
    <row r="3386" spans="1:12">
      <c r="A3386" t="s">
        <v>656</v>
      </c>
      <c r="B3386" t="s">
        <v>362</v>
      </c>
      <c r="C3386" t="s">
        <v>354</v>
      </c>
      <c r="D3386" s="3" t="s">
        <v>14</v>
      </c>
      <c r="E3386" s="4">
        <v>1.5</v>
      </c>
      <c r="F3386" s="4" t="s">
        <v>179</v>
      </c>
      <c r="G3386" s="9">
        <v>120</v>
      </c>
      <c r="H3386" s="9">
        <f t="shared" si="106"/>
        <v>180</v>
      </c>
      <c r="I3386" t="s">
        <v>487</v>
      </c>
      <c r="J3386" s="33">
        <v>0</v>
      </c>
      <c r="K3386" s="18">
        <f>VLOOKUP(D3386,Ingredients!C:G,5,0)</f>
        <v>60</v>
      </c>
      <c r="L3386" s="52">
        <f t="shared" si="105"/>
        <v>90</v>
      </c>
    </row>
    <row r="3387" spans="1:12">
      <c r="A3387" t="s">
        <v>656</v>
      </c>
      <c r="B3387" t="s">
        <v>362</v>
      </c>
      <c r="C3387" t="s">
        <v>354</v>
      </c>
      <c r="D3387" s="3" t="s">
        <v>889</v>
      </c>
      <c r="E3387" s="4">
        <v>0.25</v>
      </c>
      <c r="F3387" s="4" t="s">
        <v>179</v>
      </c>
      <c r="G3387" s="9">
        <v>1648.3235294117644</v>
      </c>
      <c r="H3387" s="9">
        <f t="shared" si="106"/>
        <v>412.0808823529411</v>
      </c>
      <c r="I3387" t="s">
        <v>487</v>
      </c>
      <c r="J3387" s="33">
        <v>0</v>
      </c>
      <c r="K3387" s="18">
        <f>VLOOKUP(D3387,Ingredients!C:F,3,0)</f>
        <v>560.42999999999995</v>
      </c>
      <c r="L3387" s="52">
        <f t="shared" si="105"/>
        <v>140.10749999999999</v>
      </c>
    </row>
    <row r="3388" spans="1:12">
      <c r="A3388" t="s">
        <v>656</v>
      </c>
      <c r="B3388" t="s">
        <v>362</v>
      </c>
      <c r="C3388" t="s">
        <v>354</v>
      </c>
      <c r="D3388" s="3" t="s">
        <v>896</v>
      </c>
      <c r="E3388" s="4">
        <v>0.4</v>
      </c>
      <c r="F3388" s="4" t="s">
        <v>179</v>
      </c>
      <c r="G3388" s="9">
        <v>330</v>
      </c>
      <c r="H3388" s="9">
        <f t="shared" si="106"/>
        <v>132</v>
      </c>
      <c r="I3388" t="s">
        <v>487</v>
      </c>
      <c r="J3388" s="33">
        <v>0</v>
      </c>
      <c r="K3388" s="18">
        <f>VLOOKUP(D3388,Ingredients!C:G,5,0)</f>
        <v>1650</v>
      </c>
      <c r="L3388" s="52">
        <f t="shared" si="105"/>
        <v>660</v>
      </c>
    </row>
    <row r="3389" spans="1:12">
      <c r="A3389" t="s">
        <v>656</v>
      </c>
      <c r="B3389" t="s">
        <v>362</v>
      </c>
      <c r="C3389" t="s">
        <v>354</v>
      </c>
      <c r="D3389" s="3" t="s">
        <v>868</v>
      </c>
      <c r="E3389" s="4">
        <v>0.1</v>
      </c>
      <c r="F3389" s="4" t="s">
        <v>190</v>
      </c>
      <c r="G3389" s="9">
        <v>5432.77</v>
      </c>
      <c r="H3389" s="9">
        <f t="shared" si="106"/>
        <v>543.27700000000004</v>
      </c>
      <c r="I3389" t="s">
        <v>487</v>
      </c>
      <c r="J3389" s="33">
        <v>0</v>
      </c>
      <c r="K3389" s="18">
        <f>VLOOKUP(D3389,Ingredients!C:G,5,0)</f>
        <v>3200</v>
      </c>
      <c r="L3389" s="52">
        <f t="shared" si="105"/>
        <v>320</v>
      </c>
    </row>
    <row r="3390" spans="1:12">
      <c r="A3390" t="s">
        <v>656</v>
      </c>
      <c r="B3390" t="s">
        <v>362</v>
      </c>
      <c r="C3390" t="s">
        <v>354</v>
      </c>
      <c r="D3390" s="3" t="s">
        <v>874</v>
      </c>
      <c r="E3390" s="4">
        <v>0.1</v>
      </c>
      <c r="F3390" s="4" t="s">
        <v>190</v>
      </c>
      <c r="G3390" s="9">
        <v>110</v>
      </c>
      <c r="H3390" s="9">
        <f t="shared" si="106"/>
        <v>11</v>
      </c>
      <c r="I3390" t="s">
        <v>487</v>
      </c>
      <c r="J3390" s="33">
        <v>0</v>
      </c>
      <c r="K3390" s="18">
        <f>VLOOKUP(D3390,Ingredients!C:G,5,0)</f>
        <v>179</v>
      </c>
      <c r="L3390" s="52">
        <f t="shared" si="105"/>
        <v>17.900000000000002</v>
      </c>
    </row>
    <row r="3391" spans="1:12">
      <c r="A3391" t="s">
        <v>656</v>
      </c>
      <c r="B3391" t="s">
        <v>362</v>
      </c>
      <c r="C3391" t="s">
        <v>354</v>
      </c>
      <c r="D3391" s="3" t="s">
        <v>323</v>
      </c>
      <c r="E3391" s="4">
        <v>3.5000000000000003E-2</v>
      </c>
      <c r="F3391" s="4" t="s">
        <v>179</v>
      </c>
      <c r="G3391" s="9">
        <v>5000</v>
      </c>
      <c r="H3391" s="9">
        <f t="shared" si="106"/>
        <v>175.00000000000003</v>
      </c>
      <c r="I3391" t="s">
        <v>487</v>
      </c>
      <c r="J3391" s="33">
        <v>0</v>
      </c>
      <c r="K3391" s="18">
        <f>VLOOKUP(D3391,Ingredients!C:G,5,0)</f>
        <v>5000</v>
      </c>
      <c r="L3391" s="52">
        <f t="shared" si="105"/>
        <v>175.00000000000003</v>
      </c>
    </row>
    <row r="3392" spans="1:12">
      <c r="A3392" t="s">
        <v>656</v>
      </c>
      <c r="B3392" t="s">
        <v>362</v>
      </c>
      <c r="C3392" t="s">
        <v>354</v>
      </c>
      <c r="D3392" s="3" t="s">
        <v>853</v>
      </c>
      <c r="E3392" s="4">
        <v>3.5000000000000003E-2</v>
      </c>
      <c r="F3392" s="4" t="s">
        <v>179</v>
      </c>
      <c r="G3392" s="9">
        <v>30</v>
      </c>
      <c r="H3392" s="9">
        <f t="shared" si="106"/>
        <v>1.05</v>
      </c>
      <c r="I3392" t="s">
        <v>487</v>
      </c>
      <c r="J3392" s="33">
        <v>0</v>
      </c>
      <c r="K3392" s="18">
        <f>VLOOKUP(D3392,Ingredients!C:G,5,0)</f>
        <v>55</v>
      </c>
      <c r="L3392" s="52">
        <f t="shared" si="105"/>
        <v>1.9250000000000003</v>
      </c>
    </row>
    <row r="3393" spans="1:12">
      <c r="A3393" t="s">
        <v>656</v>
      </c>
      <c r="B3393" t="s">
        <v>362</v>
      </c>
      <c r="C3393" t="s">
        <v>354</v>
      </c>
      <c r="D3393" s="3" t="s">
        <v>882</v>
      </c>
      <c r="E3393" s="4">
        <v>3.5000000000000003E-2</v>
      </c>
      <c r="F3393" s="4" t="s">
        <v>179</v>
      </c>
      <c r="G3393" s="9">
        <v>1500</v>
      </c>
      <c r="H3393" s="9">
        <f t="shared" si="106"/>
        <v>52.500000000000007</v>
      </c>
      <c r="I3393" t="s">
        <v>487</v>
      </c>
      <c r="J3393" s="33">
        <v>0</v>
      </c>
      <c r="K3393" s="18">
        <f>VLOOKUP(D3393,Ingredients!C:G,5,0)</f>
        <v>1450</v>
      </c>
      <c r="L3393" s="52">
        <f t="shared" si="105"/>
        <v>50.750000000000007</v>
      </c>
    </row>
    <row r="3394" spans="1:12">
      <c r="A3394" t="s">
        <v>657</v>
      </c>
      <c r="B3394" t="s">
        <v>349</v>
      </c>
      <c r="C3394" t="s">
        <v>353</v>
      </c>
      <c r="D3394" s="33" t="s">
        <v>491</v>
      </c>
      <c r="E3394" s="4">
        <v>1</v>
      </c>
      <c r="F3394" s="4" t="s">
        <v>179</v>
      </c>
      <c r="G3394" s="9">
        <v>614</v>
      </c>
      <c r="H3394" s="9">
        <f t="shared" si="106"/>
        <v>614</v>
      </c>
      <c r="I3394" t="s">
        <v>179</v>
      </c>
      <c r="J3394" s="33" t="s">
        <v>491</v>
      </c>
      <c r="K3394" s="18">
        <f>VLOOKUP(D3394,Ingredients!C:G,5,0)</f>
        <v>650</v>
      </c>
      <c r="L3394" s="52">
        <f t="shared" si="105"/>
        <v>650</v>
      </c>
    </row>
    <row r="3395" spans="1:12">
      <c r="A3395" t="s">
        <v>657</v>
      </c>
      <c r="B3395" t="s">
        <v>349</v>
      </c>
      <c r="C3395" t="s">
        <v>353</v>
      </c>
      <c r="D3395" s="3" t="s">
        <v>73</v>
      </c>
      <c r="E3395" s="4">
        <v>0.5</v>
      </c>
      <c r="F3395" s="4" t="s">
        <v>179</v>
      </c>
      <c r="G3395" s="9">
        <v>305</v>
      </c>
      <c r="H3395" s="9">
        <f t="shared" si="106"/>
        <v>152.5</v>
      </c>
      <c r="I3395" t="s">
        <v>179</v>
      </c>
      <c r="J3395" s="33" t="s">
        <v>491</v>
      </c>
      <c r="K3395" s="18">
        <f>VLOOKUP(D3395,Ingredients!C:G,5,0)</f>
        <v>300</v>
      </c>
      <c r="L3395" s="52">
        <f t="shared" si="105"/>
        <v>150</v>
      </c>
    </row>
    <row r="3396" spans="1:12">
      <c r="A3396" t="s">
        <v>657</v>
      </c>
      <c r="B3396" t="s">
        <v>349</v>
      </c>
      <c r="C3396" t="s">
        <v>353</v>
      </c>
      <c r="D3396" s="3" t="s">
        <v>923</v>
      </c>
      <c r="E3396" s="4">
        <v>0.1</v>
      </c>
      <c r="F3396" s="4" t="s">
        <v>179</v>
      </c>
      <c r="G3396" s="9">
        <v>100</v>
      </c>
      <c r="H3396" s="9">
        <f t="shared" si="106"/>
        <v>10</v>
      </c>
      <c r="I3396" t="s">
        <v>179</v>
      </c>
      <c r="J3396" s="33" t="s">
        <v>491</v>
      </c>
      <c r="K3396" s="18">
        <f>VLOOKUP(D3396,Ingredients!C:G,5,0)</f>
        <v>1000</v>
      </c>
      <c r="L3396" s="52">
        <f t="shared" ref="L3396:L3459" si="107">K3396*E3396</f>
        <v>100</v>
      </c>
    </row>
    <row r="3397" spans="1:12">
      <c r="A3397" t="s">
        <v>657</v>
      </c>
      <c r="B3397" t="s">
        <v>349</v>
      </c>
      <c r="C3397" t="s">
        <v>353</v>
      </c>
      <c r="D3397" s="3" t="s">
        <v>23</v>
      </c>
      <c r="E3397" s="4">
        <v>0.05</v>
      </c>
      <c r="F3397" s="4" t="s">
        <v>179</v>
      </c>
      <c r="G3397" s="9">
        <v>740</v>
      </c>
      <c r="H3397" s="9">
        <f t="shared" si="106"/>
        <v>37</v>
      </c>
      <c r="I3397" t="s">
        <v>179</v>
      </c>
      <c r="J3397" s="33" t="s">
        <v>491</v>
      </c>
      <c r="K3397" s="18">
        <f>VLOOKUP(D3397,Ingredients!C:G,5,0)</f>
        <v>780</v>
      </c>
      <c r="L3397" s="52">
        <f t="shared" si="107"/>
        <v>39</v>
      </c>
    </row>
    <row r="3398" spans="1:12">
      <c r="A3398" t="s">
        <v>657</v>
      </c>
      <c r="B3398" t="s">
        <v>349</v>
      </c>
      <c r="C3398" t="s">
        <v>353</v>
      </c>
      <c r="D3398" s="3" t="s">
        <v>16</v>
      </c>
      <c r="E3398" s="4">
        <v>0.05</v>
      </c>
      <c r="F3398" s="4" t="s">
        <v>179</v>
      </c>
      <c r="G3398" s="9">
        <v>270</v>
      </c>
      <c r="H3398" s="9">
        <f t="shared" si="106"/>
        <v>13.5</v>
      </c>
      <c r="I3398" t="s">
        <v>179</v>
      </c>
      <c r="J3398" s="33" t="s">
        <v>491</v>
      </c>
      <c r="K3398" s="18">
        <f>VLOOKUP(D3398,Ingredients!C:G,5,0)</f>
        <v>310</v>
      </c>
      <c r="L3398" s="52">
        <f t="shared" si="107"/>
        <v>15.5</v>
      </c>
    </row>
    <row r="3399" spans="1:12">
      <c r="A3399" t="s">
        <v>657</v>
      </c>
      <c r="B3399" t="s">
        <v>349</v>
      </c>
      <c r="C3399" t="s">
        <v>353</v>
      </c>
      <c r="D3399" s="3" t="s">
        <v>852</v>
      </c>
      <c r="E3399" s="4">
        <v>0.12</v>
      </c>
      <c r="F3399" s="4" t="s">
        <v>190</v>
      </c>
      <c r="G3399" s="9">
        <v>520.63</v>
      </c>
      <c r="H3399" s="9">
        <f t="shared" si="106"/>
        <v>62.4756</v>
      </c>
      <c r="I3399" t="s">
        <v>179</v>
      </c>
      <c r="J3399" s="33" t="s">
        <v>491</v>
      </c>
      <c r="K3399" s="18">
        <v>550</v>
      </c>
      <c r="L3399" s="52">
        <f t="shared" si="107"/>
        <v>66</v>
      </c>
    </row>
    <row r="3400" spans="1:12">
      <c r="A3400" t="s">
        <v>657</v>
      </c>
      <c r="B3400" t="s">
        <v>349</v>
      </c>
      <c r="C3400" t="s">
        <v>353</v>
      </c>
      <c r="D3400" s="3" t="s">
        <v>884</v>
      </c>
      <c r="E3400" s="4">
        <v>1</v>
      </c>
      <c r="F3400" s="4" t="s">
        <v>179</v>
      </c>
      <c r="G3400" s="9">
        <v>344</v>
      </c>
      <c r="H3400" s="9">
        <f t="shared" si="106"/>
        <v>344</v>
      </c>
      <c r="I3400" t="s">
        <v>179</v>
      </c>
      <c r="J3400" s="33" t="s">
        <v>491</v>
      </c>
      <c r="K3400" s="18">
        <f>VLOOKUP(D3400,Ingredients!C:G,5,0)</f>
        <v>344</v>
      </c>
      <c r="L3400" s="52">
        <f t="shared" si="107"/>
        <v>344</v>
      </c>
    </row>
    <row r="3401" spans="1:12">
      <c r="A3401" t="s">
        <v>657</v>
      </c>
      <c r="B3401" t="s">
        <v>349</v>
      </c>
      <c r="C3401" t="s">
        <v>353</v>
      </c>
      <c r="D3401" s="3" t="s">
        <v>849</v>
      </c>
      <c r="E3401" s="4">
        <v>1.6E-2</v>
      </c>
      <c r="F3401" s="4" t="s">
        <v>176</v>
      </c>
      <c r="G3401" s="9">
        <v>1000</v>
      </c>
      <c r="H3401" s="9">
        <f t="shared" si="106"/>
        <v>16</v>
      </c>
      <c r="I3401" t="s">
        <v>179</v>
      </c>
      <c r="J3401" s="33" t="s">
        <v>491</v>
      </c>
      <c r="K3401" s="18">
        <f>VLOOKUP(D3401,Ingredients!C:G,5,0)</f>
        <v>950</v>
      </c>
      <c r="L3401" s="52">
        <f t="shared" si="107"/>
        <v>15.200000000000001</v>
      </c>
    </row>
    <row r="3402" spans="1:12">
      <c r="A3402" t="s">
        <v>657</v>
      </c>
      <c r="B3402" t="s">
        <v>349</v>
      </c>
      <c r="C3402" t="s">
        <v>353</v>
      </c>
      <c r="D3402" s="3" t="s">
        <v>16</v>
      </c>
      <c r="E3402" s="4">
        <v>1.6E-2</v>
      </c>
      <c r="F3402" s="4" t="s">
        <v>176</v>
      </c>
      <c r="G3402" s="9">
        <v>270</v>
      </c>
      <c r="H3402" s="9">
        <f t="shared" si="106"/>
        <v>4.32</v>
      </c>
      <c r="I3402" t="s">
        <v>179</v>
      </c>
      <c r="J3402" s="33" t="s">
        <v>491</v>
      </c>
      <c r="K3402" s="18">
        <f>VLOOKUP(D3402,Ingredients!C:G,5,0)</f>
        <v>310</v>
      </c>
      <c r="L3402" s="52">
        <f t="shared" si="107"/>
        <v>4.96</v>
      </c>
    </row>
    <row r="3403" spans="1:12">
      <c r="A3403" t="s">
        <v>657</v>
      </c>
      <c r="B3403" t="s">
        <v>349</v>
      </c>
      <c r="C3403" t="s">
        <v>353</v>
      </c>
      <c r="D3403" s="3" t="s">
        <v>883</v>
      </c>
      <c r="E3403" s="4">
        <v>0.1</v>
      </c>
      <c r="F3403" s="4" t="s">
        <v>176</v>
      </c>
      <c r="G3403" s="9">
        <v>950</v>
      </c>
      <c r="H3403" s="9">
        <f t="shared" si="106"/>
        <v>95</v>
      </c>
      <c r="I3403" t="s">
        <v>179</v>
      </c>
      <c r="J3403" s="33" t="s">
        <v>491</v>
      </c>
      <c r="K3403" s="18">
        <f>VLOOKUP(D3403,Ingredients!C:G,5,0)</f>
        <v>313</v>
      </c>
      <c r="L3403" s="52">
        <f t="shared" si="107"/>
        <v>31.3</v>
      </c>
    </row>
    <row r="3404" spans="1:12">
      <c r="A3404" t="s">
        <v>657</v>
      </c>
      <c r="B3404" t="s">
        <v>349</v>
      </c>
      <c r="C3404" t="s">
        <v>353</v>
      </c>
      <c r="D3404" s="3" t="s">
        <v>839</v>
      </c>
      <c r="E3404" s="4">
        <v>0.1</v>
      </c>
      <c r="F3404" s="4" t="s">
        <v>190</v>
      </c>
      <c r="G3404" s="9">
        <v>1100</v>
      </c>
      <c r="H3404" s="9">
        <f t="shared" si="106"/>
        <v>110</v>
      </c>
      <c r="I3404" t="s">
        <v>179</v>
      </c>
      <c r="J3404" s="33" t="s">
        <v>491</v>
      </c>
      <c r="K3404" s="18">
        <f>VLOOKUP(D3404,Ingredients!C:G,5,0)</f>
        <v>1100</v>
      </c>
      <c r="L3404" s="52">
        <f t="shared" si="107"/>
        <v>110</v>
      </c>
    </row>
    <row r="3405" spans="1:12">
      <c r="A3405" t="s">
        <v>657</v>
      </c>
      <c r="B3405" t="s">
        <v>349</v>
      </c>
      <c r="C3405" t="s">
        <v>353</v>
      </c>
      <c r="D3405" s="3" t="s">
        <v>874</v>
      </c>
      <c r="E3405" s="4">
        <v>1.6E-2</v>
      </c>
      <c r="F3405" s="4" t="s">
        <v>176</v>
      </c>
      <c r="G3405" s="9">
        <v>110</v>
      </c>
      <c r="H3405" s="9">
        <f t="shared" si="106"/>
        <v>1.76</v>
      </c>
      <c r="I3405" t="s">
        <v>179</v>
      </c>
      <c r="J3405" s="33" t="s">
        <v>491</v>
      </c>
      <c r="K3405" s="18">
        <f>VLOOKUP(D3405,Ingredients!C:G,5,0)</f>
        <v>179</v>
      </c>
      <c r="L3405" s="52">
        <f t="shared" si="107"/>
        <v>2.8639999999999999</v>
      </c>
    </row>
    <row r="3406" spans="1:12">
      <c r="A3406" s="21" t="s">
        <v>658</v>
      </c>
      <c r="B3406" t="s">
        <v>346</v>
      </c>
      <c r="C3406" t="s">
        <v>352</v>
      </c>
      <c r="D3406" s="3" t="s">
        <v>171</v>
      </c>
      <c r="E3406" s="4">
        <v>1</v>
      </c>
      <c r="F3406" s="4" t="s">
        <v>176</v>
      </c>
      <c r="G3406" s="9">
        <v>65</v>
      </c>
      <c r="H3406" s="9">
        <f t="shared" si="106"/>
        <v>65</v>
      </c>
      <c r="I3406" t="s">
        <v>179</v>
      </c>
      <c r="J3406" s="33">
        <v>0</v>
      </c>
      <c r="K3406" s="18">
        <f>VLOOKUP(D3406,Ingredients!C:G,5,0)</f>
        <v>80</v>
      </c>
      <c r="L3406" s="52">
        <f t="shared" si="107"/>
        <v>80</v>
      </c>
    </row>
    <row r="3407" spans="1:12">
      <c r="A3407" s="21" t="s">
        <v>658</v>
      </c>
      <c r="B3407" t="s">
        <v>346</v>
      </c>
      <c r="C3407" t="s">
        <v>352</v>
      </c>
      <c r="D3407" s="3" t="s">
        <v>852</v>
      </c>
      <c r="E3407" s="4">
        <v>0.18</v>
      </c>
      <c r="F3407" s="4" t="s">
        <v>190</v>
      </c>
      <c r="G3407" s="9">
        <v>520.63</v>
      </c>
      <c r="H3407" s="9">
        <f t="shared" si="106"/>
        <v>93.713399999999993</v>
      </c>
      <c r="I3407" t="s">
        <v>179</v>
      </c>
      <c r="J3407" s="33">
        <v>0</v>
      </c>
      <c r="K3407" s="18">
        <v>550</v>
      </c>
      <c r="L3407" s="52">
        <f t="shared" si="107"/>
        <v>99</v>
      </c>
    </row>
    <row r="3408" spans="1:12">
      <c r="A3408" s="21" t="s">
        <v>658</v>
      </c>
      <c r="B3408" t="s">
        <v>346</v>
      </c>
      <c r="C3408" t="s">
        <v>352</v>
      </c>
      <c r="D3408" s="3" t="s">
        <v>855</v>
      </c>
      <c r="E3408" s="4">
        <v>2.5999999999999999E-2</v>
      </c>
      <c r="F3408" s="4" t="s">
        <v>176</v>
      </c>
      <c r="G3408" s="9">
        <v>2400</v>
      </c>
      <c r="H3408" s="9">
        <f t="shared" si="106"/>
        <v>62.4</v>
      </c>
      <c r="I3408" t="s">
        <v>179</v>
      </c>
      <c r="J3408" s="33">
        <v>0</v>
      </c>
      <c r="K3408" s="18">
        <f>VLOOKUP(D3408,Ingredients!C:G,5,0)</f>
        <v>1600</v>
      </c>
      <c r="L3408" s="52">
        <f t="shared" si="107"/>
        <v>41.6</v>
      </c>
    </row>
    <row r="3409" spans="1:12">
      <c r="A3409" s="21" t="s">
        <v>658</v>
      </c>
      <c r="B3409" t="s">
        <v>346</v>
      </c>
      <c r="C3409" t="s">
        <v>352</v>
      </c>
      <c r="D3409" s="3" t="s">
        <v>853</v>
      </c>
      <c r="E3409" s="4">
        <v>0.03</v>
      </c>
      <c r="F3409" s="4" t="s">
        <v>176</v>
      </c>
      <c r="G3409" s="9">
        <v>30</v>
      </c>
      <c r="H3409" s="9">
        <f t="shared" si="106"/>
        <v>0.89999999999999991</v>
      </c>
      <c r="I3409" t="s">
        <v>179</v>
      </c>
      <c r="J3409" s="33">
        <v>0</v>
      </c>
      <c r="K3409" s="18">
        <f>VLOOKUP(D3409,Ingredients!C:G,5,0)</f>
        <v>55</v>
      </c>
      <c r="L3409" s="52">
        <f t="shared" si="107"/>
        <v>1.65</v>
      </c>
    </row>
    <row r="3410" spans="1:12">
      <c r="A3410" s="21" t="s">
        <v>658</v>
      </c>
      <c r="B3410" t="s">
        <v>346</v>
      </c>
      <c r="C3410" t="s">
        <v>352</v>
      </c>
      <c r="D3410" s="3" t="s">
        <v>849</v>
      </c>
      <c r="E3410" s="4">
        <v>0.03</v>
      </c>
      <c r="F3410" s="4" t="s">
        <v>176</v>
      </c>
      <c r="G3410" s="9">
        <v>1000</v>
      </c>
      <c r="H3410" s="9">
        <f t="shared" si="106"/>
        <v>30</v>
      </c>
      <c r="I3410" t="s">
        <v>179</v>
      </c>
      <c r="J3410" s="33">
        <v>0</v>
      </c>
      <c r="K3410" s="18">
        <f>VLOOKUP(D3410,Ingredients!C:G,5,0)</f>
        <v>950</v>
      </c>
      <c r="L3410" s="52">
        <f t="shared" si="107"/>
        <v>28.5</v>
      </c>
    </row>
    <row r="3411" spans="1:12">
      <c r="A3411" s="21" t="s">
        <v>658</v>
      </c>
      <c r="B3411" t="s">
        <v>346</v>
      </c>
      <c r="C3411" t="s">
        <v>352</v>
      </c>
      <c r="D3411" s="3" t="s">
        <v>606</v>
      </c>
      <c r="E3411" s="4">
        <v>0.06</v>
      </c>
      <c r="F3411" s="4" t="s">
        <v>176</v>
      </c>
      <c r="G3411" s="9">
        <v>260</v>
      </c>
      <c r="H3411" s="9">
        <f t="shared" si="106"/>
        <v>15.6</v>
      </c>
      <c r="I3411" t="s">
        <v>179</v>
      </c>
      <c r="J3411" s="33">
        <v>0</v>
      </c>
      <c r="K3411" s="18">
        <f>VLOOKUP(D3411,Ingredients!C:G,5,0)</f>
        <v>260</v>
      </c>
      <c r="L3411" s="52">
        <f t="shared" si="107"/>
        <v>15.6</v>
      </c>
    </row>
    <row r="3412" spans="1:12">
      <c r="A3412" s="21" t="s">
        <v>658</v>
      </c>
      <c r="B3412" t="s">
        <v>346</v>
      </c>
      <c r="C3412" t="s">
        <v>352</v>
      </c>
      <c r="D3412" s="3" t="s">
        <v>850</v>
      </c>
      <c r="E3412" s="4">
        <v>1.6E-2</v>
      </c>
      <c r="F3412" s="4" t="s">
        <v>176</v>
      </c>
      <c r="G3412" s="9">
        <v>700</v>
      </c>
      <c r="H3412" s="9">
        <f t="shared" si="106"/>
        <v>11.200000000000001</v>
      </c>
      <c r="I3412" t="s">
        <v>179</v>
      </c>
      <c r="J3412" s="33">
        <v>0</v>
      </c>
      <c r="K3412" s="18">
        <f>VLOOKUP(D3412,Ingredients!C:G,5,0)</f>
        <v>700</v>
      </c>
      <c r="L3412" s="52">
        <f t="shared" si="107"/>
        <v>11.200000000000001</v>
      </c>
    </row>
    <row r="3413" spans="1:12">
      <c r="A3413" s="21" t="s">
        <v>658</v>
      </c>
      <c r="B3413" t="s">
        <v>346</v>
      </c>
      <c r="C3413" t="s">
        <v>352</v>
      </c>
      <c r="D3413" s="3" t="s">
        <v>310</v>
      </c>
      <c r="E3413" s="4">
        <v>0.04</v>
      </c>
      <c r="F3413" s="4" t="s">
        <v>190</v>
      </c>
      <c r="G3413" s="9">
        <v>425</v>
      </c>
      <c r="H3413" s="9">
        <f t="shared" si="106"/>
        <v>17</v>
      </c>
      <c r="I3413" t="s">
        <v>179</v>
      </c>
      <c r="J3413" s="33">
        <v>0</v>
      </c>
      <c r="K3413" s="18">
        <f>VLOOKUP(D3413,Ingredients!C:G,5,0)</f>
        <v>850</v>
      </c>
      <c r="L3413" s="52">
        <f t="shared" si="107"/>
        <v>34</v>
      </c>
    </row>
    <row r="3414" spans="1:12">
      <c r="A3414" s="21" t="s">
        <v>659</v>
      </c>
      <c r="B3414" t="s">
        <v>346</v>
      </c>
      <c r="C3414" t="s">
        <v>352</v>
      </c>
      <c r="D3414" s="3" t="s">
        <v>854</v>
      </c>
      <c r="E3414" s="4">
        <v>3</v>
      </c>
      <c r="F3414" s="4" t="s">
        <v>253</v>
      </c>
      <c r="G3414" s="9">
        <v>24.64</v>
      </c>
      <c r="H3414" s="9">
        <f t="shared" si="106"/>
        <v>73.92</v>
      </c>
      <c r="I3414" t="s">
        <v>660</v>
      </c>
      <c r="J3414" s="33">
        <v>0</v>
      </c>
      <c r="K3414" s="18">
        <f>VLOOKUP(D3414,Ingredients!C:G,5,0)</f>
        <v>20.059999999999999</v>
      </c>
      <c r="L3414" s="52">
        <f t="shared" si="107"/>
        <v>60.179999999999993</v>
      </c>
    </row>
    <row r="3415" spans="1:12">
      <c r="A3415" s="21" t="s">
        <v>659</v>
      </c>
      <c r="B3415" t="s">
        <v>346</v>
      </c>
      <c r="C3415" t="s">
        <v>352</v>
      </c>
      <c r="D3415" s="3" t="s">
        <v>24</v>
      </c>
      <c r="E3415" s="4">
        <v>0.15</v>
      </c>
      <c r="F3415" s="4" t="s">
        <v>176</v>
      </c>
      <c r="G3415" s="9">
        <v>55</v>
      </c>
      <c r="H3415" s="9">
        <f t="shared" si="106"/>
        <v>8.25</v>
      </c>
      <c r="I3415" t="s">
        <v>660</v>
      </c>
      <c r="J3415" s="33">
        <v>0</v>
      </c>
      <c r="K3415" s="18">
        <f>VLOOKUP(D3415,Ingredients!C:G,5,0)</f>
        <v>80</v>
      </c>
      <c r="L3415" s="52">
        <f t="shared" si="107"/>
        <v>12</v>
      </c>
    </row>
    <row r="3416" spans="1:12">
      <c r="A3416" s="21" t="s">
        <v>659</v>
      </c>
      <c r="B3416" t="s">
        <v>346</v>
      </c>
      <c r="C3416" t="s">
        <v>352</v>
      </c>
      <c r="D3416" s="3" t="s">
        <v>28</v>
      </c>
      <c r="E3416" s="4">
        <v>0.24</v>
      </c>
      <c r="F3416" s="4" t="s">
        <v>176</v>
      </c>
      <c r="G3416" s="9">
        <v>85</v>
      </c>
      <c r="H3416" s="9">
        <f t="shared" si="106"/>
        <v>20.399999999999999</v>
      </c>
      <c r="I3416" t="s">
        <v>660</v>
      </c>
      <c r="J3416" s="33">
        <v>0</v>
      </c>
      <c r="K3416" s="18">
        <f>VLOOKUP(D3416,Ingredients!C:G,5,0)</f>
        <v>70</v>
      </c>
      <c r="L3416" s="52">
        <f t="shared" si="107"/>
        <v>16.8</v>
      </c>
    </row>
    <row r="3417" spans="1:12">
      <c r="A3417" s="21" t="s">
        <v>659</v>
      </c>
      <c r="B3417" t="s">
        <v>346</v>
      </c>
      <c r="C3417" t="s">
        <v>352</v>
      </c>
      <c r="D3417" s="3" t="s">
        <v>29</v>
      </c>
      <c r="E3417" s="4">
        <v>0.04</v>
      </c>
      <c r="F3417" s="4" t="s">
        <v>176</v>
      </c>
      <c r="G3417" s="9">
        <v>60</v>
      </c>
      <c r="H3417" s="9">
        <f t="shared" si="106"/>
        <v>2.4</v>
      </c>
      <c r="I3417" t="s">
        <v>660</v>
      </c>
      <c r="J3417" s="33">
        <v>0</v>
      </c>
      <c r="K3417" s="18">
        <f>VLOOKUP(D3417,Ingredients!C:G,5,0)</f>
        <v>100</v>
      </c>
      <c r="L3417" s="52">
        <f t="shared" si="107"/>
        <v>4</v>
      </c>
    </row>
    <row r="3418" spans="1:12">
      <c r="A3418" s="21" t="s">
        <v>659</v>
      </c>
      <c r="B3418" t="s">
        <v>346</v>
      </c>
      <c r="C3418" t="s">
        <v>352</v>
      </c>
      <c r="D3418" s="3" t="s">
        <v>852</v>
      </c>
      <c r="E3418" s="4">
        <v>0.06</v>
      </c>
      <c r="F3418" s="4" t="s">
        <v>190</v>
      </c>
      <c r="G3418" s="9">
        <v>520.63</v>
      </c>
      <c r="H3418" s="9">
        <f t="shared" si="106"/>
        <v>31.2378</v>
      </c>
      <c r="I3418" t="s">
        <v>660</v>
      </c>
      <c r="J3418" s="33">
        <v>0</v>
      </c>
      <c r="K3418" s="18">
        <v>550</v>
      </c>
      <c r="L3418" s="52">
        <f t="shared" si="107"/>
        <v>33</v>
      </c>
    </row>
    <row r="3419" spans="1:12">
      <c r="A3419" s="21" t="s">
        <v>659</v>
      </c>
      <c r="B3419" t="s">
        <v>346</v>
      </c>
      <c r="C3419" t="s">
        <v>352</v>
      </c>
      <c r="D3419" s="3" t="s">
        <v>867</v>
      </c>
      <c r="E3419" s="4">
        <v>1.4999999999999999E-2</v>
      </c>
      <c r="F3419" s="4" t="s">
        <v>176</v>
      </c>
      <c r="G3419" s="9">
        <v>900</v>
      </c>
      <c r="H3419" s="9">
        <f t="shared" si="106"/>
        <v>13.5</v>
      </c>
      <c r="I3419" t="s">
        <v>660</v>
      </c>
      <c r="J3419" s="33">
        <v>0</v>
      </c>
      <c r="K3419" s="18">
        <f>VLOOKUP(D3419,Ingredients!C:G,5,0)</f>
        <v>950</v>
      </c>
      <c r="L3419" s="52">
        <f t="shared" si="107"/>
        <v>14.25</v>
      </c>
    </row>
    <row r="3420" spans="1:12">
      <c r="A3420" s="21" t="s">
        <v>659</v>
      </c>
      <c r="B3420" t="s">
        <v>346</v>
      </c>
      <c r="C3420" t="s">
        <v>352</v>
      </c>
      <c r="D3420" s="3" t="s">
        <v>895</v>
      </c>
      <c r="E3420" s="4">
        <v>0.03</v>
      </c>
      <c r="F3420" s="4" t="s">
        <v>176</v>
      </c>
      <c r="G3420" s="9">
        <v>400</v>
      </c>
      <c r="H3420" s="9">
        <f t="shared" si="106"/>
        <v>12</v>
      </c>
      <c r="I3420" t="s">
        <v>660</v>
      </c>
      <c r="J3420" s="33">
        <v>0</v>
      </c>
      <c r="K3420" s="18">
        <f>VLOOKUP(D3420,Ingredients!C:G,5,0)</f>
        <v>400</v>
      </c>
      <c r="L3420" s="52">
        <f t="shared" si="107"/>
        <v>12</v>
      </c>
    </row>
    <row r="3421" spans="1:12">
      <c r="A3421" s="21" t="s">
        <v>659</v>
      </c>
      <c r="B3421" t="s">
        <v>346</v>
      </c>
      <c r="C3421" t="s">
        <v>352</v>
      </c>
      <c r="D3421" s="3" t="s">
        <v>849</v>
      </c>
      <c r="E3421" s="4">
        <v>1.4999999999999999E-2</v>
      </c>
      <c r="F3421" s="4" t="s">
        <v>176</v>
      </c>
      <c r="G3421" s="9">
        <v>1000</v>
      </c>
      <c r="H3421" s="9">
        <f t="shared" si="106"/>
        <v>15</v>
      </c>
      <c r="I3421" t="s">
        <v>660</v>
      </c>
      <c r="J3421" s="33">
        <v>0</v>
      </c>
      <c r="K3421" s="18">
        <f>VLOOKUP(D3421,Ingredients!C:G,5,0)</f>
        <v>950</v>
      </c>
      <c r="L3421" s="52">
        <f t="shared" si="107"/>
        <v>14.25</v>
      </c>
    </row>
    <row r="3422" spans="1:12">
      <c r="A3422" s="21" t="s">
        <v>659</v>
      </c>
      <c r="B3422" t="s">
        <v>346</v>
      </c>
      <c r="C3422" t="s">
        <v>352</v>
      </c>
      <c r="D3422" s="3" t="s">
        <v>853</v>
      </c>
      <c r="E3422" s="4">
        <v>0.02</v>
      </c>
      <c r="F3422" s="4" t="s">
        <v>176</v>
      </c>
      <c r="G3422" s="9">
        <v>30</v>
      </c>
      <c r="H3422" s="9">
        <f t="shared" si="106"/>
        <v>0.6</v>
      </c>
      <c r="I3422" t="s">
        <v>660</v>
      </c>
      <c r="J3422" s="33">
        <v>0</v>
      </c>
      <c r="K3422" s="18">
        <f>VLOOKUP(D3422,Ingredients!C:G,5,0)</f>
        <v>55</v>
      </c>
      <c r="L3422" s="52">
        <f t="shared" si="107"/>
        <v>1.1000000000000001</v>
      </c>
    </row>
    <row r="3423" spans="1:12">
      <c r="A3423" s="21" t="s">
        <v>659</v>
      </c>
      <c r="B3423" t="s">
        <v>346</v>
      </c>
      <c r="C3423" t="s">
        <v>352</v>
      </c>
      <c r="D3423" s="3" t="s">
        <v>35</v>
      </c>
      <c r="E3423" s="4">
        <v>0.2</v>
      </c>
      <c r="F3423" s="4" t="s">
        <v>176</v>
      </c>
      <c r="G3423" s="9">
        <v>13</v>
      </c>
      <c r="H3423" s="9">
        <f t="shared" si="106"/>
        <v>2.6</v>
      </c>
      <c r="I3423" t="s">
        <v>660</v>
      </c>
      <c r="J3423" s="33">
        <v>0</v>
      </c>
      <c r="K3423" s="18">
        <f>VLOOKUP(D3423,Ingredients!C:G,5,0)</f>
        <v>15</v>
      </c>
      <c r="L3423" s="52">
        <f t="shared" si="107"/>
        <v>3</v>
      </c>
    </row>
    <row r="3424" spans="1:12">
      <c r="A3424" s="21" t="s">
        <v>661</v>
      </c>
      <c r="B3424" t="s">
        <v>355</v>
      </c>
      <c r="C3424" t="s">
        <v>985</v>
      </c>
      <c r="D3424" s="3" t="s">
        <v>171</v>
      </c>
      <c r="E3424" s="4">
        <v>0.08</v>
      </c>
      <c r="F3424" s="4" t="s">
        <v>176</v>
      </c>
      <c r="G3424" s="9">
        <v>65</v>
      </c>
      <c r="H3424" s="9">
        <f t="shared" si="106"/>
        <v>5.2</v>
      </c>
      <c r="I3424" t="s">
        <v>253</v>
      </c>
      <c r="J3424" s="33">
        <v>0</v>
      </c>
      <c r="K3424" s="18">
        <f>VLOOKUP(D3424,Ingredients!C:G,5,0)</f>
        <v>80</v>
      </c>
      <c r="L3424" s="52">
        <f t="shared" si="107"/>
        <v>6.4</v>
      </c>
    </row>
    <row r="3425" spans="1:12">
      <c r="A3425" s="21" t="s">
        <v>661</v>
      </c>
      <c r="B3425" t="s">
        <v>355</v>
      </c>
      <c r="C3425" t="s">
        <v>985</v>
      </c>
      <c r="D3425" s="3" t="s">
        <v>29</v>
      </c>
      <c r="E3425" s="4">
        <v>7.0000000000000001E-3</v>
      </c>
      <c r="F3425" s="4" t="s">
        <v>176</v>
      </c>
      <c r="G3425" s="9">
        <v>60</v>
      </c>
      <c r="H3425" s="9">
        <f t="shared" si="106"/>
        <v>0.42</v>
      </c>
      <c r="I3425" t="s">
        <v>253</v>
      </c>
      <c r="J3425" s="33">
        <v>0</v>
      </c>
      <c r="K3425" s="18">
        <f>VLOOKUP(D3425,Ingredients!C:G,5,0)</f>
        <v>100</v>
      </c>
      <c r="L3425" s="52">
        <f t="shared" si="107"/>
        <v>0.70000000000000007</v>
      </c>
    </row>
    <row r="3426" spans="1:12">
      <c r="A3426" s="21" t="s">
        <v>661</v>
      </c>
      <c r="B3426" t="s">
        <v>355</v>
      </c>
      <c r="C3426" t="s">
        <v>985</v>
      </c>
      <c r="D3426" s="3" t="s">
        <v>849</v>
      </c>
      <c r="E3426" s="4">
        <v>2E-3</v>
      </c>
      <c r="F3426" s="4" t="s">
        <v>176</v>
      </c>
      <c r="G3426" s="9">
        <v>1000</v>
      </c>
      <c r="H3426" s="9">
        <f t="shared" si="106"/>
        <v>2</v>
      </c>
      <c r="I3426" t="s">
        <v>253</v>
      </c>
      <c r="J3426" s="33">
        <v>0</v>
      </c>
      <c r="K3426" s="18">
        <f>VLOOKUP(D3426,Ingredients!C:G,5,0)</f>
        <v>950</v>
      </c>
      <c r="L3426" s="52">
        <f t="shared" si="107"/>
        <v>1.9000000000000001</v>
      </c>
    </row>
    <row r="3427" spans="1:12">
      <c r="A3427" s="21" t="s">
        <v>661</v>
      </c>
      <c r="B3427" t="s">
        <v>355</v>
      </c>
      <c r="C3427" t="s">
        <v>985</v>
      </c>
      <c r="D3427" s="3" t="s">
        <v>860</v>
      </c>
      <c r="E3427" s="4">
        <v>2E-3</v>
      </c>
      <c r="F3427" s="4" t="s">
        <v>176</v>
      </c>
      <c r="G3427" s="9">
        <v>2000</v>
      </c>
      <c r="H3427" s="9">
        <f t="shared" si="106"/>
        <v>4</v>
      </c>
      <c r="I3427" t="s">
        <v>253</v>
      </c>
      <c r="J3427" s="33">
        <v>0</v>
      </c>
      <c r="K3427" s="18">
        <f>VLOOKUP(D3427,Ingredients!C:G,5,0)</f>
        <v>1900</v>
      </c>
      <c r="L3427" s="52">
        <f t="shared" si="107"/>
        <v>3.8000000000000003</v>
      </c>
    </row>
    <row r="3428" spans="1:12">
      <c r="A3428" s="21" t="s">
        <v>661</v>
      </c>
      <c r="B3428" t="s">
        <v>355</v>
      </c>
      <c r="C3428" t="s">
        <v>985</v>
      </c>
      <c r="D3428" s="3" t="s">
        <v>31</v>
      </c>
      <c r="E3428" s="4">
        <v>1.2000000000000001E-3</v>
      </c>
      <c r="F3428" s="4" t="s">
        <v>176</v>
      </c>
      <c r="G3428" s="9">
        <v>200</v>
      </c>
      <c r="H3428" s="9">
        <f t="shared" si="106"/>
        <v>0.24000000000000002</v>
      </c>
      <c r="I3428" t="s">
        <v>253</v>
      </c>
      <c r="J3428" s="33">
        <v>0</v>
      </c>
      <c r="K3428" s="18">
        <f>VLOOKUP(D3428,Ingredients!C:G,5,0)</f>
        <v>350</v>
      </c>
      <c r="L3428" s="52">
        <f t="shared" si="107"/>
        <v>0.42000000000000004</v>
      </c>
    </row>
    <row r="3429" spans="1:12">
      <c r="A3429" s="21" t="s">
        <v>661</v>
      </c>
      <c r="B3429" t="s">
        <v>355</v>
      </c>
      <c r="C3429" t="s">
        <v>985</v>
      </c>
      <c r="D3429" s="3" t="s">
        <v>35</v>
      </c>
      <c r="E3429" s="4">
        <v>8.0000000000000002E-3</v>
      </c>
      <c r="F3429" s="4" t="s">
        <v>252</v>
      </c>
      <c r="G3429" s="9">
        <v>13</v>
      </c>
      <c r="H3429" s="9">
        <f t="shared" si="106"/>
        <v>0.10400000000000001</v>
      </c>
      <c r="I3429" t="s">
        <v>253</v>
      </c>
      <c r="J3429" s="33">
        <v>0</v>
      </c>
      <c r="K3429" s="18">
        <f>VLOOKUP(D3429,Ingredients!C:G,5,0)</f>
        <v>15</v>
      </c>
      <c r="L3429" s="52">
        <f t="shared" si="107"/>
        <v>0.12</v>
      </c>
    </row>
    <row r="3430" spans="1:12">
      <c r="A3430" s="21" t="s">
        <v>661</v>
      </c>
      <c r="B3430" t="s">
        <v>355</v>
      </c>
      <c r="C3430" t="s">
        <v>985</v>
      </c>
      <c r="D3430" s="3" t="s">
        <v>853</v>
      </c>
      <c r="E3430" s="4">
        <v>2.5000000000000001E-3</v>
      </c>
      <c r="F3430" s="4" t="s">
        <v>176</v>
      </c>
      <c r="G3430" s="9">
        <v>30</v>
      </c>
      <c r="H3430" s="9">
        <f t="shared" si="106"/>
        <v>7.4999999999999997E-2</v>
      </c>
      <c r="I3430" t="s">
        <v>253</v>
      </c>
      <c r="J3430" s="33">
        <v>0</v>
      </c>
      <c r="K3430" s="18">
        <f>VLOOKUP(D3430,Ingredients!C:G,5,0)</f>
        <v>55</v>
      </c>
      <c r="L3430" s="52">
        <f t="shared" si="107"/>
        <v>0.13750000000000001</v>
      </c>
    </row>
    <row r="3431" spans="1:12">
      <c r="A3431" s="21" t="s">
        <v>661</v>
      </c>
      <c r="B3431" t="s">
        <v>355</v>
      </c>
      <c r="C3431" t="s">
        <v>985</v>
      </c>
      <c r="D3431" s="3" t="s">
        <v>852</v>
      </c>
      <c r="E3431" s="4">
        <v>0.02</v>
      </c>
      <c r="F3431" s="4" t="s">
        <v>190</v>
      </c>
      <c r="G3431" s="9">
        <v>520.63</v>
      </c>
      <c r="H3431" s="9">
        <f t="shared" si="106"/>
        <v>10.412599999999999</v>
      </c>
      <c r="I3431" t="s">
        <v>253</v>
      </c>
      <c r="J3431" s="33">
        <v>0</v>
      </c>
      <c r="K3431" s="18">
        <v>550</v>
      </c>
      <c r="L3431" s="52">
        <f t="shared" si="107"/>
        <v>11</v>
      </c>
    </row>
    <row r="3432" spans="1:12">
      <c r="A3432" s="21" t="s">
        <v>661</v>
      </c>
      <c r="B3432" t="s">
        <v>355</v>
      </c>
      <c r="C3432" t="s">
        <v>985</v>
      </c>
      <c r="D3432" s="3" t="s">
        <v>903</v>
      </c>
      <c r="E3432" s="4">
        <v>6.6000000000000003E-2</v>
      </c>
      <c r="F3432" s="4" t="s">
        <v>176</v>
      </c>
      <c r="G3432" s="9">
        <v>153.97999999999999</v>
      </c>
      <c r="H3432" s="9">
        <f t="shared" si="106"/>
        <v>10.16268</v>
      </c>
      <c r="I3432" t="s">
        <v>253</v>
      </c>
      <c r="J3432" s="33">
        <v>0</v>
      </c>
      <c r="K3432" s="18">
        <f>VLOOKUP(D3432,Ingredients!C:G,5,0)</f>
        <v>152</v>
      </c>
      <c r="L3432" s="52">
        <f t="shared" si="107"/>
        <v>10.032</v>
      </c>
    </row>
    <row r="3433" spans="1:12">
      <c r="A3433" s="21" t="s">
        <v>661</v>
      </c>
      <c r="B3433" t="s">
        <v>355</v>
      </c>
      <c r="C3433" t="s">
        <v>985</v>
      </c>
      <c r="D3433" s="3" t="s">
        <v>853</v>
      </c>
      <c r="E3433" s="4">
        <v>4.0000000000000002E-4</v>
      </c>
      <c r="F3433" s="4" t="s">
        <v>176</v>
      </c>
      <c r="G3433" s="9">
        <v>30</v>
      </c>
      <c r="H3433" s="9">
        <f t="shared" si="106"/>
        <v>1.2E-2</v>
      </c>
      <c r="I3433" t="s">
        <v>253</v>
      </c>
      <c r="J3433" s="33">
        <v>0</v>
      </c>
      <c r="K3433" s="18">
        <f>VLOOKUP(D3433,Ingredients!C:G,5,0)</f>
        <v>55</v>
      </c>
      <c r="L3433" s="52">
        <f t="shared" si="107"/>
        <v>2.2000000000000002E-2</v>
      </c>
    </row>
    <row r="3434" spans="1:12">
      <c r="A3434" s="21" t="s">
        <v>661</v>
      </c>
      <c r="B3434" t="s">
        <v>355</v>
      </c>
      <c r="C3434" t="s">
        <v>985</v>
      </c>
      <c r="D3434" s="3" t="s">
        <v>852</v>
      </c>
      <c r="E3434" s="4">
        <v>3.0000000000000001E-3</v>
      </c>
      <c r="F3434" s="4" t="s">
        <v>176</v>
      </c>
      <c r="G3434" s="9">
        <v>520.63</v>
      </c>
      <c r="H3434" s="9">
        <f t="shared" si="106"/>
        <v>1.56189</v>
      </c>
      <c r="I3434" t="s">
        <v>253</v>
      </c>
      <c r="J3434" s="33">
        <v>0</v>
      </c>
      <c r="K3434" s="18">
        <v>550</v>
      </c>
      <c r="L3434" s="52">
        <f t="shared" si="107"/>
        <v>1.6500000000000001</v>
      </c>
    </row>
    <row r="3435" spans="1:12">
      <c r="A3435" s="21" t="s">
        <v>662</v>
      </c>
      <c r="B3435" t="s">
        <v>349</v>
      </c>
      <c r="C3435" t="s">
        <v>454</v>
      </c>
      <c r="D3435" s="33" t="s">
        <v>491</v>
      </c>
      <c r="E3435" s="4">
        <v>1</v>
      </c>
      <c r="F3435" s="4" t="s">
        <v>176</v>
      </c>
      <c r="G3435" s="9">
        <v>614</v>
      </c>
      <c r="H3435" s="9">
        <f t="shared" si="106"/>
        <v>614</v>
      </c>
      <c r="I3435" t="s">
        <v>179</v>
      </c>
      <c r="J3435" s="33" t="s">
        <v>491</v>
      </c>
      <c r="K3435" s="18">
        <f>VLOOKUP(D3435,Ingredients!C:G,5,0)</f>
        <v>650</v>
      </c>
      <c r="L3435" s="52">
        <f t="shared" si="107"/>
        <v>650</v>
      </c>
    </row>
    <row r="3436" spans="1:12">
      <c r="A3436" s="21" t="s">
        <v>662</v>
      </c>
      <c r="B3436" t="s">
        <v>349</v>
      </c>
      <c r="C3436" t="s">
        <v>454</v>
      </c>
      <c r="D3436" s="3" t="s">
        <v>852</v>
      </c>
      <c r="E3436" s="4">
        <v>0.2</v>
      </c>
      <c r="F3436" s="4" t="s">
        <v>190</v>
      </c>
      <c r="G3436" s="9">
        <v>520.63</v>
      </c>
      <c r="H3436" s="9">
        <f t="shared" si="106"/>
        <v>104.126</v>
      </c>
      <c r="I3436" t="s">
        <v>179</v>
      </c>
      <c r="J3436" s="33" t="s">
        <v>491</v>
      </c>
      <c r="K3436" s="18">
        <v>550</v>
      </c>
      <c r="L3436" s="52">
        <f t="shared" si="107"/>
        <v>110</v>
      </c>
    </row>
    <row r="3437" spans="1:12">
      <c r="A3437" s="21" t="s">
        <v>662</v>
      </c>
      <c r="B3437" t="s">
        <v>349</v>
      </c>
      <c r="C3437" t="s">
        <v>454</v>
      </c>
      <c r="D3437" s="3" t="s">
        <v>16</v>
      </c>
      <c r="E3437" s="4">
        <v>0.06</v>
      </c>
      <c r="F3437" s="4" t="s">
        <v>176</v>
      </c>
      <c r="G3437" s="9">
        <v>270</v>
      </c>
      <c r="H3437" s="9">
        <f t="shared" si="106"/>
        <v>16.2</v>
      </c>
      <c r="I3437" t="s">
        <v>179</v>
      </c>
      <c r="J3437" s="33" t="s">
        <v>491</v>
      </c>
      <c r="K3437" s="18">
        <f>VLOOKUP(D3437,Ingredients!C:G,5,0)</f>
        <v>310</v>
      </c>
      <c r="L3437" s="52">
        <f t="shared" si="107"/>
        <v>18.599999999999998</v>
      </c>
    </row>
    <row r="3438" spans="1:12">
      <c r="A3438" s="21" t="s">
        <v>662</v>
      </c>
      <c r="B3438" t="s">
        <v>349</v>
      </c>
      <c r="C3438" t="s">
        <v>454</v>
      </c>
      <c r="D3438" s="3" t="s">
        <v>23</v>
      </c>
      <c r="E3438" s="4">
        <v>0.06</v>
      </c>
      <c r="F3438" s="4" t="s">
        <v>176</v>
      </c>
      <c r="G3438" s="9">
        <v>740</v>
      </c>
      <c r="H3438" s="9">
        <f t="shared" si="106"/>
        <v>44.4</v>
      </c>
      <c r="I3438" t="s">
        <v>179</v>
      </c>
      <c r="J3438" s="33" t="s">
        <v>491</v>
      </c>
      <c r="K3438" s="18">
        <f>VLOOKUP(D3438,Ingredients!C:G,5,0)</f>
        <v>780</v>
      </c>
      <c r="L3438" s="52">
        <f t="shared" si="107"/>
        <v>46.8</v>
      </c>
    </row>
    <row r="3439" spans="1:12">
      <c r="A3439" s="21" t="s">
        <v>662</v>
      </c>
      <c r="B3439" t="s">
        <v>349</v>
      </c>
      <c r="C3439" t="s">
        <v>454</v>
      </c>
      <c r="D3439" s="3" t="s">
        <v>853</v>
      </c>
      <c r="E3439" s="4">
        <v>0.03</v>
      </c>
      <c r="F3439" s="4" t="s">
        <v>176</v>
      </c>
      <c r="G3439" s="9">
        <v>30</v>
      </c>
      <c r="H3439" s="9">
        <f t="shared" si="106"/>
        <v>0.89999999999999991</v>
      </c>
      <c r="I3439" t="s">
        <v>179</v>
      </c>
      <c r="J3439" s="33" t="s">
        <v>491</v>
      </c>
      <c r="K3439" s="18">
        <f>VLOOKUP(D3439,Ingredients!C:G,5,0)</f>
        <v>55</v>
      </c>
      <c r="L3439" s="52">
        <f t="shared" si="107"/>
        <v>1.65</v>
      </c>
    </row>
    <row r="3440" spans="1:12">
      <c r="A3440" s="21" t="s">
        <v>662</v>
      </c>
      <c r="B3440" t="s">
        <v>349</v>
      </c>
      <c r="C3440" t="s">
        <v>454</v>
      </c>
      <c r="D3440" s="3" t="s">
        <v>28</v>
      </c>
      <c r="E3440" s="4">
        <v>1</v>
      </c>
      <c r="F3440" s="4" t="s">
        <v>176</v>
      </c>
      <c r="G3440" s="9">
        <v>85</v>
      </c>
      <c r="H3440" s="9">
        <f t="shared" si="106"/>
        <v>85</v>
      </c>
      <c r="I3440" t="s">
        <v>179</v>
      </c>
      <c r="J3440" s="33" t="s">
        <v>491</v>
      </c>
      <c r="K3440" s="18">
        <f>VLOOKUP(D3440,Ingredients!C:G,5,0)</f>
        <v>70</v>
      </c>
      <c r="L3440" s="52">
        <f t="shared" si="107"/>
        <v>70</v>
      </c>
    </row>
    <row r="3441" spans="1:12">
      <c r="A3441" s="21" t="s">
        <v>662</v>
      </c>
      <c r="B3441" t="s">
        <v>349</v>
      </c>
      <c r="C3441" t="s">
        <v>454</v>
      </c>
      <c r="D3441" s="3" t="s">
        <v>29</v>
      </c>
      <c r="E3441" s="4">
        <v>0.1</v>
      </c>
      <c r="F3441" s="4" t="s">
        <v>176</v>
      </c>
      <c r="G3441" s="9">
        <v>60</v>
      </c>
      <c r="H3441" s="9">
        <f t="shared" si="106"/>
        <v>6</v>
      </c>
      <c r="I3441" t="s">
        <v>179</v>
      </c>
      <c r="J3441" s="33" t="s">
        <v>491</v>
      </c>
      <c r="K3441" s="18">
        <f>VLOOKUP(D3441,Ingredients!C:G,5,0)</f>
        <v>100</v>
      </c>
      <c r="L3441" s="52">
        <f t="shared" si="107"/>
        <v>10</v>
      </c>
    </row>
    <row r="3442" spans="1:12">
      <c r="A3442" s="21" t="s">
        <v>662</v>
      </c>
      <c r="B3442" t="s">
        <v>349</v>
      </c>
      <c r="C3442" t="s">
        <v>454</v>
      </c>
      <c r="D3442" s="3" t="s">
        <v>882</v>
      </c>
      <c r="E3442" s="4">
        <v>0.03</v>
      </c>
      <c r="F3442" s="4" t="s">
        <v>176</v>
      </c>
      <c r="G3442" s="9">
        <v>1500</v>
      </c>
      <c r="H3442" s="9">
        <f t="shared" si="106"/>
        <v>45</v>
      </c>
      <c r="I3442" t="s">
        <v>179</v>
      </c>
      <c r="J3442" s="33" t="s">
        <v>491</v>
      </c>
      <c r="K3442" s="18">
        <f>VLOOKUP(D3442,Ingredients!C:G,5,0)</f>
        <v>1450</v>
      </c>
      <c r="L3442" s="52">
        <f t="shared" si="107"/>
        <v>43.5</v>
      </c>
    </row>
    <row r="3443" spans="1:12">
      <c r="A3443" s="21" t="s">
        <v>662</v>
      </c>
      <c r="B3443" t="s">
        <v>349</v>
      </c>
      <c r="C3443" t="s">
        <v>454</v>
      </c>
      <c r="D3443" s="3" t="s">
        <v>23</v>
      </c>
      <c r="E3443" s="4">
        <v>2.4E-2</v>
      </c>
      <c r="F3443" s="4" t="s">
        <v>176</v>
      </c>
      <c r="G3443" s="9">
        <v>740</v>
      </c>
      <c r="H3443" s="9">
        <f t="shared" si="106"/>
        <v>17.760000000000002</v>
      </c>
      <c r="I3443" t="s">
        <v>179</v>
      </c>
      <c r="J3443" s="33" t="s">
        <v>491</v>
      </c>
      <c r="K3443" s="18">
        <f>VLOOKUP(D3443,Ingredients!C:G,5,0)</f>
        <v>780</v>
      </c>
      <c r="L3443" s="52">
        <f t="shared" si="107"/>
        <v>18.72</v>
      </c>
    </row>
    <row r="3444" spans="1:12">
      <c r="A3444" s="21" t="s">
        <v>663</v>
      </c>
      <c r="B3444" t="s">
        <v>346</v>
      </c>
      <c r="C3444" t="s">
        <v>352</v>
      </c>
      <c r="D3444" s="3" t="s">
        <v>13</v>
      </c>
      <c r="E3444" s="4">
        <v>1</v>
      </c>
      <c r="F3444" s="4" t="s">
        <v>176</v>
      </c>
      <c r="G3444" s="9">
        <v>30</v>
      </c>
      <c r="H3444" s="9">
        <f t="shared" si="106"/>
        <v>30</v>
      </c>
      <c r="I3444" t="s">
        <v>179</v>
      </c>
      <c r="J3444" s="33">
        <v>0</v>
      </c>
      <c r="K3444" s="18">
        <f>VLOOKUP(D3444,Ingredients!C:G,5,0)</f>
        <v>60</v>
      </c>
      <c r="L3444" s="52">
        <f t="shared" si="107"/>
        <v>60</v>
      </c>
    </row>
    <row r="3445" spans="1:12">
      <c r="A3445" s="21" t="s">
        <v>663</v>
      </c>
      <c r="B3445" t="s">
        <v>346</v>
      </c>
      <c r="C3445" t="s">
        <v>352</v>
      </c>
      <c r="D3445" s="3" t="s">
        <v>24</v>
      </c>
      <c r="E3445" s="4">
        <v>0.9</v>
      </c>
      <c r="F3445" s="4" t="s">
        <v>176</v>
      </c>
      <c r="G3445" s="9">
        <v>55</v>
      </c>
      <c r="H3445" s="9">
        <f t="shared" si="106"/>
        <v>49.5</v>
      </c>
      <c r="I3445" t="s">
        <v>179</v>
      </c>
      <c r="J3445" s="33">
        <v>0</v>
      </c>
      <c r="K3445" s="18">
        <f>VLOOKUP(D3445,Ingredients!C:G,5,0)</f>
        <v>80</v>
      </c>
      <c r="L3445" s="52">
        <f t="shared" si="107"/>
        <v>72</v>
      </c>
    </row>
    <row r="3446" spans="1:12">
      <c r="A3446" s="21" t="s">
        <v>663</v>
      </c>
      <c r="B3446" t="s">
        <v>346</v>
      </c>
      <c r="C3446" t="s">
        <v>352</v>
      </c>
      <c r="D3446" s="3" t="s">
        <v>148</v>
      </c>
      <c r="E3446" s="4">
        <v>0.04</v>
      </c>
      <c r="F3446" s="4" t="s">
        <v>176</v>
      </c>
      <c r="G3446" s="9">
        <v>5</v>
      </c>
      <c r="H3446" s="9">
        <f t="shared" si="106"/>
        <v>0.2</v>
      </c>
      <c r="I3446" t="s">
        <v>179</v>
      </c>
      <c r="J3446" s="33">
        <v>0</v>
      </c>
      <c r="K3446" s="18">
        <f>VLOOKUP(D3446,Ingredients!C:G,5,0)</f>
        <v>5</v>
      </c>
      <c r="L3446" s="52">
        <f t="shared" si="107"/>
        <v>0.2</v>
      </c>
    </row>
    <row r="3447" spans="1:12">
      <c r="A3447" s="21" t="s">
        <v>663</v>
      </c>
      <c r="B3447" t="s">
        <v>346</v>
      </c>
      <c r="C3447" t="s">
        <v>352</v>
      </c>
      <c r="D3447" s="3" t="s">
        <v>850</v>
      </c>
      <c r="E3447" s="4">
        <v>0.01</v>
      </c>
      <c r="F3447" s="4" t="s">
        <v>176</v>
      </c>
      <c r="G3447" s="9">
        <v>700</v>
      </c>
      <c r="H3447" s="9">
        <f t="shared" si="106"/>
        <v>7</v>
      </c>
      <c r="I3447" t="s">
        <v>179</v>
      </c>
      <c r="J3447" s="33">
        <v>0</v>
      </c>
      <c r="K3447" s="18">
        <f>VLOOKUP(D3447,Ingredients!C:G,5,0)</f>
        <v>700</v>
      </c>
      <c r="L3447" s="52">
        <f t="shared" si="107"/>
        <v>7</v>
      </c>
    </row>
    <row r="3448" spans="1:12">
      <c r="A3448" s="21" t="s">
        <v>663</v>
      </c>
      <c r="B3448" t="s">
        <v>346</v>
      </c>
      <c r="C3448" t="s">
        <v>352</v>
      </c>
      <c r="D3448" s="3" t="s">
        <v>470</v>
      </c>
      <c r="E3448" s="4">
        <v>6.0000000000000001E-3</v>
      </c>
      <c r="F3448" s="4" t="s">
        <v>176</v>
      </c>
      <c r="G3448" s="9">
        <v>600</v>
      </c>
      <c r="H3448" s="9">
        <f t="shared" si="106"/>
        <v>3.6</v>
      </c>
      <c r="I3448" t="s">
        <v>179</v>
      </c>
      <c r="J3448" s="33">
        <v>0</v>
      </c>
      <c r="K3448" s="18">
        <f>VLOOKUP(D3448,Ingredients!C:G,5,0)</f>
        <v>650</v>
      </c>
      <c r="L3448" s="52">
        <f t="shared" si="107"/>
        <v>3.9</v>
      </c>
    </row>
    <row r="3449" spans="1:12">
      <c r="A3449" s="21" t="s">
        <v>663</v>
      </c>
      <c r="B3449" t="s">
        <v>346</v>
      </c>
      <c r="C3449" t="s">
        <v>352</v>
      </c>
      <c r="D3449" s="3" t="s">
        <v>855</v>
      </c>
      <c r="E3449" s="4">
        <v>0.06</v>
      </c>
      <c r="F3449" s="4" t="s">
        <v>176</v>
      </c>
      <c r="G3449" s="9">
        <v>2400</v>
      </c>
      <c r="H3449" s="9">
        <f t="shared" si="106"/>
        <v>144</v>
      </c>
      <c r="I3449" t="s">
        <v>179</v>
      </c>
      <c r="J3449" s="33">
        <v>0</v>
      </c>
      <c r="K3449" s="18">
        <f>VLOOKUP(D3449,Ingredients!C:G,5,0)</f>
        <v>1600</v>
      </c>
      <c r="L3449" s="52">
        <f t="shared" si="107"/>
        <v>96</v>
      </c>
    </row>
    <row r="3450" spans="1:12">
      <c r="A3450" s="21" t="s">
        <v>663</v>
      </c>
      <c r="B3450" t="s">
        <v>346</v>
      </c>
      <c r="C3450" t="s">
        <v>352</v>
      </c>
      <c r="D3450" s="3" t="s">
        <v>857</v>
      </c>
      <c r="E3450" s="4">
        <v>0.03</v>
      </c>
      <c r="F3450" s="4" t="s">
        <v>176</v>
      </c>
      <c r="G3450" s="9">
        <v>520</v>
      </c>
      <c r="H3450" s="9">
        <f t="shared" si="106"/>
        <v>15.6</v>
      </c>
      <c r="I3450" t="s">
        <v>179</v>
      </c>
      <c r="J3450" s="33">
        <v>0</v>
      </c>
      <c r="K3450" s="18">
        <f>VLOOKUP(D3450,Ingredients!C:G,5,0)</f>
        <v>880</v>
      </c>
      <c r="L3450" s="52">
        <f t="shared" si="107"/>
        <v>26.4</v>
      </c>
    </row>
    <row r="3451" spans="1:12">
      <c r="A3451" s="21" t="s">
        <v>663</v>
      </c>
      <c r="B3451" t="s">
        <v>346</v>
      </c>
      <c r="C3451" t="s">
        <v>352</v>
      </c>
      <c r="D3451" s="3" t="s">
        <v>881</v>
      </c>
      <c r="E3451" s="4">
        <v>0.06</v>
      </c>
      <c r="F3451" s="4" t="s">
        <v>176</v>
      </c>
      <c r="G3451" s="9">
        <v>871</v>
      </c>
      <c r="H3451" s="9">
        <f t="shared" si="106"/>
        <v>52.26</v>
      </c>
      <c r="I3451" t="s">
        <v>179</v>
      </c>
      <c r="J3451" s="33">
        <v>0</v>
      </c>
      <c r="K3451" s="18">
        <f>VLOOKUP(D3451,Ingredients!C:G,5,0)</f>
        <v>885.41</v>
      </c>
      <c r="L3451" s="52">
        <f t="shared" si="107"/>
        <v>53.124599999999994</v>
      </c>
    </row>
    <row r="3452" spans="1:12">
      <c r="A3452" s="21" t="s">
        <v>663</v>
      </c>
      <c r="B3452" t="s">
        <v>346</v>
      </c>
      <c r="C3452" t="s">
        <v>352</v>
      </c>
      <c r="D3452" s="3" t="s">
        <v>29</v>
      </c>
      <c r="E3452" s="4">
        <v>0.1</v>
      </c>
      <c r="F3452" s="4" t="s">
        <v>176</v>
      </c>
      <c r="G3452" s="9">
        <v>60</v>
      </c>
      <c r="H3452" s="9">
        <f t="shared" ref="H3452:H3515" si="108">G3452*E3452</f>
        <v>6</v>
      </c>
      <c r="I3452" t="s">
        <v>179</v>
      </c>
      <c r="J3452" s="33">
        <v>0</v>
      </c>
      <c r="K3452" s="18">
        <f>VLOOKUP(D3452,Ingredients!C:G,5,0)</f>
        <v>100</v>
      </c>
      <c r="L3452" s="52">
        <f t="shared" si="107"/>
        <v>10</v>
      </c>
    </row>
    <row r="3453" spans="1:12">
      <c r="A3453" s="21" t="s">
        <v>663</v>
      </c>
      <c r="B3453" t="s">
        <v>346</v>
      </c>
      <c r="C3453" t="s">
        <v>352</v>
      </c>
      <c r="D3453" s="3" t="s">
        <v>23</v>
      </c>
      <c r="E3453" s="4">
        <v>0.06</v>
      </c>
      <c r="F3453" s="4" t="s">
        <v>176</v>
      </c>
      <c r="G3453" s="9">
        <v>740</v>
      </c>
      <c r="H3453" s="9">
        <f t="shared" si="108"/>
        <v>44.4</v>
      </c>
      <c r="I3453" t="s">
        <v>179</v>
      </c>
      <c r="J3453" s="33">
        <v>0</v>
      </c>
      <c r="K3453" s="18">
        <f>VLOOKUP(D3453,Ingredients!C:G,5,0)</f>
        <v>780</v>
      </c>
      <c r="L3453" s="52">
        <f t="shared" si="107"/>
        <v>46.8</v>
      </c>
    </row>
    <row r="3454" spans="1:12">
      <c r="A3454" s="21" t="s">
        <v>663</v>
      </c>
      <c r="B3454" t="s">
        <v>346</v>
      </c>
      <c r="C3454" t="s">
        <v>352</v>
      </c>
      <c r="D3454" s="3" t="s">
        <v>880</v>
      </c>
      <c r="E3454" s="4">
        <v>0.06</v>
      </c>
      <c r="F3454" s="4" t="s">
        <v>176</v>
      </c>
      <c r="G3454" s="9">
        <v>650</v>
      </c>
      <c r="H3454" s="9">
        <f t="shared" si="108"/>
        <v>39</v>
      </c>
      <c r="I3454" t="s">
        <v>179</v>
      </c>
      <c r="J3454" s="33">
        <v>0</v>
      </c>
      <c r="K3454" s="18">
        <f>VLOOKUP(D3454,Ingredients!C:G,5,0)</f>
        <v>520</v>
      </c>
      <c r="L3454" s="52">
        <f t="shared" si="107"/>
        <v>31.2</v>
      </c>
    </row>
    <row r="3455" spans="1:12">
      <c r="A3455" s="21" t="s">
        <v>663</v>
      </c>
      <c r="B3455" t="s">
        <v>346</v>
      </c>
      <c r="C3455" t="s">
        <v>352</v>
      </c>
      <c r="D3455" s="3" t="s">
        <v>902</v>
      </c>
      <c r="E3455" s="4">
        <v>0.12</v>
      </c>
      <c r="F3455" s="4" t="s">
        <v>176</v>
      </c>
      <c r="G3455" s="9">
        <v>662.5</v>
      </c>
      <c r="H3455" s="9">
        <f t="shared" si="108"/>
        <v>79.5</v>
      </c>
      <c r="I3455" t="s">
        <v>179</v>
      </c>
      <c r="J3455" s="33">
        <v>0</v>
      </c>
      <c r="K3455" s="18">
        <f>VLOOKUP(D3455,Ingredients!C:G,5,0)</f>
        <v>700</v>
      </c>
      <c r="L3455" s="52">
        <f t="shared" si="107"/>
        <v>84</v>
      </c>
    </row>
    <row r="3456" spans="1:12">
      <c r="A3456" s="21" t="s">
        <v>663</v>
      </c>
      <c r="B3456" t="s">
        <v>346</v>
      </c>
      <c r="C3456" t="s">
        <v>352</v>
      </c>
      <c r="D3456" s="3" t="s">
        <v>870</v>
      </c>
      <c r="E3456" s="4">
        <v>0.1</v>
      </c>
      <c r="F3456" s="4" t="s">
        <v>176</v>
      </c>
      <c r="G3456" s="9">
        <v>440</v>
      </c>
      <c r="H3456" s="9">
        <f t="shared" si="108"/>
        <v>44</v>
      </c>
      <c r="I3456" t="s">
        <v>179</v>
      </c>
      <c r="J3456" s="33">
        <v>0</v>
      </c>
      <c r="K3456" s="18">
        <f>VLOOKUP(D3456,Ingredients!C:G,5,0)</f>
        <v>450</v>
      </c>
      <c r="L3456" s="52">
        <f t="shared" si="107"/>
        <v>45</v>
      </c>
    </row>
    <row r="3457" spans="1:12">
      <c r="A3457" s="21" t="s">
        <v>663</v>
      </c>
      <c r="B3457" t="s">
        <v>346</v>
      </c>
      <c r="C3457" t="s">
        <v>352</v>
      </c>
      <c r="D3457" s="3" t="s">
        <v>387</v>
      </c>
      <c r="E3457" s="4">
        <v>0.8</v>
      </c>
      <c r="F3457" s="4" t="s">
        <v>176</v>
      </c>
      <c r="G3457" s="9">
        <v>337.17500000000001</v>
      </c>
      <c r="H3457" s="9">
        <f t="shared" si="108"/>
        <v>269.74</v>
      </c>
      <c r="I3457" t="s">
        <v>179</v>
      </c>
      <c r="J3457" s="33">
        <v>0</v>
      </c>
      <c r="K3457" s="18">
        <f>VLOOKUP(D3457,Ingredients!C:G,5,0)</f>
        <v>337.17500000000001</v>
      </c>
      <c r="L3457" s="52">
        <f t="shared" si="107"/>
        <v>269.74</v>
      </c>
    </row>
    <row r="3458" spans="1:12">
      <c r="A3458" s="21" t="s">
        <v>663</v>
      </c>
      <c r="B3458" t="s">
        <v>346</v>
      </c>
      <c r="C3458" t="s">
        <v>352</v>
      </c>
      <c r="D3458" s="3" t="s">
        <v>16</v>
      </c>
      <c r="E3458" s="4">
        <v>0.06</v>
      </c>
      <c r="F3458" s="4" t="s">
        <v>176</v>
      </c>
      <c r="G3458" s="9">
        <v>270</v>
      </c>
      <c r="H3458" s="9">
        <f t="shared" si="108"/>
        <v>16.2</v>
      </c>
      <c r="I3458" t="s">
        <v>179</v>
      </c>
      <c r="J3458" s="33">
        <v>0</v>
      </c>
      <c r="K3458" s="18">
        <f>VLOOKUP(D3458,Ingredients!C:G,5,0)</f>
        <v>310</v>
      </c>
      <c r="L3458" s="52">
        <f t="shared" si="107"/>
        <v>18.599999999999998</v>
      </c>
    </row>
    <row r="3459" spans="1:12">
      <c r="A3459" s="21" t="s">
        <v>663</v>
      </c>
      <c r="B3459" t="s">
        <v>346</v>
      </c>
      <c r="C3459" t="s">
        <v>352</v>
      </c>
      <c r="D3459" s="3" t="s">
        <v>849</v>
      </c>
      <c r="E3459" s="4">
        <v>0.06</v>
      </c>
      <c r="F3459" s="4" t="s">
        <v>176</v>
      </c>
      <c r="G3459" s="9">
        <v>1000</v>
      </c>
      <c r="H3459" s="9">
        <f t="shared" si="108"/>
        <v>60</v>
      </c>
      <c r="I3459" t="s">
        <v>179</v>
      </c>
      <c r="J3459" s="33">
        <v>0</v>
      </c>
      <c r="K3459" s="18">
        <f>VLOOKUP(D3459,Ingredients!C:G,5,0)</f>
        <v>950</v>
      </c>
      <c r="L3459" s="52">
        <f t="shared" si="107"/>
        <v>57</v>
      </c>
    </row>
    <row r="3460" spans="1:12">
      <c r="A3460" s="21" t="s">
        <v>663</v>
      </c>
      <c r="B3460" t="s">
        <v>346</v>
      </c>
      <c r="C3460" t="s">
        <v>352</v>
      </c>
      <c r="D3460" s="3" t="s">
        <v>853</v>
      </c>
      <c r="E3460" s="4">
        <v>0.06</v>
      </c>
      <c r="F3460" s="4" t="s">
        <v>176</v>
      </c>
      <c r="G3460" s="9">
        <v>30</v>
      </c>
      <c r="H3460" s="9">
        <f t="shared" si="108"/>
        <v>1.7999999999999998</v>
      </c>
      <c r="I3460" t="s">
        <v>179</v>
      </c>
      <c r="J3460" s="33">
        <v>0</v>
      </c>
      <c r="K3460" s="18">
        <f>VLOOKUP(D3460,Ingredients!C:G,5,0)</f>
        <v>55</v>
      </c>
      <c r="L3460" s="52">
        <f t="shared" ref="L3460:L3523" si="109">K3460*E3460</f>
        <v>3.3</v>
      </c>
    </row>
    <row r="3461" spans="1:12">
      <c r="A3461" s="21" t="s">
        <v>663</v>
      </c>
      <c r="B3461" t="s">
        <v>346</v>
      </c>
      <c r="C3461" t="s">
        <v>352</v>
      </c>
      <c r="D3461" s="3" t="s">
        <v>856</v>
      </c>
      <c r="E3461" s="4">
        <v>2.8000000000000001E-2</v>
      </c>
      <c r="F3461" s="4" t="s">
        <v>176</v>
      </c>
      <c r="G3461" s="9">
        <v>850</v>
      </c>
      <c r="H3461" s="9">
        <f t="shared" si="108"/>
        <v>23.8</v>
      </c>
      <c r="I3461" t="s">
        <v>179</v>
      </c>
      <c r="J3461" s="33">
        <v>0</v>
      </c>
      <c r="K3461" s="18">
        <f>VLOOKUP(D3461,Ingredients!C:G,5,0)</f>
        <v>980</v>
      </c>
      <c r="L3461" s="52">
        <f t="shared" si="109"/>
        <v>27.44</v>
      </c>
    </row>
    <row r="3462" spans="1:12">
      <c r="A3462" s="21" t="s">
        <v>663</v>
      </c>
      <c r="B3462" t="s">
        <v>346</v>
      </c>
      <c r="C3462" t="s">
        <v>352</v>
      </c>
      <c r="D3462" s="3" t="s">
        <v>606</v>
      </c>
      <c r="E3462" s="4">
        <v>1.4E-2</v>
      </c>
      <c r="F3462" s="4" t="s">
        <v>176</v>
      </c>
      <c r="G3462" s="9">
        <v>260</v>
      </c>
      <c r="H3462" s="9">
        <f t="shared" si="108"/>
        <v>3.64</v>
      </c>
      <c r="I3462" t="s">
        <v>179</v>
      </c>
      <c r="J3462" s="33">
        <v>0</v>
      </c>
      <c r="K3462" s="18">
        <f>VLOOKUP(D3462,Ingredients!C:G,5,0)</f>
        <v>260</v>
      </c>
      <c r="L3462" s="52">
        <f t="shared" si="109"/>
        <v>3.64</v>
      </c>
    </row>
    <row r="3463" spans="1:12">
      <c r="A3463" s="21" t="s">
        <v>663</v>
      </c>
      <c r="B3463" t="s">
        <v>346</v>
      </c>
      <c r="C3463" t="s">
        <v>352</v>
      </c>
      <c r="D3463" s="3" t="s">
        <v>852</v>
      </c>
      <c r="E3463" s="4">
        <v>0.24</v>
      </c>
      <c r="F3463" s="4" t="s">
        <v>176</v>
      </c>
      <c r="G3463" s="9">
        <v>520.63</v>
      </c>
      <c r="H3463" s="9">
        <f t="shared" si="108"/>
        <v>124.9512</v>
      </c>
      <c r="I3463" t="s">
        <v>179</v>
      </c>
      <c r="J3463" s="33">
        <v>0</v>
      </c>
      <c r="K3463" s="18">
        <v>550</v>
      </c>
      <c r="L3463" s="52">
        <f t="shared" si="109"/>
        <v>132</v>
      </c>
    </row>
    <row r="3464" spans="1:12">
      <c r="A3464" s="21" t="s">
        <v>663</v>
      </c>
      <c r="B3464" t="s">
        <v>346</v>
      </c>
      <c r="C3464" t="s">
        <v>352</v>
      </c>
      <c r="D3464" s="3" t="s">
        <v>148</v>
      </c>
      <c r="E3464" s="4">
        <v>0.04</v>
      </c>
      <c r="F3464" s="4" t="s">
        <v>176</v>
      </c>
      <c r="G3464" s="9">
        <v>5</v>
      </c>
      <c r="H3464" s="9">
        <f t="shared" si="108"/>
        <v>0.2</v>
      </c>
      <c r="I3464" t="s">
        <v>179</v>
      </c>
      <c r="J3464" s="33">
        <v>0</v>
      </c>
      <c r="K3464" s="18">
        <f>VLOOKUP(D3464,Ingredients!C:G,5,0)</f>
        <v>5</v>
      </c>
      <c r="L3464" s="52">
        <f t="shared" si="109"/>
        <v>0.2</v>
      </c>
    </row>
    <row r="3465" spans="1:12">
      <c r="A3465" s="21" t="s">
        <v>663</v>
      </c>
      <c r="B3465" t="s">
        <v>346</v>
      </c>
      <c r="C3465" t="s">
        <v>352</v>
      </c>
      <c r="D3465" s="3" t="s">
        <v>16</v>
      </c>
      <c r="E3465" s="4">
        <v>2.4E-2</v>
      </c>
      <c r="F3465" s="4" t="s">
        <v>176</v>
      </c>
      <c r="G3465" s="9">
        <v>270</v>
      </c>
      <c r="H3465" s="9">
        <f t="shared" si="108"/>
        <v>6.48</v>
      </c>
      <c r="I3465" t="s">
        <v>179</v>
      </c>
      <c r="J3465" s="33">
        <v>0</v>
      </c>
      <c r="K3465" s="18">
        <f>VLOOKUP(D3465,Ingredients!C:G,5,0)</f>
        <v>310</v>
      </c>
      <c r="L3465" s="52">
        <f t="shared" si="109"/>
        <v>7.44</v>
      </c>
    </row>
    <row r="3466" spans="1:12">
      <c r="A3466" s="21" t="s">
        <v>664</v>
      </c>
      <c r="B3466" t="s">
        <v>346</v>
      </c>
      <c r="C3466" t="s">
        <v>351</v>
      </c>
      <c r="D3466" s="3" t="s">
        <v>144</v>
      </c>
      <c r="E3466" s="4">
        <v>1</v>
      </c>
      <c r="F3466" s="4" t="s">
        <v>176</v>
      </c>
      <c r="G3466" s="9">
        <v>110</v>
      </c>
      <c r="H3466" s="9">
        <f t="shared" si="108"/>
        <v>110</v>
      </c>
      <c r="I3466" t="s">
        <v>179</v>
      </c>
      <c r="J3466" s="33">
        <v>0</v>
      </c>
      <c r="K3466" s="18">
        <f>VLOOKUP(D3466,Ingredients!C:G,5,0)</f>
        <v>100</v>
      </c>
      <c r="L3466" s="52">
        <f t="shared" si="109"/>
        <v>100</v>
      </c>
    </row>
    <row r="3467" spans="1:12">
      <c r="A3467" s="21" t="s">
        <v>664</v>
      </c>
      <c r="B3467" t="s">
        <v>346</v>
      </c>
      <c r="C3467" t="s">
        <v>351</v>
      </c>
      <c r="D3467" s="3" t="s">
        <v>880</v>
      </c>
      <c r="E3467" s="4">
        <v>1.6E-2</v>
      </c>
      <c r="F3467" s="4" t="s">
        <v>176</v>
      </c>
      <c r="G3467" s="9">
        <v>650</v>
      </c>
      <c r="H3467" s="9">
        <f t="shared" si="108"/>
        <v>10.4</v>
      </c>
      <c r="I3467" t="s">
        <v>179</v>
      </c>
      <c r="J3467" s="33">
        <v>0</v>
      </c>
      <c r="K3467" s="18">
        <f>VLOOKUP(D3467,Ingredients!C:G,5,0)</f>
        <v>520</v>
      </c>
      <c r="L3467" s="52">
        <f t="shared" si="109"/>
        <v>8.32</v>
      </c>
    </row>
    <row r="3468" spans="1:12">
      <c r="A3468" s="21" t="s">
        <v>664</v>
      </c>
      <c r="B3468" t="s">
        <v>346</v>
      </c>
      <c r="C3468" t="s">
        <v>351</v>
      </c>
      <c r="D3468" s="3" t="s">
        <v>867</v>
      </c>
      <c r="E3468" s="4">
        <v>0.03</v>
      </c>
      <c r="F3468" s="4" t="s">
        <v>176</v>
      </c>
      <c r="G3468" s="9">
        <v>900</v>
      </c>
      <c r="H3468" s="9">
        <f t="shared" si="108"/>
        <v>27</v>
      </c>
      <c r="I3468" t="s">
        <v>179</v>
      </c>
      <c r="J3468" s="33">
        <v>0</v>
      </c>
      <c r="K3468" s="18">
        <f>VLOOKUP(D3468,Ingredients!C:G,5,0)</f>
        <v>950</v>
      </c>
      <c r="L3468" s="52">
        <f t="shared" si="109"/>
        <v>28.5</v>
      </c>
    </row>
    <row r="3469" spans="1:12">
      <c r="A3469" s="21" t="s">
        <v>664</v>
      </c>
      <c r="B3469" t="s">
        <v>346</v>
      </c>
      <c r="C3469" t="s">
        <v>351</v>
      </c>
      <c r="D3469" s="3" t="s">
        <v>895</v>
      </c>
      <c r="E3469" s="4">
        <v>0.03</v>
      </c>
      <c r="F3469" s="4" t="s">
        <v>176</v>
      </c>
      <c r="G3469" s="9">
        <v>400</v>
      </c>
      <c r="H3469" s="9">
        <f t="shared" si="108"/>
        <v>12</v>
      </c>
      <c r="I3469" t="s">
        <v>179</v>
      </c>
      <c r="J3469" s="33">
        <v>0</v>
      </c>
      <c r="K3469" s="18">
        <f>VLOOKUP(D3469,Ingredients!C:G,5,0)</f>
        <v>400</v>
      </c>
      <c r="L3469" s="52">
        <f t="shared" si="109"/>
        <v>12</v>
      </c>
    </row>
    <row r="3470" spans="1:12">
      <c r="A3470" s="21" t="s">
        <v>664</v>
      </c>
      <c r="B3470" t="s">
        <v>346</v>
      </c>
      <c r="C3470" t="s">
        <v>351</v>
      </c>
      <c r="D3470" s="3" t="s">
        <v>887</v>
      </c>
      <c r="E3470" s="4">
        <v>0.03</v>
      </c>
      <c r="F3470" s="4" t="s">
        <v>176</v>
      </c>
      <c r="G3470" s="9">
        <v>1600</v>
      </c>
      <c r="H3470" s="9">
        <f t="shared" si="108"/>
        <v>48</v>
      </c>
      <c r="I3470" t="s">
        <v>179</v>
      </c>
      <c r="J3470" s="33">
        <v>0</v>
      </c>
      <c r="K3470" s="18">
        <f>VLOOKUP(D3470,Ingredients!C:G,5,0)</f>
        <v>1830</v>
      </c>
      <c r="L3470" s="52">
        <f t="shared" si="109"/>
        <v>54.9</v>
      </c>
    </row>
    <row r="3471" spans="1:12">
      <c r="A3471" s="21" t="s">
        <v>664</v>
      </c>
      <c r="B3471" t="s">
        <v>346</v>
      </c>
      <c r="C3471" t="s">
        <v>351</v>
      </c>
      <c r="D3471" s="3" t="s">
        <v>860</v>
      </c>
      <c r="E3471" s="4">
        <v>0.03</v>
      </c>
      <c r="F3471" s="4" t="s">
        <v>176</v>
      </c>
      <c r="G3471" s="9">
        <v>2000</v>
      </c>
      <c r="H3471" s="9">
        <f t="shared" si="108"/>
        <v>60</v>
      </c>
      <c r="I3471" t="s">
        <v>179</v>
      </c>
      <c r="J3471" s="33">
        <v>0</v>
      </c>
      <c r="K3471" s="18">
        <f>VLOOKUP(D3471,Ingredients!C:G,5,0)</f>
        <v>1900</v>
      </c>
      <c r="L3471" s="52">
        <f t="shared" si="109"/>
        <v>57</v>
      </c>
    </row>
    <row r="3472" spans="1:12">
      <c r="A3472" s="21" t="s">
        <v>664</v>
      </c>
      <c r="B3472" t="s">
        <v>346</v>
      </c>
      <c r="C3472" t="s">
        <v>351</v>
      </c>
      <c r="D3472" s="3" t="s">
        <v>31</v>
      </c>
      <c r="E3472" s="4">
        <v>0.03</v>
      </c>
      <c r="F3472" s="4" t="s">
        <v>176</v>
      </c>
      <c r="G3472" s="9">
        <v>200</v>
      </c>
      <c r="H3472" s="9">
        <f t="shared" si="108"/>
        <v>6</v>
      </c>
      <c r="I3472" t="s">
        <v>179</v>
      </c>
      <c r="J3472" s="33">
        <v>0</v>
      </c>
      <c r="K3472" s="18">
        <f>VLOOKUP(D3472,Ingredients!C:G,5,0)</f>
        <v>350</v>
      </c>
      <c r="L3472" s="52">
        <f t="shared" si="109"/>
        <v>10.5</v>
      </c>
    </row>
    <row r="3473" spans="1:12">
      <c r="A3473" s="21" t="s">
        <v>664</v>
      </c>
      <c r="B3473" t="s">
        <v>346</v>
      </c>
      <c r="C3473" t="s">
        <v>351</v>
      </c>
      <c r="D3473" s="3" t="s">
        <v>923</v>
      </c>
      <c r="E3473" s="4">
        <v>0.03</v>
      </c>
      <c r="F3473" s="4" t="s">
        <v>176</v>
      </c>
      <c r="G3473" s="9">
        <v>100</v>
      </c>
      <c r="H3473" s="9">
        <f t="shared" si="108"/>
        <v>3</v>
      </c>
      <c r="I3473" t="s">
        <v>179</v>
      </c>
      <c r="J3473" s="33">
        <v>0</v>
      </c>
      <c r="K3473" s="18">
        <f>VLOOKUP(D3473,Ingredients!C:G,5,0)</f>
        <v>1000</v>
      </c>
      <c r="L3473" s="52">
        <f t="shared" si="109"/>
        <v>30</v>
      </c>
    </row>
    <row r="3474" spans="1:12">
      <c r="A3474" s="21" t="s">
        <v>664</v>
      </c>
      <c r="B3474" t="s">
        <v>346</v>
      </c>
      <c r="C3474" t="s">
        <v>351</v>
      </c>
      <c r="D3474" s="3" t="s">
        <v>875</v>
      </c>
      <c r="E3474" s="4">
        <v>0.2</v>
      </c>
      <c r="F3474" s="4" t="s">
        <v>176</v>
      </c>
      <c r="G3474" s="9">
        <v>220</v>
      </c>
      <c r="H3474" s="9">
        <f t="shared" si="108"/>
        <v>44</v>
      </c>
      <c r="I3474" t="s">
        <v>179</v>
      </c>
      <c r="J3474" s="33">
        <v>0</v>
      </c>
      <c r="K3474" s="18">
        <f>VLOOKUP(D3474,Ingredients!C:G,5,0)</f>
        <v>220</v>
      </c>
      <c r="L3474" s="52">
        <f t="shared" si="109"/>
        <v>44</v>
      </c>
    </row>
    <row r="3475" spans="1:12">
      <c r="A3475" s="21" t="s">
        <v>664</v>
      </c>
      <c r="B3475" t="s">
        <v>346</v>
      </c>
      <c r="C3475" t="s">
        <v>351</v>
      </c>
      <c r="D3475" s="3" t="s">
        <v>853</v>
      </c>
      <c r="E3475" s="4">
        <v>0.04</v>
      </c>
      <c r="F3475" s="4" t="s">
        <v>176</v>
      </c>
      <c r="G3475" s="9">
        <v>30</v>
      </c>
      <c r="H3475" s="9">
        <f t="shared" si="108"/>
        <v>1.2</v>
      </c>
      <c r="I3475" t="s">
        <v>179</v>
      </c>
      <c r="J3475" s="33">
        <v>0</v>
      </c>
      <c r="K3475" s="18">
        <f>VLOOKUP(D3475,Ingredients!C:G,5,0)</f>
        <v>55</v>
      </c>
      <c r="L3475" s="52">
        <f t="shared" si="109"/>
        <v>2.2000000000000002</v>
      </c>
    </row>
    <row r="3476" spans="1:12">
      <c r="A3476" s="21" t="s">
        <v>664</v>
      </c>
      <c r="B3476" t="s">
        <v>346</v>
      </c>
      <c r="C3476" t="s">
        <v>351</v>
      </c>
      <c r="D3476" s="3" t="s">
        <v>852</v>
      </c>
      <c r="E3476" s="4">
        <v>0.3</v>
      </c>
      <c r="F3476" s="4" t="s">
        <v>190</v>
      </c>
      <c r="G3476" s="9">
        <v>520.63</v>
      </c>
      <c r="H3476" s="9">
        <f t="shared" si="108"/>
        <v>156.18899999999999</v>
      </c>
      <c r="I3476" t="s">
        <v>179</v>
      </c>
      <c r="J3476" s="33">
        <v>0</v>
      </c>
      <c r="K3476" s="18">
        <v>550</v>
      </c>
      <c r="L3476" s="52">
        <f t="shared" si="109"/>
        <v>165</v>
      </c>
    </row>
    <row r="3477" spans="1:12">
      <c r="A3477" s="21" t="s">
        <v>665</v>
      </c>
      <c r="B3477" t="s">
        <v>349</v>
      </c>
      <c r="C3477" t="s">
        <v>984</v>
      </c>
      <c r="D3477" s="3" t="s">
        <v>831</v>
      </c>
      <c r="E3477" s="4">
        <v>0.16875000000000001</v>
      </c>
      <c r="F3477" s="4" t="s">
        <v>179</v>
      </c>
      <c r="G3477" s="9">
        <v>908</v>
      </c>
      <c r="H3477" s="9">
        <f t="shared" si="108"/>
        <v>153.22500000000002</v>
      </c>
      <c r="I3477" t="s">
        <v>253</v>
      </c>
      <c r="J3477" s="33" t="s">
        <v>489</v>
      </c>
      <c r="K3477" s="18">
        <f>VLOOKUP(D3477,Ingredients!C:G,5,0)</f>
        <v>908</v>
      </c>
      <c r="L3477" s="52">
        <f t="shared" si="109"/>
        <v>153.22500000000002</v>
      </c>
    </row>
    <row r="3478" spans="1:12">
      <c r="A3478" s="21" t="s">
        <v>665</v>
      </c>
      <c r="B3478" t="s">
        <v>349</v>
      </c>
      <c r="C3478" t="s">
        <v>984</v>
      </c>
      <c r="D3478" s="3" t="s">
        <v>24</v>
      </c>
      <c r="E3478" s="4">
        <v>0.02</v>
      </c>
      <c r="F3478" s="4" t="s">
        <v>179</v>
      </c>
      <c r="G3478" s="9">
        <v>55</v>
      </c>
      <c r="H3478" s="9">
        <f t="shared" si="108"/>
        <v>1.1000000000000001</v>
      </c>
      <c r="I3478" t="s">
        <v>253</v>
      </c>
      <c r="J3478" s="33" t="s">
        <v>489</v>
      </c>
      <c r="K3478" s="18">
        <f>VLOOKUP(D3478,Ingredients!C:G,5,0)</f>
        <v>80</v>
      </c>
      <c r="L3478" s="52">
        <f t="shared" si="109"/>
        <v>1.6</v>
      </c>
    </row>
    <row r="3479" spans="1:12">
      <c r="A3479" s="21" t="s">
        <v>665</v>
      </c>
      <c r="B3479" t="s">
        <v>349</v>
      </c>
      <c r="C3479" t="s">
        <v>984</v>
      </c>
      <c r="D3479" s="3" t="s">
        <v>35</v>
      </c>
      <c r="E3479" s="4">
        <v>2.5000000000000001E-2</v>
      </c>
      <c r="F3479" s="4" t="s">
        <v>252</v>
      </c>
      <c r="G3479" s="9">
        <v>13</v>
      </c>
      <c r="H3479" s="9">
        <f t="shared" si="108"/>
        <v>0.32500000000000001</v>
      </c>
      <c r="I3479" t="s">
        <v>253</v>
      </c>
      <c r="J3479" s="33" t="s">
        <v>489</v>
      </c>
      <c r="K3479" s="18">
        <f>VLOOKUP(D3479,Ingredients!C:G,5,0)</f>
        <v>15</v>
      </c>
      <c r="L3479" s="52">
        <f t="shared" si="109"/>
        <v>0.375</v>
      </c>
    </row>
    <row r="3480" spans="1:12">
      <c r="A3480" s="21" t="s">
        <v>665</v>
      </c>
      <c r="B3480" t="s">
        <v>349</v>
      </c>
      <c r="C3480" t="s">
        <v>984</v>
      </c>
      <c r="D3480" s="3" t="s">
        <v>666</v>
      </c>
      <c r="E3480" s="4">
        <v>7.4999999999999997E-3</v>
      </c>
      <c r="F3480" s="4" t="s">
        <v>179</v>
      </c>
      <c r="G3480" s="9">
        <v>1750</v>
      </c>
      <c r="H3480" s="9">
        <f t="shared" si="108"/>
        <v>13.125</v>
      </c>
      <c r="I3480" t="s">
        <v>253</v>
      </c>
      <c r="J3480" s="33" t="s">
        <v>489</v>
      </c>
      <c r="K3480" s="18">
        <f>VLOOKUP(D3480,Ingredients!C:G,5,0)</f>
        <v>1850</v>
      </c>
      <c r="L3480" s="52">
        <f t="shared" si="109"/>
        <v>13.875</v>
      </c>
    </row>
    <row r="3481" spans="1:12">
      <c r="A3481" s="21" t="s">
        <v>665</v>
      </c>
      <c r="B3481" t="s">
        <v>349</v>
      </c>
      <c r="C3481" t="s">
        <v>984</v>
      </c>
      <c r="D3481" s="3" t="s">
        <v>855</v>
      </c>
      <c r="E3481" s="4">
        <v>3.7499999999999999E-3</v>
      </c>
      <c r="F3481" s="4" t="s">
        <v>179</v>
      </c>
      <c r="G3481" s="9">
        <v>2400</v>
      </c>
      <c r="H3481" s="9">
        <f t="shared" si="108"/>
        <v>9</v>
      </c>
      <c r="I3481" t="s">
        <v>253</v>
      </c>
      <c r="J3481" s="33" t="s">
        <v>489</v>
      </c>
      <c r="K3481" s="18">
        <f>VLOOKUP(D3481,Ingredients!C:G,5,0)</f>
        <v>1600</v>
      </c>
      <c r="L3481" s="52">
        <f t="shared" si="109"/>
        <v>6</v>
      </c>
    </row>
    <row r="3482" spans="1:12">
      <c r="A3482" s="21" t="s">
        <v>665</v>
      </c>
      <c r="B3482" t="s">
        <v>349</v>
      </c>
      <c r="C3482" t="s">
        <v>984</v>
      </c>
      <c r="D3482" s="3" t="s">
        <v>860</v>
      </c>
      <c r="E3482" s="4">
        <v>3.7499999999999999E-3</v>
      </c>
      <c r="F3482" s="4" t="s">
        <v>179</v>
      </c>
      <c r="G3482" s="9">
        <v>2000</v>
      </c>
      <c r="H3482" s="9">
        <f t="shared" si="108"/>
        <v>7.5</v>
      </c>
      <c r="I3482" t="s">
        <v>253</v>
      </c>
      <c r="J3482" s="33" t="s">
        <v>489</v>
      </c>
      <c r="K3482" s="18">
        <f>VLOOKUP(D3482,Ingredients!C:G,5,0)</f>
        <v>1900</v>
      </c>
      <c r="L3482" s="52">
        <f t="shared" si="109"/>
        <v>7.125</v>
      </c>
    </row>
    <row r="3483" spans="1:12">
      <c r="A3483" s="21" t="s">
        <v>665</v>
      </c>
      <c r="B3483" t="s">
        <v>349</v>
      </c>
      <c r="C3483" t="s">
        <v>984</v>
      </c>
      <c r="D3483" s="3" t="s">
        <v>871</v>
      </c>
      <c r="E3483" s="4">
        <v>0.02</v>
      </c>
      <c r="F3483" s="4" t="s">
        <v>179</v>
      </c>
      <c r="G3483" s="9">
        <v>612.03499999999997</v>
      </c>
      <c r="H3483" s="9">
        <f t="shared" si="108"/>
        <v>12.2407</v>
      </c>
      <c r="I3483" t="s">
        <v>253</v>
      </c>
      <c r="J3483" s="33" t="s">
        <v>489</v>
      </c>
      <c r="K3483" s="18">
        <f>VLOOKUP(D3483,Ingredients!C:F,3,0)</f>
        <v>1500</v>
      </c>
      <c r="L3483" s="52">
        <f t="shared" si="109"/>
        <v>30</v>
      </c>
    </row>
    <row r="3484" spans="1:12">
      <c r="A3484" s="21" t="s">
        <v>665</v>
      </c>
      <c r="B3484" t="s">
        <v>349</v>
      </c>
      <c r="C3484" t="s">
        <v>984</v>
      </c>
      <c r="D3484" s="3" t="s">
        <v>853</v>
      </c>
      <c r="E3484" s="4">
        <v>3.7499999999999999E-3</v>
      </c>
      <c r="F3484" s="4" t="s">
        <v>179</v>
      </c>
      <c r="G3484" s="9">
        <v>30</v>
      </c>
      <c r="H3484" s="9">
        <f t="shared" si="108"/>
        <v>0.11249999999999999</v>
      </c>
      <c r="I3484" t="s">
        <v>253</v>
      </c>
      <c r="J3484" s="33" t="s">
        <v>489</v>
      </c>
      <c r="K3484" s="18">
        <f>VLOOKUP(D3484,Ingredients!C:G,5,0)</f>
        <v>55</v>
      </c>
      <c r="L3484" s="52">
        <f t="shared" si="109"/>
        <v>0.20624999999999999</v>
      </c>
    </row>
    <row r="3485" spans="1:12">
      <c r="A3485" s="21" t="s">
        <v>665</v>
      </c>
      <c r="B3485" t="s">
        <v>349</v>
      </c>
      <c r="C3485" t="s">
        <v>984</v>
      </c>
      <c r="D3485" s="3" t="s">
        <v>882</v>
      </c>
      <c r="E3485" s="4">
        <v>3.7499999999999999E-3</v>
      </c>
      <c r="F3485" s="4" t="s">
        <v>179</v>
      </c>
      <c r="G3485" s="9">
        <v>1500</v>
      </c>
      <c r="H3485" s="9">
        <f t="shared" si="108"/>
        <v>5.625</v>
      </c>
      <c r="I3485" t="s">
        <v>253</v>
      </c>
      <c r="J3485" s="33" t="s">
        <v>489</v>
      </c>
      <c r="K3485" s="18">
        <f>VLOOKUP(D3485,Ingredients!C:G,5,0)</f>
        <v>1450</v>
      </c>
      <c r="L3485" s="52">
        <f t="shared" si="109"/>
        <v>5.4375</v>
      </c>
    </row>
    <row r="3486" spans="1:12">
      <c r="A3486" s="21" t="s">
        <v>665</v>
      </c>
      <c r="B3486" t="s">
        <v>349</v>
      </c>
      <c r="C3486" t="s">
        <v>984</v>
      </c>
      <c r="D3486" s="3" t="s">
        <v>966</v>
      </c>
      <c r="E3486" s="4">
        <v>1</v>
      </c>
      <c r="F3486" s="4" t="s">
        <v>253</v>
      </c>
      <c r="G3486" s="9">
        <v>17</v>
      </c>
      <c r="H3486" s="9">
        <f t="shared" si="108"/>
        <v>17</v>
      </c>
      <c r="I3486" t="s">
        <v>253</v>
      </c>
      <c r="J3486" s="33" t="s">
        <v>489</v>
      </c>
      <c r="K3486" s="18">
        <f>VLOOKUP(D3486,Ingredients!C:G,5,0)</f>
        <v>17</v>
      </c>
      <c r="L3486" s="52">
        <f t="shared" si="109"/>
        <v>17</v>
      </c>
    </row>
    <row r="3487" spans="1:12">
      <c r="A3487" s="21" t="s">
        <v>665</v>
      </c>
      <c r="B3487" t="s">
        <v>349</v>
      </c>
      <c r="C3487" t="s">
        <v>984</v>
      </c>
      <c r="D3487" s="3" t="s">
        <v>262</v>
      </c>
      <c r="E3487" s="4">
        <v>7.4999999999999997E-2</v>
      </c>
      <c r="F3487" s="4" t="s">
        <v>179</v>
      </c>
      <c r="G3487" s="9">
        <v>300</v>
      </c>
      <c r="H3487" s="9">
        <f t="shared" si="108"/>
        <v>22.5</v>
      </c>
      <c r="I3487" t="s">
        <v>253</v>
      </c>
      <c r="J3487" s="33" t="s">
        <v>489</v>
      </c>
      <c r="K3487" s="18">
        <f>VLOOKUP(D3487,Ingredients!C:G,5,0)</f>
        <v>100</v>
      </c>
      <c r="L3487" s="52">
        <f t="shared" si="109"/>
        <v>7.5</v>
      </c>
    </row>
    <row r="3488" spans="1:12">
      <c r="A3488" s="21" t="s">
        <v>665</v>
      </c>
      <c r="B3488" t="s">
        <v>349</v>
      </c>
      <c r="C3488" t="s">
        <v>984</v>
      </c>
      <c r="D3488" s="3" t="s">
        <v>863</v>
      </c>
      <c r="E3488" s="4">
        <v>0.03</v>
      </c>
      <c r="F3488" s="4" t="s">
        <v>179</v>
      </c>
      <c r="G3488" s="9">
        <v>675</v>
      </c>
      <c r="H3488" s="9">
        <f t="shared" si="108"/>
        <v>20.25</v>
      </c>
      <c r="I3488" t="s">
        <v>253</v>
      </c>
      <c r="J3488" s="33" t="s">
        <v>489</v>
      </c>
      <c r="K3488" s="18">
        <f>VLOOKUP(D3488,Ingredients!C:G,5,0)</f>
        <v>675</v>
      </c>
      <c r="L3488" s="52">
        <f t="shared" si="109"/>
        <v>20.25</v>
      </c>
    </row>
    <row r="3489" spans="1:12">
      <c r="A3489" s="21" t="s">
        <v>667</v>
      </c>
      <c r="B3489" t="s">
        <v>346</v>
      </c>
      <c r="C3489" t="s">
        <v>454</v>
      </c>
      <c r="D3489" s="3" t="s">
        <v>957</v>
      </c>
      <c r="E3489" s="4">
        <v>0.45</v>
      </c>
      <c r="F3489" s="4" t="s">
        <v>263</v>
      </c>
      <c r="G3489" s="9">
        <v>645</v>
      </c>
      <c r="H3489" s="9">
        <f t="shared" si="108"/>
        <v>290.25</v>
      </c>
      <c r="I3489" t="s">
        <v>263</v>
      </c>
      <c r="J3489" s="33">
        <v>0</v>
      </c>
      <c r="K3489" s="18">
        <f>VLOOKUP(D3489,Ingredients!C:G,5,0)</f>
        <v>1375</v>
      </c>
      <c r="L3489" s="52">
        <f t="shared" si="109"/>
        <v>618.75</v>
      </c>
    </row>
    <row r="3490" spans="1:12">
      <c r="A3490" s="21" t="s">
        <v>667</v>
      </c>
      <c r="B3490" t="s">
        <v>346</v>
      </c>
      <c r="C3490" t="s">
        <v>454</v>
      </c>
      <c r="D3490" s="3" t="s">
        <v>849</v>
      </c>
      <c r="E3490" s="4">
        <v>4.4999999999999998E-2</v>
      </c>
      <c r="F3490" s="4" t="s">
        <v>179</v>
      </c>
      <c r="G3490" s="9">
        <v>1000</v>
      </c>
      <c r="H3490" s="9">
        <f t="shared" si="108"/>
        <v>45</v>
      </c>
      <c r="I3490" t="s">
        <v>263</v>
      </c>
      <c r="J3490" s="33">
        <v>0</v>
      </c>
      <c r="K3490" s="18">
        <f>VLOOKUP(D3490,Ingredients!C:G,5,0)</f>
        <v>950</v>
      </c>
      <c r="L3490" s="52">
        <f t="shared" si="109"/>
        <v>42.75</v>
      </c>
    </row>
    <row r="3491" spans="1:12">
      <c r="A3491" s="21" t="s">
        <v>667</v>
      </c>
      <c r="B3491" t="s">
        <v>346</v>
      </c>
      <c r="C3491" t="s">
        <v>454</v>
      </c>
      <c r="D3491" s="3" t="s">
        <v>852</v>
      </c>
      <c r="E3491" s="4">
        <v>0.12</v>
      </c>
      <c r="F3491" s="4" t="s">
        <v>190</v>
      </c>
      <c r="G3491" s="9">
        <v>520.63</v>
      </c>
      <c r="H3491" s="9">
        <f t="shared" si="108"/>
        <v>62.4756</v>
      </c>
      <c r="I3491" t="s">
        <v>263</v>
      </c>
      <c r="J3491" s="33">
        <v>0</v>
      </c>
      <c r="K3491" s="18">
        <v>550</v>
      </c>
      <c r="L3491" s="52">
        <f t="shared" si="109"/>
        <v>66</v>
      </c>
    </row>
    <row r="3492" spans="1:12">
      <c r="A3492" s="21" t="s">
        <v>667</v>
      </c>
      <c r="B3492" t="s">
        <v>346</v>
      </c>
      <c r="C3492" t="s">
        <v>454</v>
      </c>
      <c r="D3492" s="3" t="s">
        <v>867</v>
      </c>
      <c r="E3492" s="4">
        <v>2.1999999999999999E-2</v>
      </c>
      <c r="F3492" s="4" t="s">
        <v>179</v>
      </c>
      <c r="G3492" s="9">
        <v>900</v>
      </c>
      <c r="H3492" s="9">
        <f t="shared" si="108"/>
        <v>19.799999999999997</v>
      </c>
      <c r="I3492" t="s">
        <v>263</v>
      </c>
      <c r="J3492" s="33">
        <v>0</v>
      </c>
      <c r="K3492" s="18">
        <f>VLOOKUP(D3492,Ingredients!C:G,5,0)</f>
        <v>950</v>
      </c>
      <c r="L3492" s="52">
        <f t="shared" si="109"/>
        <v>20.9</v>
      </c>
    </row>
    <row r="3493" spans="1:12">
      <c r="A3493" s="21" t="s">
        <v>667</v>
      </c>
      <c r="B3493" t="s">
        <v>346</v>
      </c>
      <c r="C3493" t="s">
        <v>454</v>
      </c>
      <c r="D3493" s="3" t="s">
        <v>883</v>
      </c>
      <c r="E3493" s="4">
        <v>0.18</v>
      </c>
      <c r="F3493" s="4" t="s">
        <v>190</v>
      </c>
      <c r="G3493" s="9">
        <v>950</v>
      </c>
      <c r="H3493" s="9">
        <f t="shared" si="108"/>
        <v>171</v>
      </c>
      <c r="I3493" t="s">
        <v>263</v>
      </c>
      <c r="J3493" s="33">
        <v>0</v>
      </c>
      <c r="K3493" s="18">
        <f>VLOOKUP(D3493,Ingredients!C:G,5,0)</f>
        <v>313</v>
      </c>
      <c r="L3493" s="52">
        <f t="shared" si="109"/>
        <v>56.339999999999996</v>
      </c>
    </row>
    <row r="3494" spans="1:12">
      <c r="A3494" s="21" t="s">
        <v>667</v>
      </c>
      <c r="B3494" t="s">
        <v>346</v>
      </c>
      <c r="C3494" t="s">
        <v>454</v>
      </c>
      <c r="D3494" s="3" t="s">
        <v>939</v>
      </c>
      <c r="E3494" s="4">
        <v>0.18</v>
      </c>
      <c r="F3494" s="4" t="s">
        <v>179</v>
      </c>
      <c r="G3494" s="9">
        <v>1250</v>
      </c>
      <c r="H3494" s="9">
        <f t="shared" si="108"/>
        <v>225</v>
      </c>
      <c r="I3494" t="s">
        <v>263</v>
      </c>
      <c r="J3494" s="33">
        <v>0</v>
      </c>
      <c r="K3494" s="18">
        <f>VLOOKUP(D3494,Ingredients!C:G,5,0)</f>
        <v>1500</v>
      </c>
      <c r="L3494" s="52">
        <f t="shared" si="109"/>
        <v>270</v>
      </c>
    </row>
    <row r="3495" spans="1:12">
      <c r="A3495" s="21" t="s">
        <v>667</v>
      </c>
      <c r="B3495" t="s">
        <v>346</v>
      </c>
      <c r="C3495" t="s">
        <v>454</v>
      </c>
      <c r="D3495" s="3" t="s">
        <v>15</v>
      </c>
      <c r="E3495" s="4">
        <v>0.08</v>
      </c>
      <c r="F3495" s="4" t="s">
        <v>179</v>
      </c>
      <c r="G3495" s="9">
        <v>130</v>
      </c>
      <c r="H3495" s="9">
        <f t="shared" si="108"/>
        <v>10.4</v>
      </c>
      <c r="I3495" t="s">
        <v>263</v>
      </c>
      <c r="J3495" s="33">
        <v>0</v>
      </c>
      <c r="K3495" s="18">
        <f>VLOOKUP(D3495,Ingredients!C:G,5,0)</f>
        <v>90</v>
      </c>
      <c r="L3495" s="52">
        <f t="shared" si="109"/>
        <v>7.2</v>
      </c>
    </row>
    <row r="3496" spans="1:12">
      <c r="A3496" s="21" t="s">
        <v>667</v>
      </c>
      <c r="B3496" t="s">
        <v>346</v>
      </c>
      <c r="C3496" t="s">
        <v>454</v>
      </c>
      <c r="D3496" s="3" t="s">
        <v>881</v>
      </c>
      <c r="E3496" s="4">
        <v>0.03</v>
      </c>
      <c r="F3496" s="4" t="s">
        <v>179</v>
      </c>
      <c r="G3496" s="9">
        <v>871</v>
      </c>
      <c r="H3496" s="9">
        <f t="shared" si="108"/>
        <v>26.13</v>
      </c>
      <c r="I3496" t="s">
        <v>263</v>
      </c>
      <c r="J3496" s="33">
        <v>0</v>
      </c>
      <c r="K3496" s="18">
        <f>VLOOKUP(D3496,Ingredients!C:G,5,0)</f>
        <v>885.41</v>
      </c>
      <c r="L3496" s="52">
        <f t="shared" si="109"/>
        <v>26.562299999999997</v>
      </c>
    </row>
    <row r="3497" spans="1:12">
      <c r="A3497" s="21" t="s">
        <v>667</v>
      </c>
      <c r="B3497" t="s">
        <v>346</v>
      </c>
      <c r="C3497" t="s">
        <v>454</v>
      </c>
      <c r="D3497" s="3" t="s">
        <v>35</v>
      </c>
      <c r="E3497" s="4">
        <v>0.1</v>
      </c>
      <c r="F3497" s="4" t="s">
        <v>179</v>
      </c>
      <c r="G3497" s="9">
        <v>13</v>
      </c>
      <c r="H3497" s="9">
        <f t="shared" si="108"/>
        <v>1.3</v>
      </c>
      <c r="I3497" t="s">
        <v>263</v>
      </c>
      <c r="J3497" s="33">
        <v>0</v>
      </c>
      <c r="K3497" s="18">
        <f>VLOOKUP(D3497,Ingredients!C:G,5,0)</f>
        <v>15</v>
      </c>
      <c r="L3497" s="52">
        <f t="shared" si="109"/>
        <v>1.5</v>
      </c>
    </row>
    <row r="3498" spans="1:12">
      <c r="A3498" s="21" t="s">
        <v>667</v>
      </c>
      <c r="B3498" t="s">
        <v>346</v>
      </c>
      <c r="C3498" t="s">
        <v>454</v>
      </c>
      <c r="D3498" s="3" t="s">
        <v>902</v>
      </c>
      <c r="E3498" s="4">
        <v>0.03</v>
      </c>
      <c r="F3498" s="4" t="s">
        <v>179</v>
      </c>
      <c r="G3498" s="9">
        <v>662.5</v>
      </c>
      <c r="H3498" s="9">
        <f t="shared" si="108"/>
        <v>19.875</v>
      </c>
      <c r="I3498" t="s">
        <v>263</v>
      </c>
      <c r="J3498" s="33">
        <v>0</v>
      </c>
      <c r="K3498" s="18">
        <f>VLOOKUP(D3498,Ingredients!C:G,5,0)</f>
        <v>700</v>
      </c>
      <c r="L3498" s="52">
        <f t="shared" si="109"/>
        <v>21</v>
      </c>
    </row>
    <row r="3499" spans="1:12">
      <c r="A3499" s="21" t="s">
        <v>669</v>
      </c>
      <c r="B3499" t="s">
        <v>356</v>
      </c>
      <c r="C3499" t="s">
        <v>669</v>
      </c>
      <c r="D3499" s="3" t="s">
        <v>669</v>
      </c>
      <c r="E3499" s="4">
        <v>1</v>
      </c>
      <c r="F3499" s="13" t="s">
        <v>176</v>
      </c>
      <c r="G3499" s="9">
        <v>400</v>
      </c>
      <c r="H3499" s="9">
        <f t="shared" si="108"/>
        <v>400</v>
      </c>
      <c r="I3499" t="s">
        <v>190</v>
      </c>
      <c r="J3499" s="33">
        <v>0</v>
      </c>
      <c r="K3499" s="18">
        <f>VLOOKUP(D3499,Ingredients!C:G,5,0)</f>
        <v>400</v>
      </c>
      <c r="L3499" s="52">
        <f t="shared" si="109"/>
        <v>400</v>
      </c>
    </row>
    <row r="3500" spans="1:12">
      <c r="A3500" s="21" t="s">
        <v>670</v>
      </c>
      <c r="B3500" t="s">
        <v>356</v>
      </c>
      <c r="C3500" t="s">
        <v>995</v>
      </c>
      <c r="D3500" s="3" t="s">
        <v>670</v>
      </c>
      <c r="E3500" s="4">
        <v>1</v>
      </c>
      <c r="F3500" s="4" t="s">
        <v>253</v>
      </c>
      <c r="G3500" s="9">
        <v>70</v>
      </c>
      <c r="H3500" s="9">
        <f t="shared" si="108"/>
        <v>70</v>
      </c>
      <c r="I3500" t="s">
        <v>253</v>
      </c>
      <c r="J3500" s="33">
        <v>0</v>
      </c>
      <c r="K3500" s="18">
        <f>VLOOKUP(D3500,Ingredients!C:G,5,0)</f>
        <v>70</v>
      </c>
      <c r="L3500" s="52">
        <f t="shared" si="109"/>
        <v>70</v>
      </c>
    </row>
    <row r="3501" spans="1:12">
      <c r="A3501" s="21" t="s">
        <v>671</v>
      </c>
      <c r="B3501" t="s">
        <v>358</v>
      </c>
      <c r="C3501" t="s">
        <v>671</v>
      </c>
      <c r="D3501" s="3" t="s">
        <v>671</v>
      </c>
      <c r="E3501" s="4">
        <v>1</v>
      </c>
      <c r="F3501" s="4" t="s">
        <v>507</v>
      </c>
      <c r="G3501" s="9">
        <v>66</v>
      </c>
      <c r="H3501" s="9">
        <f t="shared" si="108"/>
        <v>66</v>
      </c>
      <c r="I3501" t="s">
        <v>507</v>
      </c>
      <c r="J3501" s="33">
        <v>0</v>
      </c>
      <c r="K3501" s="18">
        <f>VLOOKUP(D3501,Ingredients!C:G,5,0)</f>
        <v>66</v>
      </c>
      <c r="L3501" s="52">
        <f t="shared" si="109"/>
        <v>66</v>
      </c>
    </row>
    <row r="3502" spans="1:12">
      <c r="A3502" s="21" t="s">
        <v>672</v>
      </c>
      <c r="B3502" t="s">
        <v>349</v>
      </c>
      <c r="C3502" t="s">
        <v>350</v>
      </c>
      <c r="D3502" s="3" t="s">
        <v>833</v>
      </c>
      <c r="E3502" s="4">
        <v>1</v>
      </c>
      <c r="F3502" s="4" t="s">
        <v>179</v>
      </c>
      <c r="G3502" s="9">
        <v>1020</v>
      </c>
      <c r="H3502" s="9">
        <f t="shared" si="108"/>
        <v>1020</v>
      </c>
      <c r="I3502" t="s">
        <v>179</v>
      </c>
      <c r="J3502" s="33" t="s">
        <v>490</v>
      </c>
      <c r="K3502" s="18">
        <f>VLOOKUP(D3502,Ingredients!C:G,5,0)</f>
        <v>1000</v>
      </c>
      <c r="L3502" s="52">
        <f t="shared" si="109"/>
        <v>1000</v>
      </c>
    </row>
    <row r="3503" spans="1:12">
      <c r="A3503" s="21" t="s">
        <v>672</v>
      </c>
      <c r="B3503" t="s">
        <v>349</v>
      </c>
      <c r="C3503" t="s">
        <v>350</v>
      </c>
      <c r="D3503" s="3" t="s">
        <v>861</v>
      </c>
      <c r="E3503" s="4">
        <v>0.5</v>
      </c>
      <c r="F3503" s="4" t="s">
        <v>179</v>
      </c>
      <c r="G3503" s="9">
        <v>500</v>
      </c>
      <c r="H3503" s="9">
        <f t="shared" si="108"/>
        <v>250</v>
      </c>
      <c r="I3503" t="s">
        <v>179</v>
      </c>
      <c r="J3503" s="33" t="s">
        <v>490</v>
      </c>
      <c r="K3503" s="18">
        <f>VLOOKUP(D3503,Ingredients!C:G,5,0)</f>
        <v>500</v>
      </c>
      <c r="L3503" s="52">
        <f t="shared" si="109"/>
        <v>250</v>
      </c>
    </row>
    <row r="3504" spans="1:12">
      <c r="A3504" s="21" t="s">
        <v>672</v>
      </c>
      <c r="B3504" t="s">
        <v>349</v>
      </c>
      <c r="C3504" t="s">
        <v>350</v>
      </c>
      <c r="D3504" s="3" t="s">
        <v>849</v>
      </c>
      <c r="E3504" s="4">
        <v>0.03</v>
      </c>
      <c r="F3504" s="4" t="s">
        <v>179</v>
      </c>
      <c r="G3504" s="9">
        <v>1000</v>
      </c>
      <c r="H3504" s="9">
        <f t="shared" si="108"/>
        <v>30</v>
      </c>
      <c r="I3504" t="s">
        <v>179</v>
      </c>
      <c r="J3504" s="33" t="s">
        <v>490</v>
      </c>
      <c r="K3504" s="18">
        <f>VLOOKUP(D3504,Ingredients!C:G,5,0)</f>
        <v>950</v>
      </c>
      <c r="L3504" s="52">
        <f t="shared" si="109"/>
        <v>28.5</v>
      </c>
    </row>
    <row r="3505" spans="1:12">
      <c r="A3505" s="21" t="s">
        <v>672</v>
      </c>
      <c r="B3505" t="s">
        <v>349</v>
      </c>
      <c r="C3505" t="s">
        <v>350</v>
      </c>
      <c r="D3505" s="3" t="s">
        <v>928</v>
      </c>
      <c r="E3505" s="4">
        <v>1.6E-2</v>
      </c>
      <c r="F3505" s="4" t="s">
        <v>179</v>
      </c>
      <c r="G3505" s="9">
        <v>850</v>
      </c>
      <c r="H3505" s="9">
        <f t="shared" si="108"/>
        <v>13.6</v>
      </c>
      <c r="I3505" t="s">
        <v>179</v>
      </c>
      <c r="J3505" s="33" t="s">
        <v>490</v>
      </c>
      <c r="K3505" s="18">
        <f>VLOOKUP(D3505,Ingredients!C:G,5,0)</f>
        <v>900</v>
      </c>
      <c r="L3505" s="52">
        <f t="shared" si="109"/>
        <v>14.4</v>
      </c>
    </row>
    <row r="3506" spans="1:12">
      <c r="A3506" s="21" t="s">
        <v>672</v>
      </c>
      <c r="B3506" t="s">
        <v>349</v>
      </c>
      <c r="C3506" t="s">
        <v>350</v>
      </c>
      <c r="D3506" s="3" t="s">
        <v>853</v>
      </c>
      <c r="E3506" s="4">
        <v>4.3999999999999997E-2</v>
      </c>
      <c r="F3506" s="4" t="s">
        <v>179</v>
      </c>
      <c r="G3506" s="9">
        <v>30</v>
      </c>
      <c r="H3506" s="9">
        <f t="shared" si="108"/>
        <v>1.3199999999999998</v>
      </c>
      <c r="I3506" t="s">
        <v>179</v>
      </c>
      <c r="J3506" s="33" t="s">
        <v>490</v>
      </c>
      <c r="K3506" s="18">
        <f>VLOOKUP(D3506,Ingredients!C:G,5,0)</f>
        <v>55</v>
      </c>
      <c r="L3506" s="52">
        <f t="shared" si="109"/>
        <v>2.42</v>
      </c>
    </row>
    <row r="3507" spans="1:12">
      <c r="A3507" s="21" t="s">
        <v>672</v>
      </c>
      <c r="B3507" t="s">
        <v>349</v>
      </c>
      <c r="C3507" t="s">
        <v>350</v>
      </c>
      <c r="D3507" s="3" t="s">
        <v>805</v>
      </c>
      <c r="E3507" s="4">
        <v>1.6E-2</v>
      </c>
      <c r="F3507" s="4" t="s">
        <v>179</v>
      </c>
      <c r="G3507" s="9">
        <v>200</v>
      </c>
      <c r="H3507" s="9">
        <f t="shared" si="108"/>
        <v>3.2</v>
      </c>
      <c r="I3507" t="s">
        <v>179</v>
      </c>
      <c r="J3507" s="33" t="s">
        <v>490</v>
      </c>
      <c r="K3507" s="18">
        <f>VLOOKUP(D3507,Ingredients!C:G,5,0)</f>
        <v>50</v>
      </c>
      <c r="L3507" s="52">
        <f t="shared" si="109"/>
        <v>0.8</v>
      </c>
    </row>
    <row r="3508" spans="1:12">
      <c r="A3508" s="21" t="s">
        <v>673</v>
      </c>
      <c r="B3508" t="s">
        <v>349</v>
      </c>
      <c r="C3508" t="s">
        <v>350</v>
      </c>
      <c r="D3508" s="3" t="s">
        <v>836</v>
      </c>
      <c r="E3508" s="4">
        <v>1</v>
      </c>
      <c r="F3508" s="4" t="s">
        <v>179</v>
      </c>
      <c r="G3508" s="9">
        <v>1957.5</v>
      </c>
      <c r="H3508" s="9">
        <f t="shared" si="108"/>
        <v>1957.5</v>
      </c>
      <c r="I3508" t="s">
        <v>179</v>
      </c>
      <c r="J3508" s="33" t="s">
        <v>504</v>
      </c>
      <c r="K3508" s="18">
        <f>VLOOKUP(D3508,Ingredients!C:G,5,0)</f>
        <v>2200</v>
      </c>
      <c r="L3508" s="52">
        <f t="shared" si="109"/>
        <v>2200</v>
      </c>
    </row>
    <row r="3509" spans="1:12">
      <c r="A3509" s="21" t="s">
        <v>673</v>
      </c>
      <c r="B3509" t="s">
        <v>349</v>
      </c>
      <c r="C3509" t="s">
        <v>350</v>
      </c>
      <c r="D3509" s="3" t="s">
        <v>861</v>
      </c>
      <c r="E3509" s="4">
        <v>0.5</v>
      </c>
      <c r="F3509" s="4" t="s">
        <v>179</v>
      </c>
      <c r="G3509" s="9">
        <v>500</v>
      </c>
      <c r="H3509" s="9">
        <f t="shared" si="108"/>
        <v>250</v>
      </c>
      <c r="I3509" t="s">
        <v>179</v>
      </c>
      <c r="J3509" s="33" t="s">
        <v>504</v>
      </c>
      <c r="K3509" s="18">
        <f>VLOOKUP(D3509,Ingredients!C:G,5,0)</f>
        <v>500</v>
      </c>
      <c r="L3509" s="52">
        <f t="shared" si="109"/>
        <v>250</v>
      </c>
    </row>
    <row r="3510" spans="1:12">
      <c r="A3510" s="21" t="s">
        <v>673</v>
      </c>
      <c r="B3510" t="s">
        <v>349</v>
      </c>
      <c r="C3510" t="s">
        <v>350</v>
      </c>
      <c r="D3510" s="3" t="s">
        <v>849</v>
      </c>
      <c r="E3510" s="4">
        <v>0.03</v>
      </c>
      <c r="F3510" s="4" t="s">
        <v>179</v>
      </c>
      <c r="G3510" s="9">
        <v>1000</v>
      </c>
      <c r="H3510" s="9">
        <f t="shared" si="108"/>
        <v>30</v>
      </c>
      <c r="I3510" t="s">
        <v>179</v>
      </c>
      <c r="J3510" s="33" t="s">
        <v>504</v>
      </c>
      <c r="K3510" s="18">
        <f>VLOOKUP(D3510,Ingredients!C:G,5,0)</f>
        <v>950</v>
      </c>
      <c r="L3510" s="52">
        <f t="shared" si="109"/>
        <v>28.5</v>
      </c>
    </row>
    <row r="3511" spans="1:12">
      <c r="A3511" s="21" t="s">
        <v>673</v>
      </c>
      <c r="B3511" t="s">
        <v>349</v>
      </c>
      <c r="C3511" t="s">
        <v>350</v>
      </c>
      <c r="D3511" s="3" t="s">
        <v>928</v>
      </c>
      <c r="E3511" s="4">
        <v>1.6E-2</v>
      </c>
      <c r="F3511" s="4" t="s">
        <v>179</v>
      </c>
      <c r="G3511" s="9">
        <v>850</v>
      </c>
      <c r="H3511" s="9">
        <f t="shared" si="108"/>
        <v>13.6</v>
      </c>
      <c r="I3511" t="s">
        <v>179</v>
      </c>
      <c r="J3511" s="33" t="s">
        <v>504</v>
      </c>
      <c r="K3511" s="18">
        <f>VLOOKUP(D3511,Ingredients!C:G,5,0)</f>
        <v>900</v>
      </c>
      <c r="L3511" s="52">
        <f t="shared" si="109"/>
        <v>14.4</v>
      </c>
    </row>
    <row r="3512" spans="1:12">
      <c r="A3512" s="21" t="s">
        <v>673</v>
      </c>
      <c r="B3512" t="s">
        <v>349</v>
      </c>
      <c r="C3512" t="s">
        <v>350</v>
      </c>
      <c r="D3512" s="3" t="s">
        <v>853</v>
      </c>
      <c r="E3512" s="4">
        <v>4.3999999999999997E-2</v>
      </c>
      <c r="F3512" s="4" t="s">
        <v>179</v>
      </c>
      <c r="G3512" s="9">
        <v>30</v>
      </c>
      <c r="H3512" s="9">
        <f t="shared" si="108"/>
        <v>1.3199999999999998</v>
      </c>
      <c r="I3512" t="s">
        <v>179</v>
      </c>
      <c r="J3512" s="33" t="s">
        <v>504</v>
      </c>
      <c r="K3512" s="18">
        <f>VLOOKUP(D3512,Ingredients!C:G,5,0)</f>
        <v>55</v>
      </c>
      <c r="L3512" s="52">
        <f t="shared" si="109"/>
        <v>2.42</v>
      </c>
    </row>
    <row r="3513" spans="1:12">
      <c r="A3513" s="21" t="s">
        <v>673</v>
      </c>
      <c r="B3513" t="s">
        <v>349</v>
      </c>
      <c r="C3513" t="s">
        <v>350</v>
      </c>
      <c r="D3513" s="3" t="s">
        <v>805</v>
      </c>
      <c r="E3513" s="4">
        <v>1.6E-2</v>
      </c>
      <c r="F3513" s="4" t="s">
        <v>179</v>
      </c>
      <c r="G3513" s="9">
        <v>200</v>
      </c>
      <c r="H3513" s="9">
        <f t="shared" si="108"/>
        <v>3.2</v>
      </c>
      <c r="I3513" t="s">
        <v>179</v>
      </c>
      <c r="J3513" s="33" t="s">
        <v>504</v>
      </c>
      <c r="K3513" s="18">
        <f>VLOOKUP(D3513,Ingredients!C:G,5,0)</f>
        <v>50</v>
      </c>
      <c r="L3513" s="52">
        <f t="shared" si="109"/>
        <v>0.8</v>
      </c>
    </row>
    <row r="3514" spans="1:12">
      <c r="A3514" s="21" t="s">
        <v>676</v>
      </c>
      <c r="B3514" t="s">
        <v>346</v>
      </c>
      <c r="C3514" t="s">
        <v>352</v>
      </c>
      <c r="D3514" s="3" t="s">
        <v>24</v>
      </c>
      <c r="E3514" s="4">
        <v>0.09</v>
      </c>
      <c r="F3514" s="4" t="s">
        <v>179</v>
      </c>
      <c r="G3514" s="9">
        <v>55</v>
      </c>
      <c r="H3514" s="9">
        <f t="shared" si="108"/>
        <v>4.95</v>
      </c>
      <c r="I3514" t="s">
        <v>598</v>
      </c>
      <c r="J3514" s="33">
        <v>0</v>
      </c>
      <c r="K3514" s="18">
        <f>VLOOKUP(D3514,Ingredients!C:G,5,0)</f>
        <v>80</v>
      </c>
      <c r="L3514" s="52">
        <f t="shared" si="109"/>
        <v>7.1999999999999993</v>
      </c>
    </row>
    <row r="3515" spans="1:12">
      <c r="A3515" s="21" t="s">
        <v>676</v>
      </c>
      <c r="B3515" t="s">
        <v>346</v>
      </c>
      <c r="C3515" t="s">
        <v>352</v>
      </c>
      <c r="D3515" s="3" t="s">
        <v>940</v>
      </c>
      <c r="E3515" s="4">
        <v>0.1</v>
      </c>
      <c r="F3515" s="4" t="s">
        <v>179</v>
      </c>
      <c r="G3515" s="9">
        <v>3000</v>
      </c>
      <c r="H3515" s="9">
        <f t="shared" si="108"/>
        <v>300</v>
      </c>
      <c r="I3515" t="s">
        <v>598</v>
      </c>
      <c r="J3515" s="33">
        <v>0</v>
      </c>
      <c r="K3515" s="18">
        <f>VLOOKUP(D3515,Ingredients!C:G,5,0)</f>
        <v>2900</v>
      </c>
      <c r="L3515" s="52">
        <f t="shared" si="109"/>
        <v>290</v>
      </c>
    </row>
    <row r="3516" spans="1:12">
      <c r="A3516" s="21" t="s">
        <v>676</v>
      </c>
      <c r="B3516" t="s">
        <v>346</v>
      </c>
      <c r="C3516" t="s">
        <v>352</v>
      </c>
      <c r="D3516" s="3" t="s">
        <v>892</v>
      </c>
      <c r="E3516" s="4">
        <v>3.4000000000000002E-2</v>
      </c>
      <c r="F3516" s="4" t="s">
        <v>179</v>
      </c>
      <c r="G3516" s="9">
        <v>2000</v>
      </c>
      <c r="H3516" s="9">
        <f t="shared" ref="H3516:H3579" si="110">G3516*E3516</f>
        <v>68</v>
      </c>
      <c r="I3516" t="s">
        <v>598</v>
      </c>
      <c r="J3516" s="33">
        <v>0</v>
      </c>
      <c r="K3516" s="18">
        <f>VLOOKUP(D3516,Ingredients!C:G,5,0)</f>
        <v>2080</v>
      </c>
      <c r="L3516" s="52">
        <f t="shared" si="109"/>
        <v>70.72</v>
      </c>
    </row>
    <row r="3517" spans="1:12">
      <c r="A3517" s="21" t="s">
        <v>676</v>
      </c>
      <c r="B3517" t="s">
        <v>346</v>
      </c>
      <c r="C3517" t="s">
        <v>352</v>
      </c>
      <c r="D3517" s="3" t="s">
        <v>677</v>
      </c>
      <c r="E3517" s="4">
        <v>0.04</v>
      </c>
      <c r="F3517" s="4" t="s">
        <v>179</v>
      </c>
      <c r="G3517" s="9">
        <v>1050</v>
      </c>
      <c r="H3517" s="9">
        <f t="shared" si="110"/>
        <v>42</v>
      </c>
      <c r="I3517" t="s">
        <v>598</v>
      </c>
      <c r="J3517" s="33">
        <v>0</v>
      </c>
      <c r="K3517" s="18">
        <f>VLOOKUP(D3517,Ingredients!C:G,5,0)</f>
        <v>1050</v>
      </c>
      <c r="L3517" s="52">
        <f t="shared" si="109"/>
        <v>42</v>
      </c>
    </row>
    <row r="3518" spans="1:12">
      <c r="A3518" s="21" t="s">
        <v>676</v>
      </c>
      <c r="B3518" t="s">
        <v>346</v>
      </c>
      <c r="C3518" t="s">
        <v>352</v>
      </c>
      <c r="D3518" s="3" t="s">
        <v>16</v>
      </c>
      <c r="E3518" s="4">
        <v>2.3E-2</v>
      </c>
      <c r="F3518" s="4" t="s">
        <v>179</v>
      </c>
      <c r="G3518" s="9">
        <v>270</v>
      </c>
      <c r="H3518" s="9">
        <f t="shared" si="110"/>
        <v>6.21</v>
      </c>
      <c r="I3518" t="s">
        <v>598</v>
      </c>
      <c r="J3518" s="33">
        <v>0</v>
      </c>
      <c r="K3518" s="18">
        <f>VLOOKUP(D3518,Ingredients!C:G,5,0)</f>
        <v>310</v>
      </c>
      <c r="L3518" s="52">
        <f t="shared" si="109"/>
        <v>7.13</v>
      </c>
    </row>
    <row r="3519" spans="1:12">
      <c r="A3519" s="21" t="s">
        <v>676</v>
      </c>
      <c r="B3519" t="s">
        <v>346</v>
      </c>
      <c r="C3519" t="s">
        <v>352</v>
      </c>
      <c r="D3519" s="3" t="s">
        <v>23</v>
      </c>
      <c r="E3519" s="4">
        <v>2.3E-2</v>
      </c>
      <c r="F3519" s="4" t="s">
        <v>179</v>
      </c>
      <c r="G3519" s="9">
        <v>740</v>
      </c>
      <c r="H3519" s="9">
        <f t="shared" si="110"/>
        <v>17.02</v>
      </c>
      <c r="I3519" t="s">
        <v>598</v>
      </c>
      <c r="J3519" s="33">
        <v>0</v>
      </c>
      <c r="K3519" s="18">
        <f>VLOOKUP(D3519,Ingredients!C:G,5,0)</f>
        <v>780</v>
      </c>
      <c r="L3519" s="52">
        <f t="shared" si="109"/>
        <v>17.940000000000001</v>
      </c>
    </row>
    <row r="3520" spans="1:12">
      <c r="A3520" s="21" t="s">
        <v>676</v>
      </c>
      <c r="B3520" t="s">
        <v>346</v>
      </c>
      <c r="C3520" t="s">
        <v>352</v>
      </c>
      <c r="D3520" s="3" t="s">
        <v>852</v>
      </c>
      <c r="E3520" s="4">
        <v>0.08</v>
      </c>
      <c r="F3520" s="4" t="s">
        <v>179</v>
      </c>
      <c r="G3520" s="9">
        <v>520.63</v>
      </c>
      <c r="H3520" s="9">
        <f t="shared" si="110"/>
        <v>41.650399999999998</v>
      </c>
      <c r="I3520" t="s">
        <v>598</v>
      </c>
      <c r="J3520" s="33">
        <v>0</v>
      </c>
      <c r="K3520" s="18">
        <v>550</v>
      </c>
      <c r="L3520" s="52">
        <f t="shared" si="109"/>
        <v>44</v>
      </c>
    </row>
    <row r="3521" spans="1:12">
      <c r="A3521" s="21" t="s">
        <v>676</v>
      </c>
      <c r="B3521" t="s">
        <v>346</v>
      </c>
      <c r="C3521" t="s">
        <v>352</v>
      </c>
      <c r="D3521" s="3" t="s">
        <v>895</v>
      </c>
      <c r="E3521" s="4">
        <v>1.4999999999999999E-2</v>
      </c>
      <c r="F3521" s="4" t="s">
        <v>179</v>
      </c>
      <c r="G3521" s="9">
        <v>400</v>
      </c>
      <c r="H3521" s="9">
        <f t="shared" si="110"/>
        <v>6</v>
      </c>
      <c r="I3521" t="s">
        <v>598</v>
      </c>
      <c r="J3521" s="33">
        <v>0</v>
      </c>
      <c r="K3521" s="18">
        <f>VLOOKUP(D3521,Ingredients!C:G,5,0)</f>
        <v>400</v>
      </c>
      <c r="L3521" s="52">
        <f t="shared" si="109"/>
        <v>6</v>
      </c>
    </row>
    <row r="3522" spans="1:12">
      <c r="A3522" s="21" t="s">
        <v>676</v>
      </c>
      <c r="B3522" t="s">
        <v>346</v>
      </c>
      <c r="C3522" t="s">
        <v>352</v>
      </c>
      <c r="D3522" s="3" t="s">
        <v>860</v>
      </c>
      <c r="E3522" s="4">
        <v>4.0000000000000001E-3</v>
      </c>
      <c r="F3522" s="4" t="s">
        <v>179</v>
      </c>
      <c r="G3522" s="9">
        <v>2000</v>
      </c>
      <c r="H3522" s="9">
        <f t="shared" si="110"/>
        <v>8</v>
      </c>
      <c r="I3522" t="s">
        <v>598</v>
      </c>
      <c r="J3522" s="33">
        <v>0</v>
      </c>
      <c r="K3522" s="18">
        <f>VLOOKUP(D3522,Ingredients!C:G,5,0)</f>
        <v>1900</v>
      </c>
      <c r="L3522" s="52">
        <f t="shared" si="109"/>
        <v>7.6000000000000005</v>
      </c>
    </row>
    <row r="3523" spans="1:12">
      <c r="A3523" s="21" t="s">
        <v>676</v>
      </c>
      <c r="B3523" t="s">
        <v>346</v>
      </c>
      <c r="C3523" t="s">
        <v>352</v>
      </c>
      <c r="D3523" s="3" t="s">
        <v>867</v>
      </c>
      <c r="E3523" s="4">
        <v>8.0000000000000002E-3</v>
      </c>
      <c r="F3523" s="4" t="s">
        <v>179</v>
      </c>
      <c r="G3523" s="9">
        <v>900</v>
      </c>
      <c r="H3523" s="9">
        <f t="shared" si="110"/>
        <v>7.2</v>
      </c>
      <c r="I3523" t="s">
        <v>598</v>
      </c>
      <c r="J3523" s="33">
        <v>0</v>
      </c>
      <c r="K3523" s="18">
        <f>VLOOKUP(D3523,Ingredients!C:G,5,0)</f>
        <v>950</v>
      </c>
      <c r="L3523" s="52">
        <f t="shared" si="109"/>
        <v>7.6000000000000005</v>
      </c>
    </row>
    <row r="3524" spans="1:12">
      <c r="A3524" s="21" t="s">
        <v>676</v>
      </c>
      <c r="B3524" t="s">
        <v>346</v>
      </c>
      <c r="C3524" t="s">
        <v>352</v>
      </c>
      <c r="D3524" s="3" t="s">
        <v>73</v>
      </c>
      <c r="E3524" s="4">
        <v>0.125</v>
      </c>
      <c r="F3524" s="4" t="s">
        <v>179</v>
      </c>
      <c r="G3524" s="9">
        <v>305</v>
      </c>
      <c r="H3524" s="9">
        <f t="shared" si="110"/>
        <v>38.125</v>
      </c>
      <c r="I3524" t="s">
        <v>598</v>
      </c>
      <c r="J3524" s="33">
        <v>0</v>
      </c>
      <c r="K3524" s="18">
        <f>VLOOKUP(D3524,Ingredients!C:G,5,0)</f>
        <v>300</v>
      </c>
      <c r="L3524" s="52">
        <f t="shared" ref="L3524:L3587" si="111">K3524*E3524</f>
        <v>37.5</v>
      </c>
    </row>
    <row r="3525" spans="1:12">
      <c r="A3525" s="21" t="s">
        <v>676</v>
      </c>
      <c r="B3525" t="s">
        <v>346</v>
      </c>
      <c r="C3525" t="s">
        <v>352</v>
      </c>
      <c r="D3525" s="3" t="s">
        <v>830</v>
      </c>
      <c r="E3525" s="4">
        <v>1.4999999999999999E-2</v>
      </c>
      <c r="F3525" s="4" t="s">
        <v>179</v>
      </c>
      <c r="G3525" s="9">
        <v>149</v>
      </c>
      <c r="H3525" s="9">
        <f t="shared" si="110"/>
        <v>2.2349999999999999</v>
      </c>
      <c r="I3525" t="s">
        <v>598</v>
      </c>
      <c r="J3525" s="33">
        <v>0</v>
      </c>
      <c r="K3525" s="18">
        <f>VLOOKUP(D3525,Ingredients!C:G,5,0)</f>
        <v>123</v>
      </c>
      <c r="L3525" s="52">
        <f t="shared" si="111"/>
        <v>1.845</v>
      </c>
    </row>
    <row r="3526" spans="1:12">
      <c r="A3526" s="21" t="s">
        <v>676</v>
      </c>
      <c r="B3526" t="s">
        <v>346</v>
      </c>
      <c r="C3526" t="s">
        <v>352</v>
      </c>
      <c r="D3526" s="3" t="s">
        <v>853</v>
      </c>
      <c r="E3526" s="4">
        <v>1.4999999999999999E-2</v>
      </c>
      <c r="F3526" s="4" t="s">
        <v>179</v>
      </c>
      <c r="G3526" s="9">
        <v>30</v>
      </c>
      <c r="H3526" s="9">
        <f t="shared" si="110"/>
        <v>0.44999999999999996</v>
      </c>
      <c r="I3526" t="s">
        <v>598</v>
      </c>
      <c r="J3526" s="33">
        <v>0</v>
      </c>
      <c r="K3526" s="18">
        <f>VLOOKUP(D3526,Ingredients!C:G,5,0)</f>
        <v>55</v>
      </c>
      <c r="L3526" s="52">
        <f t="shared" si="111"/>
        <v>0.82499999999999996</v>
      </c>
    </row>
    <row r="3527" spans="1:12">
      <c r="A3527" s="21" t="s">
        <v>676</v>
      </c>
      <c r="B3527" t="s">
        <v>346</v>
      </c>
      <c r="C3527" t="s">
        <v>352</v>
      </c>
      <c r="D3527" s="3" t="s">
        <v>915</v>
      </c>
      <c r="E3527" s="4">
        <v>8.0000000000000002E-3</v>
      </c>
      <c r="F3527" s="4" t="s">
        <v>179</v>
      </c>
      <c r="G3527" s="9">
        <v>5000</v>
      </c>
      <c r="H3527" s="9">
        <f t="shared" si="110"/>
        <v>40</v>
      </c>
      <c r="I3527" t="s">
        <v>598</v>
      </c>
      <c r="J3527" s="33">
        <v>0</v>
      </c>
      <c r="K3527" s="18">
        <f>VLOOKUP(D3527,Ingredients!C:G,5,0)</f>
        <v>3200</v>
      </c>
      <c r="L3527" s="52">
        <f t="shared" si="111"/>
        <v>25.6</v>
      </c>
    </row>
    <row r="3528" spans="1:12">
      <c r="A3528" s="21" t="s">
        <v>676</v>
      </c>
      <c r="B3528" t="s">
        <v>346</v>
      </c>
      <c r="C3528" t="s">
        <v>352</v>
      </c>
      <c r="D3528" s="3" t="s">
        <v>896</v>
      </c>
      <c r="E3528" s="4">
        <v>0.2</v>
      </c>
      <c r="F3528" s="4" t="s">
        <v>179</v>
      </c>
      <c r="G3528" s="9">
        <v>330</v>
      </c>
      <c r="H3528" s="9">
        <f t="shared" si="110"/>
        <v>66</v>
      </c>
      <c r="I3528" t="s">
        <v>598</v>
      </c>
      <c r="J3528" s="33">
        <v>0</v>
      </c>
      <c r="K3528" s="18">
        <f>VLOOKUP(D3528,Ingredients!C:G,5,0)</f>
        <v>1650</v>
      </c>
      <c r="L3528" s="52">
        <f t="shared" si="111"/>
        <v>330</v>
      </c>
    </row>
    <row r="3529" spans="1:12">
      <c r="A3529" s="21" t="s">
        <v>676</v>
      </c>
      <c r="B3529" t="s">
        <v>346</v>
      </c>
      <c r="C3529" t="s">
        <v>352</v>
      </c>
      <c r="D3529" s="3" t="s">
        <v>341</v>
      </c>
      <c r="E3529" s="4">
        <v>2.5000000000000001E-2</v>
      </c>
      <c r="F3529" s="4" t="s">
        <v>179</v>
      </c>
      <c r="G3529" s="9">
        <v>1750</v>
      </c>
      <c r="H3529" s="9">
        <f t="shared" si="110"/>
        <v>43.75</v>
      </c>
      <c r="I3529" t="s">
        <v>598</v>
      </c>
      <c r="J3529" s="33">
        <v>0</v>
      </c>
      <c r="K3529" s="18">
        <f>VLOOKUP(D3529,Ingredients!C:G,5,0)</f>
        <v>1750</v>
      </c>
      <c r="L3529" s="52">
        <f t="shared" si="111"/>
        <v>43.75</v>
      </c>
    </row>
    <row r="3530" spans="1:12">
      <c r="A3530" s="21" t="s">
        <v>676</v>
      </c>
      <c r="B3530" t="s">
        <v>346</v>
      </c>
      <c r="C3530" t="s">
        <v>352</v>
      </c>
      <c r="D3530" s="3" t="s">
        <v>926</v>
      </c>
      <c r="E3530" s="4">
        <v>5.0000000000000001E-3</v>
      </c>
      <c r="F3530" s="4" t="s">
        <v>179</v>
      </c>
      <c r="G3530" s="9">
        <v>62.5</v>
      </c>
      <c r="H3530" s="9">
        <f t="shared" si="110"/>
        <v>0.3125</v>
      </c>
      <c r="I3530" t="s">
        <v>598</v>
      </c>
      <c r="J3530" s="33">
        <v>0</v>
      </c>
      <c r="K3530" s="18">
        <f>VLOOKUP(D3530,Ingredients!C:F,3,0)</f>
        <v>50</v>
      </c>
      <c r="L3530" s="52">
        <f t="shared" si="111"/>
        <v>0.25</v>
      </c>
    </row>
    <row r="3531" spans="1:12">
      <c r="A3531" s="21" t="s">
        <v>676</v>
      </c>
      <c r="B3531" t="s">
        <v>346</v>
      </c>
      <c r="C3531" t="s">
        <v>352</v>
      </c>
      <c r="D3531" s="3" t="s">
        <v>929</v>
      </c>
      <c r="E3531" s="4">
        <v>0.01</v>
      </c>
      <c r="F3531" s="4" t="s">
        <v>179</v>
      </c>
      <c r="G3531" s="9">
        <v>650</v>
      </c>
      <c r="H3531" s="9">
        <f t="shared" si="110"/>
        <v>6.5</v>
      </c>
      <c r="I3531" t="s">
        <v>598</v>
      </c>
      <c r="J3531" s="33">
        <v>0</v>
      </c>
      <c r="K3531" s="18">
        <f>VLOOKUP(D3531,Ingredients!C:G,5,0)</f>
        <v>650</v>
      </c>
      <c r="L3531" s="52">
        <f t="shared" si="111"/>
        <v>6.5</v>
      </c>
    </row>
    <row r="3532" spans="1:12">
      <c r="A3532" s="21" t="s">
        <v>676</v>
      </c>
      <c r="B3532" t="s">
        <v>346</v>
      </c>
      <c r="C3532" t="s">
        <v>352</v>
      </c>
      <c r="D3532" s="3" t="s">
        <v>955</v>
      </c>
      <c r="E3532" s="4">
        <v>5.0000000000000001E-3</v>
      </c>
      <c r="F3532" s="4" t="s">
        <v>179</v>
      </c>
      <c r="G3532" s="9">
        <v>3600</v>
      </c>
      <c r="H3532" s="9">
        <f t="shared" si="110"/>
        <v>18</v>
      </c>
      <c r="I3532" t="s">
        <v>598</v>
      </c>
      <c r="J3532" s="33">
        <v>0</v>
      </c>
      <c r="K3532" s="18">
        <f>VLOOKUP(D3532,Ingredients!C:G,5,0)</f>
        <v>3400</v>
      </c>
      <c r="L3532" s="52">
        <f t="shared" si="111"/>
        <v>17</v>
      </c>
    </row>
    <row r="3533" spans="1:12">
      <c r="A3533" s="21" t="s">
        <v>676</v>
      </c>
      <c r="B3533" t="s">
        <v>346</v>
      </c>
      <c r="C3533" t="s">
        <v>352</v>
      </c>
      <c r="D3533" s="3" t="s">
        <v>928</v>
      </c>
      <c r="E3533" s="4">
        <v>4.0000000000000001E-3</v>
      </c>
      <c r="F3533" s="4" t="s">
        <v>179</v>
      </c>
      <c r="G3533" s="9">
        <v>850</v>
      </c>
      <c r="H3533" s="9">
        <f t="shared" si="110"/>
        <v>3.4</v>
      </c>
      <c r="I3533" t="s">
        <v>598</v>
      </c>
      <c r="J3533" s="33">
        <v>0</v>
      </c>
      <c r="K3533" s="18">
        <f>VLOOKUP(D3533,Ingredients!C:G,5,0)</f>
        <v>900</v>
      </c>
      <c r="L3533" s="52">
        <f t="shared" si="111"/>
        <v>3.6</v>
      </c>
    </row>
    <row r="3534" spans="1:12">
      <c r="A3534" s="21" t="s">
        <v>676</v>
      </c>
      <c r="B3534" t="s">
        <v>346</v>
      </c>
      <c r="C3534" t="s">
        <v>352</v>
      </c>
      <c r="D3534" s="3" t="s">
        <v>855</v>
      </c>
      <c r="E3534" s="4">
        <v>8.0000000000000002E-3</v>
      </c>
      <c r="F3534" s="4" t="s">
        <v>179</v>
      </c>
      <c r="G3534" s="9">
        <v>2400</v>
      </c>
      <c r="H3534" s="9">
        <f t="shared" si="110"/>
        <v>19.2</v>
      </c>
      <c r="I3534" t="s">
        <v>598</v>
      </c>
      <c r="J3534" s="33">
        <v>0</v>
      </c>
      <c r="K3534" s="18">
        <f>VLOOKUP(D3534,Ingredients!C:G,5,0)</f>
        <v>1600</v>
      </c>
      <c r="L3534" s="52">
        <f t="shared" si="111"/>
        <v>12.8</v>
      </c>
    </row>
    <row r="3535" spans="1:12">
      <c r="A3535" s="21" t="s">
        <v>679</v>
      </c>
      <c r="B3535" t="s">
        <v>346</v>
      </c>
      <c r="C3535" t="s">
        <v>993</v>
      </c>
      <c r="D3535" s="3" t="s">
        <v>936</v>
      </c>
      <c r="E3535" s="4">
        <v>0.5</v>
      </c>
      <c r="F3535" s="4" t="s">
        <v>179</v>
      </c>
      <c r="G3535" s="9">
        <v>260</v>
      </c>
      <c r="H3535" s="9">
        <f t="shared" si="110"/>
        <v>130</v>
      </c>
      <c r="I3535" t="s">
        <v>179</v>
      </c>
      <c r="J3535" s="33">
        <v>0</v>
      </c>
      <c r="K3535" s="18">
        <f>VLOOKUP(D3535,Ingredients!C:G,5,0)</f>
        <v>230</v>
      </c>
      <c r="L3535" s="52">
        <f t="shared" si="111"/>
        <v>115</v>
      </c>
    </row>
    <row r="3536" spans="1:12">
      <c r="A3536" s="21" t="s">
        <v>679</v>
      </c>
      <c r="B3536" t="s">
        <v>346</v>
      </c>
      <c r="C3536" t="s">
        <v>993</v>
      </c>
      <c r="D3536" s="3" t="s">
        <v>956</v>
      </c>
      <c r="E3536" s="4">
        <v>0.5</v>
      </c>
      <c r="F3536" s="4" t="s">
        <v>179</v>
      </c>
      <c r="G3536" s="9">
        <v>260</v>
      </c>
      <c r="H3536" s="9">
        <f t="shared" si="110"/>
        <v>130</v>
      </c>
      <c r="I3536" t="s">
        <v>179</v>
      </c>
      <c r="J3536" s="33">
        <v>0</v>
      </c>
      <c r="K3536" s="18">
        <f>VLOOKUP(D3536,Ingredients!C:G,5,0)</f>
        <v>246</v>
      </c>
      <c r="L3536" s="52">
        <f t="shared" si="111"/>
        <v>123</v>
      </c>
    </row>
    <row r="3537" spans="1:12">
      <c r="A3537" s="21" t="s">
        <v>679</v>
      </c>
      <c r="B3537" t="s">
        <v>346</v>
      </c>
      <c r="C3537" t="s">
        <v>993</v>
      </c>
      <c r="D3537" s="3" t="s">
        <v>852</v>
      </c>
      <c r="E3537" s="4">
        <v>0.12</v>
      </c>
      <c r="F3537" s="4" t="s">
        <v>190</v>
      </c>
      <c r="G3537" s="9">
        <v>520.63</v>
      </c>
      <c r="H3537" s="9">
        <f t="shared" si="110"/>
        <v>62.4756</v>
      </c>
      <c r="I3537" t="s">
        <v>179</v>
      </c>
      <c r="J3537" s="33">
        <v>0</v>
      </c>
      <c r="K3537" s="18">
        <v>550</v>
      </c>
      <c r="L3537" s="52">
        <f t="shared" si="111"/>
        <v>66</v>
      </c>
    </row>
    <row r="3538" spans="1:12">
      <c r="A3538" s="21" t="s">
        <v>679</v>
      </c>
      <c r="B3538" t="s">
        <v>346</v>
      </c>
      <c r="C3538" t="s">
        <v>993</v>
      </c>
      <c r="D3538" s="3" t="s">
        <v>23</v>
      </c>
      <c r="E3538" s="4">
        <v>0.06</v>
      </c>
      <c r="F3538" s="4" t="s">
        <v>176</v>
      </c>
      <c r="G3538" s="9">
        <v>740</v>
      </c>
      <c r="H3538" s="9">
        <f t="shared" si="110"/>
        <v>44.4</v>
      </c>
      <c r="I3538" t="s">
        <v>179</v>
      </c>
      <c r="J3538" s="33">
        <v>0</v>
      </c>
      <c r="K3538" s="18">
        <f>VLOOKUP(D3538,Ingredients!C:G,5,0)</f>
        <v>780</v>
      </c>
      <c r="L3538" s="52">
        <f t="shared" si="111"/>
        <v>46.8</v>
      </c>
    </row>
    <row r="3539" spans="1:12">
      <c r="A3539" s="21" t="s">
        <v>679</v>
      </c>
      <c r="B3539" t="s">
        <v>346</v>
      </c>
      <c r="C3539" t="s">
        <v>993</v>
      </c>
      <c r="D3539" s="3" t="s">
        <v>16</v>
      </c>
      <c r="E3539" s="4">
        <v>0.06</v>
      </c>
      <c r="F3539" s="4" t="s">
        <v>176</v>
      </c>
      <c r="G3539" s="9">
        <v>270</v>
      </c>
      <c r="H3539" s="9">
        <f t="shared" si="110"/>
        <v>16.2</v>
      </c>
      <c r="I3539" t="s">
        <v>179</v>
      </c>
      <c r="J3539" s="33">
        <v>0</v>
      </c>
      <c r="K3539" s="18">
        <f>VLOOKUP(D3539,Ingredients!C:G,5,0)</f>
        <v>310</v>
      </c>
      <c r="L3539" s="52">
        <f t="shared" si="111"/>
        <v>18.599999999999998</v>
      </c>
    </row>
    <row r="3540" spans="1:12">
      <c r="A3540" s="21" t="s">
        <v>679</v>
      </c>
      <c r="B3540" t="s">
        <v>346</v>
      </c>
      <c r="C3540" t="s">
        <v>993</v>
      </c>
      <c r="D3540" s="3" t="s">
        <v>28</v>
      </c>
      <c r="E3540" s="4">
        <v>0.16</v>
      </c>
      <c r="F3540" s="4" t="s">
        <v>176</v>
      </c>
      <c r="G3540" s="9">
        <v>85</v>
      </c>
      <c r="H3540" s="9">
        <f t="shared" si="110"/>
        <v>13.6</v>
      </c>
      <c r="I3540" t="s">
        <v>179</v>
      </c>
      <c r="J3540" s="33">
        <v>0</v>
      </c>
      <c r="K3540" s="18">
        <f>VLOOKUP(D3540,Ingredients!C:G,5,0)</f>
        <v>70</v>
      </c>
      <c r="L3540" s="52">
        <f t="shared" si="111"/>
        <v>11.200000000000001</v>
      </c>
    </row>
    <row r="3541" spans="1:12">
      <c r="A3541" s="21" t="s">
        <v>679</v>
      </c>
      <c r="B3541" t="s">
        <v>346</v>
      </c>
      <c r="C3541" t="s">
        <v>993</v>
      </c>
      <c r="D3541" s="3" t="s">
        <v>853</v>
      </c>
      <c r="E3541" s="4">
        <v>0.06</v>
      </c>
      <c r="F3541" s="4" t="s">
        <v>176</v>
      </c>
      <c r="G3541" s="9">
        <v>30</v>
      </c>
      <c r="H3541" s="9">
        <f t="shared" si="110"/>
        <v>1.7999999999999998</v>
      </c>
      <c r="I3541" t="s">
        <v>179</v>
      </c>
      <c r="J3541" s="33">
        <v>0</v>
      </c>
      <c r="K3541" s="18">
        <f>VLOOKUP(D3541,Ingredients!C:G,5,0)</f>
        <v>55</v>
      </c>
      <c r="L3541" s="52">
        <f t="shared" si="111"/>
        <v>3.3</v>
      </c>
    </row>
    <row r="3542" spans="1:12">
      <c r="A3542" s="21" t="s">
        <v>679</v>
      </c>
      <c r="B3542" t="s">
        <v>346</v>
      </c>
      <c r="C3542" t="s">
        <v>993</v>
      </c>
      <c r="D3542" s="3" t="s">
        <v>860</v>
      </c>
      <c r="E3542" s="4">
        <v>0.03</v>
      </c>
      <c r="F3542" s="4" t="s">
        <v>176</v>
      </c>
      <c r="G3542" s="9">
        <v>2000</v>
      </c>
      <c r="H3542" s="9">
        <f t="shared" si="110"/>
        <v>60</v>
      </c>
      <c r="I3542" t="s">
        <v>179</v>
      </c>
      <c r="J3542" s="33">
        <v>0</v>
      </c>
      <c r="K3542" s="18">
        <f>VLOOKUP(D3542,Ingredients!C:G,5,0)</f>
        <v>1900</v>
      </c>
      <c r="L3542" s="52">
        <f t="shared" si="111"/>
        <v>57</v>
      </c>
    </row>
    <row r="3543" spans="1:12">
      <c r="A3543" s="21" t="s">
        <v>679</v>
      </c>
      <c r="B3543" t="s">
        <v>346</v>
      </c>
      <c r="C3543" t="s">
        <v>993</v>
      </c>
      <c r="D3543" s="3" t="s">
        <v>870</v>
      </c>
      <c r="E3543" s="4">
        <v>0.03</v>
      </c>
      <c r="F3543" s="4" t="s">
        <v>176</v>
      </c>
      <c r="G3543" s="9">
        <v>440</v>
      </c>
      <c r="H3543" s="9">
        <f t="shared" si="110"/>
        <v>13.2</v>
      </c>
      <c r="I3543" t="s">
        <v>179</v>
      </c>
      <c r="J3543" s="33">
        <v>0</v>
      </c>
      <c r="K3543" s="18">
        <f>VLOOKUP(D3543,Ingredients!C:G,5,0)</f>
        <v>450</v>
      </c>
      <c r="L3543" s="52">
        <f t="shared" si="111"/>
        <v>13.5</v>
      </c>
    </row>
    <row r="3544" spans="1:12">
      <c r="A3544" s="21" t="s">
        <v>679</v>
      </c>
      <c r="B3544" t="s">
        <v>346</v>
      </c>
      <c r="C3544" t="s">
        <v>993</v>
      </c>
      <c r="D3544" s="3" t="s">
        <v>849</v>
      </c>
      <c r="E3544" s="4">
        <v>0.03</v>
      </c>
      <c r="F3544" s="4" t="s">
        <v>176</v>
      </c>
      <c r="G3544" s="9">
        <v>1000</v>
      </c>
      <c r="H3544" s="9">
        <f t="shared" si="110"/>
        <v>30</v>
      </c>
      <c r="I3544" t="s">
        <v>179</v>
      </c>
      <c r="J3544" s="33">
        <v>0</v>
      </c>
      <c r="K3544" s="18">
        <f>VLOOKUP(D3544,Ingredients!C:G,5,0)</f>
        <v>950</v>
      </c>
      <c r="L3544" s="52">
        <f t="shared" si="111"/>
        <v>28.5</v>
      </c>
    </row>
    <row r="3545" spans="1:12">
      <c r="A3545" s="21" t="s">
        <v>679</v>
      </c>
      <c r="B3545" t="s">
        <v>346</v>
      </c>
      <c r="C3545" t="s">
        <v>993</v>
      </c>
      <c r="D3545" s="3" t="s">
        <v>880</v>
      </c>
      <c r="E3545" s="4">
        <v>1.6E-2</v>
      </c>
      <c r="F3545" s="4" t="s">
        <v>176</v>
      </c>
      <c r="G3545" s="9">
        <v>650</v>
      </c>
      <c r="H3545" s="9">
        <f t="shared" si="110"/>
        <v>10.4</v>
      </c>
      <c r="I3545" t="s">
        <v>179</v>
      </c>
      <c r="J3545" s="33">
        <v>0</v>
      </c>
      <c r="K3545" s="18">
        <f>VLOOKUP(D3545,Ingredients!C:G,5,0)</f>
        <v>520</v>
      </c>
      <c r="L3545" s="52">
        <f t="shared" si="111"/>
        <v>8.32</v>
      </c>
    </row>
    <row r="3546" spans="1:12">
      <c r="A3546" s="21" t="s">
        <v>679</v>
      </c>
      <c r="B3546" t="s">
        <v>346</v>
      </c>
      <c r="C3546" t="s">
        <v>993</v>
      </c>
      <c r="D3546" s="3" t="s">
        <v>867</v>
      </c>
      <c r="E3546" s="4">
        <v>1.6E-2</v>
      </c>
      <c r="F3546" s="4" t="s">
        <v>176</v>
      </c>
      <c r="G3546" s="9">
        <v>900</v>
      </c>
      <c r="H3546" s="9">
        <f t="shared" si="110"/>
        <v>14.4</v>
      </c>
      <c r="I3546" t="s">
        <v>179</v>
      </c>
      <c r="J3546" s="33">
        <v>0</v>
      </c>
      <c r="K3546" s="18">
        <f>VLOOKUP(D3546,Ingredients!C:G,5,0)</f>
        <v>950</v>
      </c>
      <c r="L3546" s="52">
        <f t="shared" si="111"/>
        <v>15.200000000000001</v>
      </c>
    </row>
    <row r="3547" spans="1:12">
      <c r="A3547" s="21" t="s">
        <v>679</v>
      </c>
      <c r="B3547" t="s">
        <v>346</v>
      </c>
      <c r="C3547" t="s">
        <v>993</v>
      </c>
      <c r="D3547" s="3" t="s">
        <v>855</v>
      </c>
      <c r="E3547" s="4">
        <v>0.03</v>
      </c>
      <c r="F3547" s="4" t="s">
        <v>176</v>
      </c>
      <c r="G3547" s="9">
        <v>2400</v>
      </c>
      <c r="H3547" s="9">
        <f t="shared" si="110"/>
        <v>72</v>
      </c>
      <c r="I3547" t="s">
        <v>179</v>
      </c>
      <c r="J3547" s="33">
        <v>0</v>
      </c>
      <c r="K3547" s="18">
        <f>VLOOKUP(D3547,Ingredients!C:G,5,0)</f>
        <v>1600</v>
      </c>
      <c r="L3547" s="52">
        <f t="shared" si="111"/>
        <v>48</v>
      </c>
    </row>
    <row r="3548" spans="1:12">
      <c r="A3548" s="21" t="s">
        <v>679</v>
      </c>
      <c r="B3548" t="s">
        <v>346</v>
      </c>
      <c r="C3548" t="s">
        <v>993</v>
      </c>
      <c r="D3548" s="3" t="s">
        <v>865</v>
      </c>
      <c r="E3548" s="4">
        <v>0.1</v>
      </c>
      <c r="F3548" s="4" t="s">
        <v>176</v>
      </c>
      <c r="G3548" s="9">
        <v>1400</v>
      </c>
      <c r="H3548" s="9">
        <f t="shared" si="110"/>
        <v>140</v>
      </c>
      <c r="I3548" t="s">
        <v>179</v>
      </c>
      <c r="J3548" s="33">
        <v>0</v>
      </c>
      <c r="K3548" s="18">
        <f>VLOOKUP(D3548,Ingredients!C:G,5,0)</f>
        <v>1400</v>
      </c>
      <c r="L3548" s="52">
        <f t="shared" si="111"/>
        <v>140</v>
      </c>
    </row>
    <row r="3549" spans="1:12">
      <c r="A3549" s="21" t="s">
        <v>679</v>
      </c>
      <c r="B3549" t="s">
        <v>346</v>
      </c>
      <c r="C3549" t="s">
        <v>993</v>
      </c>
      <c r="D3549" s="3" t="s">
        <v>35</v>
      </c>
      <c r="E3549" s="4">
        <v>0.09</v>
      </c>
      <c r="F3549" s="4" t="s">
        <v>252</v>
      </c>
      <c r="G3549" s="9">
        <v>13</v>
      </c>
      <c r="H3549" s="9">
        <f t="shared" si="110"/>
        <v>1.17</v>
      </c>
      <c r="I3549" t="s">
        <v>179</v>
      </c>
      <c r="J3549" s="33">
        <v>0</v>
      </c>
      <c r="K3549" s="18">
        <f>VLOOKUP(D3549,Ingredients!C:G,5,0)</f>
        <v>15</v>
      </c>
      <c r="L3549" s="52">
        <f t="shared" si="111"/>
        <v>1.3499999999999999</v>
      </c>
    </row>
    <row r="3550" spans="1:12">
      <c r="A3550" s="21" t="s">
        <v>679</v>
      </c>
      <c r="B3550" t="s">
        <v>346</v>
      </c>
      <c r="C3550" t="s">
        <v>993</v>
      </c>
      <c r="D3550" s="3" t="s">
        <v>29</v>
      </c>
      <c r="E3550" s="4">
        <v>0.09</v>
      </c>
      <c r="F3550" s="4" t="s">
        <v>176</v>
      </c>
      <c r="G3550" s="9">
        <v>60</v>
      </c>
      <c r="H3550" s="9">
        <f t="shared" si="110"/>
        <v>5.3999999999999995</v>
      </c>
      <c r="I3550" t="s">
        <v>179</v>
      </c>
      <c r="J3550" s="33">
        <v>0</v>
      </c>
      <c r="K3550" s="18">
        <f>VLOOKUP(D3550,Ingredients!C:G,5,0)</f>
        <v>100</v>
      </c>
      <c r="L3550" s="52">
        <f t="shared" si="111"/>
        <v>9</v>
      </c>
    </row>
    <row r="3551" spans="1:12">
      <c r="A3551" s="21" t="s">
        <v>778</v>
      </c>
      <c r="B3551" t="s">
        <v>346</v>
      </c>
      <c r="C3551" t="s">
        <v>352</v>
      </c>
      <c r="D3551" s="3" t="s">
        <v>854</v>
      </c>
      <c r="E3551" s="4">
        <v>6</v>
      </c>
      <c r="F3551" s="4" t="s">
        <v>253</v>
      </c>
      <c r="G3551" s="9">
        <v>24.64</v>
      </c>
      <c r="H3551" s="9">
        <f t="shared" si="110"/>
        <v>147.84</v>
      </c>
      <c r="I3551" t="s">
        <v>779</v>
      </c>
      <c r="J3551" s="33">
        <v>0</v>
      </c>
      <c r="K3551" s="18">
        <f>VLOOKUP(D3551,Ingredients!C:G,5,0)</f>
        <v>20.059999999999999</v>
      </c>
      <c r="L3551" s="52">
        <f t="shared" si="111"/>
        <v>120.35999999999999</v>
      </c>
    </row>
    <row r="3552" spans="1:12">
      <c r="A3552" s="21" t="s">
        <v>778</v>
      </c>
      <c r="B3552" t="s">
        <v>346</v>
      </c>
      <c r="C3552" t="s">
        <v>352</v>
      </c>
      <c r="D3552" s="3" t="s">
        <v>24</v>
      </c>
      <c r="E3552" s="4">
        <v>0.25</v>
      </c>
      <c r="F3552" s="4" t="s">
        <v>176</v>
      </c>
      <c r="G3552" s="9">
        <v>55</v>
      </c>
      <c r="H3552" s="9">
        <f t="shared" si="110"/>
        <v>13.75</v>
      </c>
      <c r="I3552" t="s">
        <v>779</v>
      </c>
      <c r="J3552" s="33">
        <v>0</v>
      </c>
      <c r="K3552" s="18">
        <f>VLOOKUP(D3552,Ingredients!C:G,5,0)</f>
        <v>80</v>
      </c>
      <c r="L3552" s="52">
        <f t="shared" si="111"/>
        <v>20</v>
      </c>
    </row>
    <row r="3553" spans="1:12">
      <c r="A3553" s="21" t="s">
        <v>778</v>
      </c>
      <c r="B3553" t="s">
        <v>346</v>
      </c>
      <c r="C3553" t="s">
        <v>352</v>
      </c>
      <c r="D3553" s="3" t="s">
        <v>28</v>
      </c>
      <c r="E3553" s="4">
        <v>0.15</v>
      </c>
      <c r="F3553" s="4" t="s">
        <v>176</v>
      </c>
      <c r="G3553" s="9">
        <v>85</v>
      </c>
      <c r="H3553" s="9">
        <f t="shared" si="110"/>
        <v>12.75</v>
      </c>
      <c r="I3553" t="s">
        <v>779</v>
      </c>
      <c r="J3553" s="33">
        <v>0</v>
      </c>
      <c r="K3553" s="18">
        <f>VLOOKUP(D3553,Ingredients!C:G,5,0)</f>
        <v>70</v>
      </c>
      <c r="L3553" s="52">
        <f t="shared" si="111"/>
        <v>10.5</v>
      </c>
    </row>
    <row r="3554" spans="1:12">
      <c r="A3554" s="21" t="s">
        <v>778</v>
      </c>
      <c r="B3554" t="s">
        <v>346</v>
      </c>
      <c r="C3554" t="s">
        <v>352</v>
      </c>
      <c r="D3554" s="3" t="s">
        <v>23</v>
      </c>
      <c r="E3554" s="4">
        <v>1.4999999999999999E-2</v>
      </c>
      <c r="F3554" s="4" t="s">
        <v>176</v>
      </c>
      <c r="G3554" s="9">
        <v>740</v>
      </c>
      <c r="H3554" s="9">
        <f t="shared" si="110"/>
        <v>11.1</v>
      </c>
      <c r="I3554" t="s">
        <v>779</v>
      </c>
      <c r="J3554" s="33">
        <v>0</v>
      </c>
      <c r="K3554" s="18">
        <f>VLOOKUP(D3554,Ingredients!C:G,5,0)</f>
        <v>780</v>
      </c>
      <c r="L3554" s="52">
        <f t="shared" si="111"/>
        <v>11.7</v>
      </c>
    </row>
    <row r="3555" spans="1:12">
      <c r="A3555" s="21" t="s">
        <v>778</v>
      </c>
      <c r="B3555" t="s">
        <v>346</v>
      </c>
      <c r="C3555" t="s">
        <v>352</v>
      </c>
      <c r="D3555" s="3" t="s">
        <v>16</v>
      </c>
      <c r="E3555" s="4">
        <v>1.4999999999999999E-2</v>
      </c>
      <c r="F3555" s="4" t="s">
        <v>176</v>
      </c>
      <c r="G3555" s="9">
        <v>270</v>
      </c>
      <c r="H3555" s="9">
        <f t="shared" si="110"/>
        <v>4.05</v>
      </c>
      <c r="I3555" t="s">
        <v>779</v>
      </c>
      <c r="J3555" s="33">
        <v>0</v>
      </c>
      <c r="K3555" s="18">
        <f>VLOOKUP(D3555,Ingredients!C:G,5,0)</f>
        <v>310</v>
      </c>
      <c r="L3555" s="52">
        <f t="shared" si="111"/>
        <v>4.6499999999999995</v>
      </c>
    </row>
    <row r="3556" spans="1:12">
      <c r="A3556" s="21" t="s">
        <v>778</v>
      </c>
      <c r="B3556" t="s">
        <v>346</v>
      </c>
      <c r="C3556" t="s">
        <v>352</v>
      </c>
      <c r="D3556" s="3" t="s">
        <v>867</v>
      </c>
      <c r="E3556" s="4">
        <v>1.4999999999999999E-2</v>
      </c>
      <c r="F3556" s="4" t="s">
        <v>176</v>
      </c>
      <c r="G3556" s="9">
        <v>900</v>
      </c>
      <c r="H3556" s="9">
        <f t="shared" si="110"/>
        <v>13.5</v>
      </c>
      <c r="I3556" t="s">
        <v>779</v>
      </c>
      <c r="J3556" s="33">
        <v>0</v>
      </c>
      <c r="K3556" s="18">
        <f>VLOOKUP(D3556,Ingredients!C:G,5,0)</f>
        <v>950</v>
      </c>
      <c r="L3556" s="52">
        <f t="shared" si="111"/>
        <v>14.25</v>
      </c>
    </row>
    <row r="3557" spans="1:12">
      <c r="A3557" s="21" t="s">
        <v>778</v>
      </c>
      <c r="B3557" t="s">
        <v>346</v>
      </c>
      <c r="C3557" t="s">
        <v>352</v>
      </c>
      <c r="D3557" s="3" t="s">
        <v>895</v>
      </c>
      <c r="E3557" s="4">
        <v>0.03</v>
      </c>
      <c r="F3557" s="4" t="s">
        <v>176</v>
      </c>
      <c r="G3557" s="9">
        <v>400</v>
      </c>
      <c r="H3557" s="9">
        <f t="shared" si="110"/>
        <v>12</v>
      </c>
      <c r="I3557" t="s">
        <v>779</v>
      </c>
      <c r="J3557" s="33">
        <v>0</v>
      </c>
      <c r="K3557" s="18">
        <f>VLOOKUP(D3557,Ingredients!C:G,5,0)</f>
        <v>400</v>
      </c>
      <c r="L3557" s="52">
        <f t="shared" si="111"/>
        <v>12</v>
      </c>
    </row>
    <row r="3558" spans="1:12">
      <c r="A3558" s="21" t="s">
        <v>778</v>
      </c>
      <c r="B3558" t="s">
        <v>346</v>
      </c>
      <c r="C3558" t="s">
        <v>352</v>
      </c>
      <c r="D3558" s="3" t="s">
        <v>887</v>
      </c>
      <c r="E3558" s="4">
        <v>8.0000000000000002E-3</v>
      </c>
      <c r="F3558" s="4" t="s">
        <v>176</v>
      </c>
      <c r="G3558" s="9">
        <v>1600</v>
      </c>
      <c r="H3558" s="9">
        <f t="shared" si="110"/>
        <v>12.8</v>
      </c>
      <c r="I3558" t="s">
        <v>779</v>
      </c>
      <c r="J3558" s="33">
        <v>0</v>
      </c>
      <c r="K3558" s="18">
        <f>VLOOKUP(D3558,Ingredients!C:G,5,0)</f>
        <v>1830</v>
      </c>
      <c r="L3558" s="52">
        <f t="shared" si="111"/>
        <v>14.64</v>
      </c>
    </row>
    <row r="3559" spans="1:12">
      <c r="A3559" s="21" t="s">
        <v>778</v>
      </c>
      <c r="B3559" t="s">
        <v>346</v>
      </c>
      <c r="C3559" t="s">
        <v>352</v>
      </c>
      <c r="D3559" s="3" t="s">
        <v>880</v>
      </c>
      <c r="E3559" s="4">
        <v>4.0000000000000001E-3</v>
      </c>
      <c r="F3559" s="4" t="s">
        <v>176</v>
      </c>
      <c r="G3559" s="9">
        <v>650</v>
      </c>
      <c r="H3559" s="9">
        <f t="shared" si="110"/>
        <v>2.6</v>
      </c>
      <c r="I3559" t="s">
        <v>779</v>
      </c>
      <c r="J3559" s="33">
        <v>0</v>
      </c>
      <c r="K3559" s="18">
        <f>VLOOKUP(D3559,Ingredients!C:G,5,0)</f>
        <v>520</v>
      </c>
      <c r="L3559" s="52">
        <f t="shared" si="111"/>
        <v>2.08</v>
      </c>
    </row>
    <row r="3560" spans="1:12">
      <c r="A3560" s="21" t="s">
        <v>778</v>
      </c>
      <c r="B3560" t="s">
        <v>346</v>
      </c>
      <c r="C3560" t="s">
        <v>352</v>
      </c>
      <c r="D3560" s="3" t="s">
        <v>73</v>
      </c>
      <c r="E3560" s="4">
        <v>0.09</v>
      </c>
      <c r="F3560" s="4" t="s">
        <v>176</v>
      </c>
      <c r="G3560" s="9">
        <v>305</v>
      </c>
      <c r="H3560" s="9">
        <f t="shared" si="110"/>
        <v>27.45</v>
      </c>
      <c r="I3560" t="s">
        <v>779</v>
      </c>
      <c r="J3560" s="33">
        <v>0</v>
      </c>
      <c r="K3560" s="18">
        <f>VLOOKUP(D3560,Ingredients!C:G,5,0)</f>
        <v>300</v>
      </c>
      <c r="L3560" s="52">
        <f t="shared" si="111"/>
        <v>27</v>
      </c>
    </row>
    <row r="3561" spans="1:12">
      <c r="A3561" s="21" t="s">
        <v>778</v>
      </c>
      <c r="B3561" t="s">
        <v>346</v>
      </c>
      <c r="C3561" t="s">
        <v>352</v>
      </c>
      <c r="D3561" s="3" t="s">
        <v>860</v>
      </c>
      <c r="E3561" s="4">
        <v>3.0000000000000001E-3</v>
      </c>
      <c r="F3561" s="4" t="s">
        <v>176</v>
      </c>
      <c r="G3561" s="9">
        <v>2000</v>
      </c>
      <c r="H3561" s="9">
        <f t="shared" si="110"/>
        <v>6</v>
      </c>
      <c r="I3561" t="s">
        <v>779</v>
      </c>
      <c r="J3561" s="33">
        <v>0</v>
      </c>
      <c r="K3561" s="18">
        <f>VLOOKUP(D3561,Ingredients!C:G,5,0)</f>
        <v>1900</v>
      </c>
      <c r="L3561" s="52">
        <f t="shared" si="111"/>
        <v>5.7</v>
      </c>
    </row>
    <row r="3562" spans="1:12">
      <c r="A3562" s="21" t="s">
        <v>778</v>
      </c>
      <c r="B3562" t="s">
        <v>346</v>
      </c>
      <c r="C3562" t="s">
        <v>352</v>
      </c>
      <c r="D3562" s="3" t="s">
        <v>35</v>
      </c>
      <c r="E3562" s="4">
        <v>0.1</v>
      </c>
      <c r="F3562" s="4" t="s">
        <v>176</v>
      </c>
      <c r="G3562" s="9">
        <v>13</v>
      </c>
      <c r="H3562" s="9">
        <f t="shared" si="110"/>
        <v>1.3</v>
      </c>
      <c r="I3562" t="s">
        <v>779</v>
      </c>
      <c r="J3562" s="33">
        <v>0</v>
      </c>
      <c r="K3562" s="18">
        <f>VLOOKUP(D3562,Ingredients!C:G,5,0)</f>
        <v>15</v>
      </c>
      <c r="L3562" s="52">
        <f t="shared" si="111"/>
        <v>1.5</v>
      </c>
    </row>
    <row r="3563" spans="1:12">
      <c r="A3563" s="21" t="s">
        <v>778</v>
      </c>
      <c r="B3563" t="s">
        <v>346</v>
      </c>
      <c r="C3563" t="s">
        <v>352</v>
      </c>
      <c r="D3563" s="3" t="s">
        <v>853</v>
      </c>
      <c r="E3563" s="4">
        <v>0.03</v>
      </c>
      <c r="F3563" s="4" t="s">
        <v>176</v>
      </c>
      <c r="G3563" s="9">
        <v>30</v>
      </c>
      <c r="H3563" s="9">
        <f t="shared" si="110"/>
        <v>0.89999999999999991</v>
      </c>
      <c r="I3563" t="s">
        <v>779</v>
      </c>
      <c r="J3563" s="33">
        <v>0</v>
      </c>
      <c r="K3563" s="18">
        <f>VLOOKUP(D3563,Ingredients!C:G,5,0)</f>
        <v>55</v>
      </c>
      <c r="L3563" s="52">
        <f t="shared" si="111"/>
        <v>1.65</v>
      </c>
    </row>
    <row r="3564" spans="1:12">
      <c r="A3564" s="21" t="s">
        <v>781</v>
      </c>
      <c r="B3564" t="s">
        <v>348</v>
      </c>
      <c r="C3564" t="s">
        <v>354</v>
      </c>
      <c r="D3564" s="3" t="s">
        <v>780</v>
      </c>
      <c r="E3564" s="49">
        <v>2.9166666666666664E-2</v>
      </c>
      <c r="F3564" s="4" t="s">
        <v>179</v>
      </c>
      <c r="G3564" s="9">
        <v>311.5</v>
      </c>
      <c r="H3564" s="9">
        <f t="shared" si="110"/>
        <v>9.0854166666666654</v>
      </c>
      <c r="I3564" t="s">
        <v>253</v>
      </c>
      <c r="J3564" s="33">
        <v>0</v>
      </c>
      <c r="K3564" s="18">
        <f>VLOOKUP(D3564,Ingredients!C:G,5,0)</f>
        <v>312</v>
      </c>
      <c r="L3564" s="52">
        <f t="shared" si="111"/>
        <v>9.1</v>
      </c>
    </row>
    <row r="3565" spans="1:12">
      <c r="A3565" s="21" t="s">
        <v>781</v>
      </c>
      <c r="B3565" t="s">
        <v>348</v>
      </c>
      <c r="C3565" t="s">
        <v>354</v>
      </c>
      <c r="D3565" s="3" t="s">
        <v>852</v>
      </c>
      <c r="E3565" s="49">
        <v>0.01</v>
      </c>
      <c r="F3565" s="4" t="s">
        <v>179</v>
      </c>
      <c r="G3565" s="9">
        <v>520.63</v>
      </c>
      <c r="H3565" s="9">
        <f t="shared" si="110"/>
        <v>5.2062999999999997</v>
      </c>
      <c r="I3565" t="s">
        <v>253</v>
      </c>
      <c r="J3565" s="33">
        <v>0</v>
      </c>
      <c r="K3565" s="18">
        <v>550</v>
      </c>
      <c r="L3565" s="52">
        <f t="shared" si="111"/>
        <v>5.5</v>
      </c>
    </row>
    <row r="3566" spans="1:12">
      <c r="A3566" s="21" t="s">
        <v>781</v>
      </c>
      <c r="B3566" t="s">
        <v>348</v>
      </c>
      <c r="C3566" t="s">
        <v>354</v>
      </c>
      <c r="D3566" s="3" t="s">
        <v>902</v>
      </c>
      <c r="E3566" s="49">
        <v>1.25E-3</v>
      </c>
      <c r="F3566" s="4" t="s">
        <v>179</v>
      </c>
      <c r="G3566" s="9">
        <v>662.5</v>
      </c>
      <c r="H3566" s="9">
        <f t="shared" si="110"/>
        <v>0.828125</v>
      </c>
      <c r="I3566" t="s">
        <v>253</v>
      </c>
      <c r="J3566" s="33">
        <v>0</v>
      </c>
      <c r="K3566" s="18">
        <f>VLOOKUP(D3566,Ingredients!C:G,5,0)</f>
        <v>700</v>
      </c>
      <c r="L3566" s="52">
        <f t="shared" si="111"/>
        <v>0.875</v>
      </c>
    </row>
    <row r="3567" spans="1:12">
      <c r="A3567" s="21" t="s">
        <v>781</v>
      </c>
      <c r="B3567" t="s">
        <v>348</v>
      </c>
      <c r="C3567" t="s">
        <v>354</v>
      </c>
      <c r="D3567" s="3" t="s">
        <v>855</v>
      </c>
      <c r="E3567" s="49">
        <v>3.3333333333333332E-4</v>
      </c>
      <c r="F3567" s="4" t="s">
        <v>179</v>
      </c>
      <c r="G3567" s="9">
        <v>2400</v>
      </c>
      <c r="H3567" s="9">
        <f t="shared" si="110"/>
        <v>0.79999999999999993</v>
      </c>
      <c r="I3567" t="s">
        <v>253</v>
      </c>
      <c r="J3567" s="33">
        <v>0</v>
      </c>
      <c r="K3567" s="18">
        <f>VLOOKUP(D3567,Ingredients!C:G,5,0)</f>
        <v>1600</v>
      </c>
      <c r="L3567" s="52">
        <f t="shared" si="111"/>
        <v>0.53333333333333333</v>
      </c>
    </row>
    <row r="3568" spans="1:12">
      <c r="A3568" s="21" t="s">
        <v>781</v>
      </c>
      <c r="B3568" t="s">
        <v>348</v>
      </c>
      <c r="C3568" t="s">
        <v>354</v>
      </c>
      <c r="D3568" s="3" t="s">
        <v>16</v>
      </c>
      <c r="E3568" s="49">
        <v>3.3333333333333332E-4</v>
      </c>
      <c r="F3568" s="4" t="s">
        <v>179</v>
      </c>
      <c r="G3568" s="9">
        <v>270</v>
      </c>
      <c r="H3568" s="9">
        <f t="shared" si="110"/>
        <v>0.09</v>
      </c>
      <c r="I3568" t="s">
        <v>253</v>
      </c>
      <c r="J3568" s="33">
        <v>0</v>
      </c>
      <c r="K3568" s="18">
        <f>VLOOKUP(D3568,Ingredients!C:G,5,0)</f>
        <v>310</v>
      </c>
      <c r="L3568" s="52">
        <f t="shared" si="111"/>
        <v>0.10333333333333333</v>
      </c>
    </row>
    <row r="3569" spans="1:12">
      <c r="A3569" s="21" t="s">
        <v>781</v>
      </c>
      <c r="B3569" t="s">
        <v>348</v>
      </c>
      <c r="C3569" t="s">
        <v>354</v>
      </c>
      <c r="D3569" s="3" t="s">
        <v>23</v>
      </c>
      <c r="E3569" s="49">
        <v>3.3333333333333332E-4</v>
      </c>
      <c r="F3569" s="4" t="s">
        <v>179</v>
      </c>
      <c r="G3569" s="9">
        <v>740</v>
      </c>
      <c r="H3569" s="9">
        <f t="shared" si="110"/>
        <v>0.24666666666666665</v>
      </c>
      <c r="I3569" t="s">
        <v>253</v>
      </c>
      <c r="J3569" s="33">
        <v>0</v>
      </c>
      <c r="K3569" s="18">
        <f>VLOOKUP(D3569,Ingredients!C:G,5,0)</f>
        <v>780</v>
      </c>
      <c r="L3569" s="52">
        <f t="shared" si="111"/>
        <v>0.26</v>
      </c>
    </row>
    <row r="3570" spans="1:12">
      <c r="A3570" s="21" t="s">
        <v>781</v>
      </c>
      <c r="B3570" t="s">
        <v>348</v>
      </c>
      <c r="C3570" t="s">
        <v>354</v>
      </c>
      <c r="D3570" s="3" t="s">
        <v>867</v>
      </c>
      <c r="E3570" s="49">
        <v>6.6666666666666664E-4</v>
      </c>
      <c r="F3570" s="4" t="s">
        <v>179</v>
      </c>
      <c r="G3570" s="9">
        <v>900</v>
      </c>
      <c r="H3570" s="9">
        <f t="shared" si="110"/>
        <v>0.6</v>
      </c>
      <c r="I3570" t="s">
        <v>253</v>
      </c>
      <c r="J3570" s="33">
        <v>0</v>
      </c>
      <c r="K3570" s="18">
        <f>VLOOKUP(D3570,Ingredients!C:G,5,0)</f>
        <v>950</v>
      </c>
      <c r="L3570" s="52">
        <f t="shared" si="111"/>
        <v>0.6333333333333333</v>
      </c>
    </row>
    <row r="3571" spans="1:12">
      <c r="A3571" s="21" t="s">
        <v>781</v>
      </c>
      <c r="B3571" t="s">
        <v>348</v>
      </c>
      <c r="C3571" t="s">
        <v>354</v>
      </c>
      <c r="D3571" s="3" t="s">
        <v>860</v>
      </c>
      <c r="E3571" s="49">
        <v>3.3333333333333332E-4</v>
      </c>
      <c r="F3571" s="4" t="s">
        <v>179</v>
      </c>
      <c r="G3571" s="9">
        <v>2000</v>
      </c>
      <c r="H3571" s="9">
        <f t="shared" si="110"/>
        <v>0.66666666666666663</v>
      </c>
      <c r="I3571" t="s">
        <v>253</v>
      </c>
      <c r="J3571" s="33">
        <v>0</v>
      </c>
      <c r="K3571" s="18">
        <f>VLOOKUP(D3571,Ingredients!C:G,5,0)</f>
        <v>1900</v>
      </c>
      <c r="L3571" s="52">
        <f t="shared" si="111"/>
        <v>0.6333333333333333</v>
      </c>
    </row>
    <row r="3572" spans="1:12">
      <c r="A3572" s="21" t="s">
        <v>781</v>
      </c>
      <c r="B3572" t="s">
        <v>348</v>
      </c>
      <c r="C3572" t="s">
        <v>354</v>
      </c>
      <c r="D3572" s="3" t="s">
        <v>882</v>
      </c>
      <c r="E3572" s="49">
        <v>2.5000000000000001E-4</v>
      </c>
      <c r="F3572" s="4" t="s">
        <v>179</v>
      </c>
      <c r="G3572" s="9">
        <v>1500</v>
      </c>
      <c r="H3572" s="9">
        <f t="shared" si="110"/>
        <v>0.375</v>
      </c>
      <c r="I3572" t="s">
        <v>253</v>
      </c>
      <c r="J3572" s="33">
        <v>0</v>
      </c>
      <c r="K3572" s="18">
        <f>VLOOKUP(D3572,Ingredients!C:G,5,0)</f>
        <v>1450</v>
      </c>
      <c r="L3572" s="52">
        <f t="shared" si="111"/>
        <v>0.36249999999999999</v>
      </c>
    </row>
    <row r="3573" spans="1:12">
      <c r="A3573" s="21" t="s">
        <v>781</v>
      </c>
      <c r="B3573" t="s">
        <v>348</v>
      </c>
      <c r="C3573" t="s">
        <v>354</v>
      </c>
      <c r="D3573" s="3" t="s">
        <v>35</v>
      </c>
      <c r="E3573" s="49">
        <v>8.3333333333333332E-3</v>
      </c>
      <c r="F3573" s="4" t="s">
        <v>252</v>
      </c>
      <c r="G3573" s="9">
        <v>13</v>
      </c>
      <c r="H3573" s="9">
        <f t="shared" si="110"/>
        <v>0.10833333333333334</v>
      </c>
      <c r="I3573" t="s">
        <v>253</v>
      </c>
      <c r="J3573" s="33">
        <v>0</v>
      </c>
      <c r="K3573" s="18">
        <f>VLOOKUP(D3573,Ingredients!C:G,5,0)</f>
        <v>15</v>
      </c>
      <c r="L3573" s="52">
        <f t="shared" si="111"/>
        <v>0.125</v>
      </c>
    </row>
    <row r="3574" spans="1:12">
      <c r="A3574" s="21" t="s">
        <v>781</v>
      </c>
      <c r="B3574" t="s">
        <v>348</v>
      </c>
      <c r="C3574" t="s">
        <v>354</v>
      </c>
      <c r="D3574" s="3" t="s">
        <v>96</v>
      </c>
      <c r="E3574" s="49">
        <v>3.3333333333333335E-3</v>
      </c>
      <c r="F3574" s="4" t="s">
        <v>179</v>
      </c>
      <c r="G3574" s="9">
        <v>160</v>
      </c>
      <c r="H3574" s="9">
        <f t="shared" si="110"/>
        <v>0.53333333333333333</v>
      </c>
      <c r="I3574" t="s">
        <v>253</v>
      </c>
      <c r="J3574" s="33">
        <v>0</v>
      </c>
      <c r="K3574" s="18">
        <f>VLOOKUP(D3574,Ingredients!C:G,5,0)</f>
        <v>120</v>
      </c>
      <c r="L3574" s="52">
        <f t="shared" si="111"/>
        <v>0.4</v>
      </c>
    </row>
    <row r="3575" spans="1:12">
      <c r="A3575" s="21" t="s">
        <v>781</v>
      </c>
      <c r="B3575" t="s">
        <v>348</v>
      </c>
      <c r="C3575" t="s">
        <v>354</v>
      </c>
      <c r="D3575" s="3" t="s">
        <v>29</v>
      </c>
      <c r="E3575" s="49">
        <v>1.6666666666666668E-3</v>
      </c>
      <c r="F3575" s="4" t="s">
        <v>179</v>
      </c>
      <c r="G3575" s="9">
        <v>60</v>
      </c>
      <c r="H3575" s="9">
        <f t="shared" si="110"/>
        <v>0.1</v>
      </c>
      <c r="I3575" t="s">
        <v>253</v>
      </c>
      <c r="J3575" s="33">
        <v>0</v>
      </c>
      <c r="K3575" s="18">
        <f>VLOOKUP(D3575,Ingredients!C:G,5,0)</f>
        <v>100</v>
      </c>
      <c r="L3575" s="52">
        <f t="shared" si="111"/>
        <v>0.16666666666666669</v>
      </c>
    </row>
    <row r="3576" spans="1:12">
      <c r="A3576" s="21" t="s">
        <v>781</v>
      </c>
      <c r="B3576" t="s">
        <v>348</v>
      </c>
      <c r="C3576" t="s">
        <v>354</v>
      </c>
      <c r="D3576" s="3" t="s">
        <v>95</v>
      </c>
      <c r="E3576" s="49">
        <v>2.5000000000000001E-3</v>
      </c>
      <c r="F3576" s="4" t="s">
        <v>179</v>
      </c>
      <c r="G3576" s="9">
        <v>140</v>
      </c>
      <c r="H3576" s="9">
        <f t="shared" si="110"/>
        <v>0.35000000000000003</v>
      </c>
      <c r="I3576" t="s">
        <v>253</v>
      </c>
      <c r="J3576" s="33">
        <v>0</v>
      </c>
      <c r="K3576" s="18">
        <f>VLOOKUP(D3576,Ingredients!C:G,5,0)</f>
        <v>90</v>
      </c>
      <c r="L3576" s="52">
        <f t="shared" si="111"/>
        <v>0.22500000000000001</v>
      </c>
    </row>
    <row r="3577" spans="1:12">
      <c r="A3577" s="21" t="s">
        <v>781</v>
      </c>
      <c r="B3577" t="s">
        <v>348</v>
      </c>
      <c r="C3577" t="s">
        <v>354</v>
      </c>
      <c r="D3577" s="3" t="s">
        <v>15</v>
      </c>
      <c r="E3577" s="49">
        <v>3.3333333333333335E-3</v>
      </c>
      <c r="F3577" s="4" t="s">
        <v>179</v>
      </c>
      <c r="G3577" s="9">
        <v>130</v>
      </c>
      <c r="H3577" s="9">
        <f t="shared" si="110"/>
        <v>0.43333333333333335</v>
      </c>
      <c r="I3577" t="s">
        <v>253</v>
      </c>
      <c r="J3577" s="33">
        <v>0</v>
      </c>
      <c r="K3577" s="18">
        <f>VLOOKUP(D3577,Ingredients!C:G,5,0)</f>
        <v>90</v>
      </c>
      <c r="L3577" s="52">
        <f t="shared" si="111"/>
        <v>0.30000000000000004</v>
      </c>
    </row>
    <row r="3578" spans="1:12">
      <c r="A3578" s="21" t="s">
        <v>781</v>
      </c>
      <c r="B3578" t="s">
        <v>348</v>
      </c>
      <c r="C3578" t="s">
        <v>354</v>
      </c>
      <c r="D3578" s="3" t="s">
        <v>94</v>
      </c>
      <c r="E3578" s="49">
        <v>8.3333333333333332E-3</v>
      </c>
      <c r="F3578" s="4" t="s">
        <v>179</v>
      </c>
      <c r="G3578" s="9">
        <v>90</v>
      </c>
      <c r="H3578" s="9">
        <f t="shared" si="110"/>
        <v>0.75</v>
      </c>
      <c r="I3578" t="s">
        <v>253</v>
      </c>
      <c r="J3578" s="33">
        <v>0</v>
      </c>
      <c r="K3578" s="18">
        <f>VLOOKUP(D3578,Ingredients!C:G,5,0)</f>
        <v>40</v>
      </c>
      <c r="L3578" s="52">
        <f t="shared" si="111"/>
        <v>0.33333333333333331</v>
      </c>
    </row>
    <row r="3579" spans="1:12">
      <c r="A3579" s="21" t="s">
        <v>784</v>
      </c>
      <c r="B3579" t="s">
        <v>362</v>
      </c>
      <c r="C3579" t="s">
        <v>354</v>
      </c>
      <c r="D3579" s="3" t="s">
        <v>28</v>
      </c>
      <c r="E3579" s="4">
        <v>0.36</v>
      </c>
      <c r="F3579" s="4" t="s">
        <v>179</v>
      </c>
      <c r="G3579" s="9">
        <v>85</v>
      </c>
      <c r="H3579" s="9">
        <f t="shared" si="110"/>
        <v>30.599999999999998</v>
      </c>
      <c r="I3579" t="s">
        <v>179</v>
      </c>
      <c r="J3579" s="33">
        <v>0</v>
      </c>
      <c r="K3579" s="18">
        <f>VLOOKUP(D3579,Ingredients!C:G,5,0)</f>
        <v>70</v>
      </c>
      <c r="L3579" s="52">
        <f t="shared" si="111"/>
        <v>25.2</v>
      </c>
    </row>
    <row r="3580" spans="1:12">
      <c r="A3580" s="21" t="s">
        <v>784</v>
      </c>
      <c r="B3580" t="s">
        <v>362</v>
      </c>
      <c r="C3580" t="s">
        <v>354</v>
      </c>
      <c r="D3580" s="3" t="s">
        <v>14</v>
      </c>
      <c r="E3580" s="4">
        <v>0.6</v>
      </c>
      <c r="F3580" s="4" t="s">
        <v>179</v>
      </c>
      <c r="G3580" s="9">
        <v>120</v>
      </c>
      <c r="H3580" s="9">
        <f t="shared" ref="H3580:H3643" si="112">G3580*E3580</f>
        <v>72</v>
      </c>
      <c r="I3580" t="s">
        <v>179</v>
      </c>
      <c r="J3580" s="33">
        <v>0</v>
      </c>
      <c r="K3580" s="18">
        <f>VLOOKUP(D3580,Ingredients!C:G,5,0)</f>
        <v>60</v>
      </c>
      <c r="L3580" s="52">
        <f t="shared" si="111"/>
        <v>36</v>
      </c>
    </row>
    <row r="3581" spans="1:12">
      <c r="A3581" s="21" t="s">
        <v>784</v>
      </c>
      <c r="B3581" t="s">
        <v>362</v>
      </c>
      <c r="C3581" t="s">
        <v>354</v>
      </c>
      <c r="D3581" s="3" t="s">
        <v>502</v>
      </c>
      <c r="E3581" s="4">
        <v>0.13</v>
      </c>
      <c r="F3581" s="4" t="s">
        <v>179</v>
      </c>
      <c r="G3581" s="9">
        <v>500</v>
      </c>
      <c r="H3581" s="9">
        <f t="shared" si="112"/>
        <v>65</v>
      </c>
      <c r="I3581" t="s">
        <v>179</v>
      </c>
      <c r="J3581" s="33">
        <v>0</v>
      </c>
      <c r="K3581" s="18">
        <f>VLOOKUP(D3581,Ingredients!C:G,5,0)</f>
        <v>130</v>
      </c>
      <c r="L3581" s="52">
        <f t="shared" si="111"/>
        <v>16.900000000000002</v>
      </c>
    </row>
    <row r="3582" spans="1:12">
      <c r="A3582" s="21" t="s">
        <v>784</v>
      </c>
      <c r="B3582" t="s">
        <v>362</v>
      </c>
      <c r="C3582" t="s">
        <v>354</v>
      </c>
      <c r="D3582" s="3" t="s">
        <v>24</v>
      </c>
      <c r="E3582" s="4">
        <v>0.125</v>
      </c>
      <c r="F3582" s="4" t="s">
        <v>179</v>
      </c>
      <c r="G3582" s="9">
        <v>55</v>
      </c>
      <c r="H3582" s="9">
        <f t="shared" si="112"/>
        <v>6.875</v>
      </c>
      <c r="I3582" t="s">
        <v>179</v>
      </c>
      <c r="J3582" s="33">
        <v>0</v>
      </c>
      <c r="K3582" s="18">
        <f>VLOOKUP(D3582,Ingredients!C:G,5,0)</f>
        <v>80</v>
      </c>
      <c r="L3582" s="52">
        <f t="shared" si="111"/>
        <v>10</v>
      </c>
    </row>
    <row r="3583" spans="1:12">
      <c r="A3583" s="21" t="s">
        <v>784</v>
      </c>
      <c r="B3583" t="s">
        <v>362</v>
      </c>
      <c r="C3583" t="s">
        <v>354</v>
      </c>
      <c r="D3583" s="3" t="s">
        <v>497</v>
      </c>
      <c r="E3583" s="4">
        <v>0.03</v>
      </c>
      <c r="F3583" s="4" t="s">
        <v>179</v>
      </c>
      <c r="G3583" s="9">
        <v>350</v>
      </c>
      <c r="H3583" s="9">
        <f t="shared" si="112"/>
        <v>10.5</v>
      </c>
      <c r="I3583" t="s">
        <v>179</v>
      </c>
      <c r="J3583" s="33">
        <v>0</v>
      </c>
      <c r="K3583" s="18">
        <f>VLOOKUP(D3583,Ingredients!C:G,5,0)</f>
        <v>400</v>
      </c>
      <c r="L3583" s="52">
        <f t="shared" si="111"/>
        <v>12</v>
      </c>
    </row>
    <row r="3584" spans="1:12">
      <c r="A3584" s="21" t="s">
        <v>784</v>
      </c>
      <c r="B3584" t="s">
        <v>362</v>
      </c>
      <c r="C3584" t="s">
        <v>354</v>
      </c>
      <c r="D3584" s="3" t="s">
        <v>868</v>
      </c>
      <c r="E3584" s="4">
        <v>0.05</v>
      </c>
      <c r="F3584" s="4" t="s">
        <v>190</v>
      </c>
      <c r="G3584" s="9">
        <v>5432.77</v>
      </c>
      <c r="H3584" s="9">
        <f t="shared" si="112"/>
        <v>271.63850000000002</v>
      </c>
      <c r="I3584" t="s">
        <v>179</v>
      </c>
      <c r="J3584" s="33">
        <v>0</v>
      </c>
      <c r="K3584" s="18">
        <f>VLOOKUP(D3584,Ingredients!C:G,5,0)</f>
        <v>3200</v>
      </c>
      <c r="L3584" s="52">
        <f t="shared" si="111"/>
        <v>160</v>
      </c>
    </row>
    <row r="3585" spans="1:12">
      <c r="A3585" s="21" t="s">
        <v>784</v>
      </c>
      <c r="B3585" t="s">
        <v>362</v>
      </c>
      <c r="C3585" t="s">
        <v>354</v>
      </c>
      <c r="D3585" s="3" t="s">
        <v>310</v>
      </c>
      <c r="E3585" s="4">
        <v>0.05</v>
      </c>
      <c r="F3585" s="4" t="s">
        <v>190</v>
      </c>
      <c r="G3585" s="9">
        <v>425</v>
      </c>
      <c r="H3585" s="9">
        <f t="shared" si="112"/>
        <v>21.25</v>
      </c>
      <c r="I3585" t="s">
        <v>179</v>
      </c>
      <c r="J3585" s="33">
        <v>0</v>
      </c>
      <c r="K3585" s="18">
        <f>VLOOKUP(D3585,Ingredients!C:G,5,0)</f>
        <v>850</v>
      </c>
      <c r="L3585" s="52">
        <f t="shared" si="111"/>
        <v>42.5</v>
      </c>
    </row>
    <row r="3586" spans="1:12">
      <c r="A3586" s="21" t="s">
        <v>784</v>
      </c>
      <c r="B3586" t="s">
        <v>362</v>
      </c>
      <c r="C3586" t="s">
        <v>354</v>
      </c>
      <c r="D3586" s="3" t="s">
        <v>853</v>
      </c>
      <c r="E3586" s="4">
        <v>3.0000000000000001E-3</v>
      </c>
      <c r="F3586" s="4" t="s">
        <v>179</v>
      </c>
      <c r="G3586" s="9">
        <v>30</v>
      </c>
      <c r="H3586" s="9">
        <f t="shared" si="112"/>
        <v>0.09</v>
      </c>
      <c r="I3586" t="s">
        <v>179</v>
      </c>
      <c r="J3586" s="33">
        <v>0</v>
      </c>
      <c r="K3586" s="18">
        <f>VLOOKUP(D3586,Ingredients!C:G,5,0)</f>
        <v>55</v>
      </c>
      <c r="L3586" s="52">
        <f t="shared" si="111"/>
        <v>0.16500000000000001</v>
      </c>
    </row>
    <row r="3587" spans="1:12">
      <c r="A3587" s="21" t="s">
        <v>784</v>
      </c>
      <c r="B3587" t="s">
        <v>362</v>
      </c>
      <c r="C3587" t="s">
        <v>354</v>
      </c>
      <c r="D3587" s="3" t="s">
        <v>882</v>
      </c>
      <c r="E3587" s="4">
        <v>4.0000000000000001E-3</v>
      </c>
      <c r="F3587" s="4" t="s">
        <v>179</v>
      </c>
      <c r="G3587" s="9">
        <v>1500</v>
      </c>
      <c r="H3587" s="9">
        <f t="shared" si="112"/>
        <v>6</v>
      </c>
      <c r="I3587" t="s">
        <v>179</v>
      </c>
      <c r="J3587" s="33">
        <v>0</v>
      </c>
      <c r="K3587" s="18">
        <f>VLOOKUP(D3587,Ingredients!C:G,5,0)</f>
        <v>1450</v>
      </c>
      <c r="L3587" s="52">
        <f t="shared" si="111"/>
        <v>5.8</v>
      </c>
    </row>
    <row r="3588" spans="1:12">
      <c r="A3588" s="21" t="s">
        <v>784</v>
      </c>
      <c r="B3588" t="s">
        <v>362</v>
      </c>
      <c r="C3588" t="s">
        <v>354</v>
      </c>
      <c r="D3588" s="3" t="s">
        <v>896</v>
      </c>
      <c r="E3588" s="4">
        <v>0.06</v>
      </c>
      <c r="F3588" s="4" t="s">
        <v>179</v>
      </c>
      <c r="G3588" s="9">
        <v>330</v>
      </c>
      <c r="H3588" s="9">
        <f t="shared" si="112"/>
        <v>19.8</v>
      </c>
      <c r="I3588" t="s">
        <v>179</v>
      </c>
      <c r="J3588" s="33">
        <v>0</v>
      </c>
      <c r="K3588" s="18">
        <f>VLOOKUP(D3588,Ingredients!C:G,5,0)</f>
        <v>1650</v>
      </c>
      <c r="L3588" s="52">
        <f t="shared" ref="L3588:L3651" si="113">K3588*E3588</f>
        <v>99</v>
      </c>
    </row>
    <row r="3589" spans="1:12">
      <c r="A3589" s="21" t="s">
        <v>784</v>
      </c>
      <c r="B3589" t="s">
        <v>362</v>
      </c>
      <c r="C3589" t="s">
        <v>354</v>
      </c>
      <c r="D3589" s="3" t="s">
        <v>889</v>
      </c>
      <c r="E3589" s="4">
        <v>0.03</v>
      </c>
      <c r="F3589" s="4" t="s">
        <v>179</v>
      </c>
      <c r="G3589" s="9">
        <v>1648.3235294117644</v>
      </c>
      <c r="H3589" s="9">
        <f t="shared" si="112"/>
        <v>49.44970588235293</v>
      </c>
      <c r="I3589" t="s">
        <v>179</v>
      </c>
      <c r="J3589" s="33">
        <v>0</v>
      </c>
      <c r="K3589" s="18">
        <f>VLOOKUP(D3589,Ingredients!C:F,3,0)</f>
        <v>560.42999999999995</v>
      </c>
      <c r="L3589" s="52">
        <f t="shared" si="113"/>
        <v>16.812899999999999</v>
      </c>
    </row>
    <row r="3590" spans="1:12">
      <c r="A3590" s="21" t="s">
        <v>785</v>
      </c>
      <c r="B3590" t="s">
        <v>356</v>
      </c>
      <c r="C3590" t="s">
        <v>356</v>
      </c>
      <c r="D3590" s="3" t="s">
        <v>904</v>
      </c>
      <c r="E3590" s="4">
        <v>0.12</v>
      </c>
      <c r="F3590" s="4" t="s">
        <v>179</v>
      </c>
      <c r="G3590" s="9">
        <v>1260</v>
      </c>
      <c r="H3590" s="9">
        <f t="shared" si="112"/>
        <v>151.19999999999999</v>
      </c>
      <c r="I3590" t="s">
        <v>179</v>
      </c>
      <c r="J3590" s="33">
        <v>0</v>
      </c>
      <c r="K3590" s="18">
        <f>VLOOKUP(D3590,Ingredients!C:G,5,0)</f>
        <v>1280</v>
      </c>
      <c r="L3590" s="52">
        <f t="shared" si="113"/>
        <v>153.6</v>
      </c>
    </row>
    <row r="3591" spans="1:12">
      <c r="A3591" s="21" t="s">
        <v>785</v>
      </c>
      <c r="B3591" t="s">
        <v>356</v>
      </c>
      <c r="C3591" t="s">
        <v>356</v>
      </c>
      <c r="D3591" s="3" t="s">
        <v>865</v>
      </c>
      <c r="E3591" s="4">
        <v>0.05</v>
      </c>
      <c r="F3591" s="4" t="s">
        <v>179</v>
      </c>
      <c r="G3591" s="9">
        <v>1400</v>
      </c>
      <c r="H3591" s="9">
        <f t="shared" si="112"/>
        <v>70</v>
      </c>
      <c r="I3591" t="s">
        <v>179</v>
      </c>
      <c r="J3591" s="33">
        <v>0</v>
      </c>
      <c r="K3591" s="18">
        <f>VLOOKUP(D3591,Ingredients!C:G,5,0)</f>
        <v>1400</v>
      </c>
      <c r="L3591" s="52">
        <f t="shared" si="113"/>
        <v>70</v>
      </c>
    </row>
    <row r="3592" spans="1:12">
      <c r="A3592" s="21" t="s">
        <v>785</v>
      </c>
      <c r="B3592" t="s">
        <v>356</v>
      </c>
      <c r="C3592" t="s">
        <v>356</v>
      </c>
      <c r="D3592" s="3" t="s">
        <v>906</v>
      </c>
      <c r="E3592" s="4">
        <v>0.35</v>
      </c>
      <c r="F3592" s="4" t="s">
        <v>179</v>
      </c>
      <c r="G3592" s="9">
        <v>700</v>
      </c>
      <c r="H3592" s="9">
        <f t="shared" si="112"/>
        <v>244.99999999999997</v>
      </c>
      <c r="I3592" t="s">
        <v>179</v>
      </c>
      <c r="J3592" s="33">
        <v>0</v>
      </c>
      <c r="K3592" s="18">
        <f>VLOOKUP(D3592,Ingredients!C:G,5,0)</f>
        <v>750</v>
      </c>
      <c r="L3592" s="52">
        <f t="shared" si="113"/>
        <v>262.5</v>
      </c>
    </row>
    <row r="3593" spans="1:12">
      <c r="A3593" s="21" t="s">
        <v>785</v>
      </c>
      <c r="B3593" t="s">
        <v>356</v>
      </c>
      <c r="C3593" t="s">
        <v>356</v>
      </c>
      <c r="D3593" s="3" t="s">
        <v>851</v>
      </c>
      <c r="E3593" s="4">
        <v>0.2</v>
      </c>
      <c r="F3593" s="13" t="s">
        <v>176</v>
      </c>
      <c r="G3593" s="9">
        <v>177</v>
      </c>
      <c r="H3593" s="9">
        <f t="shared" si="112"/>
        <v>35.4</v>
      </c>
      <c r="I3593" t="s">
        <v>179</v>
      </c>
      <c r="J3593" s="33">
        <v>0</v>
      </c>
      <c r="K3593" s="18">
        <f>VLOOKUP(D3593,Ingredients!C:G,5,0)</f>
        <v>920</v>
      </c>
      <c r="L3593" s="52">
        <f t="shared" si="113"/>
        <v>184</v>
      </c>
    </row>
    <row r="3594" spans="1:12">
      <c r="A3594" s="21" t="s">
        <v>785</v>
      </c>
      <c r="B3594" t="s">
        <v>356</v>
      </c>
      <c r="C3594" t="s">
        <v>356</v>
      </c>
      <c r="D3594" s="3" t="s">
        <v>892</v>
      </c>
      <c r="E3594" s="4">
        <v>0.05</v>
      </c>
      <c r="F3594" s="4" t="s">
        <v>179</v>
      </c>
      <c r="G3594" s="9">
        <v>2000</v>
      </c>
      <c r="H3594" s="9">
        <f t="shared" si="112"/>
        <v>100</v>
      </c>
      <c r="I3594" t="s">
        <v>179</v>
      </c>
      <c r="J3594" s="33">
        <v>0</v>
      </c>
      <c r="K3594" s="18">
        <f>VLOOKUP(D3594,Ingredients!C:G,5,0)</f>
        <v>2080</v>
      </c>
      <c r="L3594" s="52">
        <f t="shared" si="113"/>
        <v>104</v>
      </c>
    </row>
    <row r="3595" spans="1:12">
      <c r="A3595" s="21" t="s">
        <v>785</v>
      </c>
      <c r="B3595" t="s">
        <v>356</v>
      </c>
      <c r="C3595" t="s">
        <v>356</v>
      </c>
      <c r="D3595" s="3" t="s">
        <v>830</v>
      </c>
      <c r="E3595" s="4">
        <v>0.12</v>
      </c>
      <c r="F3595" s="4" t="s">
        <v>179</v>
      </c>
      <c r="G3595" s="9">
        <v>149</v>
      </c>
      <c r="H3595" s="9">
        <f t="shared" si="112"/>
        <v>17.88</v>
      </c>
      <c r="I3595" t="s">
        <v>179</v>
      </c>
      <c r="J3595" s="33">
        <v>0</v>
      </c>
      <c r="K3595" s="18">
        <f>VLOOKUP(D3595,Ingredients!C:G,5,0)</f>
        <v>123</v>
      </c>
      <c r="L3595" s="52">
        <f t="shared" si="113"/>
        <v>14.76</v>
      </c>
    </row>
    <row r="3596" spans="1:12">
      <c r="A3596" s="21" t="s">
        <v>785</v>
      </c>
      <c r="B3596" t="s">
        <v>356</v>
      </c>
      <c r="C3596" t="s">
        <v>356</v>
      </c>
      <c r="D3596" s="3" t="s">
        <v>786</v>
      </c>
      <c r="E3596" s="4">
        <v>5.0000000000000001E-3</v>
      </c>
      <c r="F3596" s="4" t="s">
        <v>179</v>
      </c>
      <c r="G3596" s="9">
        <v>66.67</v>
      </c>
      <c r="H3596" s="9">
        <f t="shared" si="112"/>
        <v>0.33335000000000004</v>
      </c>
      <c r="I3596" t="s">
        <v>179</v>
      </c>
      <c r="J3596" s="33">
        <v>0</v>
      </c>
      <c r="K3596" s="18">
        <f>VLOOKUP(D3596,Ingredients!C:G,5,0)</f>
        <v>834</v>
      </c>
      <c r="L3596" s="52">
        <f t="shared" si="113"/>
        <v>4.17</v>
      </c>
    </row>
    <row r="3597" spans="1:12">
      <c r="A3597" s="21" t="s">
        <v>450</v>
      </c>
      <c r="B3597" t="s">
        <v>356</v>
      </c>
      <c r="C3597" t="s">
        <v>356</v>
      </c>
      <c r="D3597" s="3" t="s">
        <v>913</v>
      </c>
      <c r="E3597" s="4">
        <v>1</v>
      </c>
      <c r="F3597" s="4" t="s">
        <v>190</v>
      </c>
      <c r="G3597" s="9">
        <v>229.16666666666666</v>
      </c>
      <c r="H3597" s="9">
        <f t="shared" si="112"/>
        <v>229.16666666666666</v>
      </c>
      <c r="I3597" t="s">
        <v>190</v>
      </c>
      <c r="J3597" s="33">
        <v>0</v>
      </c>
      <c r="K3597" s="18">
        <f>VLOOKUP(D3597,Ingredients!C:F,3,0)</f>
        <v>343.75</v>
      </c>
      <c r="L3597" s="52">
        <f t="shared" si="113"/>
        <v>343.75</v>
      </c>
    </row>
    <row r="3598" spans="1:12">
      <c r="A3598" s="21" t="s">
        <v>450</v>
      </c>
      <c r="B3598" t="s">
        <v>356</v>
      </c>
      <c r="C3598" t="s">
        <v>356</v>
      </c>
      <c r="D3598" s="3" t="s">
        <v>906</v>
      </c>
      <c r="E3598" s="4">
        <v>0.27350000000000002</v>
      </c>
      <c r="F3598" s="4" t="s">
        <v>179</v>
      </c>
      <c r="G3598" s="9">
        <v>700</v>
      </c>
      <c r="H3598" s="9">
        <f t="shared" si="112"/>
        <v>191.45000000000002</v>
      </c>
      <c r="I3598" t="s">
        <v>190</v>
      </c>
      <c r="J3598" s="33">
        <v>0</v>
      </c>
      <c r="K3598" s="18">
        <f>VLOOKUP(D3598,Ingredients!C:G,5,0)</f>
        <v>750</v>
      </c>
      <c r="L3598" s="52">
        <f t="shared" si="113"/>
        <v>205.12500000000003</v>
      </c>
    </row>
    <row r="3599" spans="1:12">
      <c r="A3599" s="21" t="s">
        <v>450</v>
      </c>
      <c r="B3599" t="s">
        <v>356</v>
      </c>
      <c r="C3599" t="s">
        <v>356</v>
      </c>
      <c r="D3599" s="3" t="s">
        <v>835</v>
      </c>
      <c r="E3599" s="4">
        <v>1.4999999999999999E-2</v>
      </c>
      <c r="F3599" s="4" t="s">
        <v>179</v>
      </c>
      <c r="G3599" s="9">
        <v>389.34</v>
      </c>
      <c r="H3599" s="9">
        <f t="shared" si="112"/>
        <v>5.8400999999999996</v>
      </c>
      <c r="I3599" t="s">
        <v>190</v>
      </c>
      <c r="J3599" s="33">
        <v>0</v>
      </c>
      <c r="K3599" s="18">
        <f>VLOOKUP(D3599,Ingredients!C:G,5,0)</f>
        <v>394.63</v>
      </c>
      <c r="L3599" s="52">
        <f t="shared" si="113"/>
        <v>5.9194499999999994</v>
      </c>
    </row>
    <row r="3600" spans="1:12">
      <c r="A3600" s="21" t="s">
        <v>450</v>
      </c>
      <c r="B3600" t="s">
        <v>356</v>
      </c>
      <c r="C3600" t="s">
        <v>356</v>
      </c>
      <c r="D3600" s="3" t="s">
        <v>919</v>
      </c>
      <c r="E3600" s="4">
        <v>5.7500000000000002E-2</v>
      </c>
      <c r="F3600" s="4" t="s">
        <v>179</v>
      </c>
      <c r="G3600" s="9">
        <v>91.67</v>
      </c>
      <c r="H3600" s="9">
        <f t="shared" si="112"/>
        <v>5.2710250000000007</v>
      </c>
      <c r="I3600" t="s">
        <v>190</v>
      </c>
      <c r="J3600" s="33">
        <v>0</v>
      </c>
      <c r="K3600" s="18">
        <f>VLOOKUP(D3600,Ingredients!C:G,5,0)</f>
        <v>617.14285714285722</v>
      </c>
      <c r="L3600" s="52">
        <f t="shared" si="113"/>
        <v>35.485714285714295</v>
      </c>
    </row>
    <row r="3601" spans="1:12">
      <c r="A3601" s="21" t="s">
        <v>450</v>
      </c>
      <c r="B3601" t="s">
        <v>356</v>
      </c>
      <c r="C3601" t="s">
        <v>356</v>
      </c>
      <c r="D3601" s="3" t="s">
        <v>963</v>
      </c>
      <c r="E3601" s="4">
        <v>0.04</v>
      </c>
      <c r="F3601" s="4" t="s">
        <v>179</v>
      </c>
      <c r="G3601" s="9">
        <v>110</v>
      </c>
      <c r="H3601" s="9">
        <f t="shared" si="112"/>
        <v>4.4000000000000004</v>
      </c>
      <c r="I3601" t="s">
        <v>190</v>
      </c>
      <c r="J3601" s="33">
        <v>0</v>
      </c>
      <c r="K3601" s="18">
        <f>VLOOKUP(D3601,Ingredients!C:G,5,0)</f>
        <v>1350</v>
      </c>
      <c r="L3601" s="52">
        <f t="shared" si="113"/>
        <v>54</v>
      </c>
    </row>
    <row r="3602" spans="1:12">
      <c r="A3602" s="21" t="s">
        <v>450</v>
      </c>
      <c r="B3602" t="s">
        <v>356</v>
      </c>
      <c r="C3602" t="s">
        <v>356</v>
      </c>
      <c r="D3602" s="3" t="s">
        <v>963</v>
      </c>
      <c r="E3602" s="4">
        <v>0.04</v>
      </c>
      <c r="F3602" s="4" t="s">
        <v>179</v>
      </c>
      <c r="G3602" s="9">
        <v>110</v>
      </c>
      <c r="H3602" s="9">
        <f t="shared" si="112"/>
        <v>4.4000000000000004</v>
      </c>
      <c r="I3602" t="s">
        <v>190</v>
      </c>
      <c r="J3602" s="33">
        <v>0</v>
      </c>
      <c r="K3602" s="18">
        <f>VLOOKUP(D3602,Ingredients!C:G,5,0)</f>
        <v>1350</v>
      </c>
      <c r="L3602" s="52">
        <f t="shared" si="113"/>
        <v>54</v>
      </c>
    </row>
    <row r="3603" spans="1:12">
      <c r="A3603" s="21" t="s">
        <v>450</v>
      </c>
      <c r="B3603" t="s">
        <v>356</v>
      </c>
      <c r="C3603" t="s">
        <v>356</v>
      </c>
      <c r="D3603" s="3" t="s">
        <v>851</v>
      </c>
      <c r="E3603" s="4">
        <v>0.1</v>
      </c>
      <c r="F3603" s="13" t="s">
        <v>176</v>
      </c>
      <c r="G3603" s="9">
        <v>177</v>
      </c>
      <c r="H3603" s="9">
        <f t="shared" si="112"/>
        <v>17.7</v>
      </c>
      <c r="I3603" t="s">
        <v>190</v>
      </c>
      <c r="J3603" s="33">
        <v>0</v>
      </c>
      <c r="K3603" s="18">
        <f>VLOOKUP(D3603,Ingredients!C:G,5,0)</f>
        <v>920</v>
      </c>
      <c r="L3603" s="52">
        <f t="shared" si="113"/>
        <v>92</v>
      </c>
    </row>
    <row r="3604" spans="1:12">
      <c r="A3604" s="21" t="s">
        <v>450</v>
      </c>
      <c r="B3604" t="s">
        <v>356</v>
      </c>
      <c r="C3604" t="s">
        <v>356</v>
      </c>
      <c r="D3604" s="3" t="s">
        <v>848</v>
      </c>
      <c r="E3604" s="4">
        <v>0.125</v>
      </c>
      <c r="F3604" s="4" t="s">
        <v>179</v>
      </c>
      <c r="G3604" s="9">
        <v>1100</v>
      </c>
      <c r="H3604" s="9">
        <f t="shared" si="112"/>
        <v>137.5</v>
      </c>
      <c r="I3604" t="s">
        <v>190</v>
      </c>
      <c r="J3604" s="33">
        <v>0</v>
      </c>
      <c r="K3604" s="18">
        <f>VLOOKUP(D3604,Ingredients!C:G,5,0)</f>
        <v>1100</v>
      </c>
      <c r="L3604" s="52">
        <f t="shared" si="113"/>
        <v>137.5</v>
      </c>
    </row>
    <row r="3605" spans="1:12">
      <c r="A3605" s="21" t="s">
        <v>789</v>
      </c>
      <c r="B3605" t="s">
        <v>346</v>
      </c>
      <c r="C3605" t="s">
        <v>351</v>
      </c>
      <c r="D3605" s="3" t="s">
        <v>144</v>
      </c>
      <c r="E3605" s="4">
        <v>1</v>
      </c>
      <c r="F3605" s="4" t="s">
        <v>179</v>
      </c>
      <c r="G3605" s="9">
        <v>110</v>
      </c>
      <c r="H3605" s="9">
        <f t="shared" si="112"/>
        <v>110</v>
      </c>
      <c r="I3605" t="s">
        <v>179</v>
      </c>
      <c r="J3605" s="33">
        <v>0</v>
      </c>
      <c r="K3605" s="18">
        <f>VLOOKUP(D3605,Ingredients!C:G,5,0)</f>
        <v>100</v>
      </c>
      <c r="L3605" s="52">
        <f t="shared" si="113"/>
        <v>100</v>
      </c>
    </row>
    <row r="3606" spans="1:12">
      <c r="A3606" s="21" t="s">
        <v>789</v>
      </c>
      <c r="B3606" t="s">
        <v>346</v>
      </c>
      <c r="C3606" t="s">
        <v>351</v>
      </c>
      <c r="D3606" s="3" t="s">
        <v>852</v>
      </c>
      <c r="E3606" s="4">
        <v>0.36</v>
      </c>
      <c r="F3606" s="4" t="s">
        <v>179</v>
      </c>
      <c r="G3606" s="9">
        <v>520.63</v>
      </c>
      <c r="H3606" s="9">
        <f t="shared" si="112"/>
        <v>187.42679999999999</v>
      </c>
      <c r="I3606" t="s">
        <v>179</v>
      </c>
      <c r="J3606" s="33">
        <v>0</v>
      </c>
      <c r="K3606" s="18">
        <v>550</v>
      </c>
      <c r="L3606" s="52">
        <f t="shared" si="113"/>
        <v>198</v>
      </c>
    </row>
    <row r="3607" spans="1:12">
      <c r="A3607" s="21" t="s">
        <v>789</v>
      </c>
      <c r="B3607" t="s">
        <v>346</v>
      </c>
      <c r="C3607" t="s">
        <v>351</v>
      </c>
      <c r="D3607" s="3" t="s">
        <v>880</v>
      </c>
      <c r="E3607" s="4">
        <v>3.2000000000000001E-2</v>
      </c>
      <c r="F3607" s="4" t="s">
        <v>179</v>
      </c>
      <c r="G3607" s="9">
        <v>650</v>
      </c>
      <c r="H3607" s="9">
        <f t="shared" si="112"/>
        <v>20.8</v>
      </c>
      <c r="I3607" t="s">
        <v>179</v>
      </c>
      <c r="J3607" s="33">
        <v>0</v>
      </c>
      <c r="K3607" s="18">
        <f>VLOOKUP(D3607,Ingredients!C:G,5,0)</f>
        <v>520</v>
      </c>
      <c r="L3607" s="52">
        <f t="shared" si="113"/>
        <v>16.64</v>
      </c>
    </row>
    <row r="3608" spans="1:12">
      <c r="A3608" s="21" t="s">
        <v>789</v>
      </c>
      <c r="B3608" t="s">
        <v>346</v>
      </c>
      <c r="C3608" t="s">
        <v>351</v>
      </c>
      <c r="D3608" s="3" t="s">
        <v>895</v>
      </c>
      <c r="E3608" s="4">
        <v>0.12</v>
      </c>
      <c r="F3608" s="4" t="s">
        <v>179</v>
      </c>
      <c r="G3608" s="9">
        <v>400</v>
      </c>
      <c r="H3608" s="9">
        <f t="shared" si="112"/>
        <v>48</v>
      </c>
      <c r="I3608" t="s">
        <v>179</v>
      </c>
      <c r="J3608" s="33">
        <v>0</v>
      </c>
      <c r="K3608" s="18">
        <f>VLOOKUP(D3608,Ingredients!C:G,5,0)</f>
        <v>400</v>
      </c>
      <c r="L3608" s="52">
        <f t="shared" si="113"/>
        <v>48</v>
      </c>
    </row>
    <row r="3609" spans="1:12">
      <c r="A3609" s="21" t="s">
        <v>789</v>
      </c>
      <c r="B3609" t="s">
        <v>346</v>
      </c>
      <c r="C3609" t="s">
        <v>351</v>
      </c>
      <c r="D3609" s="3" t="s">
        <v>925</v>
      </c>
      <c r="E3609" s="4">
        <v>0.06</v>
      </c>
      <c r="F3609" s="4" t="s">
        <v>179</v>
      </c>
      <c r="G3609" s="9">
        <v>1150</v>
      </c>
      <c r="H3609" s="9">
        <f t="shared" si="112"/>
        <v>69</v>
      </c>
      <c r="I3609" t="s">
        <v>179</v>
      </c>
      <c r="J3609" s="33">
        <v>0</v>
      </c>
      <c r="K3609" s="18">
        <f>VLOOKUP(D3609,Ingredients!C:G,5,0)</f>
        <v>1100</v>
      </c>
      <c r="L3609" s="52">
        <f t="shared" si="113"/>
        <v>66</v>
      </c>
    </row>
    <row r="3610" spans="1:12">
      <c r="A3610" s="21" t="s">
        <v>789</v>
      </c>
      <c r="B3610" t="s">
        <v>346</v>
      </c>
      <c r="C3610" t="s">
        <v>351</v>
      </c>
      <c r="D3610" s="3" t="s">
        <v>860</v>
      </c>
      <c r="E3610" s="4">
        <v>3.2000000000000001E-2</v>
      </c>
      <c r="F3610" s="4" t="s">
        <v>179</v>
      </c>
      <c r="G3610" s="9">
        <v>2000</v>
      </c>
      <c r="H3610" s="9">
        <f t="shared" si="112"/>
        <v>64</v>
      </c>
      <c r="I3610" t="s">
        <v>179</v>
      </c>
      <c r="J3610" s="33">
        <v>0</v>
      </c>
      <c r="K3610" s="18">
        <f>VLOOKUP(D3610,Ingredients!C:G,5,0)</f>
        <v>1900</v>
      </c>
      <c r="L3610" s="52">
        <f t="shared" si="113"/>
        <v>60.800000000000004</v>
      </c>
    </row>
    <row r="3611" spans="1:12">
      <c r="A3611" s="21" t="s">
        <v>789</v>
      </c>
      <c r="B3611" t="s">
        <v>346</v>
      </c>
      <c r="C3611" t="s">
        <v>351</v>
      </c>
      <c r="D3611" s="3" t="s">
        <v>31</v>
      </c>
      <c r="E3611" s="4">
        <v>0.06</v>
      </c>
      <c r="F3611" s="4" t="s">
        <v>179</v>
      </c>
      <c r="G3611" s="9">
        <v>200</v>
      </c>
      <c r="H3611" s="9">
        <f t="shared" si="112"/>
        <v>12</v>
      </c>
      <c r="I3611" t="s">
        <v>179</v>
      </c>
      <c r="J3611" s="33">
        <v>0</v>
      </c>
      <c r="K3611" s="18">
        <f>VLOOKUP(D3611,Ingredients!C:G,5,0)</f>
        <v>350</v>
      </c>
      <c r="L3611" s="52">
        <f t="shared" si="113"/>
        <v>21</v>
      </c>
    </row>
    <row r="3612" spans="1:12">
      <c r="A3612" s="21" t="s">
        <v>789</v>
      </c>
      <c r="B3612" t="s">
        <v>346</v>
      </c>
      <c r="C3612" t="s">
        <v>351</v>
      </c>
      <c r="D3612" s="3" t="s">
        <v>887</v>
      </c>
      <c r="E3612" s="4">
        <v>0.06</v>
      </c>
      <c r="F3612" s="4" t="s">
        <v>179</v>
      </c>
      <c r="G3612" s="9">
        <v>1600</v>
      </c>
      <c r="H3612" s="9">
        <f t="shared" si="112"/>
        <v>96</v>
      </c>
      <c r="I3612" t="s">
        <v>179</v>
      </c>
      <c r="J3612" s="33">
        <v>0</v>
      </c>
      <c r="K3612" s="18">
        <f>VLOOKUP(D3612,Ingredients!C:G,5,0)</f>
        <v>1830</v>
      </c>
      <c r="L3612" s="52">
        <f t="shared" si="113"/>
        <v>109.8</v>
      </c>
    </row>
    <row r="3613" spans="1:12">
      <c r="A3613" s="21" t="s">
        <v>789</v>
      </c>
      <c r="B3613" t="s">
        <v>346</v>
      </c>
      <c r="C3613" t="s">
        <v>351</v>
      </c>
      <c r="D3613" s="3" t="s">
        <v>923</v>
      </c>
      <c r="E3613" s="4">
        <v>0.06</v>
      </c>
      <c r="F3613" s="4" t="s">
        <v>179</v>
      </c>
      <c r="G3613" s="9">
        <v>100</v>
      </c>
      <c r="H3613" s="9">
        <f t="shared" si="112"/>
        <v>6</v>
      </c>
      <c r="I3613" t="s">
        <v>179</v>
      </c>
      <c r="J3613" s="33">
        <v>0</v>
      </c>
      <c r="K3613" s="18">
        <f>VLOOKUP(D3613,Ingredients!C:G,5,0)</f>
        <v>1000</v>
      </c>
      <c r="L3613" s="52">
        <f t="shared" si="113"/>
        <v>60</v>
      </c>
    </row>
    <row r="3614" spans="1:12">
      <c r="A3614" s="21" t="s">
        <v>789</v>
      </c>
      <c r="B3614" t="s">
        <v>346</v>
      </c>
      <c r="C3614" t="s">
        <v>351</v>
      </c>
      <c r="D3614" s="3" t="s">
        <v>853</v>
      </c>
      <c r="E3614" s="4">
        <v>0.06</v>
      </c>
      <c r="F3614" s="4" t="s">
        <v>179</v>
      </c>
      <c r="G3614" s="9">
        <v>30</v>
      </c>
      <c r="H3614" s="9">
        <f t="shared" si="112"/>
        <v>1.7999999999999998</v>
      </c>
      <c r="I3614" t="s">
        <v>179</v>
      </c>
      <c r="J3614" s="33">
        <v>0</v>
      </c>
      <c r="K3614" s="18">
        <f>VLOOKUP(D3614,Ingredients!C:G,5,0)</f>
        <v>55</v>
      </c>
      <c r="L3614" s="52">
        <f t="shared" si="113"/>
        <v>3.3</v>
      </c>
    </row>
    <row r="3615" spans="1:12">
      <c r="A3615" s="21" t="s">
        <v>790</v>
      </c>
      <c r="B3615" t="s">
        <v>349</v>
      </c>
      <c r="C3615" t="s">
        <v>454</v>
      </c>
      <c r="D3615" s="3" t="s">
        <v>837</v>
      </c>
      <c r="E3615" s="4">
        <v>1</v>
      </c>
      <c r="F3615" s="4" t="s">
        <v>179</v>
      </c>
      <c r="G3615" s="9">
        <v>1700</v>
      </c>
      <c r="H3615" s="9">
        <f t="shared" si="112"/>
        <v>1700</v>
      </c>
      <c r="I3615" t="s">
        <v>179</v>
      </c>
      <c r="J3615" s="33" t="s">
        <v>514</v>
      </c>
      <c r="K3615" s="18">
        <f>VLOOKUP(D3615,Ingredients!C:G,5,0)</f>
        <v>1800</v>
      </c>
      <c r="L3615" s="52">
        <f t="shared" si="113"/>
        <v>1800</v>
      </c>
    </row>
    <row r="3616" spans="1:12">
      <c r="A3616" s="21" t="s">
        <v>790</v>
      </c>
      <c r="B3616" t="s">
        <v>349</v>
      </c>
      <c r="C3616" t="s">
        <v>454</v>
      </c>
      <c r="D3616" s="3" t="s">
        <v>852</v>
      </c>
      <c r="E3616" s="4">
        <v>0.1</v>
      </c>
      <c r="F3616" s="4" t="s">
        <v>190</v>
      </c>
      <c r="G3616" s="9">
        <v>520.63</v>
      </c>
      <c r="H3616" s="9">
        <f t="shared" si="112"/>
        <v>52.063000000000002</v>
      </c>
      <c r="I3616" t="s">
        <v>179</v>
      </c>
      <c r="J3616" s="33" t="s">
        <v>514</v>
      </c>
      <c r="K3616" s="18">
        <v>550</v>
      </c>
      <c r="L3616" s="52">
        <f t="shared" si="113"/>
        <v>55</v>
      </c>
    </row>
    <row r="3617" spans="1:12">
      <c r="A3617" s="21" t="s">
        <v>790</v>
      </c>
      <c r="B3617" t="s">
        <v>349</v>
      </c>
      <c r="C3617" t="s">
        <v>454</v>
      </c>
      <c r="D3617" s="3" t="s">
        <v>853</v>
      </c>
      <c r="E3617" s="4">
        <v>0.03</v>
      </c>
      <c r="F3617" s="4" t="s">
        <v>179</v>
      </c>
      <c r="G3617" s="9">
        <v>30</v>
      </c>
      <c r="H3617" s="9">
        <f t="shared" si="112"/>
        <v>0.89999999999999991</v>
      </c>
      <c r="I3617" t="s">
        <v>179</v>
      </c>
      <c r="J3617" s="33" t="s">
        <v>514</v>
      </c>
      <c r="K3617" s="18">
        <f>VLOOKUP(D3617,Ingredients!C:G,5,0)</f>
        <v>55</v>
      </c>
      <c r="L3617" s="52">
        <f t="shared" si="113"/>
        <v>1.65</v>
      </c>
    </row>
    <row r="3618" spans="1:12">
      <c r="A3618" s="21" t="s">
        <v>790</v>
      </c>
      <c r="B3618" t="s">
        <v>349</v>
      </c>
      <c r="C3618" t="s">
        <v>454</v>
      </c>
      <c r="D3618" s="3" t="s">
        <v>29</v>
      </c>
      <c r="E3618" s="4">
        <v>2.5000000000000001E-2</v>
      </c>
      <c r="F3618" s="4" t="s">
        <v>179</v>
      </c>
      <c r="G3618" s="9">
        <v>60</v>
      </c>
      <c r="H3618" s="9">
        <f t="shared" si="112"/>
        <v>1.5</v>
      </c>
      <c r="I3618" t="s">
        <v>179</v>
      </c>
      <c r="J3618" s="33" t="s">
        <v>514</v>
      </c>
      <c r="K3618" s="18">
        <f>VLOOKUP(D3618,Ingredients!C:G,5,0)</f>
        <v>100</v>
      </c>
      <c r="L3618" s="52">
        <f t="shared" si="113"/>
        <v>2.5</v>
      </c>
    </row>
    <row r="3619" spans="1:12">
      <c r="A3619" s="21" t="s">
        <v>790</v>
      </c>
      <c r="B3619" t="s">
        <v>349</v>
      </c>
      <c r="C3619" t="s">
        <v>454</v>
      </c>
      <c r="D3619" s="3" t="s">
        <v>28</v>
      </c>
      <c r="E3619" s="4">
        <v>0.6</v>
      </c>
      <c r="F3619" s="4" t="s">
        <v>179</v>
      </c>
      <c r="G3619" s="9">
        <v>85</v>
      </c>
      <c r="H3619" s="9">
        <f t="shared" si="112"/>
        <v>51</v>
      </c>
      <c r="I3619" t="s">
        <v>179</v>
      </c>
      <c r="J3619" s="33" t="s">
        <v>514</v>
      </c>
      <c r="K3619" s="18">
        <f>VLOOKUP(D3619,Ingredients!C:G,5,0)</f>
        <v>70</v>
      </c>
      <c r="L3619" s="52">
        <f t="shared" si="113"/>
        <v>42</v>
      </c>
    </row>
    <row r="3620" spans="1:12">
      <c r="A3620" s="21" t="s">
        <v>790</v>
      </c>
      <c r="B3620" t="s">
        <v>349</v>
      </c>
      <c r="C3620" t="s">
        <v>454</v>
      </c>
      <c r="D3620" s="3" t="s">
        <v>23</v>
      </c>
      <c r="E3620" s="4">
        <v>1.4999999999999999E-2</v>
      </c>
      <c r="F3620" s="4" t="s">
        <v>179</v>
      </c>
      <c r="G3620" s="9">
        <v>740</v>
      </c>
      <c r="H3620" s="9">
        <f t="shared" si="112"/>
        <v>11.1</v>
      </c>
      <c r="I3620" t="s">
        <v>179</v>
      </c>
      <c r="J3620" s="33" t="s">
        <v>514</v>
      </c>
      <c r="K3620" s="18">
        <f>VLOOKUP(D3620,Ingredients!C:G,5,0)</f>
        <v>780</v>
      </c>
      <c r="L3620" s="52">
        <f t="shared" si="113"/>
        <v>11.7</v>
      </c>
    </row>
    <row r="3621" spans="1:12">
      <c r="A3621" s="21" t="s">
        <v>790</v>
      </c>
      <c r="B3621" t="s">
        <v>349</v>
      </c>
      <c r="C3621" t="s">
        <v>454</v>
      </c>
      <c r="D3621" s="3" t="s">
        <v>16</v>
      </c>
      <c r="E3621" s="4">
        <v>0.03</v>
      </c>
      <c r="F3621" s="4" t="s">
        <v>179</v>
      </c>
      <c r="G3621" s="9">
        <v>270</v>
      </c>
      <c r="H3621" s="9">
        <f t="shared" si="112"/>
        <v>8.1</v>
      </c>
      <c r="I3621" t="s">
        <v>179</v>
      </c>
      <c r="J3621" s="33" t="s">
        <v>514</v>
      </c>
      <c r="K3621" s="18">
        <f>VLOOKUP(D3621,Ingredients!C:G,5,0)</f>
        <v>310</v>
      </c>
      <c r="L3621" s="52">
        <f t="shared" si="113"/>
        <v>9.2999999999999989</v>
      </c>
    </row>
    <row r="3622" spans="1:12">
      <c r="A3622" s="21" t="s">
        <v>790</v>
      </c>
      <c r="B3622" t="s">
        <v>349</v>
      </c>
      <c r="C3622" t="s">
        <v>454</v>
      </c>
      <c r="D3622" s="3" t="s">
        <v>73</v>
      </c>
      <c r="E3622" s="4">
        <v>0.1</v>
      </c>
      <c r="F3622" s="4" t="s">
        <v>179</v>
      </c>
      <c r="G3622" s="9">
        <v>305</v>
      </c>
      <c r="H3622" s="9">
        <f t="shared" si="112"/>
        <v>30.5</v>
      </c>
      <c r="I3622" t="s">
        <v>179</v>
      </c>
      <c r="J3622" s="33" t="s">
        <v>514</v>
      </c>
      <c r="K3622" s="18">
        <f>VLOOKUP(D3622,Ingredients!C:G,5,0)</f>
        <v>300</v>
      </c>
      <c r="L3622" s="52">
        <f t="shared" si="113"/>
        <v>30</v>
      </c>
    </row>
    <row r="3623" spans="1:12">
      <c r="A3623" s="21" t="s">
        <v>790</v>
      </c>
      <c r="B3623" t="s">
        <v>349</v>
      </c>
      <c r="C3623" t="s">
        <v>454</v>
      </c>
      <c r="D3623" s="3" t="s">
        <v>882</v>
      </c>
      <c r="E3623" s="4">
        <v>0.03</v>
      </c>
      <c r="F3623" s="4" t="s">
        <v>179</v>
      </c>
      <c r="G3623" s="9">
        <v>1500</v>
      </c>
      <c r="H3623" s="9">
        <f t="shared" si="112"/>
        <v>45</v>
      </c>
      <c r="I3623" t="s">
        <v>179</v>
      </c>
      <c r="J3623" s="33" t="s">
        <v>514</v>
      </c>
      <c r="K3623" s="18">
        <f>VLOOKUP(D3623,Ingredients!C:G,5,0)</f>
        <v>1450</v>
      </c>
      <c r="L3623" s="52">
        <f t="shared" si="113"/>
        <v>43.5</v>
      </c>
    </row>
    <row r="3624" spans="1:12">
      <c r="A3624" s="21" t="s">
        <v>790</v>
      </c>
      <c r="B3624" t="s">
        <v>349</v>
      </c>
      <c r="C3624" t="s">
        <v>454</v>
      </c>
      <c r="D3624" s="3" t="s">
        <v>23</v>
      </c>
      <c r="E3624" s="4">
        <v>2.5000000000000001E-2</v>
      </c>
      <c r="F3624" s="4" t="s">
        <v>179</v>
      </c>
      <c r="G3624" s="9">
        <v>740</v>
      </c>
      <c r="H3624" s="9">
        <f t="shared" si="112"/>
        <v>18.5</v>
      </c>
      <c r="I3624" t="s">
        <v>179</v>
      </c>
      <c r="J3624" s="33" t="s">
        <v>514</v>
      </c>
      <c r="K3624" s="18">
        <f>VLOOKUP(D3624,Ingredients!C:G,5,0)</f>
        <v>780</v>
      </c>
      <c r="L3624" s="52">
        <f t="shared" si="113"/>
        <v>19.5</v>
      </c>
    </row>
    <row r="3625" spans="1:12">
      <c r="A3625" s="21" t="s">
        <v>790</v>
      </c>
      <c r="B3625" t="s">
        <v>349</v>
      </c>
      <c r="C3625" t="s">
        <v>454</v>
      </c>
      <c r="D3625" s="3" t="s">
        <v>35</v>
      </c>
      <c r="E3625" s="4">
        <v>0.1</v>
      </c>
      <c r="F3625" s="4" t="s">
        <v>252</v>
      </c>
      <c r="G3625" s="9">
        <v>13</v>
      </c>
      <c r="H3625" s="9">
        <f t="shared" si="112"/>
        <v>1.3</v>
      </c>
      <c r="I3625" t="s">
        <v>179</v>
      </c>
      <c r="J3625" s="33" t="s">
        <v>514</v>
      </c>
      <c r="K3625" s="18">
        <f>VLOOKUP(D3625,Ingredients!C:G,5,0)</f>
        <v>15</v>
      </c>
      <c r="L3625" s="52">
        <f t="shared" si="113"/>
        <v>1.5</v>
      </c>
    </row>
    <row r="3626" spans="1:12">
      <c r="A3626" s="21" t="s">
        <v>791</v>
      </c>
      <c r="B3626" t="s">
        <v>346</v>
      </c>
      <c r="C3626" t="s">
        <v>993</v>
      </c>
      <c r="D3626" s="3" t="s">
        <v>171</v>
      </c>
      <c r="E3626" s="4">
        <v>0.2</v>
      </c>
      <c r="F3626" s="4" t="s">
        <v>179</v>
      </c>
      <c r="G3626" s="9">
        <v>65</v>
      </c>
      <c r="H3626" s="9">
        <f t="shared" si="112"/>
        <v>13</v>
      </c>
      <c r="I3626" t="s">
        <v>678</v>
      </c>
      <c r="J3626" s="33">
        <v>0</v>
      </c>
      <c r="K3626" s="18">
        <f>VLOOKUP(D3626,Ingredients!C:G,5,0)</f>
        <v>80</v>
      </c>
      <c r="L3626" s="52">
        <f t="shared" si="113"/>
        <v>16</v>
      </c>
    </row>
    <row r="3627" spans="1:12">
      <c r="A3627" s="21" t="s">
        <v>791</v>
      </c>
      <c r="B3627" t="s">
        <v>346</v>
      </c>
      <c r="C3627" t="s">
        <v>993</v>
      </c>
      <c r="D3627" s="3" t="s">
        <v>922</v>
      </c>
      <c r="E3627" s="4">
        <v>0.1</v>
      </c>
      <c r="F3627" s="4" t="s">
        <v>179</v>
      </c>
      <c r="G3627" s="9">
        <v>300</v>
      </c>
      <c r="H3627" s="9">
        <f t="shared" si="112"/>
        <v>30</v>
      </c>
      <c r="I3627" t="s">
        <v>678</v>
      </c>
      <c r="J3627" s="33">
        <v>0</v>
      </c>
      <c r="K3627" s="18">
        <f>VLOOKUP(D3627,Ingredients!C:G,5,0)</f>
        <v>315</v>
      </c>
      <c r="L3627" s="52">
        <f t="shared" si="113"/>
        <v>31.5</v>
      </c>
    </row>
    <row r="3628" spans="1:12">
      <c r="A3628" s="21" t="s">
        <v>791</v>
      </c>
      <c r="B3628" t="s">
        <v>346</v>
      </c>
      <c r="C3628" t="s">
        <v>993</v>
      </c>
      <c r="D3628" s="3" t="s">
        <v>852</v>
      </c>
      <c r="E3628" s="4">
        <v>2.5000000000000001E-2</v>
      </c>
      <c r="F3628" s="4" t="s">
        <v>190</v>
      </c>
      <c r="G3628" s="9">
        <v>520.63</v>
      </c>
      <c r="H3628" s="9">
        <f t="shared" si="112"/>
        <v>13.015750000000001</v>
      </c>
      <c r="I3628" t="s">
        <v>678</v>
      </c>
      <c r="J3628" s="33">
        <v>0</v>
      </c>
      <c r="K3628" s="18">
        <v>550</v>
      </c>
      <c r="L3628" s="52">
        <f t="shared" si="113"/>
        <v>13.75</v>
      </c>
    </row>
    <row r="3629" spans="1:12">
      <c r="A3629" s="21" t="s">
        <v>791</v>
      </c>
      <c r="B3629" t="s">
        <v>346</v>
      </c>
      <c r="C3629" t="s">
        <v>993</v>
      </c>
      <c r="D3629" s="3" t="s">
        <v>943</v>
      </c>
      <c r="E3629" s="4">
        <v>0.03</v>
      </c>
      <c r="F3629" s="4" t="s">
        <v>179</v>
      </c>
      <c r="G3629" s="9">
        <v>450</v>
      </c>
      <c r="H3629" s="9">
        <f t="shared" si="112"/>
        <v>13.5</v>
      </c>
      <c r="I3629" t="s">
        <v>678</v>
      </c>
      <c r="J3629" s="33">
        <v>0</v>
      </c>
      <c r="K3629" s="18">
        <f>VLOOKUP(D3629,Ingredients!C:G,5,0)</f>
        <v>450</v>
      </c>
      <c r="L3629" s="52">
        <f t="shared" si="113"/>
        <v>13.5</v>
      </c>
    </row>
    <row r="3630" spans="1:12">
      <c r="A3630" s="21" t="s">
        <v>791</v>
      </c>
      <c r="B3630" t="s">
        <v>346</v>
      </c>
      <c r="C3630" t="s">
        <v>993</v>
      </c>
      <c r="D3630" s="3" t="s">
        <v>35</v>
      </c>
      <c r="E3630" s="4">
        <v>0.15</v>
      </c>
      <c r="F3630" s="4" t="s">
        <v>252</v>
      </c>
      <c r="G3630" s="9">
        <v>13</v>
      </c>
      <c r="H3630" s="9">
        <f t="shared" si="112"/>
        <v>1.95</v>
      </c>
      <c r="I3630" t="s">
        <v>678</v>
      </c>
      <c r="J3630" s="33">
        <v>0</v>
      </c>
      <c r="K3630" s="18">
        <f>VLOOKUP(D3630,Ingredients!C:G,5,0)</f>
        <v>15</v>
      </c>
      <c r="L3630" s="52">
        <f t="shared" si="113"/>
        <v>2.25</v>
      </c>
    </row>
    <row r="3631" spans="1:12">
      <c r="A3631" s="21" t="s">
        <v>791</v>
      </c>
      <c r="B3631" t="s">
        <v>346</v>
      </c>
      <c r="C3631" t="s">
        <v>993</v>
      </c>
      <c r="D3631" s="3" t="s">
        <v>29</v>
      </c>
      <c r="E3631" s="4">
        <v>2.5000000000000001E-2</v>
      </c>
      <c r="F3631" s="4" t="s">
        <v>179</v>
      </c>
      <c r="G3631" s="9">
        <v>60</v>
      </c>
      <c r="H3631" s="9">
        <f t="shared" si="112"/>
        <v>1.5</v>
      </c>
      <c r="I3631" t="s">
        <v>678</v>
      </c>
      <c r="J3631" s="33">
        <v>0</v>
      </c>
      <c r="K3631" s="18">
        <f>VLOOKUP(D3631,Ingredients!C:G,5,0)</f>
        <v>100</v>
      </c>
      <c r="L3631" s="52">
        <f t="shared" si="113"/>
        <v>2.5</v>
      </c>
    </row>
    <row r="3632" spans="1:12">
      <c r="A3632" s="21" t="s">
        <v>791</v>
      </c>
      <c r="B3632" t="s">
        <v>346</v>
      </c>
      <c r="C3632" t="s">
        <v>993</v>
      </c>
      <c r="D3632" s="3" t="s">
        <v>923</v>
      </c>
      <c r="E3632" s="4">
        <v>0.03</v>
      </c>
      <c r="F3632" s="4" t="s">
        <v>179</v>
      </c>
      <c r="G3632" s="9">
        <v>100</v>
      </c>
      <c r="H3632" s="9">
        <f t="shared" si="112"/>
        <v>3</v>
      </c>
      <c r="I3632" t="s">
        <v>678</v>
      </c>
      <c r="J3632" s="33">
        <v>0</v>
      </c>
      <c r="K3632" s="18">
        <f>VLOOKUP(D3632,Ingredients!C:G,5,0)</f>
        <v>1000</v>
      </c>
      <c r="L3632" s="52">
        <f t="shared" si="113"/>
        <v>30</v>
      </c>
    </row>
    <row r="3633" spans="1:12">
      <c r="A3633" s="21" t="s">
        <v>791</v>
      </c>
      <c r="B3633" t="s">
        <v>346</v>
      </c>
      <c r="C3633" t="s">
        <v>993</v>
      </c>
      <c r="D3633" s="3" t="s">
        <v>73</v>
      </c>
      <c r="E3633" s="4">
        <v>0.1</v>
      </c>
      <c r="F3633" s="4" t="s">
        <v>179</v>
      </c>
      <c r="G3633" s="9">
        <v>305</v>
      </c>
      <c r="H3633" s="9">
        <f t="shared" si="112"/>
        <v>30.5</v>
      </c>
      <c r="I3633" t="s">
        <v>678</v>
      </c>
      <c r="J3633" s="33">
        <v>0</v>
      </c>
      <c r="K3633" s="18">
        <f>VLOOKUP(D3633,Ingredients!C:G,5,0)</f>
        <v>300</v>
      </c>
      <c r="L3633" s="52">
        <f t="shared" si="113"/>
        <v>30</v>
      </c>
    </row>
    <row r="3634" spans="1:12">
      <c r="A3634" s="21" t="s">
        <v>791</v>
      </c>
      <c r="B3634" t="s">
        <v>346</v>
      </c>
      <c r="C3634" t="s">
        <v>993</v>
      </c>
      <c r="D3634" s="3" t="s">
        <v>16</v>
      </c>
      <c r="E3634" s="4">
        <v>1.2E-2</v>
      </c>
      <c r="F3634" s="4" t="s">
        <v>179</v>
      </c>
      <c r="G3634" s="9">
        <v>270</v>
      </c>
      <c r="H3634" s="9">
        <f t="shared" si="112"/>
        <v>3.24</v>
      </c>
      <c r="I3634" t="s">
        <v>678</v>
      </c>
      <c r="J3634" s="33">
        <v>0</v>
      </c>
      <c r="K3634" s="18">
        <f>VLOOKUP(D3634,Ingredients!C:G,5,0)</f>
        <v>310</v>
      </c>
      <c r="L3634" s="52">
        <f t="shared" si="113"/>
        <v>3.72</v>
      </c>
    </row>
    <row r="3635" spans="1:12">
      <c r="A3635" s="21" t="s">
        <v>791</v>
      </c>
      <c r="B3635" t="s">
        <v>346</v>
      </c>
      <c r="C3635" t="s">
        <v>993</v>
      </c>
      <c r="D3635" s="3" t="s">
        <v>855</v>
      </c>
      <c r="E3635" s="4">
        <v>4.0000000000000001E-3</v>
      </c>
      <c r="F3635" s="4" t="s">
        <v>179</v>
      </c>
      <c r="G3635" s="9">
        <v>2400</v>
      </c>
      <c r="H3635" s="9">
        <f t="shared" si="112"/>
        <v>9.6</v>
      </c>
      <c r="I3635" t="s">
        <v>678</v>
      </c>
      <c r="J3635" s="33">
        <v>0</v>
      </c>
      <c r="K3635" s="18">
        <f>VLOOKUP(D3635,Ingredients!C:G,5,0)</f>
        <v>1600</v>
      </c>
      <c r="L3635" s="52">
        <f t="shared" si="113"/>
        <v>6.4</v>
      </c>
    </row>
    <row r="3636" spans="1:12">
      <c r="A3636" s="21" t="s">
        <v>793</v>
      </c>
      <c r="B3636" t="s">
        <v>349</v>
      </c>
      <c r="C3636" t="s">
        <v>353</v>
      </c>
      <c r="D3636" s="3" t="s">
        <v>831</v>
      </c>
      <c r="E3636" s="14">
        <v>0.5</v>
      </c>
      <c r="F3636" s="4" t="s">
        <v>179</v>
      </c>
      <c r="G3636" s="9">
        <v>908</v>
      </c>
      <c r="H3636" s="9">
        <f t="shared" si="112"/>
        <v>454</v>
      </c>
      <c r="I3636" t="s">
        <v>179</v>
      </c>
      <c r="J3636" s="33" t="s">
        <v>489</v>
      </c>
      <c r="K3636" s="18">
        <f>VLOOKUP(D3636,Ingredients!C:G,5,0)</f>
        <v>908</v>
      </c>
      <c r="L3636" s="52">
        <f t="shared" si="113"/>
        <v>454</v>
      </c>
    </row>
    <row r="3637" spans="1:12">
      <c r="A3637" s="21" t="s">
        <v>793</v>
      </c>
      <c r="B3637" t="s">
        <v>349</v>
      </c>
      <c r="C3637" t="s">
        <v>353</v>
      </c>
      <c r="D3637" s="3" t="s">
        <v>29</v>
      </c>
      <c r="E3637" s="14">
        <v>2.3333333333333334E-2</v>
      </c>
      <c r="F3637" s="4" t="s">
        <v>179</v>
      </c>
      <c r="G3637" s="9">
        <v>60</v>
      </c>
      <c r="H3637" s="9">
        <f t="shared" si="112"/>
        <v>1.4000000000000001</v>
      </c>
      <c r="I3637" t="s">
        <v>179</v>
      </c>
      <c r="J3637" s="33" t="s">
        <v>489</v>
      </c>
      <c r="K3637" s="18">
        <f>VLOOKUP(D3637,Ingredients!C:G,5,0)</f>
        <v>100</v>
      </c>
      <c r="L3637" s="52">
        <f t="shared" si="113"/>
        <v>2.3333333333333335</v>
      </c>
    </row>
    <row r="3638" spans="1:12">
      <c r="A3638" s="21" t="s">
        <v>793</v>
      </c>
      <c r="B3638" t="s">
        <v>349</v>
      </c>
      <c r="C3638" t="s">
        <v>353</v>
      </c>
      <c r="D3638" s="3" t="s">
        <v>23</v>
      </c>
      <c r="E3638" s="14">
        <v>2.5000000000000001E-2</v>
      </c>
      <c r="F3638" s="4" t="s">
        <v>179</v>
      </c>
      <c r="G3638" s="9">
        <v>740</v>
      </c>
      <c r="H3638" s="9">
        <f t="shared" si="112"/>
        <v>18.5</v>
      </c>
      <c r="I3638" t="s">
        <v>179</v>
      </c>
      <c r="J3638" s="33" t="s">
        <v>489</v>
      </c>
      <c r="K3638" s="18">
        <f>VLOOKUP(D3638,Ingredients!C:G,5,0)</f>
        <v>780</v>
      </c>
      <c r="L3638" s="52">
        <f t="shared" si="113"/>
        <v>19.5</v>
      </c>
    </row>
    <row r="3639" spans="1:12">
      <c r="A3639" s="21" t="s">
        <v>793</v>
      </c>
      <c r="B3639" t="s">
        <v>349</v>
      </c>
      <c r="C3639" t="s">
        <v>353</v>
      </c>
      <c r="D3639" s="3" t="s">
        <v>16</v>
      </c>
      <c r="E3639" s="14">
        <v>2.5000000000000001E-2</v>
      </c>
      <c r="F3639" s="4" t="s">
        <v>179</v>
      </c>
      <c r="G3639" s="9">
        <v>270</v>
      </c>
      <c r="H3639" s="9">
        <f t="shared" si="112"/>
        <v>6.75</v>
      </c>
      <c r="I3639" t="s">
        <v>179</v>
      </c>
      <c r="J3639" s="33" t="s">
        <v>489</v>
      </c>
      <c r="K3639" s="18">
        <f>VLOOKUP(D3639,Ingredients!C:G,5,0)</f>
        <v>310</v>
      </c>
      <c r="L3639" s="52">
        <f t="shared" si="113"/>
        <v>7.75</v>
      </c>
    </row>
    <row r="3640" spans="1:12">
      <c r="A3640" s="21" t="s">
        <v>793</v>
      </c>
      <c r="B3640" t="s">
        <v>349</v>
      </c>
      <c r="C3640" t="s">
        <v>353</v>
      </c>
      <c r="D3640" s="3" t="s">
        <v>24</v>
      </c>
      <c r="E3640" s="14">
        <v>0.11666666666666668</v>
      </c>
      <c r="F3640" s="4" t="s">
        <v>179</v>
      </c>
      <c r="G3640" s="9">
        <v>55</v>
      </c>
      <c r="H3640" s="9">
        <f t="shared" si="112"/>
        <v>6.4166666666666679</v>
      </c>
      <c r="I3640" t="s">
        <v>179</v>
      </c>
      <c r="J3640" s="33" t="s">
        <v>489</v>
      </c>
      <c r="K3640" s="18">
        <f>VLOOKUP(D3640,Ingredients!C:G,5,0)</f>
        <v>80</v>
      </c>
      <c r="L3640" s="52">
        <f t="shared" si="113"/>
        <v>9.3333333333333339</v>
      </c>
    </row>
    <row r="3641" spans="1:12">
      <c r="A3641" s="21" t="s">
        <v>793</v>
      </c>
      <c r="B3641" t="s">
        <v>349</v>
      </c>
      <c r="C3641" t="s">
        <v>353</v>
      </c>
      <c r="D3641" s="3" t="s">
        <v>867</v>
      </c>
      <c r="E3641" s="14">
        <v>2.5000000000000001E-2</v>
      </c>
      <c r="F3641" s="4" t="s">
        <v>179</v>
      </c>
      <c r="G3641" s="9">
        <v>900</v>
      </c>
      <c r="H3641" s="9">
        <f t="shared" si="112"/>
        <v>22.5</v>
      </c>
      <c r="I3641" t="s">
        <v>179</v>
      </c>
      <c r="J3641" s="33" t="s">
        <v>489</v>
      </c>
      <c r="K3641" s="18">
        <f>VLOOKUP(D3641,Ingredients!C:G,5,0)</f>
        <v>950</v>
      </c>
      <c r="L3641" s="52">
        <f t="shared" si="113"/>
        <v>23.75</v>
      </c>
    </row>
    <row r="3642" spans="1:12">
      <c r="A3642" s="21" t="s">
        <v>793</v>
      </c>
      <c r="B3642" t="s">
        <v>349</v>
      </c>
      <c r="C3642" t="s">
        <v>353</v>
      </c>
      <c r="D3642" s="3" t="s">
        <v>853</v>
      </c>
      <c r="E3642" s="14">
        <v>2.5000000000000001E-2</v>
      </c>
      <c r="F3642" s="4" t="s">
        <v>179</v>
      </c>
      <c r="G3642" s="9">
        <v>30</v>
      </c>
      <c r="H3642" s="9">
        <f t="shared" si="112"/>
        <v>0.75</v>
      </c>
      <c r="I3642" t="s">
        <v>179</v>
      </c>
      <c r="J3642" s="33" t="s">
        <v>489</v>
      </c>
      <c r="K3642" s="18">
        <f>VLOOKUP(D3642,Ingredients!C:G,5,0)</f>
        <v>55</v>
      </c>
      <c r="L3642" s="52">
        <f t="shared" si="113"/>
        <v>1.375</v>
      </c>
    </row>
    <row r="3643" spans="1:12">
      <c r="A3643" s="21" t="s">
        <v>793</v>
      </c>
      <c r="B3643" t="s">
        <v>349</v>
      </c>
      <c r="C3643" t="s">
        <v>353</v>
      </c>
      <c r="D3643" s="3" t="s">
        <v>895</v>
      </c>
      <c r="E3643" s="14">
        <v>0.05</v>
      </c>
      <c r="F3643" s="4" t="s">
        <v>179</v>
      </c>
      <c r="G3643" s="9">
        <v>400</v>
      </c>
      <c r="H3643" s="9">
        <f t="shared" si="112"/>
        <v>20</v>
      </c>
      <c r="I3643" t="s">
        <v>179</v>
      </c>
      <c r="J3643" s="33" t="s">
        <v>489</v>
      </c>
      <c r="K3643" s="18">
        <f>VLOOKUP(D3643,Ingredients!C:G,5,0)</f>
        <v>400</v>
      </c>
      <c r="L3643" s="52">
        <f t="shared" si="113"/>
        <v>20</v>
      </c>
    </row>
    <row r="3644" spans="1:12">
      <c r="A3644" s="21" t="s">
        <v>793</v>
      </c>
      <c r="B3644" t="s">
        <v>349</v>
      </c>
      <c r="C3644" t="s">
        <v>353</v>
      </c>
      <c r="D3644" s="3" t="s">
        <v>860</v>
      </c>
      <c r="E3644" s="14">
        <v>1.3333333333333334E-2</v>
      </c>
      <c r="F3644" s="4" t="s">
        <v>179</v>
      </c>
      <c r="G3644" s="9">
        <v>2000</v>
      </c>
      <c r="H3644" s="9">
        <f t="shared" ref="H3644:H3707" si="114">G3644*E3644</f>
        <v>26.666666666666668</v>
      </c>
      <c r="I3644" t="s">
        <v>179</v>
      </c>
      <c r="J3644" s="33" t="s">
        <v>489</v>
      </c>
      <c r="K3644" s="18">
        <f>VLOOKUP(D3644,Ingredients!C:G,5,0)</f>
        <v>1900</v>
      </c>
      <c r="L3644" s="52">
        <f t="shared" si="113"/>
        <v>25.333333333333336</v>
      </c>
    </row>
    <row r="3645" spans="1:12">
      <c r="A3645" s="21" t="s">
        <v>793</v>
      </c>
      <c r="B3645" t="s">
        <v>349</v>
      </c>
      <c r="C3645" t="s">
        <v>353</v>
      </c>
      <c r="D3645" s="3" t="s">
        <v>915</v>
      </c>
      <c r="E3645" s="14">
        <v>5.0000000000000001E-3</v>
      </c>
      <c r="F3645" s="4" t="s">
        <v>179</v>
      </c>
      <c r="G3645" s="9">
        <v>5000</v>
      </c>
      <c r="H3645" s="9">
        <f t="shared" si="114"/>
        <v>25</v>
      </c>
      <c r="I3645" t="s">
        <v>179</v>
      </c>
      <c r="J3645" s="33" t="s">
        <v>489</v>
      </c>
      <c r="K3645" s="18">
        <f>VLOOKUP(D3645,Ingredients!C:G,5,0)</f>
        <v>3200</v>
      </c>
      <c r="L3645" s="52">
        <f t="shared" si="113"/>
        <v>16</v>
      </c>
    </row>
    <row r="3646" spans="1:12">
      <c r="A3646" s="21" t="s">
        <v>793</v>
      </c>
      <c r="B3646" t="s">
        <v>349</v>
      </c>
      <c r="C3646" t="s">
        <v>353</v>
      </c>
      <c r="D3646" s="3" t="s">
        <v>858</v>
      </c>
      <c r="E3646" s="14">
        <v>5.0000000000000001E-3</v>
      </c>
      <c r="F3646" s="4" t="s">
        <v>179</v>
      </c>
      <c r="G3646" s="9">
        <v>1900</v>
      </c>
      <c r="H3646" s="9">
        <f t="shared" si="114"/>
        <v>9.5</v>
      </c>
      <c r="I3646" t="s">
        <v>179</v>
      </c>
      <c r="J3646" s="33" t="s">
        <v>489</v>
      </c>
      <c r="K3646" s="18">
        <f>VLOOKUP(D3646,Ingredients!C:G,5,0)</f>
        <v>1900</v>
      </c>
      <c r="L3646" s="52">
        <f t="shared" si="113"/>
        <v>9.5</v>
      </c>
    </row>
    <row r="3647" spans="1:12">
      <c r="A3647" s="21" t="s">
        <v>793</v>
      </c>
      <c r="B3647" t="s">
        <v>349</v>
      </c>
      <c r="C3647" t="s">
        <v>353</v>
      </c>
      <c r="D3647" s="3" t="s">
        <v>862</v>
      </c>
      <c r="E3647" s="14">
        <v>5.0000000000000001E-3</v>
      </c>
      <c r="F3647" s="4" t="s">
        <v>179</v>
      </c>
      <c r="G3647" s="9">
        <v>6500</v>
      </c>
      <c r="H3647" s="9">
        <f t="shared" si="114"/>
        <v>32.5</v>
      </c>
      <c r="I3647" t="s">
        <v>179</v>
      </c>
      <c r="J3647" s="33" t="s">
        <v>489</v>
      </c>
      <c r="K3647" s="18">
        <f>VLOOKUP(D3647,Ingredients!C:G,5,0)</f>
        <v>6500</v>
      </c>
      <c r="L3647" s="52">
        <f t="shared" si="113"/>
        <v>32.5</v>
      </c>
    </row>
    <row r="3648" spans="1:12">
      <c r="A3648" s="21" t="s">
        <v>793</v>
      </c>
      <c r="B3648" t="s">
        <v>349</v>
      </c>
      <c r="C3648" t="s">
        <v>353</v>
      </c>
      <c r="D3648" s="3" t="s">
        <v>870</v>
      </c>
      <c r="E3648" s="14">
        <v>0.05</v>
      </c>
      <c r="F3648" s="4" t="s">
        <v>179</v>
      </c>
      <c r="G3648" s="9">
        <v>440</v>
      </c>
      <c r="H3648" s="9">
        <f t="shared" si="114"/>
        <v>22</v>
      </c>
      <c r="I3648" t="s">
        <v>179</v>
      </c>
      <c r="J3648" s="33" t="s">
        <v>489</v>
      </c>
      <c r="K3648" s="18">
        <f>VLOOKUP(D3648,Ingredients!C:G,5,0)</f>
        <v>450</v>
      </c>
      <c r="L3648" s="52">
        <f t="shared" si="113"/>
        <v>22.5</v>
      </c>
    </row>
    <row r="3649" spans="1:12">
      <c r="A3649" s="21" t="s">
        <v>793</v>
      </c>
      <c r="B3649" t="s">
        <v>349</v>
      </c>
      <c r="C3649" t="s">
        <v>353</v>
      </c>
      <c r="D3649" s="3" t="s">
        <v>925</v>
      </c>
      <c r="E3649" s="14">
        <v>0.05</v>
      </c>
      <c r="F3649" s="4" t="s">
        <v>179</v>
      </c>
      <c r="G3649" s="9">
        <v>1150</v>
      </c>
      <c r="H3649" s="9">
        <f t="shared" si="114"/>
        <v>57.5</v>
      </c>
      <c r="I3649" t="s">
        <v>179</v>
      </c>
      <c r="J3649" s="33" t="s">
        <v>489</v>
      </c>
      <c r="K3649" s="18">
        <f>VLOOKUP(D3649,Ingredients!C:G,5,0)</f>
        <v>1100</v>
      </c>
      <c r="L3649" s="52">
        <f t="shared" si="113"/>
        <v>55</v>
      </c>
    </row>
    <row r="3650" spans="1:12">
      <c r="A3650" s="21" t="s">
        <v>793</v>
      </c>
      <c r="B3650" t="s">
        <v>349</v>
      </c>
      <c r="C3650" t="s">
        <v>353</v>
      </c>
      <c r="D3650" s="3" t="s">
        <v>884</v>
      </c>
      <c r="E3650" s="14">
        <v>1</v>
      </c>
      <c r="F3650" s="4" t="s">
        <v>179</v>
      </c>
      <c r="G3650" s="9">
        <v>344</v>
      </c>
      <c r="H3650" s="9">
        <f t="shared" si="114"/>
        <v>344</v>
      </c>
      <c r="I3650" t="s">
        <v>179</v>
      </c>
      <c r="J3650" s="33" t="s">
        <v>489</v>
      </c>
      <c r="K3650" s="18">
        <f>VLOOKUP(D3650,Ingredients!C:G,5,0)</f>
        <v>344</v>
      </c>
      <c r="L3650" s="52">
        <f t="shared" si="113"/>
        <v>344</v>
      </c>
    </row>
    <row r="3651" spans="1:12">
      <c r="A3651" s="21" t="s">
        <v>793</v>
      </c>
      <c r="B3651" t="s">
        <v>349</v>
      </c>
      <c r="C3651" t="s">
        <v>353</v>
      </c>
      <c r="D3651" s="3" t="s">
        <v>73</v>
      </c>
      <c r="E3651" s="14">
        <v>0.4</v>
      </c>
      <c r="F3651" s="4" t="s">
        <v>179</v>
      </c>
      <c r="G3651" s="9">
        <v>305</v>
      </c>
      <c r="H3651" s="9">
        <f t="shared" si="114"/>
        <v>122</v>
      </c>
      <c r="I3651" t="s">
        <v>179</v>
      </c>
      <c r="J3651" s="33" t="s">
        <v>489</v>
      </c>
      <c r="K3651" s="18">
        <f>VLOOKUP(D3651,Ingredients!C:G,5,0)</f>
        <v>300</v>
      </c>
      <c r="L3651" s="52">
        <f t="shared" si="113"/>
        <v>120</v>
      </c>
    </row>
    <row r="3652" spans="1:12">
      <c r="A3652" s="21" t="s">
        <v>793</v>
      </c>
      <c r="B3652" t="s">
        <v>349</v>
      </c>
      <c r="C3652" t="s">
        <v>353</v>
      </c>
      <c r="D3652" s="3" t="s">
        <v>852</v>
      </c>
      <c r="E3652" s="14">
        <v>0.19166666666666668</v>
      </c>
      <c r="F3652" s="4" t="s">
        <v>190</v>
      </c>
      <c r="G3652" s="9">
        <v>520.63</v>
      </c>
      <c r="H3652" s="9">
        <f t="shared" si="114"/>
        <v>99.787416666666672</v>
      </c>
      <c r="I3652" t="s">
        <v>179</v>
      </c>
      <c r="J3652" s="33" t="s">
        <v>489</v>
      </c>
      <c r="K3652" s="18">
        <v>550</v>
      </c>
      <c r="L3652" s="52">
        <f t="shared" ref="L3652:L3715" si="115">K3652*E3652</f>
        <v>105.41666666666667</v>
      </c>
    </row>
    <row r="3653" spans="1:12">
      <c r="A3653" s="21" t="s">
        <v>793</v>
      </c>
      <c r="B3653" t="s">
        <v>349</v>
      </c>
      <c r="C3653" t="s">
        <v>353</v>
      </c>
      <c r="D3653" s="3" t="s">
        <v>855</v>
      </c>
      <c r="E3653" s="14">
        <v>1.4999999999999999E-2</v>
      </c>
      <c r="F3653" s="4" t="s">
        <v>179</v>
      </c>
      <c r="G3653" s="9">
        <v>2400</v>
      </c>
      <c r="H3653" s="9">
        <f t="shared" si="114"/>
        <v>36</v>
      </c>
      <c r="I3653" t="s">
        <v>179</v>
      </c>
      <c r="J3653" s="33" t="s">
        <v>489</v>
      </c>
      <c r="K3653" s="18">
        <f>VLOOKUP(D3653,Ingredients!C:G,5,0)</f>
        <v>1600</v>
      </c>
      <c r="L3653" s="52">
        <f t="shared" si="115"/>
        <v>24</v>
      </c>
    </row>
    <row r="3654" spans="1:12">
      <c r="A3654" s="21" t="s">
        <v>793</v>
      </c>
      <c r="B3654" t="s">
        <v>349</v>
      </c>
      <c r="C3654" t="s">
        <v>353</v>
      </c>
      <c r="D3654" s="3" t="s">
        <v>882</v>
      </c>
      <c r="E3654" s="14">
        <v>1.3333333333333334E-2</v>
      </c>
      <c r="F3654" s="4" t="s">
        <v>179</v>
      </c>
      <c r="G3654" s="9">
        <v>1500</v>
      </c>
      <c r="H3654" s="9">
        <f t="shared" si="114"/>
        <v>20</v>
      </c>
      <c r="I3654" t="s">
        <v>179</v>
      </c>
      <c r="J3654" s="33" t="s">
        <v>489</v>
      </c>
      <c r="K3654" s="18">
        <f>VLOOKUP(D3654,Ingredients!C:G,5,0)</f>
        <v>1450</v>
      </c>
      <c r="L3654" s="52">
        <f t="shared" si="115"/>
        <v>19.333333333333336</v>
      </c>
    </row>
    <row r="3655" spans="1:12">
      <c r="A3655" s="21" t="s">
        <v>793</v>
      </c>
      <c r="B3655" t="s">
        <v>349</v>
      </c>
      <c r="C3655" t="s">
        <v>353</v>
      </c>
      <c r="D3655" s="3" t="s">
        <v>24</v>
      </c>
      <c r="E3655" s="14">
        <v>0.25</v>
      </c>
      <c r="F3655" s="4" t="s">
        <v>179</v>
      </c>
      <c r="G3655" s="9">
        <v>55</v>
      </c>
      <c r="H3655" s="9">
        <f t="shared" si="114"/>
        <v>13.75</v>
      </c>
      <c r="I3655" t="s">
        <v>179</v>
      </c>
      <c r="J3655" s="33" t="s">
        <v>489</v>
      </c>
      <c r="K3655" s="18">
        <f>VLOOKUP(D3655,Ingredients!C:G,5,0)</f>
        <v>80</v>
      </c>
      <c r="L3655" s="52">
        <f t="shared" si="115"/>
        <v>20</v>
      </c>
    </row>
    <row r="3656" spans="1:12">
      <c r="A3656" s="21" t="s">
        <v>793</v>
      </c>
      <c r="B3656" t="s">
        <v>349</v>
      </c>
      <c r="C3656" t="s">
        <v>353</v>
      </c>
      <c r="D3656" s="3" t="s">
        <v>955</v>
      </c>
      <c r="E3656" s="14">
        <v>0.01</v>
      </c>
      <c r="F3656" s="4" t="s">
        <v>179</v>
      </c>
      <c r="G3656" s="9">
        <v>3600</v>
      </c>
      <c r="H3656" s="9">
        <f t="shared" si="114"/>
        <v>36</v>
      </c>
      <c r="I3656" t="s">
        <v>179</v>
      </c>
      <c r="J3656" s="33" t="s">
        <v>489</v>
      </c>
      <c r="K3656" s="18">
        <f>VLOOKUP(D3656,Ingredients!C:G,5,0)</f>
        <v>3400</v>
      </c>
      <c r="L3656" s="52">
        <f t="shared" si="115"/>
        <v>34</v>
      </c>
    </row>
    <row r="3657" spans="1:12">
      <c r="A3657" s="21" t="s">
        <v>793</v>
      </c>
      <c r="B3657" t="s">
        <v>349</v>
      </c>
      <c r="C3657" t="s">
        <v>353</v>
      </c>
      <c r="D3657" s="3" t="s">
        <v>895</v>
      </c>
      <c r="E3657" s="14">
        <v>0.03</v>
      </c>
      <c r="F3657" s="4" t="s">
        <v>179</v>
      </c>
      <c r="G3657" s="9">
        <v>400</v>
      </c>
      <c r="H3657" s="9">
        <f t="shared" si="114"/>
        <v>12</v>
      </c>
      <c r="I3657" t="s">
        <v>179</v>
      </c>
      <c r="J3657" s="33" t="s">
        <v>489</v>
      </c>
      <c r="K3657" s="18">
        <f>VLOOKUP(D3657,Ingredients!C:G,5,0)</f>
        <v>400</v>
      </c>
      <c r="L3657" s="52">
        <f t="shared" si="115"/>
        <v>12</v>
      </c>
    </row>
    <row r="3658" spans="1:12">
      <c r="A3658" s="21" t="s">
        <v>793</v>
      </c>
      <c r="B3658" t="s">
        <v>349</v>
      </c>
      <c r="C3658" t="s">
        <v>353</v>
      </c>
      <c r="D3658" s="3" t="s">
        <v>915</v>
      </c>
      <c r="E3658" s="14">
        <v>1.4999999999999999E-2</v>
      </c>
      <c r="F3658" s="4" t="s">
        <v>179</v>
      </c>
      <c r="G3658" s="9">
        <v>5000</v>
      </c>
      <c r="H3658" s="9">
        <f t="shared" si="114"/>
        <v>75</v>
      </c>
      <c r="I3658" t="s">
        <v>179</v>
      </c>
      <c r="J3658" s="33" t="s">
        <v>489</v>
      </c>
      <c r="K3658" s="18">
        <f>VLOOKUP(D3658,Ingredients!C:G,5,0)</f>
        <v>3200</v>
      </c>
      <c r="L3658" s="52">
        <f t="shared" si="115"/>
        <v>48</v>
      </c>
    </row>
    <row r="3659" spans="1:12">
      <c r="A3659" s="21" t="s">
        <v>793</v>
      </c>
      <c r="B3659" t="s">
        <v>349</v>
      </c>
      <c r="C3659" t="s">
        <v>353</v>
      </c>
      <c r="D3659" s="3" t="s">
        <v>23</v>
      </c>
      <c r="E3659" s="14">
        <v>1.4999999999999999E-2</v>
      </c>
      <c r="F3659" s="4" t="s">
        <v>179</v>
      </c>
      <c r="G3659" s="9">
        <v>740</v>
      </c>
      <c r="H3659" s="9">
        <f t="shared" si="114"/>
        <v>11.1</v>
      </c>
      <c r="I3659" t="s">
        <v>179</v>
      </c>
      <c r="J3659" s="33" t="s">
        <v>489</v>
      </c>
      <c r="K3659" s="18">
        <f>VLOOKUP(D3659,Ingredients!C:G,5,0)</f>
        <v>780</v>
      </c>
      <c r="L3659" s="52">
        <f t="shared" si="115"/>
        <v>11.7</v>
      </c>
    </row>
    <row r="3660" spans="1:12">
      <c r="A3660" s="21" t="s">
        <v>793</v>
      </c>
      <c r="B3660" t="s">
        <v>349</v>
      </c>
      <c r="C3660" t="s">
        <v>353</v>
      </c>
      <c r="D3660" s="3" t="s">
        <v>16</v>
      </c>
      <c r="E3660" s="14">
        <v>1.4999999999999999E-2</v>
      </c>
      <c r="F3660" s="4" t="s">
        <v>179</v>
      </c>
      <c r="G3660" s="9">
        <v>270</v>
      </c>
      <c r="H3660" s="9">
        <f t="shared" si="114"/>
        <v>4.05</v>
      </c>
      <c r="I3660" t="s">
        <v>179</v>
      </c>
      <c r="J3660" s="33" t="s">
        <v>489</v>
      </c>
      <c r="K3660" s="18">
        <f>VLOOKUP(D3660,Ingredients!C:G,5,0)</f>
        <v>310</v>
      </c>
      <c r="L3660" s="52">
        <f t="shared" si="115"/>
        <v>4.6499999999999995</v>
      </c>
    </row>
    <row r="3661" spans="1:12">
      <c r="A3661" s="21" t="s">
        <v>793</v>
      </c>
      <c r="B3661" t="s">
        <v>349</v>
      </c>
      <c r="C3661" t="s">
        <v>353</v>
      </c>
      <c r="D3661" s="3" t="s">
        <v>867</v>
      </c>
      <c r="E3661" s="14">
        <v>2.5000000000000001E-2</v>
      </c>
      <c r="F3661" s="4" t="s">
        <v>179</v>
      </c>
      <c r="G3661" s="9">
        <v>900</v>
      </c>
      <c r="H3661" s="9">
        <f t="shared" si="114"/>
        <v>22.5</v>
      </c>
      <c r="I3661" t="s">
        <v>179</v>
      </c>
      <c r="J3661" s="33" t="s">
        <v>489</v>
      </c>
      <c r="K3661" s="18">
        <f>VLOOKUP(D3661,Ingredients!C:G,5,0)</f>
        <v>950</v>
      </c>
      <c r="L3661" s="52">
        <f t="shared" si="115"/>
        <v>23.75</v>
      </c>
    </row>
    <row r="3662" spans="1:12">
      <c r="A3662" s="21" t="s">
        <v>794</v>
      </c>
      <c r="B3662" t="s">
        <v>349</v>
      </c>
      <c r="C3662" t="s">
        <v>352</v>
      </c>
      <c r="D3662" s="33" t="s">
        <v>491</v>
      </c>
      <c r="E3662" s="14">
        <v>1</v>
      </c>
      <c r="F3662" s="4" t="s">
        <v>179</v>
      </c>
      <c r="G3662" s="9">
        <v>614</v>
      </c>
      <c r="H3662" s="9">
        <f t="shared" si="114"/>
        <v>614</v>
      </c>
      <c r="I3662" t="s">
        <v>179</v>
      </c>
      <c r="J3662" s="33" t="s">
        <v>491</v>
      </c>
      <c r="K3662" s="18">
        <f>VLOOKUP(D3662,Ingredients!C:G,5,0)</f>
        <v>650</v>
      </c>
      <c r="L3662" s="52">
        <f t="shared" si="115"/>
        <v>650</v>
      </c>
    </row>
    <row r="3663" spans="1:12">
      <c r="A3663" s="21" t="s">
        <v>794</v>
      </c>
      <c r="B3663" t="s">
        <v>349</v>
      </c>
      <c r="C3663" t="s">
        <v>352</v>
      </c>
      <c r="D3663" s="3" t="s">
        <v>922</v>
      </c>
      <c r="E3663" s="14">
        <v>0.25</v>
      </c>
      <c r="F3663" s="4" t="s">
        <v>179</v>
      </c>
      <c r="G3663" s="9">
        <v>300</v>
      </c>
      <c r="H3663" s="9">
        <f t="shared" si="114"/>
        <v>75</v>
      </c>
      <c r="I3663" t="s">
        <v>179</v>
      </c>
      <c r="J3663" s="33" t="s">
        <v>491</v>
      </c>
      <c r="K3663" s="18">
        <f>VLOOKUP(D3663,Ingredients!C:G,5,0)</f>
        <v>315</v>
      </c>
      <c r="L3663" s="52">
        <f t="shared" si="115"/>
        <v>78.75</v>
      </c>
    </row>
    <row r="3664" spans="1:12">
      <c r="A3664" s="21" t="s">
        <v>794</v>
      </c>
      <c r="B3664" t="s">
        <v>349</v>
      </c>
      <c r="C3664" t="s">
        <v>352</v>
      </c>
      <c r="D3664" s="3" t="s">
        <v>24</v>
      </c>
      <c r="E3664" s="14">
        <v>0.375</v>
      </c>
      <c r="F3664" s="4" t="s">
        <v>179</v>
      </c>
      <c r="G3664" s="9">
        <v>55</v>
      </c>
      <c r="H3664" s="9">
        <f t="shared" si="114"/>
        <v>20.625</v>
      </c>
      <c r="I3664" t="s">
        <v>179</v>
      </c>
      <c r="J3664" s="33" t="s">
        <v>491</v>
      </c>
      <c r="K3664" s="18">
        <f>VLOOKUP(D3664,Ingredients!C:G,5,0)</f>
        <v>80</v>
      </c>
      <c r="L3664" s="52">
        <f t="shared" si="115"/>
        <v>30</v>
      </c>
    </row>
    <row r="3665" spans="1:12">
      <c r="A3665" s="21" t="s">
        <v>794</v>
      </c>
      <c r="B3665" t="s">
        <v>349</v>
      </c>
      <c r="C3665" t="s">
        <v>352</v>
      </c>
      <c r="D3665" s="3" t="s">
        <v>28</v>
      </c>
      <c r="E3665" s="14">
        <v>0.5625</v>
      </c>
      <c r="F3665" s="4" t="s">
        <v>179</v>
      </c>
      <c r="G3665" s="9">
        <v>85</v>
      </c>
      <c r="H3665" s="9">
        <f t="shared" si="114"/>
        <v>47.8125</v>
      </c>
      <c r="I3665" t="s">
        <v>179</v>
      </c>
      <c r="J3665" s="33" t="s">
        <v>491</v>
      </c>
      <c r="K3665" s="18">
        <f>VLOOKUP(D3665,Ingredients!C:G,5,0)</f>
        <v>70</v>
      </c>
      <c r="L3665" s="52">
        <f t="shared" si="115"/>
        <v>39.375</v>
      </c>
    </row>
    <row r="3666" spans="1:12">
      <c r="A3666" s="21" t="s">
        <v>794</v>
      </c>
      <c r="B3666" t="s">
        <v>349</v>
      </c>
      <c r="C3666" t="s">
        <v>352</v>
      </c>
      <c r="D3666" s="3" t="s">
        <v>16</v>
      </c>
      <c r="E3666" s="14">
        <v>7.4999999999999997E-2</v>
      </c>
      <c r="F3666" s="4" t="s">
        <v>179</v>
      </c>
      <c r="G3666" s="9">
        <v>270</v>
      </c>
      <c r="H3666" s="9">
        <f t="shared" si="114"/>
        <v>20.25</v>
      </c>
      <c r="I3666" t="s">
        <v>179</v>
      </c>
      <c r="J3666" s="33" t="s">
        <v>491</v>
      </c>
      <c r="K3666" s="18">
        <f>VLOOKUP(D3666,Ingredients!C:G,5,0)</f>
        <v>310</v>
      </c>
      <c r="L3666" s="52">
        <f t="shared" si="115"/>
        <v>23.25</v>
      </c>
    </row>
    <row r="3667" spans="1:12">
      <c r="A3667" s="21" t="s">
        <v>794</v>
      </c>
      <c r="B3667" t="s">
        <v>349</v>
      </c>
      <c r="C3667" t="s">
        <v>352</v>
      </c>
      <c r="D3667" s="3" t="s">
        <v>23</v>
      </c>
      <c r="E3667" s="14">
        <v>1.8749999999999999E-2</v>
      </c>
      <c r="F3667" s="4" t="s">
        <v>179</v>
      </c>
      <c r="G3667" s="9">
        <v>740</v>
      </c>
      <c r="H3667" s="9">
        <f t="shared" si="114"/>
        <v>13.875</v>
      </c>
      <c r="I3667" t="s">
        <v>179</v>
      </c>
      <c r="J3667" s="33" t="s">
        <v>491</v>
      </c>
      <c r="K3667" s="18">
        <f>VLOOKUP(D3667,Ingredients!C:G,5,0)</f>
        <v>780</v>
      </c>
      <c r="L3667" s="52">
        <f t="shared" si="115"/>
        <v>14.625</v>
      </c>
    </row>
    <row r="3668" spans="1:12">
      <c r="A3668" s="21" t="s">
        <v>794</v>
      </c>
      <c r="B3668" t="s">
        <v>349</v>
      </c>
      <c r="C3668" t="s">
        <v>352</v>
      </c>
      <c r="D3668" s="3" t="s">
        <v>867</v>
      </c>
      <c r="E3668" s="14">
        <v>0.03</v>
      </c>
      <c r="F3668" s="4" t="s">
        <v>179</v>
      </c>
      <c r="G3668" s="9">
        <v>900</v>
      </c>
      <c r="H3668" s="9">
        <f t="shared" si="114"/>
        <v>27</v>
      </c>
      <c r="I3668" t="s">
        <v>179</v>
      </c>
      <c r="J3668" s="33" t="s">
        <v>491</v>
      </c>
      <c r="K3668" s="18">
        <f>VLOOKUP(D3668,Ingredients!C:G,5,0)</f>
        <v>950</v>
      </c>
      <c r="L3668" s="52">
        <f t="shared" si="115"/>
        <v>28.5</v>
      </c>
    </row>
    <row r="3669" spans="1:12">
      <c r="A3669" s="21" t="s">
        <v>794</v>
      </c>
      <c r="B3669" t="s">
        <v>349</v>
      </c>
      <c r="C3669" t="s">
        <v>352</v>
      </c>
      <c r="D3669" s="3" t="s">
        <v>853</v>
      </c>
      <c r="E3669" s="14">
        <v>1.125E-2</v>
      </c>
      <c r="F3669" s="4" t="s">
        <v>179</v>
      </c>
      <c r="G3669" s="9">
        <v>30</v>
      </c>
      <c r="H3669" s="9">
        <f t="shared" si="114"/>
        <v>0.33749999999999997</v>
      </c>
      <c r="I3669" t="s">
        <v>179</v>
      </c>
      <c r="J3669" s="33" t="s">
        <v>491</v>
      </c>
      <c r="K3669" s="18">
        <f>VLOOKUP(D3669,Ingredients!C:G,5,0)</f>
        <v>55</v>
      </c>
      <c r="L3669" s="52">
        <f t="shared" si="115"/>
        <v>0.61875000000000002</v>
      </c>
    </row>
    <row r="3670" spans="1:12">
      <c r="A3670" s="21" t="s">
        <v>794</v>
      </c>
      <c r="B3670" t="s">
        <v>349</v>
      </c>
      <c r="C3670" t="s">
        <v>352</v>
      </c>
      <c r="D3670" s="3" t="s">
        <v>880</v>
      </c>
      <c r="E3670" s="14">
        <v>1.125E-2</v>
      </c>
      <c r="F3670" s="4" t="s">
        <v>179</v>
      </c>
      <c r="G3670" s="9">
        <v>650</v>
      </c>
      <c r="H3670" s="9">
        <f t="shared" si="114"/>
        <v>7.3125</v>
      </c>
      <c r="I3670" t="s">
        <v>179</v>
      </c>
      <c r="J3670" s="33" t="s">
        <v>491</v>
      </c>
      <c r="K3670" s="18">
        <f>VLOOKUP(D3670,Ingredients!C:G,5,0)</f>
        <v>520</v>
      </c>
      <c r="L3670" s="52">
        <f t="shared" si="115"/>
        <v>5.85</v>
      </c>
    </row>
    <row r="3671" spans="1:12">
      <c r="A3671" s="21" t="s">
        <v>794</v>
      </c>
      <c r="B3671" t="s">
        <v>349</v>
      </c>
      <c r="C3671" t="s">
        <v>352</v>
      </c>
      <c r="D3671" s="3" t="s">
        <v>878</v>
      </c>
      <c r="E3671" s="14">
        <v>1.125E-2</v>
      </c>
      <c r="F3671" s="4" t="s">
        <v>179</v>
      </c>
      <c r="G3671" s="9">
        <v>270</v>
      </c>
      <c r="H3671" s="9">
        <f t="shared" si="114"/>
        <v>3.0375000000000001</v>
      </c>
      <c r="I3671" t="s">
        <v>179</v>
      </c>
      <c r="J3671" s="33" t="s">
        <v>491</v>
      </c>
      <c r="K3671" s="18">
        <f>VLOOKUP(D3671,Ingredients!C:G,5,0)</f>
        <v>1260.55</v>
      </c>
      <c r="L3671" s="52">
        <f t="shared" si="115"/>
        <v>14.181187499999998</v>
      </c>
    </row>
    <row r="3672" spans="1:12">
      <c r="A3672" s="21" t="s">
        <v>794</v>
      </c>
      <c r="B3672" t="s">
        <v>349</v>
      </c>
      <c r="C3672" t="s">
        <v>352</v>
      </c>
      <c r="D3672" s="3" t="s">
        <v>35</v>
      </c>
      <c r="E3672" s="14">
        <v>0.125</v>
      </c>
      <c r="F3672" s="4" t="s">
        <v>252</v>
      </c>
      <c r="G3672" s="9">
        <v>13</v>
      </c>
      <c r="H3672" s="9">
        <f t="shared" si="114"/>
        <v>1.625</v>
      </c>
      <c r="I3672" t="s">
        <v>179</v>
      </c>
      <c r="J3672" s="33" t="s">
        <v>491</v>
      </c>
      <c r="K3672" s="18">
        <f>VLOOKUP(D3672,Ingredients!C:G,5,0)</f>
        <v>15</v>
      </c>
      <c r="L3672" s="52">
        <f t="shared" si="115"/>
        <v>1.875</v>
      </c>
    </row>
    <row r="3673" spans="1:12">
      <c r="A3673" s="21" t="s">
        <v>794</v>
      </c>
      <c r="B3673" t="s">
        <v>349</v>
      </c>
      <c r="C3673" t="s">
        <v>352</v>
      </c>
      <c r="D3673" s="3" t="s">
        <v>852</v>
      </c>
      <c r="E3673" s="14">
        <v>0.1</v>
      </c>
      <c r="F3673" s="4" t="s">
        <v>190</v>
      </c>
      <c r="G3673" s="9">
        <v>520.63</v>
      </c>
      <c r="H3673" s="9">
        <f t="shared" si="114"/>
        <v>52.063000000000002</v>
      </c>
      <c r="I3673" t="s">
        <v>179</v>
      </c>
      <c r="J3673" s="33" t="s">
        <v>491</v>
      </c>
      <c r="K3673" s="18">
        <v>550</v>
      </c>
      <c r="L3673" s="52">
        <f t="shared" si="115"/>
        <v>55</v>
      </c>
    </row>
    <row r="3674" spans="1:12">
      <c r="A3674" s="21" t="s">
        <v>795</v>
      </c>
      <c r="B3674" t="s">
        <v>346</v>
      </c>
      <c r="C3674" t="s">
        <v>454</v>
      </c>
      <c r="D3674" s="3" t="s">
        <v>171</v>
      </c>
      <c r="E3674" s="4">
        <v>0.7</v>
      </c>
      <c r="F3674" s="4" t="s">
        <v>179</v>
      </c>
      <c r="G3674" s="9">
        <v>65</v>
      </c>
      <c r="H3674" s="9">
        <f t="shared" si="114"/>
        <v>45.5</v>
      </c>
      <c r="I3674" t="s">
        <v>796</v>
      </c>
      <c r="J3674" s="33">
        <v>0</v>
      </c>
      <c r="K3674" s="18">
        <f>VLOOKUP(D3674,Ingredients!C:G,5,0)</f>
        <v>80</v>
      </c>
      <c r="L3674" s="52">
        <f t="shared" si="115"/>
        <v>56</v>
      </c>
    </row>
    <row r="3675" spans="1:12">
      <c r="A3675" s="21" t="s">
        <v>795</v>
      </c>
      <c r="B3675" t="s">
        <v>346</v>
      </c>
      <c r="C3675" t="s">
        <v>454</v>
      </c>
      <c r="D3675" s="3" t="s">
        <v>797</v>
      </c>
      <c r="E3675" s="4">
        <v>0.25</v>
      </c>
      <c r="F3675" s="4" t="s">
        <v>179</v>
      </c>
      <c r="G3675" s="9">
        <v>240</v>
      </c>
      <c r="H3675" s="9">
        <f t="shared" si="114"/>
        <v>60</v>
      </c>
      <c r="I3675" t="s">
        <v>796</v>
      </c>
      <c r="J3675" s="33">
        <v>0</v>
      </c>
      <c r="K3675" s="18">
        <f>VLOOKUP(D3675,Ingredients!C:G,5,0)</f>
        <v>240</v>
      </c>
      <c r="L3675" s="52">
        <f t="shared" si="115"/>
        <v>60</v>
      </c>
    </row>
    <row r="3676" spans="1:12">
      <c r="A3676" s="21" t="s">
        <v>795</v>
      </c>
      <c r="B3676" t="s">
        <v>346</v>
      </c>
      <c r="C3676" t="s">
        <v>454</v>
      </c>
      <c r="D3676" s="3" t="s">
        <v>855</v>
      </c>
      <c r="E3676" s="4">
        <v>1.2E-2</v>
      </c>
      <c r="F3676" s="4" t="s">
        <v>179</v>
      </c>
      <c r="G3676" s="9">
        <v>2400</v>
      </c>
      <c r="H3676" s="9">
        <f t="shared" si="114"/>
        <v>28.8</v>
      </c>
      <c r="I3676" t="s">
        <v>796</v>
      </c>
      <c r="J3676" s="33">
        <v>0</v>
      </c>
      <c r="K3676" s="18">
        <f>VLOOKUP(D3676,Ingredients!C:G,5,0)</f>
        <v>1600</v>
      </c>
      <c r="L3676" s="52">
        <f t="shared" si="115"/>
        <v>19.2</v>
      </c>
    </row>
    <row r="3677" spans="1:12">
      <c r="A3677" s="21" t="s">
        <v>795</v>
      </c>
      <c r="B3677" t="s">
        <v>346</v>
      </c>
      <c r="C3677" t="s">
        <v>454</v>
      </c>
      <c r="D3677" s="3" t="s">
        <v>477</v>
      </c>
      <c r="E3677" s="4">
        <v>1E-3</v>
      </c>
      <c r="F3677" s="4" t="s">
        <v>179</v>
      </c>
      <c r="G3677" s="9">
        <v>1100</v>
      </c>
      <c r="H3677" s="9">
        <f t="shared" si="114"/>
        <v>1.1000000000000001</v>
      </c>
      <c r="I3677" t="s">
        <v>796</v>
      </c>
      <c r="J3677" s="33">
        <v>0</v>
      </c>
      <c r="K3677" s="18">
        <f>VLOOKUP(D3677,Ingredients!C:G,5,0)</f>
        <v>1100</v>
      </c>
      <c r="L3677" s="52">
        <f t="shared" si="115"/>
        <v>1.1000000000000001</v>
      </c>
    </row>
    <row r="3678" spans="1:12">
      <c r="A3678" s="21" t="s">
        <v>795</v>
      </c>
      <c r="B3678" t="s">
        <v>346</v>
      </c>
      <c r="C3678" t="s">
        <v>454</v>
      </c>
      <c r="D3678" s="3" t="s">
        <v>880</v>
      </c>
      <c r="E3678" s="4">
        <v>3.0000000000000001E-3</v>
      </c>
      <c r="F3678" s="4" t="s">
        <v>179</v>
      </c>
      <c r="G3678" s="9">
        <v>650</v>
      </c>
      <c r="H3678" s="9">
        <f t="shared" si="114"/>
        <v>1.95</v>
      </c>
      <c r="I3678" t="s">
        <v>796</v>
      </c>
      <c r="J3678" s="33">
        <v>0</v>
      </c>
      <c r="K3678" s="18">
        <f>VLOOKUP(D3678,Ingredients!C:G,5,0)</f>
        <v>520</v>
      </c>
      <c r="L3678" s="52">
        <f t="shared" si="115"/>
        <v>1.56</v>
      </c>
    </row>
    <row r="3679" spans="1:12">
      <c r="A3679" s="21" t="s">
        <v>795</v>
      </c>
      <c r="B3679" t="s">
        <v>346</v>
      </c>
      <c r="C3679" t="s">
        <v>454</v>
      </c>
      <c r="D3679" s="3" t="s">
        <v>867</v>
      </c>
      <c r="E3679" s="4">
        <v>7.0000000000000001E-3</v>
      </c>
      <c r="F3679" s="4" t="s">
        <v>179</v>
      </c>
      <c r="G3679" s="9">
        <v>900</v>
      </c>
      <c r="H3679" s="9">
        <f t="shared" si="114"/>
        <v>6.3</v>
      </c>
      <c r="I3679" t="s">
        <v>796</v>
      </c>
      <c r="J3679" s="33">
        <v>0</v>
      </c>
      <c r="K3679" s="18">
        <f>VLOOKUP(D3679,Ingredients!C:G,5,0)</f>
        <v>950</v>
      </c>
      <c r="L3679" s="52">
        <f t="shared" si="115"/>
        <v>6.65</v>
      </c>
    </row>
    <row r="3680" spans="1:12">
      <c r="A3680" s="21" t="s">
        <v>795</v>
      </c>
      <c r="B3680" t="s">
        <v>346</v>
      </c>
      <c r="C3680" t="s">
        <v>454</v>
      </c>
      <c r="D3680" s="3" t="s">
        <v>895</v>
      </c>
      <c r="E3680" s="4">
        <v>0.01</v>
      </c>
      <c r="F3680" s="4" t="s">
        <v>179</v>
      </c>
      <c r="G3680" s="9">
        <v>400</v>
      </c>
      <c r="H3680" s="9">
        <f t="shared" si="114"/>
        <v>4</v>
      </c>
      <c r="I3680" t="s">
        <v>796</v>
      </c>
      <c r="J3680" s="33">
        <v>0</v>
      </c>
      <c r="K3680" s="18">
        <f>VLOOKUP(D3680,Ingredients!C:G,5,0)</f>
        <v>400</v>
      </c>
      <c r="L3680" s="52">
        <f t="shared" si="115"/>
        <v>4</v>
      </c>
    </row>
    <row r="3681" spans="1:12">
      <c r="A3681" s="21" t="s">
        <v>795</v>
      </c>
      <c r="B3681" t="s">
        <v>346</v>
      </c>
      <c r="C3681" t="s">
        <v>454</v>
      </c>
      <c r="D3681" s="3" t="s">
        <v>860</v>
      </c>
      <c r="E3681" s="4">
        <v>6.0000000000000001E-3</v>
      </c>
      <c r="F3681" s="4" t="s">
        <v>179</v>
      </c>
      <c r="G3681" s="9">
        <v>2000</v>
      </c>
      <c r="H3681" s="9">
        <f t="shared" si="114"/>
        <v>12</v>
      </c>
      <c r="I3681" t="s">
        <v>796</v>
      </c>
      <c r="J3681" s="33">
        <v>0</v>
      </c>
      <c r="K3681" s="18">
        <f>VLOOKUP(D3681,Ingredients!C:G,5,0)</f>
        <v>1900</v>
      </c>
      <c r="L3681" s="52">
        <f t="shared" si="115"/>
        <v>11.4</v>
      </c>
    </row>
    <row r="3682" spans="1:12">
      <c r="A3682" s="21" t="s">
        <v>795</v>
      </c>
      <c r="B3682" t="s">
        <v>346</v>
      </c>
      <c r="C3682" t="s">
        <v>454</v>
      </c>
      <c r="D3682" s="3" t="s">
        <v>853</v>
      </c>
      <c r="E3682" s="4">
        <v>5.0000000000000001E-3</v>
      </c>
      <c r="F3682" s="4" t="s">
        <v>179</v>
      </c>
      <c r="G3682" s="9">
        <v>30</v>
      </c>
      <c r="H3682" s="9">
        <f t="shared" si="114"/>
        <v>0.15</v>
      </c>
      <c r="I3682" t="s">
        <v>796</v>
      </c>
      <c r="J3682" s="33">
        <v>0</v>
      </c>
      <c r="K3682" s="18">
        <f>VLOOKUP(D3682,Ingredients!C:G,5,0)</f>
        <v>55</v>
      </c>
      <c r="L3682" s="52">
        <f t="shared" si="115"/>
        <v>0.27500000000000002</v>
      </c>
    </row>
    <row r="3683" spans="1:12">
      <c r="A3683" s="21" t="s">
        <v>795</v>
      </c>
      <c r="B3683" t="s">
        <v>346</v>
      </c>
      <c r="C3683" t="s">
        <v>454</v>
      </c>
      <c r="D3683" s="3" t="s">
        <v>852</v>
      </c>
      <c r="E3683" s="4">
        <v>2.5000000000000001E-2</v>
      </c>
      <c r="F3683" s="4" t="s">
        <v>190</v>
      </c>
      <c r="G3683" s="9">
        <v>520.63</v>
      </c>
      <c r="H3683" s="9">
        <f t="shared" si="114"/>
        <v>13.015750000000001</v>
      </c>
      <c r="I3683" t="s">
        <v>796</v>
      </c>
      <c r="J3683" s="33">
        <v>0</v>
      </c>
      <c r="K3683" s="18">
        <v>550</v>
      </c>
      <c r="L3683" s="52">
        <f t="shared" si="115"/>
        <v>13.75</v>
      </c>
    </row>
    <row r="3684" spans="1:12">
      <c r="A3684" s="21" t="s">
        <v>798</v>
      </c>
      <c r="B3684" t="s">
        <v>345</v>
      </c>
      <c r="C3684" t="s">
        <v>798</v>
      </c>
      <c r="D3684" s="3" t="s">
        <v>943</v>
      </c>
      <c r="E3684" s="4">
        <v>1</v>
      </c>
      <c r="F3684" s="4" t="s">
        <v>179</v>
      </c>
      <c r="G3684" s="9">
        <v>450</v>
      </c>
      <c r="H3684" s="9">
        <f t="shared" si="114"/>
        <v>450</v>
      </c>
      <c r="I3684" t="s">
        <v>179</v>
      </c>
      <c r="J3684" s="33">
        <v>0</v>
      </c>
      <c r="K3684" s="18">
        <f>VLOOKUP(D3684,Ingredients!C:G,5,0)</f>
        <v>450</v>
      </c>
      <c r="L3684" s="52">
        <f t="shared" si="115"/>
        <v>450</v>
      </c>
    </row>
    <row r="3685" spans="1:12">
      <c r="A3685" s="21" t="s">
        <v>799</v>
      </c>
      <c r="B3685" t="s">
        <v>346</v>
      </c>
      <c r="C3685" t="s">
        <v>993</v>
      </c>
      <c r="D3685" s="3" t="s">
        <v>799</v>
      </c>
      <c r="E3685" s="14">
        <v>1</v>
      </c>
      <c r="F3685" s="4" t="s">
        <v>176</v>
      </c>
      <c r="G3685" s="9">
        <v>395</v>
      </c>
      <c r="H3685" s="9">
        <f t="shared" si="114"/>
        <v>395</v>
      </c>
      <c r="I3685" t="s">
        <v>179</v>
      </c>
      <c r="J3685" s="33">
        <v>0</v>
      </c>
      <c r="K3685" s="18">
        <f>VLOOKUP(D3685,Ingredients!C:G,5,0)</f>
        <v>395</v>
      </c>
      <c r="L3685" s="52">
        <f t="shared" si="115"/>
        <v>395</v>
      </c>
    </row>
    <row r="3686" spans="1:12">
      <c r="A3686" s="21" t="s">
        <v>799</v>
      </c>
      <c r="B3686" t="s">
        <v>346</v>
      </c>
      <c r="C3686" t="s">
        <v>993</v>
      </c>
      <c r="D3686" s="3" t="s">
        <v>852</v>
      </c>
      <c r="E3686" s="14">
        <v>0.33333333333333331</v>
      </c>
      <c r="F3686" s="4" t="s">
        <v>176</v>
      </c>
      <c r="G3686" s="9">
        <v>520.63</v>
      </c>
      <c r="H3686" s="9">
        <f t="shared" si="114"/>
        <v>173.54333333333332</v>
      </c>
      <c r="I3686" t="s">
        <v>179</v>
      </c>
      <c r="J3686" s="33">
        <v>0</v>
      </c>
      <c r="K3686" s="18">
        <v>550</v>
      </c>
      <c r="L3686" s="52">
        <f t="shared" si="115"/>
        <v>183.33333333333331</v>
      </c>
    </row>
    <row r="3687" spans="1:12">
      <c r="A3687" s="21" t="s">
        <v>799</v>
      </c>
      <c r="B3687" t="s">
        <v>346</v>
      </c>
      <c r="C3687" t="s">
        <v>993</v>
      </c>
      <c r="D3687" s="3" t="s">
        <v>24</v>
      </c>
      <c r="E3687" s="14">
        <v>0.16666666666666666</v>
      </c>
      <c r="F3687" s="4" t="s">
        <v>176</v>
      </c>
      <c r="G3687" s="9">
        <v>55</v>
      </c>
      <c r="H3687" s="9">
        <f t="shared" si="114"/>
        <v>9.1666666666666661</v>
      </c>
      <c r="I3687" t="s">
        <v>179</v>
      </c>
      <c r="J3687" s="33">
        <v>0</v>
      </c>
      <c r="K3687" s="18">
        <f>VLOOKUP(D3687,Ingredients!C:G,5,0)</f>
        <v>80</v>
      </c>
      <c r="L3687" s="52">
        <f t="shared" si="115"/>
        <v>13.333333333333332</v>
      </c>
    </row>
    <row r="3688" spans="1:12">
      <c r="A3688" s="21" t="s">
        <v>799</v>
      </c>
      <c r="B3688" t="s">
        <v>346</v>
      </c>
      <c r="C3688" t="s">
        <v>993</v>
      </c>
      <c r="D3688" s="3" t="s">
        <v>28</v>
      </c>
      <c r="E3688" s="14">
        <v>0.5</v>
      </c>
      <c r="F3688" s="4" t="s">
        <v>176</v>
      </c>
      <c r="G3688" s="9">
        <v>85</v>
      </c>
      <c r="H3688" s="9">
        <f t="shared" si="114"/>
        <v>42.5</v>
      </c>
      <c r="I3688" t="s">
        <v>179</v>
      </c>
      <c r="J3688" s="33">
        <v>0</v>
      </c>
      <c r="K3688" s="18">
        <f>VLOOKUP(D3688,Ingredients!C:G,5,0)</f>
        <v>70</v>
      </c>
      <c r="L3688" s="52">
        <f t="shared" si="115"/>
        <v>35</v>
      </c>
    </row>
    <row r="3689" spans="1:12">
      <c r="A3689" s="21" t="s">
        <v>799</v>
      </c>
      <c r="B3689" t="s">
        <v>346</v>
      </c>
      <c r="C3689" t="s">
        <v>993</v>
      </c>
      <c r="D3689" s="3" t="s">
        <v>23</v>
      </c>
      <c r="E3689" s="14">
        <v>3.3333333333333333E-2</v>
      </c>
      <c r="F3689" s="4" t="s">
        <v>176</v>
      </c>
      <c r="G3689" s="9">
        <v>740</v>
      </c>
      <c r="H3689" s="9">
        <f t="shared" si="114"/>
        <v>24.666666666666668</v>
      </c>
      <c r="I3689" t="s">
        <v>179</v>
      </c>
      <c r="J3689" s="33">
        <v>0</v>
      </c>
      <c r="K3689" s="18">
        <f>VLOOKUP(D3689,Ingredients!C:G,5,0)</f>
        <v>780</v>
      </c>
      <c r="L3689" s="52">
        <f t="shared" si="115"/>
        <v>26</v>
      </c>
    </row>
    <row r="3690" spans="1:12">
      <c r="A3690" s="21" t="s">
        <v>799</v>
      </c>
      <c r="B3690" t="s">
        <v>346</v>
      </c>
      <c r="C3690" t="s">
        <v>993</v>
      </c>
      <c r="D3690" s="3" t="s">
        <v>16</v>
      </c>
      <c r="E3690" s="14">
        <v>6.6666666666666671E-3</v>
      </c>
      <c r="F3690" s="4" t="s">
        <v>176</v>
      </c>
      <c r="G3690" s="9">
        <v>270</v>
      </c>
      <c r="H3690" s="9">
        <f t="shared" si="114"/>
        <v>1.8</v>
      </c>
      <c r="I3690" t="s">
        <v>179</v>
      </c>
      <c r="J3690" s="33">
        <v>0</v>
      </c>
      <c r="K3690" s="18">
        <f>VLOOKUP(D3690,Ingredients!C:G,5,0)</f>
        <v>310</v>
      </c>
      <c r="L3690" s="52">
        <f t="shared" si="115"/>
        <v>2.0666666666666669</v>
      </c>
    </row>
    <row r="3691" spans="1:12">
      <c r="A3691" s="21" t="s">
        <v>799</v>
      </c>
      <c r="B3691" t="s">
        <v>346</v>
      </c>
      <c r="C3691" t="s">
        <v>993</v>
      </c>
      <c r="D3691" s="3" t="s">
        <v>867</v>
      </c>
      <c r="E3691" s="14">
        <v>6.6666666666666671E-3</v>
      </c>
      <c r="F3691" s="4" t="s">
        <v>176</v>
      </c>
      <c r="G3691" s="9">
        <v>900</v>
      </c>
      <c r="H3691" s="9">
        <f t="shared" si="114"/>
        <v>6</v>
      </c>
      <c r="I3691" t="s">
        <v>179</v>
      </c>
      <c r="J3691" s="33">
        <v>0</v>
      </c>
      <c r="K3691" s="18">
        <f>VLOOKUP(D3691,Ingredients!C:G,5,0)</f>
        <v>950</v>
      </c>
      <c r="L3691" s="52">
        <f t="shared" si="115"/>
        <v>6.3333333333333339</v>
      </c>
    </row>
    <row r="3692" spans="1:12">
      <c r="A3692" s="21" t="s">
        <v>799</v>
      </c>
      <c r="B3692" t="s">
        <v>346</v>
      </c>
      <c r="C3692" t="s">
        <v>993</v>
      </c>
      <c r="D3692" s="3" t="s">
        <v>853</v>
      </c>
      <c r="E3692" s="14">
        <v>6.6666666666666671E-3</v>
      </c>
      <c r="F3692" s="4" t="s">
        <v>176</v>
      </c>
      <c r="G3692" s="9">
        <v>30</v>
      </c>
      <c r="H3692" s="9">
        <f t="shared" si="114"/>
        <v>0.2</v>
      </c>
      <c r="I3692" t="s">
        <v>179</v>
      </c>
      <c r="J3692" s="33">
        <v>0</v>
      </c>
      <c r="K3692" s="18">
        <f>VLOOKUP(D3692,Ingredients!C:G,5,0)</f>
        <v>55</v>
      </c>
      <c r="L3692" s="52">
        <f t="shared" si="115"/>
        <v>0.3666666666666667</v>
      </c>
    </row>
    <row r="3693" spans="1:12">
      <c r="A3693" s="21" t="s">
        <v>799</v>
      </c>
      <c r="B3693" t="s">
        <v>346</v>
      </c>
      <c r="C3693" t="s">
        <v>993</v>
      </c>
      <c r="D3693" s="3" t="s">
        <v>880</v>
      </c>
      <c r="E3693" s="14">
        <v>6.6666666666666671E-3</v>
      </c>
      <c r="F3693" s="4" t="s">
        <v>176</v>
      </c>
      <c r="G3693" s="9">
        <v>650</v>
      </c>
      <c r="H3693" s="9">
        <f t="shared" si="114"/>
        <v>4.3333333333333339</v>
      </c>
      <c r="I3693" t="s">
        <v>179</v>
      </c>
      <c r="J3693" s="33">
        <v>0</v>
      </c>
      <c r="K3693" s="18">
        <f>VLOOKUP(D3693,Ingredients!C:G,5,0)</f>
        <v>520</v>
      </c>
      <c r="L3693" s="52">
        <f t="shared" si="115"/>
        <v>3.4666666666666668</v>
      </c>
    </row>
    <row r="3694" spans="1:12">
      <c r="A3694" s="21" t="s">
        <v>799</v>
      </c>
      <c r="B3694" t="s">
        <v>346</v>
      </c>
      <c r="C3694" t="s">
        <v>993</v>
      </c>
      <c r="D3694" s="3" t="s">
        <v>855</v>
      </c>
      <c r="E3694" s="14">
        <v>6.6666666666666671E-3</v>
      </c>
      <c r="F3694" s="4" t="s">
        <v>176</v>
      </c>
      <c r="G3694" s="9">
        <v>2400</v>
      </c>
      <c r="H3694" s="9">
        <f t="shared" si="114"/>
        <v>16</v>
      </c>
      <c r="I3694" t="s">
        <v>179</v>
      </c>
      <c r="J3694" s="33">
        <v>0</v>
      </c>
      <c r="K3694" s="18">
        <f>VLOOKUP(D3694,Ingredients!C:G,5,0)</f>
        <v>1600</v>
      </c>
      <c r="L3694" s="52">
        <f t="shared" si="115"/>
        <v>10.666666666666668</v>
      </c>
    </row>
    <row r="3695" spans="1:12">
      <c r="A3695" s="21" t="s">
        <v>799</v>
      </c>
      <c r="B3695" t="s">
        <v>346</v>
      </c>
      <c r="C3695" t="s">
        <v>993</v>
      </c>
      <c r="D3695" s="3" t="s">
        <v>887</v>
      </c>
      <c r="E3695" s="14">
        <v>6.6666666666666671E-3</v>
      </c>
      <c r="F3695" s="4" t="s">
        <v>176</v>
      </c>
      <c r="G3695" s="9">
        <v>1600</v>
      </c>
      <c r="H3695" s="9">
        <f t="shared" si="114"/>
        <v>10.666666666666668</v>
      </c>
      <c r="I3695" t="s">
        <v>179</v>
      </c>
      <c r="J3695" s="33">
        <v>0</v>
      </c>
      <c r="K3695" s="18">
        <f>VLOOKUP(D3695,Ingredients!C:G,5,0)</f>
        <v>1830</v>
      </c>
      <c r="L3695" s="52">
        <f t="shared" si="115"/>
        <v>12.200000000000001</v>
      </c>
    </row>
    <row r="3696" spans="1:12">
      <c r="A3696" s="21" t="s">
        <v>799</v>
      </c>
      <c r="B3696" t="s">
        <v>346</v>
      </c>
      <c r="C3696" t="s">
        <v>993</v>
      </c>
      <c r="D3696" s="3" t="s">
        <v>895</v>
      </c>
      <c r="E3696" s="14">
        <v>6.6666666666666671E-3</v>
      </c>
      <c r="F3696" s="4" t="s">
        <v>176</v>
      </c>
      <c r="G3696" s="9">
        <v>400</v>
      </c>
      <c r="H3696" s="9">
        <f t="shared" si="114"/>
        <v>2.666666666666667</v>
      </c>
      <c r="I3696" t="s">
        <v>179</v>
      </c>
      <c r="J3696" s="33">
        <v>0</v>
      </c>
      <c r="K3696" s="18">
        <f>VLOOKUP(D3696,Ingredients!C:G,5,0)</f>
        <v>400</v>
      </c>
      <c r="L3696" s="52">
        <f t="shared" si="115"/>
        <v>2.666666666666667</v>
      </c>
    </row>
    <row r="3697" spans="1:12">
      <c r="A3697" s="21" t="s">
        <v>799</v>
      </c>
      <c r="B3697" t="s">
        <v>346</v>
      </c>
      <c r="C3697" t="s">
        <v>993</v>
      </c>
      <c r="D3697" s="3" t="s">
        <v>35</v>
      </c>
      <c r="E3697" s="14">
        <v>0.33300000000000002</v>
      </c>
      <c r="F3697" s="4" t="s">
        <v>252</v>
      </c>
      <c r="G3697" s="9">
        <v>13</v>
      </c>
      <c r="H3697" s="9">
        <f t="shared" si="114"/>
        <v>4.3290000000000006</v>
      </c>
      <c r="I3697" t="s">
        <v>179</v>
      </c>
      <c r="J3697" s="33">
        <v>0</v>
      </c>
      <c r="K3697" s="18">
        <f>VLOOKUP(D3697,Ingredients!C:G,5,0)</f>
        <v>15</v>
      </c>
      <c r="L3697" s="52">
        <f t="shared" si="115"/>
        <v>4.9950000000000001</v>
      </c>
    </row>
    <row r="3698" spans="1:12">
      <c r="A3698" s="21" t="s">
        <v>799</v>
      </c>
      <c r="B3698" t="s">
        <v>346</v>
      </c>
      <c r="C3698" t="s">
        <v>993</v>
      </c>
      <c r="D3698" s="3" t="s">
        <v>29</v>
      </c>
      <c r="E3698" s="4">
        <v>4.2000000000000003E-2</v>
      </c>
      <c r="F3698" s="4" t="s">
        <v>176</v>
      </c>
      <c r="G3698" s="9">
        <v>60</v>
      </c>
      <c r="H3698" s="9">
        <f t="shared" si="114"/>
        <v>2.52</v>
      </c>
      <c r="I3698" t="s">
        <v>179</v>
      </c>
      <c r="J3698" s="33">
        <v>0</v>
      </c>
      <c r="K3698" s="18">
        <f>VLOOKUP(D3698,Ingredients!C:G,5,0)</f>
        <v>100</v>
      </c>
      <c r="L3698" s="52">
        <f t="shared" si="115"/>
        <v>4.2</v>
      </c>
    </row>
    <row r="3699" spans="1:12">
      <c r="A3699" s="21" t="s">
        <v>800</v>
      </c>
      <c r="B3699" t="s">
        <v>346</v>
      </c>
      <c r="C3699" t="s">
        <v>454</v>
      </c>
      <c r="D3699" s="3" t="s">
        <v>800</v>
      </c>
      <c r="E3699" s="14">
        <v>1</v>
      </c>
      <c r="F3699" s="4" t="s">
        <v>176</v>
      </c>
      <c r="G3699" s="9">
        <v>130</v>
      </c>
      <c r="H3699" s="9">
        <f t="shared" si="114"/>
        <v>130</v>
      </c>
      <c r="I3699" t="s">
        <v>179</v>
      </c>
      <c r="J3699" s="33">
        <v>0</v>
      </c>
      <c r="K3699" s="18">
        <f>VLOOKUP(D3699,Ingredients!C:G,5,0)</f>
        <v>130</v>
      </c>
      <c r="L3699" s="52">
        <f t="shared" si="115"/>
        <v>130</v>
      </c>
    </row>
    <row r="3700" spans="1:12">
      <c r="A3700" s="21" t="s">
        <v>800</v>
      </c>
      <c r="B3700" t="s">
        <v>346</v>
      </c>
      <c r="C3700" t="s">
        <v>454</v>
      </c>
      <c r="D3700" s="3" t="s">
        <v>852</v>
      </c>
      <c r="E3700" s="14">
        <v>0.2</v>
      </c>
      <c r="F3700" s="4" t="s">
        <v>176</v>
      </c>
      <c r="G3700" s="9">
        <v>520.63</v>
      </c>
      <c r="H3700" s="9">
        <f t="shared" si="114"/>
        <v>104.126</v>
      </c>
      <c r="I3700" t="s">
        <v>179</v>
      </c>
      <c r="J3700" s="33">
        <v>0</v>
      </c>
      <c r="K3700" s="18">
        <v>550</v>
      </c>
      <c r="L3700" s="52">
        <f t="shared" si="115"/>
        <v>110</v>
      </c>
    </row>
    <row r="3701" spans="1:12">
      <c r="A3701" s="21" t="s">
        <v>800</v>
      </c>
      <c r="B3701" t="s">
        <v>346</v>
      </c>
      <c r="C3701" t="s">
        <v>454</v>
      </c>
      <c r="D3701" s="3" t="s">
        <v>24</v>
      </c>
      <c r="E3701" s="14">
        <v>0.05</v>
      </c>
      <c r="F3701" s="4" t="s">
        <v>176</v>
      </c>
      <c r="G3701" s="9">
        <v>55</v>
      </c>
      <c r="H3701" s="9">
        <f t="shared" si="114"/>
        <v>2.75</v>
      </c>
      <c r="I3701" t="s">
        <v>179</v>
      </c>
      <c r="J3701" s="33">
        <v>0</v>
      </c>
      <c r="K3701" s="18">
        <f>VLOOKUP(D3701,Ingredients!C:G,5,0)</f>
        <v>80</v>
      </c>
      <c r="L3701" s="52">
        <f t="shared" si="115"/>
        <v>4</v>
      </c>
    </row>
    <row r="3702" spans="1:12">
      <c r="A3702" s="21" t="s">
        <v>800</v>
      </c>
      <c r="B3702" t="s">
        <v>346</v>
      </c>
      <c r="C3702" t="s">
        <v>454</v>
      </c>
      <c r="D3702" s="3" t="s">
        <v>28</v>
      </c>
      <c r="E3702" s="14">
        <v>0.3</v>
      </c>
      <c r="F3702" s="4" t="s">
        <v>176</v>
      </c>
      <c r="G3702" s="9">
        <v>85</v>
      </c>
      <c r="H3702" s="9">
        <f t="shared" si="114"/>
        <v>25.5</v>
      </c>
      <c r="I3702" t="s">
        <v>179</v>
      </c>
      <c r="J3702" s="33">
        <v>0</v>
      </c>
      <c r="K3702" s="18">
        <f>VLOOKUP(D3702,Ingredients!C:G,5,0)</f>
        <v>70</v>
      </c>
      <c r="L3702" s="52">
        <f t="shared" si="115"/>
        <v>21</v>
      </c>
    </row>
    <row r="3703" spans="1:12">
      <c r="A3703" s="21" t="s">
        <v>800</v>
      </c>
      <c r="B3703" t="s">
        <v>346</v>
      </c>
      <c r="C3703" t="s">
        <v>454</v>
      </c>
      <c r="D3703" s="3" t="s">
        <v>23</v>
      </c>
      <c r="E3703" s="14">
        <v>5.0000000000000001E-3</v>
      </c>
      <c r="F3703" s="4" t="s">
        <v>176</v>
      </c>
      <c r="G3703" s="9">
        <v>740</v>
      </c>
      <c r="H3703" s="9">
        <f t="shared" si="114"/>
        <v>3.7</v>
      </c>
      <c r="I3703" t="s">
        <v>179</v>
      </c>
      <c r="J3703" s="33">
        <v>0</v>
      </c>
      <c r="K3703" s="18">
        <f>VLOOKUP(D3703,Ingredients!C:G,5,0)</f>
        <v>780</v>
      </c>
      <c r="L3703" s="52">
        <f t="shared" si="115"/>
        <v>3.9</v>
      </c>
    </row>
    <row r="3704" spans="1:12">
      <c r="A3704" s="21" t="s">
        <v>800</v>
      </c>
      <c r="B3704" t="s">
        <v>346</v>
      </c>
      <c r="C3704" t="s">
        <v>454</v>
      </c>
      <c r="D3704" s="3" t="s">
        <v>16</v>
      </c>
      <c r="E3704" s="14">
        <v>5.0000000000000001E-3</v>
      </c>
      <c r="F3704" s="4" t="s">
        <v>176</v>
      </c>
      <c r="G3704" s="9">
        <v>270</v>
      </c>
      <c r="H3704" s="9">
        <f t="shared" si="114"/>
        <v>1.35</v>
      </c>
      <c r="I3704" t="s">
        <v>179</v>
      </c>
      <c r="J3704" s="33">
        <v>0</v>
      </c>
      <c r="K3704" s="18">
        <f>VLOOKUP(D3704,Ingredients!C:G,5,0)</f>
        <v>310</v>
      </c>
      <c r="L3704" s="52">
        <f t="shared" si="115"/>
        <v>1.55</v>
      </c>
    </row>
    <row r="3705" spans="1:12">
      <c r="A3705" s="21" t="s">
        <v>800</v>
      </c>
      <c r="B3705" t="s">
        <v>346</v>
      </c>
      <c r="C3705" t="s">
        <v>454</v>
      </c>
      <c r="D3705" s="3" t="s">
        <v>867</v>
      </c>
      <c r="E3705" s="14">
        <v>2E-3</v>
      </c>
      <c r="F3705" s="4" t="s">
        <v>176</v>
      </c>
      <c r="G3705" s="9">
        <v>900</v>
      </c>
      <c r="H3705" s="9">
        <f t="shared" si="114"/>
        <v>1.8</v>
      </c>
      <c r="I3705" t="s">
        <v>179</v>
      </c>
      <c r="J3705" s="33">
        <v>0</v>
      </c>
      <c r="K3705" s="18">
        <f>VLOOKUP(D3705,Ingredients!C:G,5,0)</f>
        <v>950</v>
      </c>
      <c r="L3705" s="52">
        <f t="shared" si="115"/>
        <v>1.9000000000000001</v>
      </c>
    </row>
    <row r="3706" spans="1:12">
      <c r="A3706" s="21" t="s">
        <v>800</v>
      </c>
      <c r="B3706" t="s">
        <v>346</v>
      </c>
      <c r="C3706" t="s">
        <v>454</v>
      </c>
      <c r="D3706" s="3" t="s">
        <v>853</v>
      </c>
      <c r="E3706" s="14">
        <v>2E-3</v>
      </c>
      <c r="F3706" s="4" t="s">
        <v>176</v>
      </c>
      <c r="G3706" s="9">
        <v>30</v>
      </c>
      <c r="H3706" s="9">
        <f t="shared" si="114"/>
        <v>0.06</v>
      </c>
      <c r="I3706" t="s">
        <v>179</v>
      </c>
      <c r="J3706" s="33">
        <v>0</v>
      </c>
      <c r="K3706" s="18">
        <f>VLOOKUP(D3706,Ingredients!C:G,5,0)</f>
        <v>55</v>
      </c>
      <c r="L3706" s="52">
        <f t="shared" si="115"/>
        <v>0.11</v>
      </c>
    </row>
    <row r="3707" spans="1:12">
      <c r="A3707" s="21" t="s">
        <v>800</v>
      </c>
      <c r="B3707" t="s">
        <v>346</v>
      </c>
      <c r="C3707" t="s">
        <v>454</v>
      </c>
      <c r="D3707" s="3" t="s">
        <v>880</v>
      </c>
      <c r="E3707" s="14">
        <v>2E-3</v>
      </c>
      <c r="F3707" s="4" t="s">
        <v>176</v>
      </c>
      <c r="G3707" s="9">
        <v>650</v>
      </c>
      <c r="H3707" s="9">
        <f t="shared" si="114"/>
        <v>1.3</v>
      </c>
      <c r="I3707" t="s">
        <v>179</v>
      </c>
      <c r="J3707" s="33">
        <v>0</v>
      </c>
      <c r="K3707" s="18">
        <f>VLOOKUP(D3707,Ingredients!C:G,5,0)</f>
        <v>520</v>
      </c>
      <c r="L3707" s="52">
        <f t="shared" si="115"/>
        <v>1.04</v>
      </c>
    </row>
    <row r="3708" spans="1:12">
      <c r="A3708" s="21" t="s">
        <v>800</v>
      </c>
      <c r="B3708" t="s">
        <v>346</v>
      </c>
      <c r="C3708" t="s">
        <v>454</v>
      </c>
      <c r="D3708" s="3" t="s">
        <v>855</v>
      </c>
      <c r="E3708" s="14">
        <v>2E-3</v>
      </c>
      <c r="F3708" s="4" t="s">
        <v>176</v>
      </c>
      <c r="G3708" s="9">
        <v>2400</v>
      </c>
      <c r="H3708" s="9">
        <f t="shared" ref="H3708:H3771" si="116">G3708*E3708</f>
        <v>4.8</v>
      </c>
      <c r="I3708" t="s">
        <v>179</v>
      </c>
      <c r="J3708" s="33">
        <v>0</v>
      </c>
      <c r="K3708" s="18">
        <f>VLOOKUP(D3708,Ingredients!C:G,5,0)</f>
        <v>1600</v>
      </c>
      <c r="L3708" s="52">
        <f t="shared" si="115"/>
        <v>3.2</v>
      </c>
    </row>
    <row r="3709" spans="1:12">
      <c r="A3709" s="21" t="s">
        <v>800</v>
      </c>
      <c r="B3709" t="s">
        <v>346</v>
      </c>
      <c r="C3709" t="s">
        <v>454</v>
      </c>
      <c r="D3709" s="3" t="s">
        <v>887</v>
      </c>
      <c r="E3709" s="14">
        <v>2E-3</v>
      </c>
      <c r="F3709" s="4" t="s">
        <v>176</v>
      </c>
      <c r="G3709" s="9">
        <v>1600</v>
      </c>
      <c r="H3709" s="9">
        <f t="shared" si="116"/>
        <v>3.2</v>
      </c>
      <c r="I3709" t="s">
        <v>179</v>
      </c>
      <c r="J3709" s="33">
        <v>0</v>
      </c>
      <c r="K3709" s="18">
        <f>VLOOKUP(D3709,Ingredients!C:G,5,0)</f>
        <v>1830</v>
      </c>
      <c r="L3709" s="52">
        <f t="shared" si="115"/>
        <v>3.66</v>
      </c>
    </row>
    <row r="3710" spans="1:12">
      <c r="A3710" s="21" t="s">
        <v>800</v>
      </c>
      <c r="B3710" t="s">
        <v>346</v>
      </c>
      <c r="C3710" t="s">
        <v>454</v>
      </c>
      <c r="D3710" s="3" t="s">
        <v>895</v>
      </c>
      <c r="E3710" s="14">
        <v>2E-3</v>
      </c>
      <c r="F3710" s="4" t="s">
        <v>176</v>
      </c>
      <c r="G3710" s="9">
        <v>400</v>
      </c>
      <c r="H3710" s="9">
        <f t="shared" si="116"/>
        <v>0.8</v>
      </c>
      <c r="I3710" t="s">
        <v>179</v>
      </c>
      <c r="J3710" s="33">
        <v>0</v>
      </c>
      <c r="K3710" s="18">
        <f>VLOOKUP(D3710,Ingredients!C:G,5,0)</f>
        <v>400</v>
      </c>
      <c r="L3710" s="52">
        <f t="shared" si="115"/>
        <v>0.8</v>
      </c>
    </row>
    <row r="3711" spans="1:12">
      <c r="A3711" s="21" t="s">
        <v>800</v>
      </c>
      <c r="B3711" t="s">
        <v>346</v>
      </c>
      <c r="C3711" t="s">
        <v>454</v>
      </c>
      <c r="D3711" s="3" t="s">
        <v>35</v>
      </c>
      <c r="E3711" s="14">
        <v>0.1</v>
      </c>
      <c r="F3711" s="4" t="s">
        <v>176</v>
      </c>
      <c r="G3711" s="9">
        <v>13</v>
      </c>
      <c r="H3711" s="9">
        <f t="shared" si="116"/>
        <v>1.3</v>
      </c>
      <c r="I3711" t="s">
        <v>179</v>
      </c>
      <c r="J3711" s="33">
        <v>0</v>
      </c>
      <c r="K3711" s="18">
        <f>VLOOKUP(D3711,Ingredients!C:G,5,0)</f>
        <v>15</v>
      </c>
      <c r="L3711" s="52">
        <f t="shared" si="115"/>
        <v>1.5</v>
      </c>
    </row>
    <row r="3712" spans="1:12">
      <c r="A3712" s="21" t="s">
        <v>800</v>
      </c>
      <c r="B3712" t="s">
        <v>346</v>
      </c>
      <c r="C3712" t="s">
        <v>454</v>
      </c>
      <c r="D3712" s="3" t="s">
        <v>29</v>
      </c>
      <c r="E3712" s="14">
        <v>1.2500000000000001E-2</v>
      </c>
      <c r="F3712" s="4" t="s">
        <v>176</v>
      </c>
      <c r="G3712" s="9">
        <v>60</v>
      </c>
      <c r="H3712" s="9">
        <f t="shared" si="116"/>
        <v>0.75</v>
      </c>
      <c r="I3712" t="s">
        <v>179</v>
      </c>
      <c r="J3712" s="33">
        <v>0</v>
      </c>
      <c r="K3712" s="18">
        <f>VLOOKUP(D3712,Ingredients!C:G,5,0)</f>
        <v>100</v>
      </c>
      <c r="L3712" s="52">
        <f t="shared" si="115"/>
        <v>1.25</v>
      </c>
    </row>
    <row r="3713" spans="1:12">
      <c r="A3713" t="s">
        <v>801</v>
      </c>
      <c r="B3713" t="s">
        <v>349</v>
      </c>
      <c r="C3713" t="s">
        <v>352</v>
      </c>
      <c r="D3713" s="3" t="s">
        <v>831</v>
      </c>
      <c r="E3713" s="11">
        <v>1</v>
      </c>
      <c r="F3713" s="7" t="s">
        <v>179</v>
      </c>
      <c r="G3713" s="9">
        <v>908</v>
      </c>
      <c r="H3713" s="9">
        <f t="shared" si="116"/>
        <v>908</v>
      </c>
      <c r="I3713" t="s">
        <v>179</v>
      </c>
      <c r="J3713" s="33" t="s">
        <v>489</v>
      </c>
      <c r="K3713" s="18">
        <f>VLOOKUP(D3713,Ingredients!C:G,5,0)</f>
        <v>908</v>
      </c>
      <c r="L3713" s="52">
        <f t="shared" si="115"/>
        <v>908</v>
      </c>
    </row>
    <row r="3714" spans="1:12">
      <c r="A3714" t="s">
        <v>801</v>
      </c>
      <c r="B3714" t="s">
        <v>349</v>
      </c>
      <c r="C3714" t="s">
        <v>352</v>
      </c>
      <c r="D3714" s="3" t="s">
        <v>852</v>
      </c>
      <c r="E3714" s="11">
        <v>0.15</v>
      </c>
      <c r="F3714" s="7" t="s">
        <v>179</v>
      </c>
      <c r="G3714" s="9">
        <v>520.63</v>
      </c>
      <c r="H3714" s="9">
        <f t="shared" si="116"/>
        <v>78.094499999999996</v>
      </c>
      <c r="I3714" t="s">
        <v>179</v>
      </c>
      <c r="J3714" s="33" t="s">
        <v>489</v>
      </c>
      <c r="K3714" s="18">
        <v>550</v>
      </c>
      <c r="L3714" s="52">
        <f t="shared" si="115"/>
        <v>82.5</v>
      </c>
    </row>
    <row r="3715" spans="1:12">
      <c r="A3715" t="s">
        <v>801</v>
      </c>
      <c r="B3715" t="s">
        <v>349</v>
      </c>
      <c r="C3715" t="s">
        <v>352</v>
      </c>
      <c r="D3715" s="3" t="s">
        <v>24</v>
      </c>
      <c r="E3715" s="11">
        <v>0.2</v>
      </c>
      <c r="F3715" s="7" t="s">
        <v>179</v>
      </c>
      <c r="G3715" s="9">
        <v>55</v>
      </c>
      <c r="H3715" s="9">
        <f t="shared" si="116"/>
        <v>11</v>
      </c>
      <c r="I3715" t="s">
        <v>179</v>
      </c>
      <c r="J3715" s="33" t="s">
        <v>489</v>
      </c>
      <c r="K3715" s="18">
        <f>VLOOKUP(D3715,Ingredients!C:G,5,0)</f>
        <v>80</v>
      </c>
      <c r="L3715" s="52">
        <f t="shared" si="115"/>
        <v>16</v>
      </c>
    </row>
    <row r="3716" spans="1:12">
      <c r="A3716" t="s">
        <v>801</v>
      </c>
      <c r="B3716" t="s">
        <v>349</v>
      </c>
      <c r="C3716" t="s">
        <v>352</v>
      </c>
      <c r="D3716" s="3" t="s">
        <v>23</v>
      </c>
      <c r="E3716" s="11">
        <v>0.03</v>
      </c>
      <c r="F3716" s="7" t="s">
        <v>179</v>
      </c>
      <c r="G3716" s="9">
        <v>740</v>
      </c>
      <c r="H3716" s="9">
        <f t="shared" si="116"/>
        <v>22.2</v>
      </c>
      <c r="I3716" t="s">
        <v>179</v>
      </c>
      <c r="J3716" s="33" t="s">
        <v>489</v>
      </c>
      <c r="K3716" s="18">
        <f>VLOOKUP(D3716,Ingredients!C:G,5,0)</f>
        <v>780</v>
      </c>
      <c r="L3716" s="52">
        <f t="shared" ref="L3716:L3779" si="117">K3716*E3716</f>
        <v>23.4</v>
      </c>
    </row>
    <row r="3717" spans="1:12">
      <c r="A3717" t="s">
        <v>801</v>
      </c>
      <c r="B3717" t="s">
        <v>349</v>
      </c>
      <c r="C3717" t="s">
        <v>352</v>
      </c>
      <c r="D3717" s="3" t="s">
        <v>16</v>
      </c>
      <c r="E3717" s="11">
        <v>0.03</v>
      </c>
      <c r="F3717" s="7" t="s">
        <v>179</v>
      </c>
      <c r="G3717" s="9">
        <v>270</v>
      </c>
      <c r="H3717" s="9">
        <f t="shared" si="116"/>
        <v>8.1</v>
      </c>
      <c r="I3717" t="s">
        <v>179</v>
      </c>
      <c r="J3717" s="33" t="s">
        <v>489</v>
      </c>
      <c r="K3717" s="18">
        <f>VLOOKUP(D3717,Ingredients!C:G,5,0)</f>
        <v>310</v>
      </c>
      <c r="L3717" s="52">
        <f t="shared" si="117"/>
        <v>9.2999999999999989</v>
      </c>
    </row>
    <row r="3718" spans="1:12">
      <c r="A3718" t="s">
        <v>801</v>
      </c>
      <c r="B3718" t="s">
        <v>349</v>
      </c>
      <c r="C3718" t="s">
        <v>352</v>
      </c>
      <c r="D3718" s="3" t="s">
        <v>853</v>
      </c>
      <c r="E3718" s="11">
        <v>0.05</v>
      </c>
      <c r="F3718" s="7" t="s">
        <v>179</v>
      </c>
      <c r="G3718" s="9">
        <v>30</v>
      </c>
      <c r="H3718" s="9">
        <f t="shared" si="116"/>
        <v>1.5</v>
      </c>
      <c r="I3718" t="s">
        <v>179</v>
      </c>
      <c r="J3718" s="33" t="s">
        <v>489</v>
      </c>
      <c r="K3718" s="18">
        <f>VLOOKUP(D3718,Ingredients!C:G,5,0)</f>
        <v>55</v>
      </c>
      <c r="L3718" s="52">
        <f t="shared" si="117"/>
        <v>2.75</v>
      </c>
    </row>
    <row r="3719" spans="1:12">
      <c r="A3719" t="s">
        <v>801</v>
      </c>
      <c r="B3719" t="s">
        <v>349</v>
      </c>
      <c r="C3719" t="s">
        <v>352</v>
      </c>
      <c r="D3719" s="3" t="s">
        <v>856</v>
      </c>
      <c r="E3719" s="11">
        <v>0.05</v>
      </c>
      <c r="F3719" s="7" t="s">
        <v>179</v>
      </c>
      <c r="G3719" s="9">
        <v>850</v>
      </c>
      <c r="H3719" s="9">
        <f t="shared" si="116"/>
        <v>42.5</v>
      </c>
      <c r="I3719" t="s">
        <v>179</v>
      </c>
      <c r="J3719" s="33" t="s">
        <v>489</v>
      </c>
      <c r="K3719" s="18">
        <f>VLOOKUP(D3719,Ingredients!C:G,5,0)</f>
        <v>980</v>
      </c>
      <c r="L3719" s="52">
        <f t="shared" si="117"/>
        <v>49</v>
      </c>
    </row>
    <row r="3720" spans="1:12">
      <c r="A3720" t="s">
        <v>801</v>
      </c>
      <c r="B3720" t="s">
        <v>349</v>
      </c>
      <c r="C3720" t="s">
        <v>352</v>
      </c>
      <c r="D3720" s="3" t="s">
        <v>880</v>
      </c>
      <c r="E3720" s="11">
        <v>0.03</v>
      </c>
      <c r="F3720" s="7" t="s">
        <v>179</v>
      </c>
      <c r="G3720" s="9">
        <v>650</v>
      </c>
      <c r="H3720" s="9">
        <f t="shared" si="116"/>
        <v>19.5</v>
      </c>
      <c r="I3720" t="s">
        <v>179</v>
      </c>
      <c r="J3720" s="33" t="s">
        <v>489</v>
      </c>
      <c r="K3720" s="18">
        <f>VLOOKUP(D3720,Ingredients!C:G,5,0)</f>
        <v>520</v>
      </c>
      <c r="L3720" s="52">
        <f t="shared" si="117"/>
        <v>15.6</v>
      </c>
    </row>
    <row r="3721" spans="1:12">
      <c r="A3721" t="s">
        <v>801</v>
      </c>
      <c r="B3721" t="s">
        <v>349</v>
      </c>
      <c r="C3721" t="s">
        <v>352</v>
      </c>
      <c r="D3721" s="3" t="s">
        <v>855</v>
      </c>
      <c r="E3721" s="11">
        <v>0.03</v>
      </c>
      <c r="F3721" s="7" t="s">
        <v>179</v>
      </c>
      <c r="G3721" s="9">
        <v>2400</v>
      </c>
      <c r="H3721" s="9">
        <f t="shared" si="116"/>
        <v>72</v>
      </c>
      <c r="I3721" t="s">
        <v>179</v>
      </c>
      <c r="J3721" s="33" t="s">
        <v>489</v>
      </c>
      <c r="K3721" s="18">
        <f>VLOOKUP(D3721,Ingredients!C:G,5,0)</f>
        <v>1600</v>
      </c>
      <c r="L3721" s="52">
        <f t="shared" si="117"/>
        <v>48</v>
      </c>
    </row>
    <row r="3722" spans="1:12">
      <c r="A3722" t="s">
        <v>801</v>
      </c>
      <c r="B3722" t="s">
        <v>349</v>
      </c>
      <c r="C3722" t="s">
        <v>352</v>
      </c>
      <c r="D3722" s="3" t="s">
        <v>895</v>
      </c>
      <c r="E3722" s="11">
        <v>1.2E-2</v>
      </c>
      <c r="F3722" s="7" t="s">
        <v>179</v>
      </c>
      <c r="G3722" s="9">
        <v>400</v>
      </c>
      <c r="H3722" s="9">
        <f t="shared" si="116"/>
        <v>4.8</v>
      </c>
      <c r="I3722" t="s">
        <v>179</v>
      </c>
      <c r="J3722" s="33" t="s">
        <v>489</v>
      </c>
      <c r="K3722" s="18">
        <f>VLOOKUP(D3722,Ingredients!C:G,5,0)</f>
        <v>400</v>
      </c>
      <c r="L3722" s="52">
        <f t="shared" si="117"/>
        <v>4.8</v>
      </c>
    </row>
    <row r="3723" spans="1:12">
      <c r="A3723" t="s">
        <v>801</v>
      </c>
      <c r="B3723" t="s">
        <v>349</v>
      </c>
      <c r="C3723" t="s">
        <v>352</v>
      </c>
      <c r="D3723" s="3" t="s">
        <v>28</v>
      </c>
      <c r="E3723" s="11">
        <v>0.3</v>
      </c>
      <c r="F3723" s="7" t="s">
        <v>179</v>
      </c>
      <c r="G3723" s="9">
        <v>85</v>
      </c>
      <c r="H3723" s="9">
        <f t="shared" si="116"/>
        <v>25.5</v>
      </c>
      <c r="I3723" t="s">
        <v>179</v>
      </c>
      <c r="J3723" s="33" t="s">
        <v>489</v>
      </c>
      <c r="K3723" s="18">
        <f>VLOOKUP(D3723,Ingredients!C:G,5,0)</f>
        <v>70</v>
      </c>
      <c r="L3723" s="52">
        <f t="shared" si="117"/>
        <v>21</v>
      </c>
    </row>
    <row r="3724" spans="1:12">
      <c r="A3724" t="s">
        <v>802</v>
      </c>
      <c r="B3724" t="s">
        <v>358</v>
      </c>
      <c r="C3724" t="s">
        <v>990</v>
      </c>
      <c r="D3724" s="3" t="s">
        <v>969</v>
      </c>
      <c r="E3724" s="4">
        <v>1</v>
      </c>
      <c r="F3724" s="4" t="s">
        <v>263</v>
      </c>
      <c r="G3724" s="9">
        <v>45</v>
      </c>
      <c r="H3724" s="9">
        <f t="shared" si="116"/>
        <v>45</v>
      </c>
      <c r="I3724" t="s">
        <v>263</v>
      </c>
      <c r="J3724" s="33">
        <v>0</v>
      </c>
      <c r="K3724" s="18">
        <f>VLOOKUP(D3724,Ingredients!C:G,5,0)</f>
        <v>45</v>
      </c>
      <c r="L3724" s="52">
        <f t="shared" si="117"/>
        <v>45</v>
      </c>
    </row>
    <row r="3725" spans="1:12">
      <c r="A3725" t="s">
        <v>809</v>
      </c>
      <c r="B3725" t="s">
        <v>346</v>
      </c>
      <c r="C3725" t="s">
        <v>353</v>
      </c>
      <c r="D3725" s="3" t="s">
        <v>884</v>
      </c>
      <c r="E3725" s="11">
        <v>1</v>
      </c>
      <c r="F3725" s="7" t="s">
        <v>176</v>
      </c>
      <c r="G3725" s="9">
        <v>344</v>
      </c>
      <c r="H3725" s="9">
        <f t="shared" si="116"/>
        <v>344</v>
      </c>
      <c r="I3725" t="s">
        <v>179</v>
      </c>
      <c r="J3725" s="33">
        <v>0</v>
      </c>
      <c r="K3725" s="18">
        <f>VLOOKUP(D3725,Ingredients!C:G,5,0)</f>
        <v>344</v>
      </c>
      <c r="L3725" s="52">
        <f t="shared" si="117"/>
        <v>344</v>
      </c>
    </row>
    <row r="3726" spans="1:12">
      <c r="A3726" t="s">
        <v>809</v>
      </c>
      <c r="B3726" t="s">
        <v>346</v>
      </c>
      <c r="C3726" t="s">
        <v>353</v>
      </c>
      <c r="D3726" s="3" t="s">
        <v>853</v>
      </c>
      <c r="E3726" s="11">
        <v>0.05</v>
      </c>
      <c r="F3726" s="7" t="s">
        <v>314</v>
      </c>
      <c r="G3726" s="9">
        <v>30</v>
      </c>
      <c r="H3726" s="9">
        <f t="shared" si="116"/>
        <v>1.5</v>
      </c>
      <c r="I3726" t="s">
        <v>179</v>
      </c>
      <c r="J3726" s="33">
        <v>0</v>
      </c>
      <c r="K3726" s="18">
        <f>VLOOKUP(D3726,Ingredients!C:G,5,0)</f>
        <v>55</v>
      </c>
      <c r="L3726" s="52">
        <f t="shared" si="117"/>
        <v>2.75</v>
      </c>
    </row>
    <row r="3727" spans="1:12">
      <c r="A3727" t="s">
        <v>809</v>
      </c>
      <c r="B3727" t="s">
        <v>346</v>
      </c>
      <c r="C3727" t="s">
        <v>353</v>
      </c>
      <c r="D3727" s="3" t="s">
        <v>852</v>
      </c>
      <c r="E3727" s="11">
        <v>0.05</v>
      </c>
      <c r="F3727" s="7" t="s">
        <v>176</v>
      </c>
      <c r="G3727" s="9">
        <v>520.63</v>
      </c>
      <c r="H3727" s="9">
        <f t="shared" si="116"/>
        <v>26.031500000000001</v>
      </c>
      <c r="I3727" t="s">
        <v>179</v>
      </c>
      <c r="J3727" s="33">
        <v>0</v>
      </c>
      <c r="K3727" s="18">
        <v>550</v>
      </c>
      <c r="L3727" s="52">
        <f t="shared" si="117"/>
        <v>27.5</v>
      </c>
    </row>
    <row r="3728" spans="1:12">
      <c r="A3728" s="21" t="s">
        <v>810</v>
      </c>
      <c r="B3728" t="s">
        <v>346</v>
      </c>
      <c r="C3728" t="s">
        <v>352</v>
      </c>
      <c r="D3728" s="3" t="s">
        <v>171</v>
      </c>
      <c r="E3728" s="4">
        <v>0.99900000000000022</v>
      </c>
      <c r="F3728" s="4" t="s">
        <v>179</v>
      </c>
      <c r="G3728" s="9">
        <v>65</v>
      </c>
      <c r="H3728" s="9">
        <f t="shared" si="116"/>
        <v>64.935000000000016</v>
      </c>
      <c r="I3728" t="s">
        <v>179</v>
      </c>
      <c r="J3728" s="33">
        <v>0</v>
      </c>
      <c r="K3728" s="18">
        <f>VLOOKUP(D3728,Ingredients!C:G,5,0)</f>
        <v>80</v>
      </c>
      <c r="L3728" s="52">
        <f t="shared" si="117"/>
        <v>79.920000000000016</v>
      </c>
    </row>
    <row r="3729" spans="1:12">
      <c r="A3729" s="21" t="s">
        <v>810</v>
      </c>
      <c r="B3729" t="s">
        <v>346</v>
      </c>
      <c r="C3729" t="s">
        <v>352</v>
      </c>
      <c r="D3729" s="3" t="s">
        <v>852</v>
      </c>
      <c r="E3729" s="4">
        <v>0.12487500000000003</v>
      </c>
      <c r="F3729" s="4" t="s">
        <v>190</v>
      </c>
      <c r="G3729" s="9">
        <v>520.63</v>
      </c>
      <c r="H3729" s="9">
        <f t="shared" si="116"/>
        <v>65.013671250000016</v>
      </c>
      <c r="I3729" t="s">
        <v>179</v>
      </c>
      <c r="J3729" s="33">
        <v>0</v>
      </c>
      <c r="K3729" s="18">
        <v>550</v>
      </c>
      <c r="L3729" s="52">
        <f t="shared" si="117"/>
        <v>68.68125000000002</v>
      </c>
    </row>
    <row r="3730" spans="1:12">
      <c r="A3730" s="21" t="s">
        <v>810</v>
      </c>
      <c r="B3730" t="s">
        <v>346</v>
      </c>
      <c r="C3730" t="s">
        <v>352</v>
      </c>
      <c r="D3730" s="3" t="s">
        <v>943</v>
      </c>
      <c r="E3730" s="4">
        <v>0.14985000000000001</v>
      </c>
      <c r="F3730" s="4" t="s">
        <v>179</v>
      </c>
      <c r="G3730" s="9">
        <v>450</v>
      </c>
      <c r="H3730" s="9">
        <f t="shared" si="116"/>
        <v>67.432500000000005</v>
      </c>
      <c r="I3730" t="s">
        <v>179</v>
      </c>
      <c r="J3730" s="33">
        <v>0</v>
      </c>
      <c r="K3730" s="18">
        <f>VLOOKUP(D3730,Ingredients!C:G,5,0)</f>
        <v>450</v>
      </c>
      <c r="L3730" s="52">
        <f t="shared" si="117"/>
        <v>67.432500000000005</v>
      </c>
    </row>
    <row r="3731" spans="1:12">
      <c r="A3731" s="21" t="s">
        <v>810</v>
      </c>
      <c r="B3731" t="s">
        <v>346</v>
      </c>
      <c r="C3731" t="s">
        <v>352</v>
      </c>
      <c r="D3731" s="3" t="s">
        <v>35</v>
      </c>
      <c r="E3731" s="4">
        <v>0.74924999999999997</v>
      </c>
      <c r="F3731" s="4" t="s">
        <v>252</v>
      </c>
      <c r="G3731" s="9">
        <v>13</v>
      </c>
      <c r="H3731" s="9">
        <f t="shared" si="116"/>
        <v>9.7402499999999996</v>
      </c>
      <c r="I3731" t="s">
        <v>179</v>
      </c>
      <c r="J3731" s="33">
        <v>0</v>
      </c>
      <c r="K3731" s="18">
        <f>VLOOKUP(D3731,Ingredients!C:G,5,0)</f>
        <v>15</v>
      </c>
      <c r="L3731" s="52">
        <f t="shared" si="117"/>
        <v>11.23875</v>
      </c>
    </row>
    <row r="3732" spans="1:12">
      <c r="A3732" s="21" t="s">
        <v>810</v>
      </c>
      <c r="B3732" t="s">
        <v>346</v>
      </c>
      <c r="C3732" t="s">
        <v>352</v>
      </c>
      <c r="D3732" s="3" t="s">
        <v>29</v>
      </c>
      <c r="E3732" s="4">
        <v>0.12487500000000003</v>
      </c>
      <c r="F3732" s="4" t="s">
        <v>179</v>
      </c>
      <c r="G3732" s="9">
        <v>60</v>
      </c>
      <c r="H3732" s="9">
        <f t="shared" si="116"/>
        <v>7.4925000000000015</v>
      </c>
      <c r="I3732" t="s">
        <v>179</v>
      </c>
      <c r="J3732" s="33">
        <v>0</v>
      </c>
      <c r="K3732" s="18">
        <f>VLOOKUP(D3732,Ingredients!C:G,5,0)</f>
        <v>100</v>
      </c>
      <c r="L3732" s="52">
        <f t="shared" si="117"/>
        <v>12.487500000000002</v>
      </c>
    </row>
    <row r="3733" spans="1:12">
      <c r="A3733" s="21" t="s">
        <v>810</v>
      </c>
      <c r="B3733" t="s">
        <v>346</v>
      </c>
      <c r="C3733" t="s">
        <v>352</v>
      </c>
      <c r="D3733" s="3" t="s">
        <v>923</v>
      </c>
      <c r="E3733" s="4">
        <v>0.14985000000000001</v>
      </c>
      <c r="F3733" s="4" t="s">
        <v>179</v>
      </c>
      <c r="G3733" s="9">
        <v>100</v>
      </c>
      <c r="H3733" s="9">
        <f t="shared" si="116"/>
        <v>14.985000000000001</v>
      </c>
      <c r="I3733" t="s">
        <v>179</v>
      </c>
      <c r="J3733" s="33">
        <v>0</v>
      </c>
      <c r="K3733" s="18">
        <f>VLOOKUP(D3733,Ingredients!C:G,5,0)</f>
        <v>1000</v>
      </c>
      <c r="L3733" s="52">
        <f t="shared" si="117"/>
        <v>149.85000000000002</v>
      </c>
    </row>
    <row r="3734" spans="1:12">
      <c r="A3734" s="21" t="s">
        <v>810</v>
      </c>
      <c r="B3734" t="s">
        <v>346</v>
      </c>
      <c r="C3734" t="s">
        <v>352</v>
      </c>
      <c r="D3734" s="3" t="s">
        <v>73</v>
      </c>
      <c r="E3734" s="4">
        <v>0.49950000000000011</v>
      </c>
      <c r="F3734" s="4" t="s">
        <v>179</v>
      </c>
      <c r="G3734" s="9">
        <v>305</v>
      </c>
      <c r="H3734" s="9">
        <f t="shared" si="116"/>
        <v>152.34750000000003</v>
      </c>
      <c r="I3734" t="s">
        <v>179</v>
      </c>
      <c r="J3734" s="33">
        <v>0</v>
      </c>
      <c r="K3734" s="18">
        <f>VLOOKUP(D3734,Ingredients!C:G,5,0)</f>
        <v>300</v>
      </c>
      <c r="L3734" s="52">
        <f t="shared" si="117"/>
        <v>149.85000000000002</v>
      </c>
    </row>
    <row r="3735" spans="1:12">
      <c r="A3735" s="21" t="s">
        <v>810</v>
      </c>
      <c r="B3735" t="s">
        <v>346</v>
      </c>
      <c r="C3735" t="s">
        <v>352</v>
      </c>
      <c r="D3735" s="3" t="s">
        <v>16</v>
      </c>
      <c r="E3735" s="4">
        <v>5.9940000000000007E-2</v>
      </c>
      <c r="F3735" s="4" t="s">
        <v>179</v>
      </c>
      <c r="G3735" s="9">
        <v>270</v>
      </c>
      <c r="H3735" s="9">
        <f t="shared" si="116"/>
        <v>16.183800000000002</v>
      </c>
      <c r="I3735" t="s">
        <v>179</v>
      </c>
      <c r="J3735" s="33">
        <v>0</v>
      </c>
      <c r="K3735" s="18">
        <f>VLOOKUP(D3735,Ingredients!C:G,5,0)</f>
        <v>310</v>
      </c>
      <c r="L3735" s="52">
        <f t="shared" si="117"/>
        <v>18.581400000000002</v>
      </c>
    </row>
    <row r="3736" spans="1:12">
      <c r="A3736" s="21" t="s">
        <v>810</v>
      </c>
      <c r="B3736" t="s">
        <v>346</v>
      </c>
      <c r="C3736" t="s">
        <v>352</v>
      </c>
      <c r="D3736" s="3" t="s">
        <v>855</v>
      </c>
      <c r="E3736" s="4">
        <v>1.9980000000000001E-2</v>
      </c>
      <c r="F3736" s="4" t="s">
        <v>179</v>
      </c>
      <c r="G3736" s="9">
        <v>2400</v>
      </c>
      <c r="H3736" s="9">
        <f t="shared" si="116"/>
        <v>47.952000000000005</v>
      </c>
      <c r="I3736" t="s">
        <v>179</v>
      </c>
      <c r="J3736" s="33">
        <v>0</v>
      </c>
      <c r="K3736" s="18">
        <f>VLOOKUP(D3736,Ingredients!C:G,5,0)</f>
        <v>1600</v>
      </c>
      <c r="L3736" s="52">
        <f t="shared" si="117"/>
        <v>31.968000000000004</v>
      </c>
    </row>
    <row r="3737" spans="1:12">
      <c r="A3737" s="21" t="s">
        <v>811</v>
      </c>
      <c r="B3737" t="s">
        <v>346</v>
      </c>
      <c r="C3737" t="s">
        <v>993</v>
      </c>
      <c r="D3737" s="3" t="s">
        <v>956</v>
      </c>
      <c r="E3737" s="14">
        <v>0.5</v>
      </c>
      <c r="F3737" s="4" t="s">
        <v>176</v>
      </c>
      <c r="G3737" s="9">
        <v>260</v>
      </c>
      <c r="H3737" s="9">
        <f t="shared" si="116"/>
        <v>130</v>
      </c>
      <c r="I3737" t="s">
        <v>179</v>
      </c>
      <c r="J3737" s="33">
        <v>0</v>
      </c>
      <c r="K3737" s="18">
        <f>VLOOKUP(D3737,Ingredients!C:G,5,0)</f>
        <v>246</v>
      </c>
      <c r="L3737" s="52">
        <f t="shared" si="117"/>
        <v>123</v>
      </c>
    </row>
    <row r="3738" spans="1:12">
      <c r="A3738" s="21" t="s">
        <v>811</v>
      </c>
      <c r="B3738" t="s">
        <v>346</v>
      </c>
      <c r="C3738" t="s">
        <v>993</v>
      </c>
      <c r="D3738" s="3" t="s">
        <v>936</v>
      </c>
      <c r="E3738" s="14">
        <v>0.5</v>
      </c>
      <c r="F3738" s="4" t="s">
        <v>176</v>
      </c>
      <c r="G3738" s="9">
        <v>260</v>
      </c>
      <c r="H3738" s="9">
        <f t="shared" si="116"/>
        <v>130</v>
      </c>
      <c r="I3738" t="s">
        <v>179</v>
      </c>
      <c r="J3738" s="33">
        <v>0</v>
      </c>
      <c r="K3738" s="18">
        <f>VLOOKUP(D3738,Ingredients!C:G,5,0)</f>
        <v>230</v>
      </c>
      <c r="L3738" s="52">
        <f t="shared" si="117"/>
        <v>115</v>
      </c>
    </row>
    <row r="3739" spans="1:12">
      <c r="A3739" s="21" t="s">
        <v>811</v>
      </c>
      <c r="B3739" t="s">
        <v>346</v>
      </c>
      <c r="C3739" t="s">
        <v>993</v>
      </c>
      <c r="D3739" s="3" t="s">
        <v>852</v>
      </c>
      <c r="E3739" s="14">
        <v>0.33333333333333331</v>
      </c>
      <c r="F3739" s="4" t="s">
        <v>176</v>
      </c>
      <c r="G3739" s="9">
        <v>520.63</v>
      </c>
      <c r="H3739" s="9">
        <f t="shared" si="116"/>
        <v>173.54333333333332</v>
      </c>
      <c r="I3739" t="s">
        <v>179</v>
      </c>
      <c r="J3739" s="33">
        <v>0</v>
      </c>
      <c r="K3739" s="18">
        <v>550</v>
      </c>
      <c r="L3739" s="52">
        <f t="shared" si="117"/>
        <v>183.33333333333331</v>
      </c>
    </row>
    <row r="3740" spans="1:12">
      <c r="A3740" s="21" t="s">
        <v>811</v>
      </c>
      <c r="B3740" t="s">
        <v>346</v>
      </c>
      <c r="C3740" t="s">
        <v>993</v>
      </c>
      <c r="D3740" s="3" t="s">
        <v>24</v>
      </c>
      <c r="E3740" s="14">
        <v>0.16666666666666666</v>
      </c>
      <c r="F3740" s="4" t="s">
        <v>176</v>
      </c>
      <c r="G3740" s="9">
        <v>55</v>
      </c>
      <c r="H3740" s="9">
        <f t="shared" si="116"/>
        <v>9.1666666666666661</v>
      </c>
      <c r="I3740" t="s">
        <v>179</v>
      </c>
      <c r="J3740" s="33">
        <v>0</v>
      </c>
      <c r="K3740" s="18">
        <f>VLOOKUP(D3740,Ingredients!C:G,5,0)</f>
        <v>80</v>
      </c>
      <c r="L3740" s="52">
        <f t="shared" si="117"/>
        <v>13.333333333333332</v>
      </c>
    </row>
    <row r="3741" spans="1:12">
      <c r="A3741" s="21" t="s">
        <v>811</v>
      </c>
      <c r="B3741" t="s">
        <v>346</v>
      </c>
      <c r="C3741" t="s">
        <v>993</v>
      </c>
      <c r="D3741" s="3" t="s">
        <v>28</v>
      </c>
      <c r="E3741" s="14">
        <v>0.5</v>
      </c>
      <c r="F3741" s="4" t="s">
        <v>176</v>
      </c>
      <c r="G3741" s="9">
        <v>85</v>
      </c>
      <c r="H3741" s="9">
        <f t="shared" si="116"/>
        <v>42.5</v>
      </c>
      <c r="I3741" t="s">
        <v>179</v>
      </c>
      <c r="J3741" s="33">
        <v>0</v>
      </c>
      <c r="K3741" s="18">
        <f>VLOOKUP(D3741,Ingredients!C:G,5,0)</f>
        <v>70</v>
      </c>
      <c r="L3741" s="52">
        <f t="shared" si="117"/>
        <v>35</v>
      </c>
    </row>
    <row r="3742" spans="1:12">
      <c r="A3742" s="21" t="s">
        <v>811</v>
      </c>
      <c r="B3742" t="s">
        <v>346</v>
      </c>
      <c r="C3742" t="s">
        <v>993</v>
      </c>
      <c r="D3742" s="3" t="s">
        <v>23</v>
      </c>
      <c r="E3742" s="14">
        <v>3.3333333333333333E-2</v>
      </c>
      <c r="F3742" s="4" t="s">
        <v>176</v>
      </c>
      <c r="G3742" s="9">
        <v>740</v>
      </c>
      <c r="H3742" s="9">
        <f t="shared" si="116"/>
        <v>24.666666666666668</v>
      </c>
      <c r="I3742" t="s">
        <v>179</v>
      </c>
      <c r="J3742" s="33">
        <v>0</v>
      </c>
      <c r="K3742" s="18">
        <f>VLOOKUP(D3742,Ingredients!C:G,5,0)</f>
        <v>780</v>
      </c>
      <c r="L3742" s="52">
        <f t="shared" si="117"/>
        <v>26</v>
      </c>
    </row>
    <row r="3743" spans="1:12">
      <c r="A3743" s="21" t="s">
        <v>811</v>
      </c>
      <c r="B3743" t="s">
        <v>346</v>
      </c>
      <c r="C3743" t="s">
        <v>993</v>
      </c>
      <c r="D3743" s="3" t="s">
        <v>16</v>
      </c>
      <c r="E3743" s="14">
        <v>6.6666666666666671E-3</v>
      </c>
      <c r="F3743" s="4" t="s">
        <v>176</v>
      </c>
      <c r="G3743" s="9">
        <v>270</v>
      </c>
      <c r="H3743" s="9">
        <f t="shared" si="116"/>
        <v>1.8</v>
      </c>
      <c r="I3743" t="s">
        <v>179</v>
      </c>
      <c r="J3743" s="33">
        <v>0</v>
      </c>
      <c r="K3743" s="18">
        <f>VLOOKUP(D3743,Ingredients!C:G,5,0)</f>
        <v>310</v>
      </c>
      <c r="L3743" s="52">
        <f t="shared" si="117"/>
        <v>2.0666666666666669</v>
      </c>
    </row>
    <row r="3744" spans="1:12">
      <c r="A3744" s="21" t="s">
        <v>811</v>
      </c>
      <c r="B3744" t="s">
        <v>346</v>
      </c>
      <c r="C3744" t="s">
        <v>993</v>
      </c>
      <c r="D3744" s="3" t="s">
        <v>867</v>
      </c>
      <c r="E3744" s="14">
        <v>6.6666666666666671E-3</v>
      </c>
      <c r="F3744" s="4" t="s">
        <v>176</v>
      </c>
      <c r="G3744" s="9">
        <v>900</v>
      </c>
      <c r="H3744" s="9">
        <f t="shared" si="116"/>
        <v>6</v>
      </c>
      <c r="I3744" t="s">
        <v>179</v>
      </c>
      <c r="J3744" s="33">
        <v>0</v>
      </c>
      <c r="K3744" s="18">
        <f>VLOOKUP(D3744,Ingredients!C:G,5,0)</f>
        <v>950</v>
      </c>
      <c r="L3744" s="52">
        <f t="shared" si="117"/>
        <v>6.3333333333333339</v>
      </c>
    </row>
    <row r="3745" spans="1:12">
      <c r="A3745" s="21" t="s">
        <v>811</v>
      </c>
      <c r="B3745" t="s">
        <v>346</v>
      </c>
      <c r="C3745" t="s">
        <v>993</v>
      </c>
      <c r="D3745" s="3" t="s">
        <v>853</v>
      </c>
      <c r="E3745" s="14">
        <v>6.6666666666666671E-3</v>
      </c>
      <c r="F3745" s="4" t="s">
        <v>176</v>
      </c>
      <c r="G3745" s="9">
        <v>30</v>
      </c>
      <c r="H3745" s="9">
        <f t="shared" si="116"/>
        <v>0.2</v>
      </c>
      <c r="I3745" t="s">
        <v>179</v>
      </c>
      <c r="J3745" s="33">
        <v>0</v>
      </c>
      <c r="K3745" s="18">
        <f>VLOOKUP(D3745,Ingredients!C:G,5,0)</f>
        <v>55</v>
      </c>
      <c r="L3745" s="52">
        <f t="shared" si="117"/>
        <v>0.3666666666666667</v>
      </c>
    </row>
    <row r="3746" spans="1:12">
      <c r="A3746" s="21" t="s">
        <v>811</v>
      </c>
      <c r="B3746" t="s">
        <v>346</v>
      </c>
      <c r="C3746" t="s">
        <v>993</v>
      </c>
      <c r="D3746" s="3" t="s">
        <v>880</v>
      </c>
      <c r="E3746" s="14">
        <v>6.6666666666666671E-3</v>
      </c>
      <c r="F3746" s="4" t="s">
        <v>176</v>
      </c>
      <c r="G3746" s="9">
        <v>650</v>
      </c>
      <c r="H3746" s="9">
        <f t="shared" si="116"/>
        <v>4.3333333333333339</v>
      </c>
      <c r="I3746" t="s">
        <v>179</v>
      </c>
      <c r="J3746" s="33">
        <v>0</v>
      </c>
      <c r="K3746" s="18">
        <f>VLOOKUP(D3746,Ingredients!C:G,5,0)</f>
        <v>520</v>
      </c>
      <c r="L3746" s="52">
        <f t="shared" si="117"/>
        <v>3.4666666666666668</v>
      </c>
    </row>
    <row r="3747" spans="1:12">
      <c r="A3747" s="21" t="s">
        <v>811</v>
      </c>
      <c r="B3747" t="s">
        <v>346</v>
      </c>
      <c r="C3747" t="s">
        <v>993</v>
      </c>
      <c r="D3747" s="3" t="s">
        <v>855</v>
      </c>
      <c r="E3747" s="14">
        <v>6.6666666666666671E-3</v>
      </c>
      <c r="F3747" s="4" t="s">
        <v>176</v>
      </c>
      <c r="G3747" s="9">
        <v>2400</v>
      </c>
      <c r="H3747" s="9">
        <f t="shared" si="116"/>
        <v>16</v>
      </c>
      <c r="I3747" t="s">
        <v>179</v>
      </c>
      <c r="J3747" s="33">
        <v>0</v>
      </c>
      <c r="K3747" s="18">
        <f>VLOOKUP(D3747,Ingredients!C:G,5,0)</f>
        <v>1600</v>
      </c>
      <c r="L3747" s="52">
        <f t="shared" si="117"/>
        <v>10.666666666666668</v>
      </c>
    </row>
    <row r="3748" spans="1:12">
      <c r="A3748" s="21" t="s">
        <v>811</v>
      </c>
      <c r="B3748" t="s">
        <v>346</v>
      </c>
      <c r="C3748" t="s">
        <v>993</v>
      </c>
      <c r="D3748" s="3" t="s">
        <v>887</v>
      </c>
      <c r="E3748" s="14">
        <v>6.6666666666666671E-3</v>
      </c>
      <c r="F3748" s="4" t="s">
        <v>176</v>
      </c>
      <c r="G3748" s="9">
        <v>1600</v>
      </c>
      <c r="H3748" s="9">
        <f t="shared" si="116"/>
        <v>10.666666666666668</v>
      </c>
      <c r="I3748" t="s">
        <v>179</v>
      </c>
      <c r="J3748" s="33">
        <v>0</v>
      </c>
      <c r="K3748" s="18">
        <f>VLOOKUP(D3748,Ingredients!C:G,5,0)</f>
        <v>1830</v>
      </c>
      <c r="L3748" s="52">
        <f t="shared" si="117"/>
        <v>12.200000000000001</v>
      </c>
    </row>
    <row r="3749" spans="1:12">
      <c r="A3749" s="21" t="s">
        <v>811</v>
      </c>
      <c r="B3749" t="s">
        <v>346</v>
      </c>
      <c r="C3749" t="s">
        <v>993</v>
      </c>
      <c r="D3749" s="3" t="s">
        <v>895</v>
      </c>
      <c r="E3749" s="14">
        <v>6.6666666666666671E-3</v>
      </c>
      <c r="F3749" s="4" t="s">
        <v>176</v>
      </c>
      <c r="G3749" s="9">
        <v>400</v>
      </c>
      <c r="H3749" s="9">
        <f t="shared" si="116"/>
        <v>2.666666666666667</v>
      </c>
      <c r="I3749" t="s">
        <v>179</v>
      </c>
      <c r="J3749" s="33">
        <v>0</v>
      </c>
      <c r="K3749" s="18">
        <f>VLOOKUP(D3749,Ingredients!C:G,5,0)</f>
        <v>400</v>
      </c>
      <c r="L3749" s="52">
        <f t="shared" si="117"/>
        <v>2.666666666666667</v>
      </c>
    </row>
    <row r="3750" spans="1:12">
      <c r="A3750" s="21" t="s">
        <v>811</v>
      </c>
      <c r="B3750" t="s">
        <v>346</v>
      </c>
      <c r="C3750" t="s">
        <v>993</v>
      </c>
      <c r="D3750" s="3" t="s">
        <v>35</v>
      </c>
      <c r="E3750" s="14">
        <v>0.33300000000000002</v>
      </c>
      <c r="F3750" s="4" t="s">
        <v>252</v>
      </c>
      <c r="G3750" s="9">
        <v>13</v>
      </c>
      <c r="H3750" s="9">
        <f t="shared" si="116"/>
        <v>4.3290000000000006</v>
      </c>
      <c r="I3750" t="s">
        <v>179</v>
      </c>
      <c r="J3750" s="33">
        <v>0</v>
      </c>
      <c r="K3750" s="18">
        <f>VLOOKUP(D3750,Ingredients!C:G,5,0)</f>
        <v>15</v>
      </c>
      <c r="L3750" s="52">
        <f t="shared" si="117"/>
        <v>4.9950000000000001</v>
      </c>
    </row>
    <row r="3751" spans="1:12">
      <c r="A3751" s="21" t="s">
        <v>811</v>
      </c>
      <c r="B3751" t="s">
        <v>346</v>
      </c>
      <c r="C3751" t="s">
        <v>993</v>
      </c>
      <c r="D3751" s="3" t="s">
        <v>29</v>
      </c>
      <c r="E3751" s="4">
        <v>4.2000000000000003E-2</v>
      </c>
      <c r="F3751" s="4" t="s">
        <v>176</v>
      </c>
      <c r="G3751" s="9">
        <v>60</v>
      </c>
      <c r="H3751" s="9">
        <f t="shared" si="116"/>
        <v>2.52</v>
      </c>
      <c r="I3751" t="s">
        <v>179</v>
      </c>
      <c r="J3751" s="33">
        <v>0</v>
      </c>
      <c r="K3751" s="18">
        <f>VLOOKUP(D3751,Ingredients!C:G,5,0)</f>
        <v>100</v>
      </c>
      <c r="L3751" s="52">
        <f t="shared" si="117"/>
        <v>4.2</v>
      </c>
    </row>
    <row r="3752" spans="1:12">
      <c r="A3752" s="21" t="s">
        <v>973</v>
      </c>
      <c r="B3752" t="s">
        <v>992</v>
      </c>
      <c r="C3752" t="s">
        <v>973</v>
      </c>
      <c r="D3752" s="3" t="s">
        <v>939</v>
      </c>
      <c r="E3752" s="4">
        <v>0.25</v>
      </c>
      <c r="F3752" s="4" t="s">
        <v>176</v>
      </c>
      <c r="G3752" s="9">
        <v>1250</v>
      </c>
      <c r="H3752" s="9">
        <f t="shared" si="116"/>
        <v>312.5</v>
      </c>
      <c r="I3752" t="s">
        <v>250</v>
      </c>
      <c r="J3752" s="33">
        <v>0</v>
      </c>
      <c r="K3752" s="18">
        <f>VLOOKUP(D3752,Ingredients!C:G,5,0)</f>
        <v>1500</v>
      </c>
      <c r="L3752" s="52">
        <f t="shared" si="117"/>
        <v>375</v>
      </c>
    </row>
    <row r="3753" spans="1:12">
      <c r="A3753" s="21" t="s">
        <v>973</v>
      </c>
      <c r="B3753" t="s">
        <v>992</v>
      </c>
      <c r="C3753" t="s">
        <v>973</v>
      </c>
      <c r="D3753" s="3" t="s">
        <v>967</v>
      </c>
      <c r="E3753" s="4">
        <v>0.1</v>
      </c>
      <c r="F3753" s="4" t="s">
        <v>250</v>
      </c>
      <c r="G3753" s="9">
        <v>260</v>
      </c>
      <c r="H3753" s="9">
        <f t="shared" si="116"/>
        <v>26</v>
      </c>
      <c r="I3753" t="s">
        <v>250</v>
      </c>
      <c r="J3753" s="33">
        <v>0</v>
      </c>
      <c r="K3753" s="18">
        <f>VLOOKUP(D3753,Ingredients!C:G,5,0)</f>
        <v>300</v>
      </c>
      <c r="L3753" s="52">
        <f t="shared" si="117"/>
        <v>30</v>
      </c>
    </row>
    <row r="3754" spans="1:12">
      <c r="A3754" s="21" t="s">
        <v>973</v>
      </c>
      <c r="B3754" t="s">
        <v>992</v>
      </c>
      <c r="C3754" t="s">
        <v>973</v>
      </c>
      <c r="D3754" s="3" t="s">
        <v>970</v>
      </c>
      <c r="E3754" s="4">
        <v>1</v>
      </c>
      <c r="F3754" s="4" t="s">
        <v>250</v>
      </c>
      <c r="G3754" s="9">
        <v>460</v>
      </c>
      <c r="H3754" s="9">
        <f t="shared" si="116"/>
        <v>460</v>
      </c>
      <c r="I3754" t="s">
        <v>250</v>
      </c>
      <c r="J3754" s="33">
        <v>0</v>
      </c>
      <c r="K3754" s="18">
        <f>VLOOKUP(D3754,Ingredients!C:G,5,0)</f>
        <v>398</v>
      </c>
      <c r="L3754" s="52">
        <f t="shared" si="117"/>
        <v>398</v>
      </c>
    </row>
    <row r="3755" spans="1:12">
      <c r="A3755" s="21" t="s">
        <v>813</v>
      </c>
      <c r="B3755" t="s">
        <v>992</v>
      </c>
      <c r="C3755" t="s">
        <v>814</v>
      </c>
      <c r="D3755" s="3" t="s">
        <v>971</v>
      </c>
      <c r="E3755" s="4">
        <v>1</v>
      </c>
      <c r="F3755" s="4" t="s">
        <v>263</v>
      </c>
      <c r="G3755" s="9">
        <v>500</v>
      </c>
      <c r="H3755" s="9">
        <f t="shared" si="116"/>
        <v>500</v>
      </c>
      <c r="I3755" t="s">
        <v>250</v>
      </c>
      <c r="J3755" s="33">
        <v>0</v>
      </c>
      <c r="K3755" s="18">
        <f>VLOOKUP(D3755,Ingredients!C:G,5,0)</f>
        <v>500</v>
      </c>
      <c r="L3755" s="52">
        <f t="shared" si="117"/>
        <v>500</v>
      </c>
    </row>
    <row r="3756" spans="1:12">
      <c r="A3756" s="21" t="s">
        <v>813</v>
      </c>
      <c r="B3756" t="s">
        <v>992</v>
      </c>
      <c r="C3756" t="s">
        <v>814</v>
      </c>
      <c r="D3756" s="3" t="s">
        <v>913</v>
      </c>
      <c r="E3756" s="4">
        <v>1</v>
      </c>
      <c r="F3756" s="4" t="s">
        <v>263</v>
      </c>
      <c r="G3756" s="9">
        <v>229.16666666666666</v>
      </c>
      <c r="H3756" s="9">
        <f t="shared" si="116"/>
        <v>229.16666666666666</v>
      </c>
      <c r="I3756" t="s">
        <v>250</v>
      </c>
      <c r="J3756" s="33">
        <v>0</v>
      </c>
      <c r="K3756" s="18">
        <f>VLOOKUP(D3756,Ingredients!C:F,3,0)</f>
        <v>343.75</v>
      </c>
      <c r="L3756" s="52">
        <f t="shared" si="117"/>
        <v>343.75</v>
      </c>
    </row>
    <row r="3757" spans="1:12">
      <c r="A3757" s="21" t="s">
        <v>815</v>
      </c>
      <c r="B3757" t="s">
        <v>349</v>
      </c>
      <c r="C3757" t="s">
        <v>352</v>
      </c>
      <c r="D3757" s="33" t="s">
        <v>491</v>
      </c>
      <c r="E3757" s="4">
        <v>1</v>
      </c>
      <c r="F3757" s="4" t="s">
        <v>179</v>
      </c>
      <c r="G3757" s="9">
        <v>614</v>
      </c>
      <c r="H3757" s="9">
        <f t="shared" si="116"/>
        <v>614</v>
      </c>
      <c r="I3757" t="s">
        <v>179</v>
      </c>
      <c r="J3757" s="33" t="s">
        <v>491</v>
      </c>
      <c r="K3757" s="18">
        <f>VLOOKUP(D3757,Ingredients!C:G,5,0)</f>
        <v>650</v>
      </c>
      <c r="L3757" s="52">
        <f t="shared" si="117"/>
        <v>650</v>
      </c>
    </row>
    <row r="3758" spans="1:12">
      <c r="A3758" s="21" t="s">
        <v>815</v>
      </c>
      <c r="B3758" t="s">
        <v>349</v>
      </c>
      <c r="C3758" t="s">
        <v>352</v>
      </c>
      <c r="D3758" s="3" t="s">
        <v>852</v>
      </c>
      <c r="E3758" s="14">
        <v>9.2307692307692299E-2</v>
      </c>
      <c r="F3758" s="4" t="s">
        <v>190</v>
      </c>
      <c r="G3758" s="9">
        <v>520.63</v>
      </c>
      <c r="H3758" s="9">
        <f t="shared" si="116"/>
        <v>48.058153846153843</v>
      </c>
      <c r="I3758" t="s">
        <v>179</v>
      </c>
      <c r="J3758" s="33" t="s">
        <v>491</v>
      </c>
      <c r="K3758" s="18">
        <v>550</v>
      </c>
      <c r="L3758" s="52">
        <f t="shared" si="117"/>
        <v>50.769230769230766</v>
      </c>
    </row>
    <row r="3759" spans="1:12">
      <c r="A3759" s="21" t="s">
        <v>815</v>
      </c>
      <c r="B3759" t="s">
        <v>349</v>
      </c>
      <c r="C3759" t="s">
        <v>352</v>
      </c>
      <c r="D3759" s="3" t="s">
        <v>24</v>
      </c>
      <c r="E3759" s="14">
        <v>0.3692307692307692</v>
      </c>
      <c r="F3759" s="4" t="s">
        <v>179</v>
      </c>
      <c r="G3759" s="9">
        <v>55</v>
      </c>
      <c r="H3759" s="9">
        <f t="shared" si="116"/>
        <v>20.307692307692307</v>
      </c>
      <c r="I3759" t="s">
        <v>179</v>
      </c>
      <c r="J3759" s="33" t="s">
        <v>491</v>
      </c>
      <c r="K3759" s="18">
        <f>VLOOKUP(D3759,Ingredients!C:G,5,0)</f>
        <v>80</v>
      </c>
      <c r="L3759" s="52">
        <f t="shared" si="117"/>
        <v>29.538461538461537</v>
      </c>
    </row>
    <row r="3760" spans="1:12">
      <c r="A3760" s="21" t="s">
        <v>815</v>
      </c>
      <c r="B3760" t="s">
        <v>349</v>
      </c>
      <c r="C3760" t="s">
        <v>352</v>
      </c>
      <c r="D3760" s="3" t="s">
        <v>23</v>
      </c>
      <c r="E3760" s="14">
        <v>1.3846153846153843E-2</v>
      </c>
      <c r="F3760" s="4" t="s">
        <v>179</v>
      </c>
      <c r="G3760" s="9">
        <v>740</v>
      </c>
      <c r="H3760" s="9">
        <f t="shared" si="116"/>
        <v>10.246153846153844</v>
      </c>
      <c r="I3760" t="s">
        <v>179</v>
      </c>
      <c r="J3760" s="33" t="s">
        <v>491</v>
      </c>
      <c r="K3760" s="18">
        <f>VLOOKUP(D3760,Ingredients!C:G,5,0)</f>
        <v>780</v>
      </c>
      <c r="L3760" s="52">
        <f t="shared" si="117"/>
        <v>10.799999999999997</v>
      </c>
    </row>
    <row r="3761" spans="1:12">
      <c r="A3761" s="21" t="s">
        <v>815</v>
      </c>
      <c r="B3761" t="s">
        <v>349</v>
      </c>
      <c r="C3761" t="s">
        <v>352</v>
      </c>
      <c r="D3761" s="3" t="s">
        <v>16</v>
      </c>
      <c r="E3761" s="14">
        <v>1.3846153846153843E-2</v>
      </c>
      <c r="F3761" s="4" t="s">
        <v>179</v>
      </c>
      <c r="G3761" s="9">
        <v>270</v>
      </c>
      <c r="H3761" s="9">
        <f t="shared" si="116"/>
        <v>3.7384615384615376</v>
      </c>
      <c r="I3761" t="s">
        <v>179</v>
      </c>
      <c r="J3761" s="33" t="s">
        <v>491</v>
      </c>
      <c r="K3761" s="18">
        <f>VLOOKUP(D3761,Ingredients!C:G,5,0)</f>
        <v>310</v>
      </c>
      <c r="L3761" s="52">
        <f t="shared" si="117"/>
        <v>4.2923076923076913</v>
      </c>
    </row>
    <row r="3762" spans="1:12">
      <c r="A3762" s="21" t="s">
        <v>815</v>
      </c>
      <c r="B3762" t="s">
        <v>349</v>
      </c>
      <c r="C3762" t="s">
        <v>352</v>
      </c>
      <c r="D3762" s="3" t="s">
        <v>853</v>
      </c>
      <c r="E3762" s="14">
        <v>1.846153846153846E-2</v>
      </c>
      <c r="F3762" s="4" t="s">
        <v>179</v>
      </c>
      <c r="G3762" s="9">
        <v>30</v>
      </c>
      <c r="H3762" s="9">
        <f t="shared" si="116"/>
        <v>0.55384615384615377</v>
      </c>
      <c r="I3762" t="s">
        <v>179</v>
      </c>
      <c r="J3762" s="33" t="s">
        <v>491</v>
      </c>
      <c r="K3762" s="18">
        <f>VLOOKUP(D3762,Ingredients!C:G,5,0)</f>
        <v>55</v>
      </c>
      <c r="L3762" s="52">
        <f t="shared" si="117"/>
        <v>1.0153846153846153</v>
      </c>
    </row>
    <row r="3763" spans="1:12">
      <c r="A3763" s="21" t="s">
        <v>815</v>
      </c>
      <c r="B3763" t="s">
        <v>349</v>
      </c>
      <c r="C3763" t="s">
        <v>352</v>
      </c>
      <c r="D3763" s="3" t="s">
        <v>895</v>
      </c>
      <c r="E3763" s="14">
        <v>1.0769230769230769E-2</v>
      </c>
      <c r="F3763" s="4" t="s">
        <v>179</v>
      </c>
      <c r="G3763" s="9">
        <v>400</v>
      </c>
      <c r="H3763" s="9">
        <f t="shared" si="116"/>
        <v>4.3076923076923075</v>
      </c>
      <c r="I3763" t="s">
        <v>179</v>
      </c>
      <c r="J3763" s="33" t="s">
        <v>491</v>
      </c>
      <c r="K3763" s="18">
        <f>VLOOKUP(D3763,Ingredients!C:G,5,0)</f>
        <v>400</v>
      </c>
      <c r="L3763" s="52">
        <f t="shared" si="117"/>
        <v>4.3076923076923075</v>
      </c>
    </row>
    <row r="3764" spans="1:12">
      <c r="A3764" s="21" t="s">
        <v>815</v>
      </c>
      <c r="B3764" t="s">
        <v>349</v>
      </c>
      <c r="C3764" t="s">
        <v>352</v>
      </c>
      <c r="D3764" s="3" t="s">
        <v>882</v>
      </c>
      <c r="E3764" s="14">
        <v>2.5000000000000001E-2</v>
      </c>
      <c r="F3764" s="4" t="s">
        <v>179</v>
      </c>
      <c r="G3764" s="9">
        <v>1500</v>
      </c>
      <c r="H3764" s="9">
        <f t="shared" si="116"/>
        <v>37.5</v>
      </c>
      <c r="I3764" t="s">
        <v>179</v>
      </c>
      <c r="J3764" s="33" t="s">
        <v>491</v>
      </c>
      <c r="K3764" s="18">
        <f>VLOOKUP(D3764,Ingredients!C:G,5,0)</f>
        <v>1450</v>
      </c>
      <c r="L3764" s="52">
        <f t="shared" si="117"/>
        <v>36.25</v>
      </c>
    </row>
    <row r="3765" spans="1:12">
      <c r="A3765" s="21" t="s">
        <v>815</v>
      </c>
      <c r="B3765" t="s">
        <v>349</v>
      </c>
      <c r="C3765" t="s">
        <v>352</v>
      </c>
      <c r="D3765" s="3" t="s">
        <v>887</v>
      </c>
      <c r="E3765" s="14">
        <v>1.2307692307692308E-2</v>
      </c>
      <c r="F3765" s="4" t="s">
        <v>179</v>
      </c>
      <c r="G3765" s="9">
        <v>1600</v>
      </c>
      <c r="H3765" s="9">
        <f t="shared" si="116"/>
        <v>19.692307692307693</v>
      </c>
      <c r="I3765" t="s">
        <v>179</v>
      </c>
      <c r="J3765" s="33" t="s">
        <v>491</v>
      </c>
      <c r="K3765" s="18">
        <f>VLOOKUP(D3765,Ingredients!C:G,5,0)</f>
        <v>1830</v>
      </c>
      <c r="L3765" s="52">
        <f t="shared" si="117"/>
        <v>22.523076923076925</v>
      </c>
    </row>
    <row r="3766" spans="1:12">
      <c r="A3766" s="21" t="s">
        <v>815</v>
      </c>
      <c r="B3766" t="s">
        <v>349</v>
      </c>
      <c r="C3766" t="s">
        <v>352</v>
      </c>
      <c r="D3766" s="3" t="s">
        <v>73</v>
      </c>
      <c r="E3766" s="14">
        <v>0.15384615384615385</v>
      </c>
      <c r="F3766" s="4" t="s">
        <v>179</v>
      </c>
      <c r="G3766" s="9">
        <v>305</v>
      </c>
      <c r="H3766" s="9">
        <f t="shared" si="116"/>
        <v>46.923076923076927</v>
      </c>
      <c r="I3766" t="s">
        <v>179</v>
      </c>
      <c r="J3766" s="33" t="s">
        <v>491</v>
      </c>
      <c r="K3766" s="18">
        <f>VLOOKUP(D3766,Ingredients!C:G,5,0)</f>
        <v>300</v>
      </c>
      <c r="L3766" s="52">
        <f t="shared" si="117"/>
        <v>46.153846153846153</v>
      </c>
    </row>
    <row r="3767" spans="1:12">
      <c r="A3767" s="21" t="s">
        <v>815</v>
      </c>
      <c r="B3767" t="s">
        <v>349</v>
      </c>
      <c r="C3767" t="s">
        <v>352</v>
      </c>
      <c r="D3767" s="3" t="s">
        <v>860</v>
      </c>
      <c r="E3767" s="14">
        <v>1.2307692307692308E-2</v>
      </c>
      <c r="F3767" s="4" t="s">
        <v>179</v>
      </c>
      <c r="G3767" s="9">
        <v>2000</v>
      </c>
      <c r="H3767" s="9">
        <f t="shared" si="116"/>
        <v>24.615384615384617</v>
      </c>
      <c r="I3767" t="s">
        <v>179</v>
      </c>
      <c r="J3767" s="33" t="s">
        <v>491</v>
      </c>
      <c r="K3767" s="18">
        <f>VLOOKUP(D3767,Ingredients!C:G,5,0)</f>
        <v>1900</v>
      </c>
      <c r="L3767" s="52">
        <f t="shared" si="117"/>
        <v>23.384615384615383</v>
      </c>
    </row>
    <row r="3768" spans="1:12">
      <c r="A3768" s="21" t="s">
        <v>815</v>
      </c>
      <c r="B3768" t="s">
        <v>349</v>
      </c>
      <c r="C3768" t="s">
        <v>352</v>
      </c>
      <c r="D3768" s="3" t="s">
        <v>23</v>
      </c>
      <c r="E3768" s="14">
        <v>4.6153846153846149E-2</v>
      </c>
      <c r="F3768" s="4" t="s">
        <v>179</v>
      </c>
      <c r="G3768" s="9">
        <v>740</v>
      </c>
      <c r="H3768" s="9">
        <f t="shared" si="116"/>
        <v>34.153846153846153</v>
      </c>
      <c r="I3768" t="s">
        <v>179</v>
      </c>
      <c r="J3768" s="33" t="s">
        <v>491</v>
      </c>
      <c r="K3768" s="18">
        <f>VLOOKUP(D3768,Ingredients!C:G,5,0)</f>
        <v>780</v>
      </c>
      <c r="L3768" s="52">
        <f t="shared" si="117"/>
        <v>36</v>
      </c>
    </row>
    <row r="3769" spans="1:12">
      <c r="A3769" s="21" t="s">
        <v>815</v>
      </c>
      <c r="B3769" t="s">
        <v>349</v>
      </c>
      <c r="C3769" t="s">
        <v>352</v>
      </c>
      <c r="D3769" s="3" t="s">
        <v>35</v>
      </c>
      <c r="E3769" s="14">
        <v>0.15384615384615385</v>
      </c>
      <c r="F3769" s="4" t="s">
        <v>252</v>
      </c>
      <c r="G3769" s="9">
        <v>13</v>
      </c>
      <c r="H3769" s="9">
        <f t="shared" si="116"/>
        <v>2</v>
      </c>
      <c r="I3769" t="s">
        <v>179</v>
      </c>
      <c r="J3769" s="33" t="s">
        <v>491</v>
      </c>
      <c r="K3769" s="18">
        <f>VLOOKUP(D3769,Ingredients!C:G,5,0)</f>
        <v>15</v>
      </c>
      <c r="L3769" s="52">
        <f t="shared" si="117"/>
        <v>2.3076923076923079</v>
      </c>
    </row>
    <row r="3770" spans="1:12">
      <c r="A3770" t="s">
        <v>816</v>
      </c>
      <c r="B3770" t="s">
        <v>346</v>
      </c>
      <c r="C3770" t="s">
        <v>353</v>
      </c>
      <c r="D3770" s="3" t="s">
        <v>884</v>
      </c>
      <c r="E3770" s="4">
        <v>1</v>
      </c>
      <c r="F3770" s="4" t="s">
        <v>176</v>
      </c>
      <c r="G3770" s="9">
        <v>344</v>
      </c>
      <c r="H3770" s="9">
        <f t="shared" si="116"/>
        <v>344</v>
      </c>
      <c r="I3770" t="s">
        <v>179</v>
      </c>
      <c r="J3770" s="33">
        <v>0</v>
      </c>
      <c r="K3770" s="18">
        <f>VLOOKUP(D3770,Ingredients!C:G,5,0)</f>
        <v>344</v>
      </c>
      <c r="L3770" s="52">
        <f t="shared" si="117"/>
        <v>344</v>
      </c>
    </row>
    <row r="3771" spans="1:12">
      <c r="A3771" t="s">
        <v>816</v>
      </c>
      <c r="B3771" t="s">
        <v>346</v>
      </c>
      <c r="C3771" t="s">
        <v>353</v>
      </c>
      <c r="D3771" s="3" t="s">
        <v>852</v>
      </c>
      <c r="E3771" s="4">
        <v>0.1</v>
      </c>
      <c r="F3771" s="4" t="s">
        <v>190</v>
      </c>
      <c r="G3771" s="9">
        <v>520.63</v>
      </c>
      <c r="H3771" s="9">
        <f t="shared" si="116"/>
        <v>52.063000000000002</v>
      </c>
      <c r="I3771" t="s">
        <v>179</v>
      </c>
      <c r="J3771" s="33">
        <v>0</v>
      </c>
      <c r="K3771" s="18">
        <v>550</v>
      </c>
      <c r="L3771" s="52">
        <f t="shared" si="117"/>
        <v>55</v>
      </c>
    </row>
    <row r="3772" spans="1:12">
      <c r="A3772" t="s">
        <v>816</v>
      </c>
      <c r="B3772" t="s">
        <v>346</v>
      </c>
      <c r="C3772" t="s">
        <v>353</v>
      </c>
      <c r="D3772" s="3" t="s">
        <v>867</v>
      </c>
      <c r="E3772" s="4">
        <v>2.5000000000000001E-2</v>
      </c>
      <c r="F3772" s="4" t="s">
        <v>176</v>
      </c>
      <c r="G3772" s="9">
        <v>900</v>
      </c>
      <c r="H3772" s="9">
        <f t="shared" ref="H3772:H3835" si="118">G3772*E3772</f>
        <v>22.5</v>
      </c>
      <c r="I3772" t="s">
        <v>179</v>
      </c>
      <c r="J3772" s="33">
        <v>0</v>
      </c>
      <c r="K3772" s="18">
        <f>VLOOKUP(D3772,Ingredients!C:G,5,0)</f>
        <v>950</v>
      </c>
      <c r="L3772" s="52">
        <f t="shared" si="117"/>
        <v>23.75</v>
      </c>
    </row>
    <row r="3773" spans="1:12">
      <c r="A3773" t="s">
        <v>816</v>
      </c>
      <c r="B3773" t="s">
        <v>346</v>
      </c>
      <c r="C3773" t="s">
        <v>353</v>
      </c>
      <c r="D3773" s="3" t="s">
        <v>855</v>
      </c>
      <c r="E3773" s="4">
        <v>0.01</v>
      </c>
      <c r="F3773" s="4" t="s">
        <v>176</v>
      </c>
      <c r="G3773" s="9">
        <v>2400</v>
      </c>
      <c r="H3773" s="9">
        <f t="shared" si="118"/>
        <v>24</v>
      </c>
      <c r="I3773" t="s">
        <v>179</v>
      </c>
      <c r="J3773" s="33">
        <v>0</v>
      </c>
      <c r="K3773" s="18">
        <f>VLOOKUP(D3773,Ingredients!C:G,5,0)</f>
        <v>1600</v>
      </c>
      <c r="L3773" s="52">
        <f t="shared" si="117"/>
        <v>16</v>
      </c>
    </row>
    <row r="3774" spans="1:12">
      <c r="A3774" t="s">
        <v>816</v>
      </c>
      <c r="B3774" t="s">
        <v>346</v>
      </c>
      <c r="C3774" t="s">
        <v>353</v>
      </c>
      <c r="D3774" s="3" t="s">
        <v>24</v>
      </c>
      <c r="E3774" s="4">
        <v>0.1</v>
      </c>
      <c r="F3774" s="4" t="s">
        <v>176</v>
      </c>
      <c r="G3774" s="9">
        <v>55</v>
      </c>
      <c r="H3774" s="9">
        <f t="shared" si="118"/>
        <v>5.5</v>
      </c>
      <c r="I3774" t="s">
        <v>179</v>
      </c>
      <c r="J3774" s="33">
        <v>0</v>
      </c>
      <c r="K3774" s="18">
        <f>VLOOKUP(D3774,Ingredients!C:G,5,0)</f>
        <v>80</v>
      </c>
      <c r="L3774" s="52">
        <f t="shared" si="117"/>
        <v>8</v>
      </c>
    </row>
    <row r="3775" spans="1:12">
      <c r="A3775" t="s">
        <v>816</v>
      </c>
      <c r="B3775" t="s">
        <v>346</v>
      </c>
      <c r="C3775" t="s">
        <v>353</v>
      </c>
      <c r="D3775" s="3" t="s">
        <v>23</v>
      </c>
      <c r="E3775" s="4">
        <v>2.5000000000000001E-2</v>
      </c>
      <c r="F3775" s="4" t="s">
        <v>176</v>
      </c>
      <c r="G3775" s="9">
        <v>740</v>
      </c>
      <c r="H3775" s="9">
        <f t="shared" si="118"/>
        <v>18.5</v>
      </c>
      <c r="I3775" t="s">
        <v>179</v>
      </c>
      <c r="J3775" s="33">
        <v>0</v>
      </c>
      <c r="K3775" s="18">
        <f>VLOOKUP(D3775,Ingredients!C:G,5,0)</f>
        <v>780</v>
      </c>
      <c r="L3775" s="52">
        <f t="shared" si="117"/>
        <v>19.5</v>
      </c>
    </row>
    <row r="3776" spans="1:12">
      <c r="A3776" t="s">
        <v>816</v>
      </c>
      <c r="B3776" t="s">
        <v>346</v>
      </c>
      <c r="C3776" t="s">
        <v>353</v>
      </c>
      <c r="D3776" s="3" t="s">
        <v>29</v>
      </c>
      <c r="E3776" s="4">
        <v>2.5000000000000001E-2</v>
      </c>
      <c r="F3776" s="4" t="s">
        <v>176</v>
      </c>
      <c r="G3776" s="9">
        <v>60</v>
      </c>
      <c r="H3776" s="9">
        <f t="shared" si="118"/>
        <v>1.5</v>
      </c>
      <c r="I3776" t="s">
        <v>179</v>
      </c>
      <c r="J3776" s="33">
        <v>0</v>
      </c>
      <c r="K3776" s="18">
        <f>VLOOKUP(D3776,Ingredients!C:G,5,0)</f>
        <v>100</v>
      </c>
      <c r="L3776" s="52">
        <f t="shared" si="117"/>
        <v>2.5</v>
      </c>
    </row>
    <row r="3777" spans="1:12">
      <c r="A3777" t="s">
        <v>816</v>
      </c>
      <c r="B3777" t="s">
        <v>346</v>
      </c>
      <c r="C3777" t="s">
        <v>353</v>
      </c>
      <c r="D3777" s="3" t="s">
        <v>35</v>
      </c>
      <c r="E3777" s="4">
        <v>0.5</v>
      </c>
      <c r="F3777" s="4" t="s">
        <v>252</v>
      </c>
      <c r="G3777" s="9">
        <v>13</v>
      </c>
      <c r="H3777" s="9">
        <f t="shared" si="118"/>
        <v>6.5</v>
      </c>
      <c r="I3777" t="s">
        <v>179</v>
      </c>
      <c r="J3777" s="33">
        <v>0</v>
      </c>
      <c r="K3777" s="18">
        <f>VLOOKUP(D3777,Ingredients!C:G,5,0)</f>
        <v>15</v>
      </c>
      <c r="L3777" s="52">
        <f t="shared" si="117"/>
        <v>7.5</v>
      </c>
    </row>
    <row r="3778" spans="1:12">
      <c r="A3778" t="s">
        <v>816</v>
      </c>
      <c r="B3778" t="s">
        <v>346</v>
      </c>
      <c r="C3778" t="s">
        <v>353</v>
      </c>
      <c r="D3778" s="3" t="s">
        <v>880</v>
      </c>
      <c r="E3778" s="4">
        <v>2.5000000000000001E-2</v>
      </c>
      <c r="F3778" s="4" t="s">
        <v>176</v>
      </c>
      <c r="G3778" s="9">
        <v>650</v>
      </c>
      <c r="H3778" s="9">
        <f t="shared" si="118"/>
        <v>16.25</v>
      </c>
      <c r="I3778" t="s">
        <v>179</v>
      </c>
      <c r="J3778" s="33">
        <v>0</v>
      </c>
      <c r="K3778" s="18">
        <f>VLOOKUP(D3778,Ingredients!C:G,5,0)</f>
        <v>520</v>
      </c>
      <c r="L3778" s="52">
        <f t="shared" si="117"/>
        <v>13</v>
      </c>
    </row>
    <row r="3779" spans="1:12">
      <c r="A3779" t="s">
        <v>816</v>
      </c>
      <c r="B3779" t="s">
        <v>346</v>
      </c>
      <c r="C3779" t="s">
        <v>353</v>
      </c>
      <c r="D3779" s="3" t="s">
        <v>895</v>
      </c>
      <c r="E3779" s="4">
        <v>2.5000000000000001E-2</v>
      </c>
      <c r="F3779" s="4" t="s">
        <v>176</v>
      </c>
      <c r="G3779" s="9">
        <v>400</v>
      </c>
      <c r="H3779" s="9">
        <f t="shared" si="118"/>
        <v>10</v>
      </c>
      <c r="I3779" t="s">
        <v>179</v>
      </c>
      <c r="J3779" s="33">
        <v>0</v>
      </c>
      <c r="K3779" s="18">
        <f>VLOOKUP(D3779,Ingredients!C:G,5,0)</f>
        <v>400</v>
      </c>
      <c r="L3779" s="52">
        <f t="shared" si="117"/>
        <v>10</v>
      </c>
    </row>
    <row r="3780" spans="1:12">
      <c r="A3780" t="s">
        <v>816</v>
      </c>
      <c r="B3780" t="s">
        <v>346</v>
      </c>
      <c r="C3780" t="s">
        <v>353</v>
      </c>
      <c r="D3780" s="3" t="s">
        <v>860</v>
      </c>
      <c r="E3780" s="4">
        <v>0.02</v>
      </c>
      <c r="F3780" s="4" t="s">
        <v>176</v>
      </c>
      <c r="G3780" s="9">
        <v>2000</v>
      </c>
      <c r="H3780" s="9">
        <f t="shared" si="118"/>
        <v>40</v>
      </c>
      <c r="I3780" t="s">
        <v>179</v>
      </c>
      <c r="J3780" s="33">
        <v>0</v>
      </c>
      <c r="K3780" s="18">
        <f>VLOOKUP(D3780,Ingredients!C:G,5,0)</f>
        <v>1900</v>
      </c>
      <c r="L3780" s="52">
        <f t="shared" ref="L3780:L3843" si="119">K3780*E3780</f>
        <v>38</v>
      </c>
    </row>
    <row r="3781" spans="1:12">
      <c r="A3781" t="s">
        <v>816</v>
      </c>
      <c r="B3781" t="s">
        <v>346</v>
      </c>
      <c r="C3781" t="s">
        <v>353</v>
      </c>
      <c r="D3781" s="3" t="s">
        <v>853</v>
      </c>
      <c r="E3781" s="4">
        <v>7.4999999999999997E-2</v>
      </c>
      <c r="F3781" s="4" t="s">
        <v>176</v>
      </c>
      <c r="G3781" s="9">
        <v>30</v>
      </c>
      <c r="H3781" s="9">
        <f t="shared" si="118"/>
        <v>2.25</v>
      </c>
      <c r="I3781" t="s">
        <v>179</v>
      </c>
      <c r="J3781" s="33">
        <v>0</v>
      </c>
      <c r="K3781" s="18">
        <f>VLOOKUP(D3781,Ingredients!C:G,5,0)</f>
        <v>55</v>
      </c>
      <c r="L3781" s="52">
        <f t="shared" si="119"/>
        <v>4.125</v>
      </c>
    </row>
    <row r="3782" spans="1:12">
      <c r="A3782" t="s">
        <v>817</v>
      </c>
      <c r="B3782" t="s">
        <v>349</v>
      </c>
      <c r="C3782" t="s">
        <v>352</v>
      </c>
      <c r="D3782" s="3" t="s">
        <v>838</v>
      </c>
      <c r="E3782" s="4">
        <v>1</v>
      </c>
      <c r="F3782" s="4" t="s">
        <v>176</v>
      </c>
      <c r="G3782" s="9">
        <v>800</v>
      </c>
      <c r="H3782" s="9">
        <f t="shared" si="118"/>
        <v>800</v>
      </c>
      <c r="I3782" t="s">
        <v>179</v>
      </c>
      <c r="J3782" s="33" t="s">
        <v>516</v>
      </c>
      <c r="K3782" s="18">
        <f>VLOOKUP(D3782,Ingredients!C:G,5,0)</f>
        <v>950</v>
      </c>
      <c r="L3782" s="52">
        <f t="shared" si="119"/>
        <v>950</v>
      </c>
    </row>
    <row r="3783" spans="1:12">
      <c r="A3783" t="s">
        <v>817</v>
      </c>
      <c r="B3783" t="s">
        <v>349</v>
      </c>
      <c r="C3783" t="s">
        <v>352</v>
      </c>
      <c r="D3783" s="3" t="s">
        <v>73</v>
      </c>
      <c r="E3783" s="4">
        <v>0.2</v>
      </c>
      <c r="F3783" s="4" t="s">
        <v>176</v>
      </c>
      <c r="G3783" s="9">
        <v>305</v>
      </c>
      <c r="H3783" s="9">
        <f t="shared" si="118"/>
        <v>61</v>
      </c>
      <c r="I3783" t="s">
        <v>179</v>
      </c>
      <c r="J3783" s="33" t="s">
        <v>516</v>
      </c>
      <c r="K3783" s="18">
        <f>VLOOKUP(D3783,Ingredients!C:G,5,0)</f>
        <v>300</v>
      </c>
      <c r="L3783" s="52">
        <f t="shared" si="119"/>
        <v>60</v>
      </c>
    </row>
    <row r="3784" spans="1:12">
      <c r="A3784" t="s">
        <v>817</v>
      </c>
      <c r="B3784" t="s">
        <v>349</v>
      </c>
      <c r="C3784" t="s">
        <v>352</v>
      </c>
      <c r="D3784" s="3" t="s">
        <v>805</v>
      </c>
      <c r="E3784" s="4">
        <v>0.16</v>
      </c>
      <c r="F3784" s="4" t="s">
        <v>176</v>
      </c>
      <c r="G3784" s="9">
        <v>200</v>
      </c>
      <c r="H3784" s="9">
        <f t="shared" si="118"/>
        <v>32</v>
      </c>
      <c r="I3784" t="s">
        <v>179</v>
      </c>
      <c r="J3784" s="33" t="s">
        <v>516</v>
      </c>
      <c r="K3784" s="18">
        <f>VLOOKUP(D3784,Ingredients!C:G,5,0)</f>
        <v>50</v>
      </c>
      <c r="L3784" s="52">
        <f t="shared" si="119"/>
        <v>8</v>
      </c>
    </row>
    <row r="3785" spans="1:12">
      <c r="A3785" t="s">
        <v>817</v>
      </c>
      <c r="B3785" t="s">
        <v>349</v>
      </c>
      <c r="C3785" t="s">
        <v>352</v>
      </c>
      <c r="D3785" s="3" t="s">
        <v>24</v>
      </c>
      <c r="E3785" s="4">
        <v>0.5</v>
      </c>
      <c r="F3785" s="4" t="s">
        <v>176</v>
      </c>
      <c r="G3785" s="9">
        <v>55</v>
      </c>
      <c r="H3785" s="9">
        <f t="shared" si="118"/>
        <v>27.5</v>
      </c>
      <c r="I3785" t="s">
        <v>179</v>
      </c>
      <c r="J3785" s="33" t="s">
        <v>516</v>
      </c>
      <c r="K3785" s="18">
        <f>VLOOKUP(D3785,Ingredients!C:G,5,0)</f>
        <v>80</v>
      </c>
      <c r="L3785" s="52">
        <f t="shared" si="119"/>
        <v>40</v>
      </c>
    </row>
    <row r="3786" spans="1:12">
      <c r="A3786" t="s">
        <v>817</v>
      </c>
      <c r="B3786" t="s">
        <v>349</v>
      </c>
      <c r="C3786" t="s">
        <v>352</v>
      </c>
      <c r="D3786" s="3" t="s">
        <v>23</v>
      </c>
      <c r="E3786" s="4">
        <v>1.6E-2</v>
      </c>
      <c r="F3786" s="4" t="s">
        <v>176</v>
      </c>
      <c r="G3786" s="9">
        <v>740</v>
      </c>
      <c r="H3786" s="9">
        <f t="shared" si="118"/>
        <v>11.84</v>
      </c>
      <c r="I3786" t="s">
        <v>179</v>
      </c>
      <c r="J3786" s="33" t="s">
        <v>516</v>
      </c>
      <c r="K3786" s="18">
        <f>VLOOKUP(D3786,Ingredients!C:G,5,0)</f>
        <v>780</v>
      </c>
      <c r="L3786" s="52">
        <f t="shared" si="119"/>
        <v>12.48</v>
      </c>
    </row>
    <row r="3787" spans="1:12">
      <c r="A3787" t="s">
        <v>817</v>
      </c>
      <c r="B3787" t="s">
        <v>349</v>
      </c>
      <c r="C3787" t="s">
        <v>352</v>
      </c>
      <c r="D3787" s="3" t="s">
        <v>16</v>
      </c>
      <c r="E3787" s="4">
        <v>1.6E-2</v>
      </c>
      <c r="F3787" s="4" t="s">
        <v>176</v>
      </c>
      <c r="G3787" s="9">
        <v>270</v>
      </c>
      <c r="H3787" s="9">
        <f t="shared" si="118"/>
        <v>4.32</v>
      </c>
      <c r="I3787" t="s">
        <v>179</v>
      </c>
      <c r="J3787" s="33" t="s">
        <v>516</v>
      </c>
      <c r="K3787" s="18">
        <f>VLOOKUP(D3787,Ingredients!C:G,5,0)</f>
        <v>310</v>
      </c>
      <c r="L3787" s="52">
        <f t="shared" si="119"/>
        <v>4.96</v>
      </c>
    </row>
    <row r="3788" spans="1:12">
      <c r="A3788" t="s">
        <v>817</v>
      </c>
      <c r="B3788" t="s">
        <v>349</v>
      </c>
      <c r="C3788" t="s">
        <v>352</v>
      </c>
      <c r="D3788" s="3" t="s">
        <v>855</v>
      </c>
      <c r="E3788" s="4">
        <v>1.6E-2</v>
      </c>
      <c r="F3788" s="4" t="s">
        <v>176</v>
      </c>
      <c r="G3788" s="9">
        <v>2400</v>
      </c>
      <c r="H3788" s="9">
        <f t="shared" si="118"/>
        <v>38.4</v>
      </c>
      <c r="I3788" t="s">
        <v>179</v>
      </c>
      <c r="J3788" s="33" t="s">
        <v>516</v>
      </c>
      <c r="K3788" s="18">
        <f>VLOOKUP(D3788,Ingredients!C:G,5,0)</f>
        <v>1600</v>
      </c>
      <c r="L3788" s="52">
        <f t="shared" si="119"/>
        <v>25.6</v>
      </c>
    </row>
    <row r="3789" spans="1:12">
      <c r="A3789" t="s">
        <v>817</v>
      </c>
      <c r="B3789" t="s">
        <v>349</v>
      </c>
      <c r="C3789" t="s">
        <v>352</v>
      </c>
      <c r="D3789" s="3" t="s">
        <v>849</v>
      </c>
      <c r="E3789" s="4">
        <v>3.4000000000000002E-2</v>
      </c>
      <c r="F3789" s="4" t="s">
        <v>176</v>
      </c>
      <c r="G3789" s="9">
        <v>1000</v>
      </c>
      <c r="H3789" s="9">
        <f t="shared" si="118"/>
        <v>34</v>
      </c>
      <c r="I3789" t="s">
        <v>179</v>
      </c>
      <c r="J3789" s="33" t="s">
        <v>516</v>
      </c>
      <c r="K3789" s="18">
        <f>VLOOKUP(D3789,Ingredients!C:G,5,0)</f>
        <v>950</v>
      </c>
      <c r="L3789" s="52">
        <f t="shared" si="119"/>
        <v>32.300000000000004</v>
      </c>
    </row>
    <row r="3790" spans="1:12">
      <c r="A3790" t="s">
        <v>817</v>
      </c>
      <c r="B3790" t="s">
        <v>349</v>
      </c>
      <c r="C3790" t="s">
        <v>352</v>
      </c>
      <c r="D3790" s="3" t="s">
        <v>860</v>
      </c>
      <c r="E3790" s="4">
        <v>1.6E-2</v>
      </c>
      <c r="F3790" s="4" t="s">
        <v>176</v>
      </c>
      <c r="G3790" s="9">
        <v>2000</v>
      </c>
      <c r="H3790" s="9">
        <f t="shared" si="118"/>
        <v>32</v>
      </c>
      <c r="I3790" t="s">
        <v>179</v>
      </c>
      <c r="J3790" s="33" t="s">
        <v>516</v>
      </c>
      <c r="K3790" s="18">
        <f>VLOOKUP(D3790,Ingredients!C:G,5,0)</f>
        <v>1900</v>
      </c>
      <c r="L3790" s="52">
        <f t="shared" si="119"/>
        <v>30.400000000000002</v>
      </c>
    </row>
    <row r="3791" spans="1:12">
      <c r="A3791" t="s">
        <v>817</v>
      </c>
      <c r="B3791" t="s">
        <v>349</v>
      </c>
      <c r="C3791" t="s">
        <v>352</v>
      </c>
      <c r="D3791" s="3" t="s">
        <v>880</v>
      </c>
      <c r="E3791" s="4">
        <v>0.01</v>
      </c>
      <c r="F3791" s="4" t="s">
        <v>176</v>
      </c>
      <c r="G3791" s="9">
        <v>650</v>
      </c>
      <c r="H3791" s="9">
        <f t="shared" si="118"/>
        <v>6.5</v>
      </c>
      <c r="I3791" t="s">
        <v>179</v>
      </c>
      <c r="J3791" s="33" t="s">
        <v>516</v>
      </c>
      <c r="K3791" s="18">
        <f>VLOOKUP(D3791,Ingredients!C:G,5,0)</f>
        <v>520</v>
      </c>
      <c r="L3791" s="52">
        <f t="shared" si="119"/>
        <v>5.2</v>
      </c>
    </row>
    <row r="3792" spans="1:12">
      <c r="A3792" t="s">
        <v>817</v>
      </c>
      <c r="B3792" t="s">
        <v>349</v>
      </c>
      <c r="C3792" t="s">
        <v>352</v>
      </c>
      <c r="D3792" s="3" t="s">
        <v>922</v>
      </c>
      <c r="E3792" s="4">
        <v>0.06</v>
      </c>
      <c r="F3792" s="4" t="s">
        <v>176</v>
      </c>
      <c r="G3792" s="9">
        <v>300</v>
      </c>
      <c r="H3792" s="9">
        <f t="shared" si="118"/>
        <v>18</v>
      </c>
      <c r="I3792" t="s">
        <v>179</v>
      </c>
      <c r="J3792" s="33" t="s">
        <v>516</v>
      </c>
      <c r="K3792" s="18">
        <f>VLOOKUP(D3792,Ingredients!C:G,5,0)</f>
        <v>315</v>
      </c>
      <c r="L3792" s="52">
        <f t="shared" si="119"/>
        <v>18.899999999999999</v>
      </c>
    </row>
    <row r="3793" spans="1:12">
      <c r="A3793" t="s">
        <v>817</v>
      </c>
      <c r="B3793" t="s">
        <v>349</v>
      </c>
      <c r="C3793" t="s">
        <v>352</v>
      </c>
      <c r="D3793" s="3" t="s">
        <v>852</v>
      </c>
      <c r="E3793" s="4">
        <v>0.2</v>
      </c>
      <c r="F3793" s="4" t="s">
        <v>190</v>
      </c>
      <c r="G3793" s="9">
        <v>520.63</v>
      </c>
      <c r="H3793" s="9">
        <f t="shared" si="118"/>
        <v>104.126</v>
      </c>
      <c r="I3793" t="s">
        <v>179</v>
      </c>
      <c r="J3793" s="33" t="s">
        <v>516</v>
      </c>
      <c r="K3793" s="18">
        <v>550</v>
      </c>
      <c r="L3793" s="52">
        <f t="shared" si="119"/>
        <v>110</v>
      </c>
    </row>
    <row r="3794" spans="1:12">
      <c r="A3794" t="s">
        <v>817</v>
      </c>
      <c r="B3794" t="s">
        <v>349</v>
      </c>
      <c r="C3794" t="s">
        <v>352</v>
      </c>
      <c r="D3794" s="3" t="s">
        <v>853</v>
      </c>
      <c r="E3794" s="4">
        <v>0.05</v>
      </c>
      <c r="F3794" s="4" t="s">
        <v>176</v>
      </c>
      <c r="G3794" s="9">
        <v>30</v>
      </c>
      <c r="H3794" s="9">
        <f t="shared" si="118"/>
        <v>1.5</v>
      </c>
      <c r="I3794" t="s">
        <v>179</v>
      </c>
      <c r="J3794" s="33" t="s">
        <v>516</v>
      </c>
      <c r="K3794" s="18">
        <f>VLOOKUP(D3794,Ingredients!C:G,5,0)</f>
        <v>55</v>
      </c>
      <c r="L3794" s="52">
        <f t="shared" si="119"/>
        <v>2.75</v>
      </c>
    </row>
    <row r="3795" spans="1:12">
      <c r="A3795" t="s">
        <v>818</v>
      </c>
      <c r="B3795" t="s">
        <v>349</v>
      </c>
      <c r="C3795" t="s">
        <v>352</v>
      </c>
      <c r="D3795" s="33" t="s">
        <v>491</v>
      </c>
      <c r="E3795" s="4">
        <v>1</v>
      </c>
      <c r="F3795" s="4" t="s">
        <v>176</v>
      </c>
      <c r="G3795" s="9">
        <v>614</v>
      </c>
      <c r="H3795" s="9">
        <f t="shared" si="118"/>
        <v>614</v>
      </c>
      <c r="I3795" t="s">
        <v>179</v>
      </c>
      <c r="J3795" s="33" t="s">
        <v>491</v>
      </c>
      <c r="K3795" s="18">
        <f>VLOOKUP(D3795,Ingredients!C:G,5,0)</f>
        <v>650</v>
      </c>
      <c r="L3795" s="52">
        <f t="shared" si="119"/>
        <v>650</v>
      </c>
    </row>
    <row r="3796" spans="1:12">
      <c r="A3796" t="s">
        <v>818</v>
      </c>
      <c r="B3796" t="s">
        <v>349</v>
      </c>
      <c r="C3796" t="s">
        <v>352</v>
      </c>
      <c r="D3796" s="3" t="s">
        <v>73</v>
      </c>
      <c r="E3796" s="4">
        <v>0.2</v>
      </c>
      <c r="F3796" s="4" t="s">
        <v>176</v>
      </c>
      <c r="G3796" s="9">
        <v>305</v>
      </c>
      <c r="H3796" s="9">
        <f t="shared" si="118"/>
        <v>61</v>
      </c>
      <c r="I3796" t="s">
        <v>179</v>
      </c>
      <c r="J3796" s="33" t="s">
        <v>491</v>
      </c>
      <c r="K3796" s="18">
        <f>VLOOKUP(D3796,Ingredients!C:G,5,0)</f>
        <v>300</v>
      </c>
      <c r="L3796" s="52">
        <f t="shared" si="119"/>
        <v>60</v>
      </c>
    </row>
    <row r="3797" spans="1:12">
      <c r="A3797" t="s">
        <v>818</v>
      </c>
      <c r="B3797" t="s">
        <v>349</v>
      </c>
      <c r="C3797" t="s">
        <v>352</v>
      </c>
      <c r="D3797" s="3" t="s">
        <v>23</v>
      </c>
      <c r="E3797" s="4">
        <v>8.0000000000000002E-3</v>
      </c>
      <c r="F3797" s="4" t="s">
        <v>176</v>
      </c>
      <c r="G3797" s="9">
        <v>740</v>
      </c>
      <c r="H3797" s="9">
        <f t="shared" si="118"/>
        <v>5.92</v>
      </c>
      <c r="I3797" t="s">
        <v>179</v>
      </c>
      <c r="J3797" s="33" t="s">
        <v>491</v>
      </c>
      <c r="K3797" s="18">
        <f>VLOOKUP(D3797,Ingredients!C:G,5,0)</f>
        <v>780</v>
      </c>
      <c r="L3797" s="52">
        <f t="shared" si="119"/>
        <v>6.24</v>
      </c>
    </row>
    <row r="3798" spans="1:12">
      <c r="A3798" t="s">
        <v>818</v>
      </c>
      <c r="B3798" t="s">
        <v>349</v>
      </c>
      <c r="C3798" t="s">
        <v>352</v>
      </c>
      <c r="D3798" s="3" t="s">
        <v>16</v>
      </c>
      <c r="E3798" s="4">
        <v>8.0000000000000002E-3</v>
      </c>
      <c r="F3798" s="4" t="s">
        <v>176</v>
      </c>
      <c r="G3798" s="9">
        <v>270</v>
      </c>
      <c r="H3798" s="9">
        <f t="shared" si="118"/>
        <v>2.16</v>
      </c>
      <c r="I3798" t="s">
        <v>179</v>
      </c>
      <c r="J3798" s="33" t="s">
        <v>491</v>
      </c>
      <c r="K3798" s="18">
        <f>VLOOKUP(D3798,Ingredients!C:G,5,0)</f>
        <v>310</v>
      </c>
      <c r="L3798" s="52">
        <f t="shared" si="119"/>
        <v>2.48</v>
      </c>
    </row>
    <row r="3799" spans="1:12">
      <c r="A3799" t="s">
        <v>818</v>
      </c>
      <c r="B3799" t="s">
        <v>349</v>
      </c>
      <c r="C3799" t="s">
        <v>352</v>
      </c>
      <c r="D3799" s="3" t="s">
        <v>853</v>
      </c>
      <c r="E3799" s="4">
        <v>1.7000000000000001E-2</v>
      </c>
      <c r="F3799" s="4" t="s">
        <v>176</v>
      </c>
      <c r="G3799" s="9">
        <v>30</v>
      </c>
      <c r="H3799" s="9">
        <f t="shared" si="118"/>
        <v>0.51</v>
      </c>
      <c r="I3799" t="s">
        <v>179</v>
      </c>
      <c r="J3799" s="33" t="s">
        <v>491</v>
      </c>
      <c r="K3799" s="18">
        <f>VLOOKUP(D3799,Ingredients!C:G,5,0)</f>
        <v>55</v>
      </c>
      <c r="L3799" s="52">
        <f t="shared" si="119"/>
        <v>0.93500000000000005</v>
      </c>
    </row>
    <row r="3800" spans="1:12">
      <c r="A3800" t="s">
        <v>818</v>
      </c>
      <c r="B3800" t="s">
        <v>349</v>
      </c>
      <c r="C3800" t="s">
        <v>352</v>
      </c>
      <c r="D3800" s="3" t="s">
        <v>872</v>
      </c>
      <c r="E3800" s="4">
        <v>1.2E-2</v>
      </c>
      <c r="F3800" s="4" t="s">
        <v>176</v>
      </c>
      <c r="G3800" s="9">
        <v>2100</v>
      </c>
      <c r="H3800" s="9">
        <f t="shared" si="118"/>
        <v>25.2</v>
      </c>
      <c r="I3800" t="s">
        <v>179</v>
      </c>
      <c r="J3800" s="33" t="s">
        <v>491</v>
      </c>
      <c r="K3800" s="18">
        <f>VLOOKUP(D3800,Ingredients!C:G,5,0)</f>
        <v>2150</v>
      </c>
      <c r="L3800" s="52">
        <f t="shared" si="119"/>
        <v>25.8</v>
      </c>
    </row>
    <row r="3801" spans="1:12">
      <c r="A3801" t="s">
        <v>818</v>
      </c>
      <c r="B3801" t="s">
        <v>349</v>
      </c>
      <c r="C3801" t="s">
        <v>352</v>
      </c>
      <c r="D3801" s="3" t="s">
        <v>858</v>
      </c>
      <c r="E3801" s="4">
        <v>3.0000000000000001E-3</v>
      </c>
      <c r="F3801" s="4" t="s">
        <v>176</v>
      </c>
      <c r="G3801" s="9">
        <v>1900</v>
      </c>
      <c r="H3801" s="9">
        <f t="shared" si="118"/>
        <v>5.7</v>
      </c>
      <c r="I3801" t="s">
        <v>179</v>
      </c>
      <c r="J3801" s="33" t="s">
        <v>491</v>
      </c>
      <c r="K3801" s="18">
        <f>VLOOKUP(D3801,Ingredients!C:G,5,0)</f>
        <v>1900</v>
      </c>
      <c r="L3801" s="52">
        <f t="shared" si="119"/>
        <v>5.7</v>
      </c>
    </row>
    <row r="3802" spans="1:12">
      <c r="A3802" t="s">
        <v>818</v>
      </c>
      <c r="B3802" t="s">
        <v>349</v>
      </c>
      <c r="C3802" t="s">
        <v>352</v>
      </c>
      <c r="D3802" s="3" t="s">
        <v>862</v>
      </c>
      <c r="E3802" s="4">
        <v>3.0000000000000001E-3</v>
      </c>
      <c r="F3802" s="4" t="s">
        <v>176</v>
      </c>
      <c r="G3802" s="9">
        <v>6500</v>
      </c>
      <c r="H3802" s="9">
        <f t="shared" si="118"/>
        <v>19.5</v>
      </c>
      <c r="I3802" t="s">
        <v>179</v>
      </c>
      <c r="J3802" s="33" t="s">
        <v>491</v>
      </c>
      <c r="K3802" s="18">
        <f>VLOOKUP(D3802,Ingredients!C:G,5,0)</f>
        <v>6500</v>
      </c>
      <c r="L3802" s="52">
        <f t="shared" si="119"/>
        <v>19.5</v>
      </c>
    </row>
    <row r="3803" spans="1:12">
      <c r="A3803" t="s">
        <v>818</v>
      </c>
      <c r="B3803" t="s">
        <v>349</v>
      </c>
      <c r="C3803" t="s">
        <v>352</v>
      </c>
      <c r="D3803" s="3" t="s">
        <v>902</v>
      </c>
      <c r="E3803" s="4">
        <v>0.03</v>
      </c>
      <c r="F3803" s="4" t="s">
        <v>176</v>
      </c>
      <c r="G3803" s="9">
        <v>662.5</v>
      </c>
      <c r="H3803" s="9">
        <f t="shared" si="118"/>
        <v>19.875</v>
      </c>
      <c r="I3803" t="s">
        <v>179</v>
      </c>
      <c r="J3803" s="33" t="s">
        <v>491</v>
      </c>
      <c r="K3803" s="18">
        <f>VLOOKUP(D3803,Ingredients!C:G,5,0)</f>
        <v>700</v>
      </c>
      <c r="L3803" s="52">
        <f t="shared" si="119"/>
        <v>21</v>
      </c>
    </row>
    <row r="3804" spans="1:12">
      <c r="A3804" t="s">
        <v>818</v>
      </c>
      <c r="B3804" t="s">
        <v>349</v>
      </c>
      <c r="C3804" t="s">
        <v>352</v>
      </c>
      <c r="D3804" s="3" t="s">
        <v>857</v>
      </c>
      <c r="E3804" s="4">
        <v>0.03</v>
      </c>
      <c r="F3804" s="4" t="s">
        <v>176</v>
      </c>
      <c r="G3804" s="9">
        <v>520</v>
      </c>
      <c r="H3804" s="9">
        <f t="shared" si="118"/>
        <v>15.6</v>
      </c>
      <c r="I3804" t="s">
        <v>179</v>
      </c>
      <c r="J3804" s="33" t="s">
        <v>491</v>
      </c>
      <c r="K3804" s="18">
        <f>VLOOKUP(D3804,Ingredients!C:G,5,0)</f>
        <v>880</v>
      </c>
      <c r="L3804" s="52">
        <f t="shared" si="119"/>
        <v>26.4</v>
      </c>
    </row>
    <row r="3805" spans="1:12">
      <c r="A3805" t="s">
        <v>818</v>
      </c>
      <c r="B3805" t="s">
        <v>349</v>
      </c>
      <c r="C3805" t="s">
        <v>352</v>
      </c>
      <c r="D3805" s="3" t="s">
        <v>24</v>
      </c>
      <c r="E3805" s="4">
        <v>0.35</v>
      </c>
      <c r="F3805" s="4" t="s">
        <v>176</v>
      </c>
      <c r="G3805" s="9">
        <v>55</v>
      </c>
      <c r="H3805" s="9">
        <f t="shared" si="118"/>
        <v>19.25</v>
      </c>
      <c r="I3805" t="s">
        <v>179</v>
      </c>
      <c r="J3805" s="33" t="s">
        <v>491</v>
      </c>
      <c r="K3805" s="18">
        <f>VLOOKUP(D3805,Ingredients!C:G,5,0)</f>
        <v>80</v>
      </c>
      <c r="L3805" s="52">
        <f t="shared" si="119"/>
        <v>28</v>
      </c>
    </row>
    <row r="3806" spans="1:12">
      <c r="A3806" t="s">
        <v>818</v>
      </c>
      <c r="B3806" t="s">
        <v>349</v>
      </c>
      <c r="C3806" t="s">
        <v>352</v>
      </c>
      <c r="D3806" s="3" t="s">
        <v>860</v>
      </c>
      <c r="E3806" s="4">
        <v>1.7000000000000001E-2</v>
      </c>
      <c r="F3806" s="4" t="s">
        <v>176</v>
      </c>
      <c r="G3806" s="9">
        <v>2000</v>
      </c>
      <c r="H3806" s="9">
        <f t="shared" si="118"/>
        <v>34</v>
      </c>
      <c r="I3806" t="s">
        <v>179</v>
      </c>
      <c r="J3806" s="33" t="s">
        <v>491</v>
      </c>
      <c r="K3806" s="18">
        <f>VLOOKUP(D3806,Ingredients!C:G,5,0)</f>
        <v>1900</v>
      </c>
      <c r="L3806" s="52">
        <f t="shared" si="119"/>
        <v>32.300000000000004</v>
      </c>
    </row>
    <row r="3807" spans="1:12">
      <c r="A3807" t="s">
        <v>818</v>
      </c>
      <c r="B3807" t="s">
        <v>349</v>
      </c>
      <c r="C3807" t="s">
        <v>352</v>
      </c>
      <c r="D3807" s="3" t="s">
        <v>929</v>
      </c>
      <c r="E3807" s="4">
        <v>0.02</v>
      </c>
      <c r="F3807" s="4" t="s">
        <v>176</v>
      </c>
      <c r="G3807" s="9">
        <v>650</v>
      </c>
      <c r="H3807" s="9">
        <f t="shared" si="118"/>
        <v>13</v>
      </c>
      <c r="I3807" t="s">
        <v>179</v>
      </c>
      <c r="J3807" s="33" t="s">
        <v>491</v>
      </c>
      <c r="K3807" s="18">
        <f>VLOOKUP(D3807,Ingredients!C:G,5,0)</f>
        <v>650</v>
      </c>
      <c r="L3807" s="52">
        <f t="shared" si="119"/>
        <v>13</v>
      </c>
    </row>
    <row r="3808" spans="1:12">
      <c r="A3808" t="s">
        <v>818</v>
      </c>
      <c r="B3808" t="s">
        <v>349</v>
      </c>
      <c r="C3808" t="s">
        <v>352</v>
      </c>
      <c r="D3808" s="3" t="s">
        <v>865</v>
      </c>
      <c r="E3808" s="4">
        <v>0.05</v>
      </c>
      <c r="F3808" s="4" t="s">
        <v>176</v>
      </c>
      <c r="G3808" s="9">
        <v>1400</v>
      </c>
      <c r="H3808" s="9">
        <f t="shared" si="118"/>
        <v>70</v>
      </c>
      <c r="I3808" t="s">
        <v>179</v>
      </c>
      <c r="J3808" s="33" t="s">
        <v>491</v>
      </c>
      <c r="K3808" s="18">
        <f>VLOOKUP(D3808,Ingredients!C:G,5,0)</f>
        <v>1400</v>
      </c>
      <c r="L3808" s="52">
        <f t="shared" si="119"/>
        <v>70</v>
      </c>
    </row>
    <row r="3809" spans="1:12">
      <c r="A3809" t="s">
        <v>818</v>
      </c>
      <c r="B3809" t="s">
        <v>349</v>
      </c>
      <c r="C3809" t="s">
        <v>352</v>
      </c>
      <c r="D3809" s="3" t="s">
        <v>892</v>
      </c>
      <c r="E3809" s="4">
        <v>0.1</v>
      </c>
      <c r="F3809" s="4" t="s">
        <v>176</v>
      </c>
      <c r="G3809" s="9">
        <v>2000</v>
      </c>
      <c r="H3809" s="9">
        <f t="shared" si="118"/>
        <v>200</v>
      </c>
      <c r="I3809" t="s">
        <v>179</v>
      </c>
      <c r="J3809" s="33" t="s">
        <v>491</v>
      </c>
      <c r="K3809" s="18">
        <f>VLOOKUP(D3809,Ingredients!C:G,5,0)</f>
        <v>2080</v>
      </c>
      <c r="L3809" s="52">
        <f t="shared" si="119"/>
        <v>208</v>
      </c>
    </row>
    <row r="3810" spans="1:12">
      <c r="A3810" t="s">
        <v>818</v>
      </c>
      <c r="B3810" t="s">
        <v>349</v>
      </c>
      <c r="C3810" t="s">
        <v>352</v>
      </c>
      <c r="D3810" s="3" t="s">
        <v>915</v>
      </c>
      <c r="E3810" s="4">
        <v>1.4E-2</v>
      </c>
      <c r="F3810" s="4" t="s">
        <v>176</v>
      </c>
      <c r="G3810" s="9">
        <v>5000</v>
      </c>
      <c r="H3810" s="9">
        <f t="shared" si="118"/>
        <v>70</v>
      </c>
      <c r="I3810" t="s">
        <v>179</v>
      </c>
      <c r="J3810" s="33" t="s">
        <v>491</v>
      </c>
      <c r="K3810" s="18">
        <f>VLOOKUP(D3810,Ingredients!C:G,5,0)</f>
        <v>3200</v>
      </c>
      <c r="L3810" s="52">
        <f t="shared" si="119"/>
        <v>44.800000000000004</v>
      </c>
    </row>
    <row r="3811" spans="1:12">
      <c r="A3811" t="s">
        <v>818</v>
      </c>
      <c r="B3811" t="s">
        <v>349</v>
      </c>
      <c r="C3811" t="s">
        <v>352</v>
      </c>
      <c r="D3811" s="3" t="s">
        <v>852</v>
      </c>
      <c r="E3811" s="4">
        <v>0.1</v>
      </c>
      <c r="F3811" s="4" t="s">
        <v>190</v>
      </c>
      <c r="G3811" s="9">
        <v>520.63</v>
      </c>
      <c r="H3811" s="9">
        <f t="shared" si="118"/>
        <v>52.063000000000002</v>
      </c>
      <c r="I3811" t="s">
        <v>179</v>
      </c>
      <c r="J3811" s="33" t="s">
        <v>491</v>
      </c>
      <c r="K3811" s="18">
        <v>550</v>
      </c>
      <c r="L3811" s="52">
        <f t="shared" si="119"/>
        <v>55</v>
      </c>
    </row>
    <row r="3812" spans="1:12">
      <c r="A3812" t="s">
        <v>819</v>
      </c>
      <c r="B3812" t="s">
        <v>346</v>
      </c>
      <c r="C3812" t="s">
        <v>993</v>
      </c>
      <c r="D3812" s="3" t="s">
        <v>972</v>
      </c>
      <c r="E3812" s="4">
        <v>1</v>
      </c>
      <c r="F3812" s="4" t="s">
        <v>176</v>
      </c>
      <c r="G3812" s="9">
        <v>320</v>
      </c>
      <c r="H3812" s="9">
        <f t="shared" si="118"/>
        <v>320</v>
      </c>
      <c r="I3812" t="s">
        <v>179</v>
      </c>
      <c r="J3812" s="33">
        <v>0</v>
      </c>
      <c r="K3812" s="18">
        <f>VLOOKUP(D3812,Ingredients!C:G,5,0)</f>
        <v>320</v>
      </c>
      <c r="L3812" s="52">
        <f t="shared" si="119"/>
        <v>320</v>
      </c>
    </row>
    <row r="3813" spans="1:12">
      <c r="A3813" t="s">
        <v>819</v>
      </c>
      <c r="B3813" t="s">
        <v>346</v>
      </c>
      <c r="C3813" t="s">
        <v>993</v>
      </c>
      <c r="D3813" s="3" t="s">
        <v>852</v>
      </c>
      <c r="E3813" s="4">
        <v>0.24</v>
      </c>
      <c r="F3813" s="4" t="s">
        <v>190</v>
      </c>
      <c r="G3813" s="9">
        <v>520.63</v>
      </c>
      <c r="H3813" s="9">
        <f t="shared" si="118"/>
        <v>124.9512</v>
      </c>
      <c r="I3813" t="s">
        <v>179</v>
      </c>
      <c r="J3813" s="33">
        <v>0</v>
      </c>
      <c r="K3813" s="18">
        <v>550</v>
      </c>
      <c r="L3813" s="52">
        <f t="shared" si="119"/>
        <v>132</v>
      </c>
    </row>
    <row r="3814" spans="1:12">
      <c r="A3814" t="s">
        <v>819</v>
      </c>
      <c r="B3814" t="s">
        <v>346</v>
      </c>
      <c r="C3814" t="s">
        <v>993</v>
      </c>
      <c r="D3814" s="3" t="s">
        <v>24</v>
      </c>
      <c r="E3814" s="4">
        <v>0.72</v>
      </c>
      <c r="F3814" s="4" t="s">
        <v>176</v>
      </c>
      <c r="G3814" s="9">
        <v>55</v>
      </c>
      <c r="H3814" s="9">
        <f t="shared" si="118"/>
        <v>39.6</v>
      </c>
      <c r="I3814" t="s">
        <v>179</v>
      </c>
      <c r="J3814" s="33">
        <v>0</v>
      </c>
      <c r="K3814" s="18">
        <f>VLOOKUP(D3814,Ingredients!C:G,5,0)</f>
        <v>80</v>
      </c>
      <c r="L3814" s="52">
        <f t="shared" si="119"/>
        <v>57.599999999999994</v>
      </c>
    </row>
    <row r="3815" spans="1:12">
      <c r="A3815" t="s">
        <v>819</v>
      </c>
      <c r="B3815" t="s">
        <v>346</v>
      </c>
      <c r="C3815" t="s">
        <v>993</v>
      </c>
      <c r="D3815" s="3" t="s">
        <v>23</v>
      </c>
      <c r="E3815" s="4">
        <v>3.5999999999999997E-2</v>
      </c>
      <c r="F3815" s="4" t="s">
        <v>176</v>
      </c>
      <c r="G3815" s="9">
        <v>740</v>
      </c>
      <c r="H3815" s="9">
        <f t="shared" si="118"/>
        <v>26.639999999999997</v>
      </c>
      <c r="I3815" t="s">
        <v>179</v>
      </c>
      <c r="J3815" s="33">
        <v>0</v>
      </c>
      <c r="K3815" s="18">
        <f>VLOOKUP(D3815,Ingredients!C:G,5,0)</f>
        <v>780</v>
      </c>
      <c r="L3815" s="52">
        <f t="shared" si="119"/>
        <v>28.08</v>
      </c>
    </row>
    <row r="3816" spans="1:12">
      <c r="A3816" t="s">
        <v>819</v>
      </c>
      <c r="B3816" t="s">
        <v>346</v>
      </c>
      <c r="C3816" t="s">
        <v>993</v>
      </c>
      <c r="D3816" s="3" t="s">
        <v>16</v>
      </c>
      <c r="E3816" s="4">
        <v>3.5999999999999997E-2</v>
      </c>
      <c r="F3816" s="4" t="s">
        <v>176</v>
      </c>
      <c r="G3816" s="9">
        <v>270</v>
      </c>
      <c r="H3816" s="9">
        <f t="shared" si="118"/>
        <v>9.7199999999999989</v>
      </c>
      <c r="I3816" t="s">
        <v>179</v>
      </c>
      <c r="J3816" s="33">
        <v>0</v>
      </c>
      <c r="K3816" s="18">
        <f>VLOOKUP(D3816,Ingredients!C:G,5,0)</f>
        <v>310</v>
      </c>
      <c r="L3816" s="52">
        <f t="shared" si="119"/>
        <v>11.159999999999998</v>
      </c>
    </row>
    <row r="3817" spans="1:12">
      <c r="A3817" t="s">
        <v>819</v>
      </c>
      <c r="B3817" t="s">
        <v>346</v>
      </c>
      <c r="C3817" t="s">
        <v>993</v>
      </c>
      <c r="D3817" s="3" t="s">
        <v>28</v>
      </c>
      <c r="E3817" s="4">
        <v>0.32</v>
      </c>
      <c r="F3817" s="4" t="s">
        <v>176</v>
      </c>
      <c r="G3817" s="9">
        <v>85</v>
      </c>
      <c r="H3817" s="9">
        <f t="shared" si="118"/>
        <v>27.2</v>
      </c>
      <c r="I3817" t="s">
        <v>179</v>
      </c>
      <c r="J3817" s="33">
        <v>0</v>
      </c>
      <c r="K3817" s="18">
        <f>VLOOKUP(D3817,Ingredients!C:G,5,0)</f>
        <v>70</v>
      </c>
      <c r="L3817" s="52">
        <f t="shared" si="119"/>
        <v>22.400000000000002</v>
      </c>
    </row>
    <row r="3818" spans="1:12">
      <c r="A3818" t="s">
        <v>819</v>
      </c>
      <c r="B3818" t="s">
        <v>346</v>
      </c>
      <c r="C3818" t="s">
        <v>993</v>
      </c>
      <c r="D3818" s="3" t="s">
        <v>855</v>
      </c>
      <c r="E3818" s="4">
        <v>2.8000000000000001E-2</v>
      </c>
      <c r="F3818" s="4" t="s">
        <v>176</v>
      </c>
      <c r="G3818" s="9">
        <v>2400</v>
      </c>
      <c r="H3818" s="9">
        <f t="shared" si="118"/>
        <v>67.2</v>
      </c>
      <c r="I3818" t="s">
        <v>179</v>
      </c>
      <c r="J3818" s="33">
        <v>0</v>
      </c>
      <c r="K3818" s="18">
        <f>VLOOKUP(D3818,Ingredients!C:G,5,0)</f>
        <v>1600</v>
      </c>
      <c r="L3818" s="52">
        <f t="shared" si="119"/>
        <v>44.800000000000004</v>
      </c>
    </row>
    <row r="3819" spans="1:12">
      <c r="A3819" t="s">
        <v>819</v>
      </c>
      <c r="B3819" t="s">
        <v>346</v>
      </c>
      <c r="C3819" t="s">
        <v>993</v>
      </c>
      <c r="D3819" s="3" t="s">
        <v>853</v>
      </c>
      <c r="E3819" s="4">
        <v>0.36</v>
      </c>
      <c r="F3819" s="4" t="s">
        <v>176</v>
      </c>
      <c r="G3819" s="9">
        <v>30</v>
      </c>
      <c r="H3819" s="9">
        <f t="shared" si="118"/>
        <v>10.799999999999999</v>
      </c>
      <c r="I3819" t="s">
        <v>179</v>
      </c>
      <c r="J3819" s="33">
        <v>0</v>
      </c>
      <c r="K3819" s="18">
        <f>VLOOKUP(D3819,Ingredients!C:G,5,0)</f>
        <v>55</v>
      </c>
      <c r="L3819" s="52">
        <f t="shared" si="119"/>
        <v>19.8</v>
      </c>
    </row>
    <row r="3820" spans="1:12">
      <c r="A3820" t="s">
        <v>819</v>
      </c>
      <c r="B3820" t="s">
        <v>346</v>
      </c>
      <c r="C3820" t="s">
        <v>993</v>
      </c>
      <c r="D3820" s="3" t="s">
        <v>867</v>
      </c>
      <c r="E3820" s="4">
        <v>8.7999999999999995E-2</v>
      </c>
      <c r="F3820" s="4" t="s">
        <v>176</v>
      </c>
      <c r="G3820" s="9">
        <v>900</v>
      </c>
      <c r="H3820" s="9">
        <f t="shared" si="118"/>
        <v>79.199999999999989</v>
      </c>
      <c r="I3820" t="s">
        <v>179</v>
      </c>
      <c r="J3820" s="33">
        <v>0</v>
      </c>
      <c r="K3820" s="18">
        <f>VLOOKUP(D3820,Ingredients!C:G,5,0)</f>
        <v>950</v>
      </c>
      <c r="L3820" s="52">
        <f t="shared" si="119"/>
        <v>83.6</v>
      </c>
    </row>
    <row r="3821" spans="1:12">
      <c r="A3821" t="s">
        <v>819</v>
      </c>
      <c r="B3821" t="s">
        <v>346</v>
      </c>
      <c r="C3821" t="s">
        <v>993</v>
      </c>
      <c r="D3821" s="3" t="s">
        <v>880</v>
      </c>
      <c r="E3821" s="4">
        <v>2.8000000000000001E-2</v>
      </c>
      <c r="F3821" s="4" t="s">
        <v>176</v>
      </c>
      <c r="G3821" s="9">
        <v>650</v>
      </c>
      <c r="H3821" s="9">
        <f t="shared" si="118"/>
        <v>18.2</v>
      </c>
      <c r="I3821" t="s">
        <v>179</v>
      </c>
      <c r="J3821" s="33">
        <v>0</v>
      </c>
      <c r="K3821" s="18">
        <f>VLOOKUP(D3821,Ingredients!C:G,5,0)</f>
        <v>520</v>
      </c>
      <c r="L3821" s="52">
        <f t="shared" si="119"/>
        <v>14.56</v>
      </c>
    </row>
    <row r="3822" spans="1:12">
      <c r="A3822" t="s">
        <v>819</v>
      </c>
      <c r="B3822" t="s">
        <v>346</v>
      </c>
      <c r="C3822" t="s">
        <v>993</v>
      </c>
      <c r="D3822" s="3" t="s">
        <v>895</v>
      </c>
      <c r="E3822" s="4">
        <v>3.5999999999999997E-2</v>
      </c>
      <c r="F3822" s="4" t="s">
        <v>176</v>
      </c>
      <c r="G3822" s="9">
        <v>400</v>
      </c>
      <c r="H3822" s="9">
        <f t="shared" si="118"/>
        <v>14.399999999999999</v>
      </c>
      <c r="I3822" t="s">
        <v>179</v>
      </c>
      <c r="J3822" s="33">
        <v>0</v>
      </c>
      <c r="K3822" s="18">
        <f>VLOOKUP(D3822,Ingredients!C:G,5,0)</f>
        <v>400</v>
      </c>
      <c r="L3822" s="52">
        <f t="shared" si="119"/>
        <v>14.399999999999999</v>
      </c>
    </row>
    <row r="3823" spans="1:12">
      <c r="A3823" t="s">
        <v>819</v>
      </c>
      <c r="B3823" t="s">
        <v>346</v>
      </c>
      <c r="C3823" t="s">
        <v>993</v>
      </c>
      <c r="D3823" s="3" t="s">
        <v>35</v>
      </c>
      <c r="E3823" s="4">
        <v>0.2</v>
      </c>
      <c r="F3823" s="4" t="s">
        <v>176</v>
      </c>
      <c r="G3823" s="9">
        <v>13</v>
      </c>
      <c r="H3823" s="9">
        <f t="shared" si="118"/>
        <v>2.6</v>
      </c>
      <c r="I3823" t="s">
        <v>179</v>
      </c>
      <c r="J3823" s="33">
        <v>0</v>
      </c>
      <c r="K3823" s="18">
        <f>VLOOKUP(D3823,Ingredients!C:G,5,0)</f>
        <v>15</v>
      </c>
      <c r="L3823" s="52">
        <f t="shared" si="119"/>
        <v>3</v>
      </c>
    </row>
    <row r="3824" spans="1:12">
      <c r="A3824" t="s">
        <v>819</v>
      </c>
      <c r="B3824" t="s">
        <v>346</v>
      </c>
      <c r="C3824" t="s">
        <v>993</v>
      </c>
      <c r="D3824" s="3" t="s">
        <v>29</v>
      </c>
      <c r="E3824" s="4">
        <v>0.08</v>
      </c>
      <c r="F3824" s="4" t="s">
        <v>176</v>
      </c>
      <c r="G3824" s="9">
        <v>60</v>
      </c>
      <c r="H3824" s="9">
        <f t="shared" si="118"/>
        <v>4.8</v>
      </c>
      <c r="I3824" t="s">
        <v>179</v>
      </c>
      <c r="J3824" s="33">
        <v>0</v>
      </c>
      <c r="K3824" s="18">
        <f>VLOOKUP(D3824,Ingredients!C:G,5,0)</f>
        <v>100</v>
      </c>
      <c r="L3824" s="52">
        <f t="shared" si="119"/>
        <v>8</v>
      </c>
    </row>
    <row r="3825" spans="1:12">
      <c r="A3825" t="s">
        <v>820</v>
      </c>
      <c r="B3825" t="s">
        <v>349</v>
      </c>
      <c r="C3825" t="s">
        <v>352</v>
      </c>
      <c r="D3825" s="33" t="s">
        <v>491</v>
      </c>
      <c r="E3825" s="4">
        <v>1</v>
      </c>
      <c r="F3825" s="4" t="s">
        <v>176</v>
      </c>
      <c r="G3825" s="9">
        <v>614</v>
      </c>
      <c r="H3825" s="9">
        <f t="shared" si="118"/>
        <v>614</v>
      </c>
      <c r="I3825" t="s">
        <v>179</v>
      </c>
      <c r="J3825" s="33" t="s">
        <v>491</v>
      </c>
      <c r="K3825" s="18">
        <f>VLOOKUP(D3825,Ingredients!C:G,5,0)</f>
        <v>650</v>
      </c>
      <c r="L3825" s="52">
        <f t="shared" si="119"/>
        <v>650</v>
      </c>
    </row>
    <row r="3826" spans="1:12">
      <c r="A3826" t="s">
        <v>820</v>
      </c>
      <c r="B3826" t="s">
        <v>349</v>
      </c>
      <c r="C3826" t="s">
        <v>352</v>
      </c>
      <c r="D3826" s="3" t="s">
        <v>73</v>
      </c>
      <c r="E3826" s="4">
        <v>0.2</v>
      </c>
      <c r="F3826" s="4" t="s">
        <v>176</v>
      </c>
      <c r="G3826" s="9">
        <v>305</v>
      </c>
      <c r="H3826" s="9">
        <f t="shared" si="118"/>
        <v>61</v>
      </c>
      <c r="I3826" t="s">
        <v>179</v>
      </c>
      <c r="J3826" s="33" t="s">
        <v>491</v>
      </c>
      <c r="K3826" s="18">
        <f>VLOOKUP(D3826,Ingredients!C:G,5,0)</f>
        <v>300</v>
      </c>
      <c r="L3826" s="52">
        <f t="shared" si="119"/>
        <v>60</v>
      </c>
    </row>
    <row r="3827" spans="1:12">
      <c r="A3827" t="s">
        <v>820</v>
      </c>
      <c r="B3827" t="s">
        <v>349</v>
      </c>
      <c r="C3827" t="s">
        <v>352</v>
      </c>
      <c r="D3827" s="3" t="s">
        <v>23</v>
      </c>
      <c r="E3827" s="4">
        <v>8.0000000000000002E-3</v>
      </c>
      <c r="F3827" s="4" t="s">
        <v>176</v>
      </c>
      <c r="G3827" s="9">
        <v>740</v>
      </c>
      <c r="H3827" s="9">
        <f t="shared" si="118"/>
        <v>5.92</v>
      </c>
      <c r="I3827" t="s">
        <v>179</v>
      </c>
      <c r="J3827" s="33" t="s">
        <v>491</v>
      </c>
      <c r="K3827" s="18">
        <f>VLOOKUP(D3827,Ingredients!C:G,5,0)</f>
        <v>780</v>
      </c>
      <c r="L3827" s="52">
        <f t="shared" si="119"/>
        <v>6.24</v>
      </c>
    </row>
    <row r="3828" spans="1:12">
      <c r="A3828" t="s">
        <v>820</v>
      </c>
      <c r="B3828" t="s">
        <v>349</v>
      </c>
      <c r="C3828" t="s">
        <v>352</v>
      </c>
      <c r="D3828" s="3" t="s">
        <v>16</v>
      </c>
      <c r="E3828" s="4">
        <v>8.0000000000000002E-3</v>
      </c>
      <c r="F3828" s="4" t="s">
        <v>176</v>
      </c>
      <c r="G3828" s="9">
        <v>270</v>
      </c>
      <c r="H3828" s="9">
        <f t="shared" si="118"/>
        <v>2.16</v>
      </c>
      <c r="I3828" t="s">
        <v>179</v>
      </c>
      <c r="J3828" s="33" t="s">
        <v>491</v>
      </c>
      <c r="K3828" s="18">
        <f>VLOOKUP(D3828,Ingredients!C:G,5,0)</f>
        <v>310</v>
      </c>
      <c r="L3828" s="52">
        <f t="shared" si="119"/>
        <v>2.48</v>
      </c>
    </row>
    <row r="3829" spans="1:12">
      <c r="A3829" t="s">
        <v>820</v>
      </c>
      <c r="B3829" t="s">
        <v>349</v>
      </c>
      <c r="C3829" t="s">
        <v>352</v>
      </c>
      <c r="D3829" s="3" t="s">
        <v>853</v>
      </c>
      <c r="E3829" s="4">
        <v>1.7000000000000001E-2</v>
      </c>
      <c r="F3829" s="4" t="s">
        <v>176</v>
      </c>
      <c r="G3829" s="9">
        <v>30</v>
      </c>
      <c r="H3829" s="9">
        <f t="shared" si="118"/>
        <v>0.51</v>
      </c>
      <c r="I3829" t="s">
        <v>179</v>
      </c>
      <c r="J3829" s="33" t="s">
        <v>491</v>
      </c>
      <c r="K3829" s="18">
        <f>VLOOKUP(D3829,Ingredients!C:G,5,0)</f>
        <v>55</v>
      </c>
      <c r="L3829" s="52">
        <f t="shared" si="119"/>
        <v>0.93500000000000005</v>
      </c>
    </row>
    <row r="3830" spans="1:12">
      <c r="A3830" t="s">
        <v>820</v>
      </c>
      <c r="B3830" t="s">
        <v>349</v>
      </c>
      <c r="C3830" t="s">
        <v>352</v>
      </c>
      <c r="D3830" s="3" t="s">
        <v>872</v>
      </c>
      <c r="E3830" s="4">
        <v>1.2E-2</v>
      </c>
      <c r="F3830" s="4" t="s">
        <v>176</v>
      </c>
      <c r="G3830" s="9">
        <v>2100</v>
      </c>
      <c r="H3830" s="9">
        <f t="shared" si="118"/>
        <v>25.2</v>
      </c>
      <c r="I3830" t="s">
        <v>179</v>
      </c>
      <c r="J3830" s="33" t="s">
        <v>491</v>
      </c>
      <c r="K3830" s="18">
        <f>VLOOKUP(D3830,Ingredients!C:G,5,0)</f>
        <v>2150</v>
      </c>
      <c r="L3830" s="52">
        <f t="shared" si="119"/>
        <v>25.8</v>
      </c>
    </row>
    <row r="3831" spans="1:12">
      <c r="A3831" t="s">
        <v>820</v>
      </c>
      <c r="B3831" t="s">
        <v>349</v>
      </c>
      <c r="C3831" t="s">
        <v>352</v>
      </c>
      <c r="D3831" s="3" t="s">
        <v>858</v>
      </c>
      <c r="E3831" s="4">
        <v>3.0000000000000001E-3</v>
      </c>
      <c r="F3831" s="4" t="s">
        <v>176</v>
      </c>
      <c r="G3831" s="9">
        <v>1900</v>
      </c>
      <c r="H3831" s="9">
        <f t="shared" si="118"/>
        <v>5.7</v>
      </c>
      <c r="I3831" t="s">
        <v>179</v>
      </c>
      <c r="J3831" s="33" t="s">
        <v>491</v>
      </c>
      <c r="K3831" s="18">
        <f>VLOOKUP(D3831,Ingredients!C:G,5,0)</f>
        <v>1900</v>
      </c>
      <c r="L3831" s="52">
        <f t="shared" si="119"/>
        <v>5.7</v>
      </c>
    </row>
    <row r="3832" spans="1:12">
      <c r="A3832" t="s">
        <v>820</v>
      </c>
      <c r="B3832" t="s">
        <v>349</v>
      </c>
      <c r="C3832" t="s">
        <v>352</v>
      </c>
      <c r="D3832" s="3" t="s">
        <v>862</v>
      </c>
      <c r="E3832" s="4">
        <v>3.0000000000000001E-3</v>
      </c>
      <c r="F3832" s="4" t="s">
        <v>176</v>
      </c>
      <c r="G3832" s="9">
        <v>6500</v>
      </c>
      <c r="H3832" s="9">
        <f t="shared" si="118"/>
        <v>19.5</v>
      </c>
      <c r="I3832" t="s">
        <v>179</v>
      </c>
      <c r="J3832" s="33" t="s">
        <v>491</v>
      </c>
      <c r="K3832" s="18">
        <f>VLOOKUP(D3832,Ingredients!C:G,5,0)</f>
        <v>6500</v>
      </c>
      <c r="L3832" s="52">
        <f t="shared" si="119"/>
        <v>19.5</v>
      </c>
    </row>
    <row r="3833" spans="1:12">
      <c r="A3833" t="s">
        <v>820</v>
      </c>
      <c r="B3833" t="s">
        <v>349</v>
      </c>
      <c r="C3833" t="s">
        <v>352</v>
      </c>
      <c r="D3833" s="3" t="s">
        <v>902</v>
      </c>
      <c r="E3833" s="4">
        <v>0.03</v>
      </c>
      <c r="F3833" s="4" t="s">
        <v>176</v>
      </c>
      <c r="G3833" s="9">
        <v>662.5</v>
      </c>
      <c r="H3833" s="9">
        <f t="shared" si="118"/>
        <v>19.875</v>
      </c>
      <c r="I3833" t="s">
        <v>179</v>
      </c>
      <c r="J3833" s="33" t="s">
        <v>491</v>
      </c>
      <c r="K3833" s="18">
        <f>VLOOKUP(D3833,Ingredients!C:G,5,0)</f>
        <v>700</v>
      </c>
      <c r="L3833" s="52">
        <f t="shared" si="119"/>
        <v>21</v>
      </c>
    </row>
    <row r="3834" spans="1:12">
      <c r="A3834" t="s">
        <v>820</v>
      </c>
      <c r="B3834" t="s">
        <v>349</v>
      </c>
      <c r="C3834" t="s">
        <v>352</v>
      </c>
      <c r="D3834" s="3" t="s">
        <v>857</v>
      </c>
      <c r="E3834" s="4">
        <v>0.03</v>
      </c>
      <c r="F3834" s="4" t="s">
        <v>176</v>
      </c>
      <c r="G3834" s="9">
        <v>520</v>
      </c>
      <c r="H3834" s="9">
        <f t="shared" si="118"/>
        <v>15.6</v>
      </c>
      <c r="I3834" t="s">
        <v>179</v>
      </c>
      <c r="J3834" s="33" t="s">
        <v>491</v>
      </c>
      <c r="K3834" s="18">
        <f>VLOOKUP(D3834,Ingredients!C:G,5,0)</f>
        <v>880</v>
      </c>
      <c r="L3834" s="52">
        <f t="shared" si="119"/>
        <v>26.4</v>
      </c>
    </row>
    <row r="3835" spans="1:12">
      <c r="A3835" t="s">
        <v>820</v>
      </c>
      <c r="B3835" t="s">
        <v>349</v>
      </c>
      <c r="C3835" t="s">
        <v>352</v>
      </c>
      <c r="D3835" s="3" t="s">
        <v>24</v>
      </c>
      <c r="E3835" s="4">
        <v>0.35</v>
      </c>
      <c r="F3835" s="4" t="s">
        <v>176</v>
      </c>
      <c r="G3835" s="9">
        <v>55</v>
      </c>
      <c r="H3835" s="9">
        <f t="shared" si="118"/>
        <v>19.25</v>
      </c>
      <c r="I3835" t="s">
        <v>179</v>
      </c>
      <c r="J3835" s="33" t="s">
        <v>491</v>
      </c>
      <c r="K3835" s="18">
        <f>VLOOKUP(D3835,Ingredients!C:G,5,0)</f>
        <v>80</v>
      </c>
      <c r="L3835" s="52">
        <f t="shared" si="119"/>
        <v>28</v>
      </c>
    </row>
    <row r="3836" spans="1:12">
      <c r="A3836" t="s">
        <v>820</v>
      </c>
      <c r="B3836" t="s">
        <v>349</v>
      </c>
      <c r="C3836" t="s">
        <v>352</v>
      </c>
      <c r="D3836" s="3" t="s">
        <v>860</v>
      </c>
      <c r="E3836" s="4">
        <v>1.7000000000000001E-2</v>
      </c>
      <c r="F3836" s="4" t="s">
        <v>176</v>
      </c>
      <c r="G3836" s="9">
        <v>2000</v>
      </c>
      <c r="H3836" s="9">
        <f t="shared" ref="H3836:H3899" si="120">G3836*E3836</f>
        <v>34</v>
      </c>
      <c r="I3836" t="s">
        <v>179</v>
      </c>
      <c r="J3836" s="33" t="s">
        <v>491</v>
      </c>
      <c r="K3836" s="18">
        <f>VLOOKUP(D3836,Ingredients!C:G,5,0)</f>
        <v>1900</v>
      </c>
      <c r="L3836" s="52">
        <f t="shared" si="119"/>
        <v>32.300000000000004</v>
      </c>
    </row>
    <row r="3837" spans="1:12">
      <c r="A3837" t="s">
        <v>820</v>
      </c>
      <c r="B3837" t="s">
        <v>349</v>
      </c>
      <c r="C3837" t="s">
        <v>352</v>
      </c>
      <c r="D3837" s="3" t="s">
        <v>929</v>
      </c>
      <c r="E3837" s="4">
        <v>0.02</v>
      </c>
      <c r="F3837" s="4" t="s">
        <v>176</v>
      </c>
      <c r="G3837" s="9">
        <v>650</v>
      </c>
      <c r="H3837" s="9">
        <f t="shared" si="120"/>
        <v>13</v>
      </c>
      <c r="I3837" t="s">
        <v>179</v>
      </c>
      <c r="J3837" s="33" t="s">
        <v>491</v>
      </c>
      <c r="K3837" s="18">
        <f>VLOOKUP(D3837,Ingredients!C:G,5,0)</f>
        <v>650</v>
      </c>
      <c r="L3837" s="52">
        <f t="shared" si="119"/>
        <v>13</v>
      </c>
    </row>
    <row r="3838" spans="1:12">
      <c r="A3838" t="s">
        <v>820</v>
      </c>
      <c r="B3838" t="s">
        <v>349</v>
      </c>
      <c r="C3838" t="s">
        <v>352</v>
      </c>
      <c r="D3838" s="3" t="s">
        <v>865</v>
      </c>
      <c r="E3838" s="4">
        <v>0.05</v>
      </c>
      <c r="F3838" s="4" t="s">
        <v>176</v>
      </c>
      <c r="G3838" s="9">
        <v>1400</v>
      </c>
      <c r="H3838" s="9">
        <f t="shared" si="120"/>
        <v>70</v>
      </c>
      <c r="I3838" t="s">
        <v>179</v>
      </c>
      <c r="J3838" s="33" t="s">
        <v>491</v>
      </c>
      <c r="K3838" s="18">
        <f>VLOOKUP(D3838,Ingredients!C:G,5,0)</f>
        <v>1400</v>
      </c>
      <c r="L3838" s="52">
        <f t="shared" si="119"/>
        <v>70</v>
      </c>
    </row>
    <row r="3839" spans="1:12">
      <c r="A3839" t="s">
        <v>820</v>
      </c>
      <c r="B3839" t="s">
        <v>349</v>
      </c>
      <c r="C3839" t="s">
        <v>352</v>
      </c>
      <c r="D3839" s="3" t="s">
        <v>892</v>
      </c>
      <c r="E3839" s="4">
        <v>0.1</v>
      </c>
      <c r="F3839" s="4" t="s">
        <v>176</v>
      </c>
      <c r="G3839" s="9">
        <v>2000</v>
      </c>
      <c r="H3839" s="9">
        <f t="shared" si="120"/>
        <v>200</v>
      </c>
      <c r="I3839" t="s">
        <v>179</v>
      </c>
      <c r="J3839" s="33" t="s">
        <v>491</v>
      </c>
      <c r="K3839" s="18">
        <f>VLOOKUP(D3839,Ingredients!C:G,5,0)</f>
        <v>2080</v>
      </c>
      <c r="L3839" s="52">
        <f t="shared" si="119"/>
        <v>208</v>
      </c>
    </row>
    <row r="3840" spans="1:12">
      <c r="A3840" t="s">
        <v>820</v>
      </c>
      <c r="B3840" t="s">
        <v>349</v>
      </c>
      <c r="C3840" t="s">
        <v>352</v>
      </c>
      <c r="D3840" s="3" t="s">
        <v>915</v>
      </c>
      <c r="E3840" s="4">
        <v>1.4E-2</v>
      </c>
      <c r="F3840" s="4" t="s">
        <v>176</v>
      </c>
      <c r="G3840" s="9">
        <v>5000</v>
      </c>
      <c r="H3840" s="9">
        <f t="shared" si="120"/>
        <v>70</v>
      </c>
      <c r="I3840" t="s">
        <v>179</v>
      </c>
      <c r="J3840" s="33" t="s">
        <v>491</v>
      </c>
      <c r="K3840" s="18">
        <f>VLOOKUP(D3840,Ingredients!C:G,5,0)</f>
        <v>3200</v>
      </c>
      <c r="L3840" s="52">
        <f t="shared" si="119"/>
        <v>44.800000000000004</v>
      </c>
    </row>
    <row r="3841" spans="1:12">
      <c r="A3841" t="s">
        <v>820</v>
      </c>
      <c r="B3841" t="s">
        <v>349</v>
      </c>
      <c r="C3841" t="s">
        <v>352</v>
      </c>
      <c r="D3841" s="3" t="s">
        <v>852</v>
      </c>
      <c r="E3841" s="4">
        <v>0.1</v>
      </c>
      <c r="F3841" s="4" t="s">
        <v>190</v>
      </c>
      <c r="G3841" s="9">
        <v>520.63</v>
      </c>
      <c r="H3841" s="9">
        <f t="shared" si="120"/>
        <v>52.063000000000002</v>
      </c>
      <c r="I3841" t="s">
        <v>179</v>
      </c>
      <c r="J3841" s="33" t="s">
        <v>491</v>
      </c>
      <c r="K3841" s="18">
        <v>550</v>
      </c>
      <c r="L3841" s="52">
        <f t="shared" si="119"/>
        <v>55</v>
      </c>
    </row>
    <row r="3842" spans="1:12">
      <c r="A3842" t="s">
        <v>821</v>
      </c>
      <c r="B3842" t="s">
        <v>346</v>
      </c>
      <c r="C3842" t="s">
        <v>993</v>
      </c>
      <c r="D3842" s="3" t="s">
        <v>866</v>
      </c>
      <c r="E3842" s="4">
        <v>0.4</v>
      </c>
      <c r="F3842" s="4" t="s">
        <v>176</v>
      </c>
      <c r="G3842" s="9">
        <v>153.97999999999999</v>
      </c>
      <c r="H3842" s="9">
        <f t="shared" si="120"/>
        <v>61.591999999999999</v>
      </c>
      <c r="I3842" t="s">
        <v>594</v>
      </c>
      <c r="J3842" s="33">
        <v>0</v>
      </c>
      <c r="K3842" s="18">
        <f>VLOOKUP(D3842,Ingredients!C:G,5,0)</f>
        <v>142.13999999999999</v>
      </c>
      <c r="L3842" s="52">
        <f t="shared" si="119"/>
        <v>56.855999999999995</v>
      </c>
    </row>
    <row r="3843" spans="1:12">
      <c r="A3843" t="s">
        <v>821</v>
      </c>
      <c r="B3843" t="s">
        <v>346</v>
      </c>
      <c r="C3843" t="s">
        <v>993</v>
      </c>
      <c r="D3843" s="3" t="s">
        <v>853</v>
      </c>
      <c r="E3843" s="4">
        <v>8.9999999999999993E-3</v>
      </c>
      <c r="F3843" s="4" t="s">
        <v>176</v>
      </c>
      <c r="G3843" s="9">
        <v>30</v>
      </c>
      <c r="H3843" s="9">
        <f t="shared" si="120"/>
        <v>0.26999999999999996</v>
      </c>
      <c r="I3843" t="s">
        <v>594</v>
      </c>
      <c r="J3843" s="33">
        <v>0</v>
      </c>
      <c r="K3843" s="18">
        <f>VLOOKUP(D3843,Ingredients!C:G,5,0)</f>
        <v>55</v>
      </c>
      <c r="L3843" s="52">
        <f t="shared" si="119"/>
        <v>0.49499999999999994</v>
      </c>
    </row>
    <row r="3844" spans="1:12">
      <c r="A3844" t="s">
        <v>821</v>
      </c>
      <c r="B3844" t="s">
        <v>346</v>
      </c>
      <c r="C3844" t="s">
        <v>993</v>
      </c>
      <c r="D3844" s="3" t="s">
        <v>852</v>
      </c>
      <c r="E3844" s="4">
        <v>0.05</v>
      </c>
      <c r="F3844" s="4" t="s">
        <v>190</v>
      </c>
      <c r="G3844" s="9">
        <v>520.63</v>
      </c>
      <c r="H3844" s="9">
        <f t="shared" si="120"/>
        <v>26.031500000000001</v>
      </c>
      <c r="I3844" t="s">
        <v>594</v>
      </c>
      <c r="J3844" s="33">
        <v>0</v>
      </c>
      <c r="K3844" s="18">
        <v>550</v>
      </c>
      <c r="L3844" s="52">
        <f t="shared" ref="L3844:L3907" si="121">K3844*E3844</f>
        <v>27.5</v>
      </c>
    </row>
    <row r="3845" spans="1:12">
      <c r="A3845" t="s">
        <v>821</v>
      </c>
      <c r="B3845" t="s">
        <v>346</v>
      </c>
      <c r="C3845" t="s">
        <v>993</v>
      </c>
      <c r="D3845" s="3" t="s">
        <v>936</v>
      </c>
      <c r="E3845" s="4">
        <f>0.18*3</f>
        <v>0.54</v>
      </c>
      <c r="F3845" s="4" t="s">
        <v>176</v>
      </c>
      <c r="G3845" s="9">
        <v>260</v>
      </c>
      <c r="H3845" s="9">
        <f t="shared" si="120"/>
        <v>140.4</v>
      </c>
      <c r="I3845" t="s">
        <v>594</v>
      </c>
      <c r="J3845" s="33">
        <v>0</v>
      </c>
      <c r="K3845" s="18">
        <f>VLOOKUP(D3845,Ingredients!C:G,5,0)</f>
        <v>230</v>
      </c>
      <c r="L3845" s="52">
        <f t="shared" si="121"/>
        <v>124.2</v>
      </c>
    </row>
    <row r="3846" spans="1:12">
      <c r="A3846" t="s">
        <v>821</v>
      </c>
      <c r="B3846" t="s">
        <v>346</v>
      </c>
      <c r="C3846" t="s">
        <v>993</v>
      </c>
      <c r="D3846" s="3" t="s">
        <v>852</v>
      </c>
      <c r="E3846" s="4">
        <v>0.05</v>
      </c>
      <c r="F3846" s="4" t="s">
        <v>190</v>
      </c>
      <c r="G3846" s="9">
        <v>520.63</v>
      </c>
      <c r="H3846" s="9">
        <f t="shared" si="120"/>
        <v>26.031500000000001</v>
      </c>
      <c r="I3846" t="s">
        <v>594</v>
      </c>
      <c r="J3846" s="33">
        <v>0</v>
      </c>
      <c r="K3846" s="18">
        <v>550</v>
      </c>
      <c r="L3846" s="52">
        <f t="shared" si="121"/>
        <v>27.5</v>
      </c>
    </row>
    <row r="3847" spans="1:12">
      <c r="A3847" t="s">
        <v>821</v>
      </c>
      <c r="B3847" t="s">
        <v>346</v>
      </c>
      <c r="C3847" t="s">
        <v>993</v>
      </c>
      <c r="D3847" s="3" t="s">
        <v>855</v>
      </c>
      <c r="E3847" s="4">
        <v>8.9999999999999993E-3</v>
      </c>
      <c r="F3847" s="4" t="s">
        <v>176</v>
      </c>
      <c r="G3847" s="9">
        <v>2400</v>
      </c>
      <c r="H3847" s="9">
        <f t="shared" si="120"/>
        <v>21.599999999999998</v>
      </c>
      <c r="I3847" t="s">
        <v>594</v>
      </c>
      <c r="J3847" s="33">
        <v>0</v>
      </c>
      <c r="K3847" s="18">
        <f>VLOOKUP(D3847,Ingredients!C:G,5,0)</f>
        <v>1600</v>
      </c>
      <c r="L3847" s="52">
        <f t="shared" si="121"/>
        <v>14.399999999999999</v>
      </c>
    </row>
    <row r="3848" spans="1:12">
      <c r="A3848" t="s">
        <v>821</v>
      </c>
      <c r="B3848" t="s">
        <v>346</v>
      </c>
      <c r="C3848" t="s">
        <v>993</v>
      </c>
      <c r="D3848" s="3" t="s">
        <v>860</v>
      </c>
      <c r="E3848" s="4">
        <v>2.7E-2</v>
      </c>
      <c r="F3848" s="4" t="s">
        <v>176</v>
      </c>
      <c r="G3848" s="9">
        <v>2000</v>
      </c>
      <c r="H3848" s="9">
        <f t="shared" si="120"/>
        <v>54</v>
      </c>
      <c r="I3848" t="s">
        <v>594</v>
      </c>
      <c r="J3848" s="33">
        <v>0</v>
      </c>
      <c r="K3848" s="18">
        <f>VLOOKUP(D3848,Ingredients!C:G,5,0)</f>
        <v>1900</v>
      </c>
      <c r="L3848" s="52">
        <f t="shared" si="121"/>
        <v>51.3</v>
      </c>
    </row>
    <row r="3849" spans="1:12">
      <c r="A3849" t="s">
        <v>821</v>
      </c>
      <c r="B3849" t="s">
        <v>346</v>
      </c>
      <c r="C3849" t="s">
        <v>993</v>
      </c>
      <c r="D3849" s="3" t="s">
        <v>867</v>
      </c>
      <c r="E3849" s="4">
        <v>2.7E-2</v>
      </c>
      <c r="F3849" s="4" t="s">
        <v>176</v>
      </c>
      <c r="G3849" s="9">
        <v>900</v>
      </c>
      <c r="H3849" s="9">
        <f t="shared" si="120"/>
        <v>24.3</v>
      </c>
      <c r="I3849" t="s">
        <v>594</v>
      </c>
      <c r="J3849" s="33">
        <v>0</v>
      </c>
      <c r="K3849" s="18">
        <f>VLOOKUP(D3849,Ingredients!C:G,5,0)</f>
        <v>950</v>
      </c>
      <c r="L3849" s="52">
        <f t="shared" si="121"/>
        <v>25.65</v>
      </c>
    </row>
    <row r="3850" spans="1:12">
      <c r="A3850" t="s">
        <v>821</v>
      </c>
      <c r="B3850" t="s">
        <v>346</v>
      </c>
      <c r="C3850" t="s">
        <v>993</v>
      </c>
      <c r="D3850" s="3" t="s">
        <v>925</v>
      </c>
      <c r="E3850" s="4">
        <v>0.03</v>
      </c>
      <c r="F3850" s="4" t="s">
        <v>176</v>
      </c>
      <c r="G3850" s="9">
        <v>1150</v>
      </c>
      <c r="H3850" s="9">
        <f t="shared" si="120"/>
        <v>34.5</v>
      </c>
      <c r="I3850" t="s">
        <v>594</v>
      </c>
      <c r="J3850" s="33">
        <v>0</v>
      </c>
      <c r="K3850" s="18">
        <f>VLOOKUP(D3850,Ingredients!C:G,5,0)</f>
        <v>1100</v>
      </c>
      <c r="L3850" s="52">
        <f t="shared" si="121"/>
        <v>33</v>
      </c>
    </row>
    <row r="3851" spans="1:12">
      <c r="A3851" t="s">
        <v>821</v>
      </c>
      <c r="B3851" t="s">
        <v>346</v>
      </c>
      <c r="C3851" t="s">
        <v>993</v>
      </c>
      <c r="D3851" s="3" t="s">
        <v>895</v>
      </c>
      <c r="E3851" s="4">
        <v>1.7999999999999999E-2</v>
      </c>
      <c r="F3851" s="4" t="s">
        <v>176</v>
      </c>
      <c r="G3851" s="9">
        <v>400</v>
      </c>
      <c r="H3851" s="9">
        <f t="shared" si="120"/>
        <v>7.1999999999999993</v>
      </c>
      <c r="I3851" t="s">
        <v>594</v>
      </c>
      <c r="J3851" s="33">
        <v>0</v>
      </c>
      <c r="K3851" s="18">
        <f>VLOOKUP(D3851,Ingredients!C:G,5,0)</f>
        <v>400</v>
      </c>
      <c r="L3851" s="52">
        <f t="shared" si="121"/>
        <v>7.1999999999999993</v>
      </c>
    </row>
    <row r="3852" spans="1:12">
      <c r="A3852" t="s">
        <v>821</v>
      </c>
      <c r="B3852" t="s">
        <v>346</v>
      </c>
      <c r="C3852" t="s">
        <v>993</v>
      </c>
      <c r="D3852" s="3" t="s">
        <v>853</v>
      </c>
      <c r="E3852" s="4">
        <v>1.7999999999999999E-2</v>
      </c>
      <c r="F3852" s="4" t="s">
        <v>176</v>
      </c>
      <c r="G3852" s="9">
        <v>30</v>
      </c>
      <c r="H3852" s="9">
        <f t="shared" si="120"/>
        <v>0.53999999999999992</v>
      </c>
      <c r="I3852" t="s">
        <v>594</v>
      </c>
      <c r="J3852" s="33">
        <v>0</v>
      </c>
      <c r="K3852" s="18">
        <f>VLOOKUP(D3852,Ingredients!C:G,5,0)</f>
        <v>55</v>
      </c>
      <c r="L3852" s="52">
        <f t="shared" si="121"/>
        <v>0.98999999999999988</v>
      </c>
    </row>
    <row r="3853" spans="1:12">
      <c r="A3853" t="s">
        <v>821</v>
      </c>
      <c r="B3853" t="s">
        <v>346</v>
      </c>
      <c r="C3853" t="s">
        <v>993</v>
      </c>
      <c r="D3853" s="3" t="s">
        <v>31</v>
      </c>
      <c r="E3853" s="4">
        <v>1.4999999999999999E-2</v>
      </c>
      <c r="F3853" s="4" t="s">
        <v>176</v>
      </c>
      <c r="G3853" s="9">
        <v>200</v>
      </c>
      <c r="H3853" s="9">
        <f t="shared" si="120"/>
        <v>3</v>
      </c>
      <c r="I3853" t="s">
        <v>594</v>
      </c>
      <c r="J3853" s="33">
        <v>0</v>
      </c>
      <c r="K3853" s="18">
        <f>VLOOKUP(D3853,Ingredients!C:G,5,0)</f>
        <v>350</v>
      </c>
      <c r="L3853" s="52">
        <f t="shared" si="121"/>
        <v>5.25</v>
      </c>
    </row>
    <row r="3854" spans="1:12">
      <c r="A3854" t="s">
        <v>822</v>
      </c>
      <c r="B3854" t="s">
        <v>349</v>
      </c>
      <c r="C3854" t="s">
        <v>352</v>
      </c>
      <c r="D3854" s="33" t="s">
        <v>491</v>
      </c>
      <c r="E3854" s="4">
        <v>0.99999999999999978</v>
      </c>
      <c r="F3854" s="4" t="s">
        <v>176</v>
      </c>
      <c r="G3854" s="9">
        <v>614</v>
      </c>
      <c r="H3854" s="9">
        <f t="shared" si="120"/>
        <v>613.99999999999989</v>
      </c>
      <c r="I3854" t="s">
        <v>179</v>
      </c>
      <c r="J3854" s="33" t="s">
        <v>491</v>
      </c>
      <c r="K3854" s="18">
        <f>VLOOKUP(D3854,Ingredients!C:G,5,0)</f>
        <v>650</v>
      </c>
      <c r="L3854" s="52">
        <f t="shared" si="121"/>
        <v>649.99999999999989</v>
      </c>
    </row>
    <row r="3855" spans="1:12">
      <c r="A3855" t="s">
        <v>822</v>
      </c>
      <c r="B3855" t="s">
        <v>349</v>
      </c>
      <c r="C3855" t="s">
        <v>352</v>
      </c>
      <c r="D3855" s="3" t="s">
        <v>73</v>
      </c>
      <c r="E3855" s="14">
        <v>0.23809523809523808</v>
      </c>
      <c r="F3855" s="4" t="s">
        <v>176</v>
      </c>
      <c r="G3855" s="9">
        <v>305</v>
      </c>
      <c r="H3855" s="9">
        <f t="shared" si="120"/>
        <v>72.61904761904762</v>
      </c>
      <c r="I3855" t="s">
        <v>179</v>
      </c>
      <c r="J3855" s="33" t="s">
        <v>491</v>
      </c>
      <c r="K3855" s="18">
        <f>VLOOKUP(D3855,Ingredients!C:G,5,0)</f>
        <v>300</v>
      </c>
      <c r="L3855" s="52">
        <f t="shared" si="121"/>
        <v>71.428571428571431</v>
      </c>
    </row>
    <row r="3856" spans="1:12">
      <c r="A3856" t="s">
        <v>822</v>
      </c>
      <c r="B3856" t="s">
        <v>349</v>
      </c>
      <c r="C3856" t="s">
        <v>352</v>
      </c>
      <c r="D3856" s="3" t="s">
        <v>310</v>
      </c>
      <c r="E3856" s="14">
        <v>3.428571428571428E-2</v>
      </c>
      <c r="F3856" s="4" t="s">
        <v>176</v>
      </c>
      <c r="G3856" s="9">
        <v>425</v>
      </c>
      <c r="H3856" s="9">
        <f t="shared" si="120"/>
        <v>14.571428571428569</v>
      </c>
      <c r="I3856" t="s">
        <v>179</v>
      </c>
      <c r="J3856" s="33" t="s">
        <v>491</v>
      </c>
      <c r="K3856" s="18">
        <f>VLOOKUP(D3856,Ingredients!C:G,5,0)</f>
        <v>850</v>
      </c>
      <c r="L3856" s="52">
        <f t="shared" si="121"/>
        <v>29.142857142857139</v>
      </c>
    </row>
    <row r="3857" spans="1:12">
      <c r="A3857" t="s">
        <v>822</v>
      </c>
      <c r="B3857" t="s">
        <v>349</v>
      </c>
      <c r="C3857" t="s">
        <v>352</v>
      </c>
      <c r="D3857" s="3" t="s">
        <v>16</v>
      </c>
      <c r="E3857" s="14">
        <v>4.5714285714285714E-2</v>
      </c>
      <c r="F3857" s="4" t="s">
        <v>176</v>
      </c>
      <c r="G3857" s="9">
        <v>270</v>
      </c>
      <c r="H3857" s="9">
        <f t="shared" si="120"/>
        <v>12.342857142857143</v>
      </c>
      <c r="I3857" t="s">
        <v>179</v>
      </c>
      <c r="J3857" s="33" t="s">
        <v>491</v>
      </c>
      <c r="K3857" s="18">
        <f>VLOOKUP(D3857,Ingredients!C:G,5,0)</f>
        <v>310</v>
      </c>
      <c r="L3857" s="52">
        <f t="shared" si="121"/>
        <v>14.171428571428571</v>
      </c>
    </row>
    <row r="3858" spans="1:12">
      <c r="A3858" t="s">
        <v>822</v>
      </c>
      <c r="B3858" t="s">
        <v>349</v>
      </c>
      <c r="C3858" t="s">
        <v>352</v>
      </c>
      <c r="D3858" s="3" t="s">
        <v>23</v>
      </c>
      <c r="E3858" s="14">
        <v>3.2380952380952378E-2</v>
      </c>
      <c r="F3858" s="4" t="s">
        <v>176</v>
      </c>
      <c r="G3858" s="9">
        <v>740</v>
      </c>
      <c r="H3858" s="9">
        <f t="shared" si="120"/>
        <v>23.961904761904758</v>
      </c>
      <c r="I3858" t="s">
        <v>179</v>
      </c>
      <c r="J3858" s="33" t="s">
        <v>491</v>
      </c>
      <c r="K3858" s="18">
        <f>VLOOKUP(D3858,Ingredients!C:G,5,0)</f>
        <v>780</v>
      </c>
      <c r="L3858" s="52">
        <f t="shared" si="121"/>
        <v>25.257142857142856</v>
      </c>
    </row>
    <row r="3859" spans="1:12">
      <c r="A3859" t="s">
        <v>822</v>
      </c>
      <c r="B3859" t="s">
        <v>349</v>
      </c>
      <c r="C3859" t="s">
        <v>352</v>
      </c>
      <c r="D3859" s="3" t="s">
        <v>853</v>
      </c>
      <c r="E3859" s="14">
        <v>6.4761904761904757E-2</v>
      </c>
      <c r="F3859" s="4" t="s">
        <v>176</v>
      </c>
      <c r="G3859" s="9">
        <v>30</v>
      </c>
      <c r="H3859" s="9">
        <f t="shared" si="120"/>
        <v>1.9428571428571426</v>
      </c>
      <c r="I3859" t="s">
        <v>179</v>
      </c>
      <c r="J3859" s="33" t="s">
        <v>491</v>
      </c>
      <c r="K3859" s="18">
        <f>VLOOKUP(D3859,Ingredients!C:G,5,0)</f>
        <v>55</v>
      </c>
      <c r="L3859" s="52">
        <f t="shared" si="121"/>
        <v>3.5619047619047617</v>
      </c>
    </row>
    <row r="3860" spans="1:12">
      <c r="A3860" t="s">
        <v>822</v>
      </c>
      <c r="B3860" t="s">
        <v>349</v>
      </c>
      <c r="C3860" t="s">
        <v>352</v>
      </c>
      <c r="D3860" s="3" t="s">
        <v>855</v>
      </c>
      <c r="E3860" s="14">
        <v>1.4999999999999999E-2</v>
      </c>
      <c r="F3860" s="4" t="s">
        <v>176</v>
      </c>
      <c r="G3860" s="9">
        <v>2400</v>
      </c>
      <c r="H3860" s="9">
        <f t="shared" si="120"/>
        <v>36</v>
      </c>
      <c r="I3860" t="s">
        <v>179</v>
      </c>
      <c r="J3860" s="33" t="s">
        <v>491</v>
      </c>
      <c r="K3860" s="18">
        <f>VLOOKUP(D3860,Ingredients!C:G,5,0)</f>
        <v>1600</v>
      </c>
      <c r="L3860" s="52">
        <f t="shared" si="121"/>
        <v>24</v>
      </c>
    </row>
    <row r="3861" spans="1:12">
      <c r="A3861" t="s">
        <v>822</v>
      </c>
      <c r="B3861" t="s">
        <v>349</v>
      </c>
      <c r="C3861" t="s">
        <v>352</v>
      </c>
      <c r="D3861" s="3" t="s">
        <v>860</v>
      </c>
      <c r="E3861" s="14">
        <v>1.4999999999999999E-2</v>
      </c>
      <c r="F3861" s="4" t="s">
        <v>176</v>
      </c>
      <c r="G3861" s="9">
        <v>2000</v>
      </c>
      <c r="H3861" s="9">
        <f t="shared" si="120"/>
        <v>30</v>
      </c>
      <c r="I3861" t="s">
        <v>179</v>
      </c>
      <c r="J3861" s="33" t="s">
        <v>491</v>
      </c>
      <c r="K3861" s="18">
        <f>VLOOKUP(D3861,Ingredients!C:G,5,0)</f>
        <v>1900</v>
      </c>
      <c r="L3861" s="52">
        <f t="shared" si="121"/>
        <v>28.5</v>
      </c>
    </row>
    <row r="3862" spans="1:12">
      <c r="A3862" t="s">
        <v>822</v>
      </c>
      <c r="B3862" t="s">
        <v>349</v>
      </c>
      <c r="C3862" t="s">
        <v>352</v>
      </c>
      <c r="D3862" s="3" t="s">
        <v>852</v>
      </c>
      <c r="E3862" s="14">
        <v>8.5714285714285701E-2</v>
      </c>
      <c r="F3862" s="4" t="s">
        <v>190</v>
      </c>
      <c r="G3862" s="9">
        <v>520.63</v>
      </c>
      <c r="H3862" s="9">
        <f t="shared" si="120"/>
        <v>44.625428571428564</v>
      </c>
      <c r="I3862" t="s">
        <v>179</v>
      </c>
      <c r="J3862" s="33" t="s">
        <v>491</v>
      </c>
      <c r="K3862" s="18">
        <v>550</v>
      </c>
      <c r="L3862" s="52">
        <f t="shared" si="121"/>
        <v>47.142857142857139</v>
      </c>
    </row>
    <row r="3863" spans="1:12">
      <c r="A3863" t="s">
        <v>822</v>
      </c>
      <c r="B3863" t="s">
        <v>349</v>
      </c>
      <c r="C3863" t="s">
        <v>352</v>
      </c>
      <c r="D3863" s="3" t="s">
        <v>24</v>
      </c>
      <c r="E3863" s="14">
        <v>0.419047619047619</v>
      </c>
      <c r="F3863" s="4" t="s">
        <v>176</v>
      </c>
      <c r="G3863" s="9">
        <v>55</v>
      </c>
      <c r="H3863" s="9">
        <f t="shared" si="120"/>
        <v>23.047619047619044</v>
      </c>
      <c r="I3863" t="s">
        <v>179</v>
      </c>
      <c r="J3863" s="33" t="s">
        <v>491</v>
      </c>
      <c r="K3863" s="18">
        <f>VLOOKUP(D3863,Ingredients!C:G,5,0)</f>
        <v>80</v>
      </c>
      <c r="L3863" s="52">
        <f t="shared" si="121"/>
        <v>33.523809523809518</v>
      </c>
    </row>
    <row r="3864" spans="1:12">
      <c r="A3864" t="s">
        <v>822</v>
      </c>
      <c r="B3864" t="s">
        <v>349</v>
      </c>
      <c r="C3864" t="s">
        <v>352</v>
      </c>
      <c r="D3864" s="3" t="s">
        <v>23</v>
      </c>
      <c r="E3864" s="14">
        <v>3.2380952380952378E-2</v>
      </c>
      <c r="F3864" s="4" t="s">
        <v>176</v>
      </c>
      <c r="G3864" s="9">
        <v>740</v>
      </c>
      <c r="H3864" s="9">
        <f t="shared" si="120"/>
        <v>23.961904761904758</v>
      </c>
      <c r="I3864" t="s">
        <v>179</v>
      </c>
      <c r="J3864" s="33" t="s">
        <v>491</v>
      </c>
      <c r="K3864" s="18">
        <f>VLOOKUP(D3864,Ingredients!C:G,5,0)</f>
        <v>780</v>
      </c>
      <c r="L3864" s="52">
        <f t="shared" si="121"/>
        <v>25.257142857142856</v>
      </c>
    </row>
    <row r="3865" spans="1:12">
      <c r="A3865" t="s">
        <v>822</v>
      </c>
      <c r="B3865" t="s">
        <v>349</v>
      </c>
      <c r="C3865" t="s">
        <v>352</v>
      </c>
      <c r="D3865" s="3" t="s">
        <v>887</v>
      </c>
      <c r="E3865" s="14">
        <v>1.4999999999999999E-2</v>
      </c>
      <c r="F3865" s="4" t="s">
        <v>176</v>
      </c>
      <c r="G3865" s="9">
        <v>1600</v>
      </c>
      <c r="H3865" s="9">
        <f t="shared" si="120"/>
        <v>24</v>
      </c>
      <c r="I3865" t="s">
        <v>179</v>
      </c>
      <c r="J3865" s="33" t="s">
        <v>491</v>
      </c>
      <c r="K3865" s="18">
        <f>VLOOKUP(D3865,Ingredients!C:G,5,0)</f>
        <v>1830</v>
      </c>
      <c r="L3865" s="52">
        <f t="shared" si="121"/>
        <v>27.45</v>
      </c>
    </row>
    <row r="3866" spans="1:12">
      <c r="A3866" t="s">
        <v>822</v>
      </c>
      <c r="B3866" t="s">
        <v>349</v>
      </c>
      <c r="C3866" t="s">
        <v>352</v>
      </c>
      <c r="D3866" s="3" t="s">
        <v>880</v>
      </c>
      <c r="E3866" s="14">
        <v>3.2380952380952378E-2</v>
      </c>
      <c r="F3866" s="4" t="s">
        <v>176</v>
      </c>
      <c r="G3866" s="9">
        <v>650</v>
      </c>
      <c r="H3866" s="9">
        <f t="shared" si="120"/>
        <v>21.047619047619047</v>
      </c>
      <c r="I3866" t="s">
        <v>179</v>
      </c>
      <c r="J3866" s="33" t="s">
        <v>491</v>
      </c>
      <c r="K3866" s="18">
        <f>VLOOKUP(D3866,Ingredients!C:G,5,0)</f>
        <v>520</v>
      </c>
      <c r="L3866" s="52">
        <f t="shared" si="121"/>
        <v>16.838095238095235</v>
      </c>
    </row>
    <row r="3867" spans="1:12">
      <c r="A3867" t="s">
        <v>822</v>
      </c>
      <c r="B3867" t="s">
        <v>349</v>
      </c>
      <c r="C3867" t="s">
        <v>352</v>
      </c>
      <c r="D3867" s="3" t="s">
        <v>895</v>
      </c>
      <c r="E3867" s="14">
        <v>3.2380952380952378E-2</v>
      </c>
      <c r="F3867" s="4" t="s">
        <v>176</v>
      </c>
      <c r="G3867" s="9">
        <v>400</v>
      </c>
      <c r="H3867" s="9">
        <f t="shared" si="120"/>
        <v>12.952380952380951</v>
      </c>
      <c r="I3867" t="s">
        <v>179</v>
      </c>
      <c r="J3867" s="33" t="s">
        <v>491</v>
      </c>
      <c r="K3867" s="18">
        <f>VLOOKUP(D3867,Ingredients!C:G,5,0)</f>
        <v>400</v>
      </c>
      <c r="L3867" s="52">
        <f t="shared" si="121"/>
        <v>12.952380952380951</v>
      </c>
    </row>
    <row r="3868" spans="1:12">
      <c r="A3868" t="s">
        <v>822</v>
      </c>
      <c r="B3868" t="s">
        <v>349</v>
      </c>
      <c r="C3868" t="s">
        <v>352</v>
      </c>
      <c r="D3868" s="3" t="s">
        <v>867</v>
      </c>
      <c r="E3868" s="14">
        <v>3.2380952380952378E-2</v>
      </c>
      <c r="F3868" s="4" t="s">
        <v>176</v>
      </c>
      <c r="G3868" s="9">
        <v>900</v>
      </c>
      <c r="H3868" s="9">
        <f t="shared" si="120"/>
        <v>29.142857142857139</v>
      </c>
      <c r="I3868" t="s">
        <v>179</v>
      </c>
      <c r="J3868" s="33" t="s">
        <v>491</v>
      </c>
      <c r="K3868" s="18">
        <f>VLOOKUP(D3868,Ingredients!C:G,5,0)</f>
        <v>950</v>
      </c>
      <c r="L3868" s="52">
        <f t="shared" si="121"/>
        <v>30.761904761904759</v>
      </c>
    </row>
    <row r="3869" spans="1:12">
      <c r="A3869" t="s">
        <v>822</v>
      </c>
      <c r="B3869" t="s">
        <v>349</v>
      </c>
      <c r="C3869" t="s">
        <v>352</v>
      </c>
      <c r="D3869" s="3" t="s">
        <v>860</v>
      </c>
      <c r="E3869" s="14">
        <v>1.4999999999999999E-2</v>
      </c>
      <c r="F3869" s="4" t="s">
        <v>176</v>
      </c>
      <c r="G3869" s="9">
        <v>2000</v>
      </c>
      <c r="H3869" s="9">
        <f t="shared" si="120"/>
        <v>30</v>
      </c>
      <c r="I3869" t="s">
        <v>179</v>
      </c>
      <c r="J3869" s="33" t="s">
        <v>491</v>
      </c>
      <c r="K3869" s="18">
        <f>VLOOKUP(D3869,Ingredients!C:G,5,0)</f>
        <v>1900</v>
      </c>
      <c r="L3869" s="52">
        <f t="shared" si="121"/>
        <v>28.5</v>
      </c>
    </row>
    <row r="3870" spans="1:12">
      <c r="A3870" t="s">
        <v>822</v>
      </c>
      <c r="B3870" t="s">
        <v>349</v>
      </c>
      <c r="C3870" t="s">
        <v>352</v>
      </c>
      <c r="D3870" s="3" t="s">
        <v>28</v>
      </c>
      <c r="E3870" s="14">
        <v>0.47619047619047616</v>
      </c>
      <c r="F3870" s="4" t="s">
        <v>176</v>
      </c>
      <c r="G3870" s="9">
        <v>85</v>
      </c>
      <c r="H3870" s="9">
        <f t="shared" si="120"/>
        <v>40.476190476190474</v>
      </c>
      <c r="I3870" t="s">
        <v>179</v>
      </c>
      <c r="J3870" s="33" t="s">
        <v>491</v>
      </c>
      <c r="K3870" s="18">
        <f>VLOOKUP(D3870,Ingredients!C:G,5,0)</f>
        <v>70</v>
      </c>
      <c r="L3870" s="52">
        <f t="shared" si="121"/>
        <v>33.333333333333329</v>
      </c>
    </row>
    <row r="3871" spans="1:12">
      <c r="A3871" t="s">
        <v>822</v>
      </c>
      <c r="B3871" t="s">
        <v>349</v>
      </c>
      <c r="C3871" t="s">
        <v>352</v>
      </c>
      <c r="D3871" s="3" t="s">
        <v>35</v>
      </c>
      <c r="E3871" s="14">
        <v>0.38095238095238093</v>
      </c>
      <c r="F3871" s="4" t="s">
        <v>252</v>
      </c>
      <c r="G3871" s="9">
        <v>13</v>
      </c>
      <c r="H3871" s="9">
        <f t="shared" si="120"/>
        <v>4.9523809523809526</v>
      </c>
      <c r="I3871" t="s">
        <v>179</v>
      </c>
      <c r="J3871" s="33" t="s">
        <v>491</v>
      </c>
      <c r="K3871" s="18">
        <f>VLOOKUP(D3871,Ingredients!C:G,5,0)</f>
        <v>15</v>
      </c>
      <c r="L3871" s="52">
        <f t="shared" si="121"/>
        <v>5.7142857142857135</v>
      </c>
    </row>
    <row r="3872" spans="1:12">
      <c r="A3872" t="s">
        <v>823</v>
      </c>
      <c r="B3872" t="s">
        <v>349</v>
      </c>
      <c r="C3872" t="s">
        <v>454</v>
      </c>
      <c r="D3872" s="33" t="s">
        <v>491</v>
      </c>
      <c r="E3872" s="4">
        <v>1</v>
      </c>
      <c r="F3872" s="4" t="s">
        <v>176</v>
      </c>
      <c r="G3872" s="9">
        <v>614</v>
      </c>
      <c r="H3872" s="9">
        <f t="shared" si="120"/>
        <v>614</v>
      </c>
      <c r="I3872" t="s">
        <v>179</v>
      </c>
      <c r="J3872" s="33" t="s">
        <v>491</v>
      </c>
      <c r="K3872" s="18">
        <f>VLOOKUP(D3872,Ingredients!C:G,5,0)</f>
        <v>650</v>
      </c>
      <c r="L3872" s="52">
        <f t="shared" si="121"/>
        <v>650</v>
      </c>
    </row>
    <row r="3873" spans="1:12">
      <c r="A3873" t="s">
        <v>823</v>
      </c>
      <c r="B3873" t="s">
        <v>349</v>
      </c>
      <c r="C3873" t="s">
        <v>454</v>
      </c>
      <c r="D3873" s="3" t="s">
        <v>853</v>
      </c>
      <c r="E3873" s="4">
        <v>8.9999999999999993E-3</v>
      </c>
      <c r="F3873" s="4" t="s">
        <v>176</v>
      </c>
      <c r="G3873" s="9">
        <v>30</v>
      </c>
      <c r="H3873" s="9">
        <f t="shared" si="120"/>
        <v>0.26999999999999996</v>
      </c>
      <c r="I3873" t="s">
        <v>179</v>
      </c>
      <c r="J3873" s="33" t="s">
        <v>491</v>
      </c>
      <c r="K3873" s="18">
        <f>VLOOKUP(D3873,Ingredients!C:G,5,0)</f>
        <v>55</v>
      </c>
      <c r="L3873" s="52">
        <f t="shared" si="121"/>
        <v>0.49499999999999994</v>
      </c>
    </row>
    <row r="3874" spans="1:12">
      <c r="A3874" t="s">
        <v>823</v>
      </c>
      <c r="B3874" t="s">
        <v>349</v>
      </c>
      <c r="C3874" t="s">
        <v>454</v>
      </c>
      <c r="D3874" s="3" t="s">
        <v>882</v>
      </c>
      <c r="E3874" s="4">
        <v>8.0000000000000002E-3</v>
      </c>
      <c r="F3874" s="4" t="s">
        <v>176</v>
      </c>
      <c r="G3874" s="9">
        <v>1500</v>
      </c>
      <c r="H3874" s="9">
        <f t="shared" si="120"/>
        <v>12</v>
      </c>
      <c r="I3874" t="s">
        <v>179</v>
      </c>
      <c r="J3874" s="33" t="s">
        <v>491</v>
      </c>
      <c r="K3874" s="18">
        <f>VLOOKUP(D3874,Ingredients!C:G,5,0)</f>
        <v>1450</v>
      </c>
      <c r="L3874" s="52">
        <f t="shared" si="121"/>
        <v>11.6</v>
      </c>
    </row>
    <row r="3875" spans="1:12">
      <c r="A3875" t="s">
        <v>823</v>
      </c>
      <c r="B3875" t="s">
        <v>349</v>
      </c>
      <c r="C3875" t="s">
        <v>454</v>
      </c>
      <c r="D3875" s="3" t="s">
        <v>16</v>
      </c>
      <c r="E3875" s="4">
        <v>1.2E-2</v>
      </c>
      <c r="F3875" s="4" t="s">
        <v>176</v>
      </c>
      <c r="G3875" s="9">
        <v>270</v>
      </c>
      <c r="H3875" s="9">
        <f t="shared" si="120"/>
        <v>3.24</v>
      </c>
      <c r="I3875" t="s">
        <v>179</v>
      </c>
      <c r="J3875" s="33" t="s">
        <v>491</v>
      </c>
      <c r="K3875" s="18">
        <f>VLOOKUP(D3875,Ingredients!C:G,5,0)</f>
        <v>310</v>
      </c>
      <c r="L3875" s="52">
        <f t="shared" si="121"/>
        <v>3.72</v>
      </c>
    </row>
    <row r="3876" spans="1:12">
      <c r="A3876" t="s">
        <v>823</v>
      </c>
      <c r="B3876" t="s">
        <v>349</v>
      </c>
      <c r="C3876" t="s">
        <v>454</v>
      </c>
      <c r="D3876" s="3" t="s">
        <v>852</v>
      </c>
      <c r="E3876" s="4">
        <v>0.03</v>
      </c>
      <c r="F3876" s="4" t="s">
        <v>190</v>
      </c>
      <c r="G3876" s="9">
        <v>520.63</v>
      </c>
      <c r="H3876" s="9">
        <f t="shared" si="120"/>
        <v>15.6189</v>
      </c>
      <c r="I3876" t="s">
        <v>179</v>
      </c>
      <c r="J3876" s="33" t="s">
        <v>491</v>
      </c>
      <c r="K3876" s="18">
        <v>550</v>
      </c>
      <c r="L3876" s="52">
        <f t="shared" si="121"/>
        <v>16.5</v>
      </c>
    </row>
    <row r="3877" spans="1:12">
      <c r="A3877" t="s">
        <v>823</v>
      </c>
      <c r="B3877" t="s">
        <v>349</v>
      </c>
      <c r="C3877" t="s">
        <v>454</v>
      </c>
      <c r="D3877" s="3" t="s">
        <v>923</v>
      </c>
      <c r="E3877" s="4">
        <v>0.03</v>
      </c>
      <c r="F3877" s="4" t="s">
        <v>176</v>
      </c>
      <c r="G3877" s="9">
        <v>100</v>
      </c>
      <c r="H3877" s="9">
        <f t="shared" si="120"/>
        <v>3</v>
      </c>
      <c r="I3877" t="s">
        <v>179</v>
      </c>
      <c r="J3877" s="33" t="s">
        <v>491</v>
      </c>
      <c r="K3877" s="18">
        <f>VLOOKUP(D3877,Ingredients!C:G,5,0)</f>
        <v>1000</v>
      </c>
      <c r="L3877" s="52">
        <f t="shared" si="121"/>
        <v>30</v>
      </c>
    </row>
    <row r="3878" spans="1:12">
      <c r="A3878" t="s">
        <v>823</v>
      </c>
      <c r="B3878" t="s">
        <v>349</v>
      </c>
      <c r="C3878" t="s">
        <v>454</v>
      </c>
      <c r="D3878" s="3" t="s">
        <v>50</v>
      </c>
      <c r="E3878" s="4">
        <v>0.05</v>
      </c>
      <c r="F3878" s="4" t="s">
        <v>176</v>
      </c>
      <c r="G3878" s="9">
        <v>120</v>
      </c>
      <c r="H3878" s="9">
        <f t="shared" si="120"/>
        <v>6</v>
      </c>
      <c r="I3878" t="s">
        <v>179</v>
      </c>
      <c r="J3878" s="33" t="s">
        <v>491</v>
      </c>
      <c r="K3878" s="18">
        <f>VLOOKUP(D3878,Ingredients!C:G,5,0)</f>
        <v>120</v>
      </c>
      <c r="L3878" s="52">
        <f t="shared" si="121"/>
        <v>6</v>
      </c>
    </row>
    <row r="3879" spans="1:12">
      <c r="A3879" t="s">
        <v>824</v>
      </c>
      <c r="B3879" t="s">
        <v>349</v>
      </c>
      <c r="C3879" t="s">
        <v>352</v>
      </c>
      <c r="D3879" s="33" t="s">
        <v>491</v>
      </c>
      <c r="E3879" s="10">
        <v>1</v>
      </c>
      <c r="F3879" s="7" t="s">
        <v>176</v>
      </c>
      <c r="G3879" s="9">
        <v>614</v>
      </c>
      <c r="H3879" s="9">
        <f t="shared" si="120"/>
        <v>614</v>
      </c>
      <c r="I3879" t="s">
        <v>179</v>
      </c>
      <c r="J3879" s="33" t="s">
        <v>491</v>
      </c>
      <c r="K3879" s="18">
        <f>VLOOKUP(D3879,Ingredients!C:G,5,0)</f>
        <v>650</v>
      </c>
      <c r="L3879" s="52">
        <f t="shared" si="121"/>
        <v>650</v>
      </c>
    </row>
    <row r="3880" spans="1:12">
      <c r="A3880" t="s">
        <v>824</v>
      </c>
      <c r="B3880" t="s">
        <v>349</v>
      </c>
      <c r="C3880" t="s">
        <v>352</v>
      </c>
      <c r="D3880" s="3" t="s">
        <v>852</v>
      </c>
      <c r="E3880" s="10">
        <v>0.2</v>
      </c>
      <c r="F3880" s="7" t="s">
        <v>176</v>
      </c>
      <c r="G3880" s="9">
        <v>520.63</v>
      </c>
      <c r="H3880" s="9">
        <f t="shared" si="120"/>
        <v>104.126</v>
      </c>
      <c r="I3880" t="s">
        <v>179</v>
      </c>
      <c r="J3880" s="33" t="s">
        <v>491</v>
      </c>
      <c r="K3880" s="18">
        <v>550</v>
      </c>
      <c r="L3880" s="52">
        <f t="shared" si="121"/>
        <v>110</v>
      </c>
    </row>
    <row r="3881" spans="1:12">
      <c r="A3881" t="s">
        <v>824</v>
      </c>
      <c r="B3881" t="s">
        <v>349</v>
      </c>
      <c r="C3881" t="s">
        <v>352</v>
      </c>
      <c r="D3881" s="3" t="s">
        <v>24</v>
      </c>
      <c r="E3881" s="10">
        <v>0.15</v>
      </c>
      <c r="F3881" s="7" t="s">
        <v>176</v>
      </c>
      <c r="G3881" s="9">
        <v>55</v>
      </c>
      <c r="H3881" s="9">
        <f t="shared" si="120"/>
        <v>8.25</v>
      </c>
      <c r="I3881" t="s">
        <v>179</v>
      </c>
      <c r="J3881" s="33" t="s">
        <v>491</v>
      </c>
      <c r="K3881" s="18">
        <f>VLOOKUP(D3881,Ingredients!C:G,5,0)</f>
        <v>80</v>
      </c>
      <c r="L3881" s="52">
        <f t="shared" si="121"/>
        <v>12</v>
      </c>
    </row>
    <row r="3882" spans="1:12">
      <c r="A3882" t="s">
        <v>824</v>
      </c>
      <c r="B3882" t="s">
        <v>349</v>
      </c>
      <c r="C3882" t="s">
        <v>352</v>
      </c>
      <c r="D3882" s="3" t="s">
        <v>28</v>
      </c>
      <c r="E3882" s="10">
        <v>0.2</v>
      </c>
      <c r="F3882" s="7" t="s">
        <v>176</v>
      </c>
      <c r="G3882" s="9">
        <v>85</v>
      </c>
      <c r="H3882" s="9">
        <f t="shared" si="120"/>
        <v>17</v>
      </c>
      <c r="I3882" t="s">
        <v>179</v>
      </c>
      <c r="J3882" s="33" t="s">
        <v>491</v>
      </c>
      <c r="K3882" s="18">
        <f>VLOOKUP(D3882,Ingredients!C:G,5,0)</f>
        <v>70</v>
      </c>
      <c r="L3882" s="52">
        <f t="shared" si="121"/>
        <v>14</v>
      </c>
    </row>
    <row r="3883" spans="1:12">
      <c r="A3883" t="s">
        <v>824</v>
      </c>
      <c r="B3883" t="s">
        <v>349</v>
      </c>
      <c r="C3883" t="s">
        <v>352</v>
      </c>
      <c r="D3883" s="3" t="s">
        <v>853</v>
      </c>
      <c r="E3883" s="10">
        <v>0.06</v>
      </c>
      <c r="F3883" s="7" t="s">
        <v>176</v>
      </c>
      <c r="G3883" s="9">
        <v>30</v>
      </c>
      <c r="H3883" s="9">
        <f t="shared" si="120"/>
        <v>1.7999999999999998</v>
      </c>
      <c r="I3883" t="s">
        <v>179</v>
      </c>
      <c r="J3883" s="33" t="s">
        <v>491</v>
      </c>
      <c r="K3883" s="18">
        <f>VLOOKUP(D3883,Ingredients!C:G,5,0)</f>
        <v>55</v>
      </c>
      <c r="L3883" s="52">
        <f t="shared" si="121"/>
        <v>3.3</v>
      </c>
    </row>
    <row r="3884" spans="1:12">
      <c r="A3884" t="s">
        <v>824</v>
      </c>
      <c r="B3884" t="s">
        <v>349</v>
      </c>
      <c r="C3884" t="s">
        <v>352</v>
      </c>
      <c r="D3884" s="3" t="s">
        <v>867</v>
      </c>
      <c r="E3884" s="10">
        <v>1.4999999999999999E-2</v>
      </c>
      <c r="F3884" s="7" t="s">
        <v>176</v>
      </c>
      <c r="G3884" s="9">
        <v>900</v>
      </c>
      <c r="H3884" s="9">
        <f t="shared" si="120"/>
        <v>13.5</v>
      </c>
      <c r="I3884" t="s">
        <v>179</v>
      </c>
      <c r="J3884" s="33" t="s">
        <v>491</v>
      </c>
      <c r="K3884" s="18">
        <f>VLOOKUP(D3884,Ingredients!C:G,5,0)</f>
        <v>950</v>
      </c>
      <c r="L3884" s="52">
        <f t="shared" si="121"/>
        <v>14.25</v>
      </c>
    </row>
    <row r="3885" spans="1:12">
      <c r="A3885" t="s">
        <v>824</v>
      </c>
      <c r="B3885" t="s">
        <v>349</v>
      </c>
      <c r="C3885" t="s">
        <v>352</v>
      </c>
      <c r="D3885" s="3" t="s">
        <v>849</v>
      </c>
      <c r="E3885" s="10">
        <v>1.4999999999999999E-2</v>
      </c>
      <c r="F3885" s="7" t="s">
        <v>176</v>
      </c>
      <c r="G3885" s="9">
        <v>1000</v>
      </c>
      <c r="H3885" s="9">
        <f t="shared" si="120"/>
        <v>15</v>
      </c>
      <c r="I3885" t="s">
        <v>179</v>
      </c>
      <c r="J3885" s="33" t="s">
        <v>491</v>
      </c>
      <c r="K3885" s="18">
        <f>VLOOKUP(D3885,Ingredients!C:G,5,0)</f>
        <v>950</v>
      </c>
      <c r="L3885" s="52">
        <f t="shared" si="121"/>
        <v>14.25</v>
      </c>
    </row>
    <row r="3886" spans="1:12">
      <c r="A3886" t="s">
        <v>824</v>
      </c>
      <c r="B3886" t="s">
        <v>349</v>
      </c>
      <c r="C3886" t="s">
        <v>352</v>
      </c>
      <c r="D3886" s="3" t="s">
        <v>895</v>
      </c>
      <c r="E3886" s="10">
        <v>0.06</v>
      </c>
      <c r="F3886" s="7" t="s">
        <v>176</v>
      </c>
      <c r="G3886" s="9">
        <v>400</v>
      </c>
      <c r="H3886" s="9">
        <f t="shared" si="120"/>
        <v>24</v>
      </c>
      <c r="I3886" t="s">
        <v>179</v>
      </c>
      <c r="J3886" s="33" t="s">
        <v>491</v>
      </c>
      <c r="K3886" s="18">
        <f>VLOOKUP(D3886,Ingredients!C:G,5,0)</f>
        <v>400</v>
      </c>
      <c r="L3886" s="52">
        <f t="shared" si="121"/>
        <v>24</v>
      </c>
    </row>
    <row r="3887" spans="1:12">
      <c r="A3887" t="s">
        <v>824</v>
      </c>
      <c r="B3887" t="s">
        <v>349</v>
      </c>
      <c r="C3887" t="s">
        <v>352</v>
      </c>
      <c r="D3887" s="3" t="s">
        <v>887</v>
      </c>
      <c r="E3887" s="10">
        <v>0.06</v>
      </c>
      <c r="F3887" s="7" t="s">
        <v>176</v>
      </c>
      <c r="G3887" s="9">
        <v>1600</v>
      </c>
      <c r="H3887" s="9">
        <f t="shared" si="120"/>
        <v>96</v>
      </c>
      <c r="I3887" t="s">
        <v>179</v>
      </c>
      <c r="J3887" s="33" t="s">
        <v>491</v>
      </c>
      <c r="K3887" s="18">
        <f>VLOOKUP(D3887,Ingredients!C:G,5,0)</f>
        <v>1830</v>
      </c>
      <c r="L3887" s="52">
        <f t="shared" si="121"/>
        <v>109.8</v>
      </c>
    </row>
    <row r="3888" spans="1:12">
      <c r="A3888" t="s">
        <v>824</v>
      </c>
      <c r="B3888" t="s">
        <v>349</v>
      </c>
      <c r="C3888" t="s">
        <v>352</v>
      </c>
      <c r="D3888" s="3" t="s">
        <v>880</v>
      </c>
      <c r="E3888" s="10">
        <v>1.4999999999999999E-2</v>
      </c>
      <c r="F3888" s="7" t="s">
        <v>176</v>
      </c>
      <c r="G3888" s="9">
        <v>650</v>
      </c>
      <c r="H3888" s="9">
        <f t="shared" si="120"/>
        <v>9.75</v>
      </c>
      <c r="I3888" t="s">
        <v>179</v>
      </c>
      <c r="J3888" s="33" t="s">
        <v>491</v>
      </c>
      <c r="K3888" s="18">
        <f>VLOOKUP(D3888,Ingredients!C:G,5,0)</f>
        <v>520</v>
      </c>
      <c r="L3888" s="52">
        <f t="shared" si="121"/>
        <v>7.8</v>
      </c>
    </row>
    <row r="3889" spans="1:12">
      <c r="A3889" t="s">
        <v>824</v>
      </c>
      <c r="B3889" t="s">
        <v>349</v>
      </c>
      <c r="C3889" t="s">
        <v>352</v>
      </c>
      <c r="D3889" s="3" t="s">
        <v>171</v>
      </c>
      <c r="E3889" s="10">
        <v>0.30000000000000004</v>
      </c>
      <c r="F3889" s="7" t="s">
        <v>176</v>
      </c>
      <c r="G3889" s="9">
        <v>65</v>
      </c>
      <c r="H3889" s="9">
        <f t="shared" si="120"/>
        <v>19.500000000000004</v>
      </c>
      <c r="I3889" t="s">
        <v>179</v>
      </c>
      <c r="J3889" s="33" t="s">
        <v>491</v>
      </c>
      <c r="K3889" s="18">
        <f>VLOOKUP(D3889,Ingredients!C:G,5,0)</f>
        <v>80</v>
      </c>
      <c r="L3889" s="52">
        <f t="shared" si="121"/>
        <v>24.000000000000004</v>
      </c>
    </row>
    <row r="3890" spans="1:12">
      <c r="A3890" t="s">
        <v>824</v>
      </c>
      <c r="B3890" t="s">
        <v>349</v>
      </c>
      <c r="C3890" t="s">
        <v>352</v>
      </c>
      <c r="D3890" s="3" t="s">
        <v>23</v>
      </c>
      <c r="E3890" s="4">
        <v>0.02</v>
      </c>
      <c r="F3890" s="4" t="s">
        <v>176</v>
      </c>
      <c r="G3890" s="9">
        <v>740</v>
      </c>
      <c r="H3890" s="9">
        <f t="shared" si="120"/>
        <v>14.8</v>
      </c>
      <c r="I3890" t="s">
        <v>179</v>
      </c>
      <c r="J3890" s="33" t="s">
        <v>491</v>
      </c>
      <c r="K3890" s="18">
        <f>VLOOKUP(D3890,Ingredients!C:G,5,0)</f>
        <v>780</v>
      </c>
      <c r="L3890" s="52">
        <f t="shared" si="121"/>
        <v>15.6</v>
      </c>
    </row>
    <row r="3891" spans="1:12">
      <c r="A3891" t="s">
        <v>824</v>
      </c>
      <c r="B3891" t="s">
        <v>349</v>
      </c>
      <c r="C3891" t="s">
        <v>352</v>
      </c>
      <c r="D3891" s="3" t="s">
        <v>16</v>
      </c>
      <c r="E3891" s="4">
        <v>0.04</v>
      </c>
      <c r="F3891" s="4" t="s">
        <v>176</v>
      </c>
      <c r="G3891" s="9">
        <v>270</v>
      </c>
      <c r="H3891" s="9">
        <f t="shared" si="120"/>
        <v>10.8</v>
      </c>
      <c r="I3891" t="s">
        <v>179</v>
      </c>
      <c r="J3891" s="33" t="s">
        <v>491</v>
      </c>
      <c r="K3891" s="18">
        <f>VLOOKUP(D3891,Ingredients!C:G,5,0)</f>
        <v>310</v>
      </c>
      <c r="L3891" s="52">
        <f t="shared" si="121"/>
        <v>12.4</v>
      </c>
    </row>
    <row r="3892" spans="1:12">
      <c r="A3892" t="s">
        <v>824</v>
      </c>
      <c r="B3892" t="s">
        <v>349</v>
      </c>
      <c r="C3892" t="s">
        <v>352</v>
      </c>
      <c r="D3892" s="3" t="s">
        <v>35</v>
      </c>
      <c r="E3892" s="4">
        <v>0.5</v>
      </c>
      <c r="F3892" s="4" t="s">
        <v>252</v>
      </c>
      <c r="G3892" s="9">
        <v>13</v>
      </c>
      <c r="H3892" s="9">
        <f t="shared" si="120"/>
        <v>6.5</v>
      </c>
      <c r="I3892" t="s">
        <v>179</v>
      </c>
      <c r="J3892" s="33" t="s">
        <v>491</v>
      </c>
      <c r="K3892" s="18">
        <f>VLOOKUP(D3892,Ingredients!C:G,5,0)</f>
        <v>15</v>
      </c>
      <c r="L3892" s="52">
        <f t="shared" si="121"/>
        <v>7.5</v>
      </c>
    </row>
    <row r="3893" spans="1:12">
      <c r="A3893" t="s">
        <v>825</v>
      </c>
      <c r="B3893" t="s">
        <v>346</v>
      </c>
      <c r="C3893" t="s">
        <v>454</v>
      </c>
      <c r="D3893" s="3" t="s">
        <v>158</v>
      </c>
      <c r="E3893" s="4">
        <v>1</v>
      </c>
      <c r="F3893" s="4" t="s">
        <v>176</v>
      </c>
      <c r="G3893" s="9">
        <v>40</v>
      </c>
      <c r="H3893" s="9">
        <f t="shared" si="120"/>
        <v>40</v>
      </c>
      <c r="I3893" t="s">
        <v>179</v>
      </c>
      <c r="J3893" s="33">
        <v>0</v>
      </c>
      <c r="K3893" s="18">
        <f>VLOOKUP(D3893,Ingredients!C:G,5,0)</f>
        <v>45</v>
      </c>
      <c r="L3893" s="52">
        <f t="shared" si="121"/>
        <v>45</v>
      </c>
    </row>
    <row r="3894" spans="1:12">
      <c r="A3894" t="s">
        <v>825</v>
      </c>
      <c r="B3894" t="s">
        <v>346</v>
      </c>
      <c r="C3894" t="s">
        <v>454</v>
      </c>
      <c r="D3894" s="3" t="s">
        <v>171</v>
      </c>
      <c r="E3894" s="4">
        <v>0.5</v>
      </c>
      <c r="F3894" s="4" t="s">
        <v>176</v>
      </c>
      <c r="G3894" s="9">
        <v>65</v>
      </c>
      <c r="H3894" s="9">
        <f t="shared" si="120"/>
        <v>32.5</v>
      </c>
      <c r="I3894" t="s">
        <v>179</v>
      </c>
      <c r="J3894" s="33">
        <v>0</v>
      </c>
      <c r="K3894" s="18">
        <f>VLOOKUP(D3894,Ingredients!C:G,5,0)</f>
        <v>80</v>
      </c>
      <c r="L3894" s="52">
        <f t="shared" si="121"/>
        <v>40</v>
      </c>
    </row>
    <row r="3895" spans="1:12">
      <c r="A3895" t="s">
        <v>825</v>
      </c>
      <c r="B3895" t="s">
        <v>346</v>
      </c>
      <c r="C3895" t="s">
        <v>454</v>
      </c>
      <c r="D3895" s="3" t="s">
        <v>852</v>
      </c>
      <c r="E3895" s="4">
        <v>0.1</v>
      </c>
      <c r="F3895" s="4" t="s">
        <v>176</v>
      </c>
      <c r="G3895" s="9">
        <v>520.63</v>
      </c>
      <c r="H3895" s="9">
        <f t="shared" si="120"/>
        <v>52.063000000000002</v>
      </c>
      <c r="I3895" t="s">
        <v>179</v>
      </c>
      <c r="J3895" s="33">
        <v>0</v>
      </c>
      <c r="K3895" s="18">
        <v>550</v>
      </c>
      <c r="L3895" s="52">
        <f t="shared" si="121"/>
        <v>55</v>
      </c>
    </row>
    <row r="3896" spans="1:12">
      <c r="A3896" t="s">
        <v>825</v>
      </c>
      <c r="B3896" t="s">
        <v>346</v>
      </c>
      <c r="C3896" t="s">
        <v>454</v>
      </c>
      <c r="D3896" s="3" t="s">
        <v>865</v>
      </c>
      <c r="E3896" s="4">
        <v>0.08</v>
      </c>
      <c r="F3896" s="4" t="s">
        <v>176</v>
      </c>
      <c r="G3896" s="9">
        <v>1400</v>
      </c>
      <c r="H3896" s="9">
        <f t="shared" si="120"/>
        <v>112</v>
      </c>
      <c r="I3896" t="s">
        <v>179</v>
      </c>
      <c r="J3896" s="33">
        <v>0</v>
      </c>
      <c r="K3896" s="18">
        <f>VLOOKUP(D3896,Ingredients!C:G,5,0)</f>
        <v>1400</v>
      </c>
      <c r="L3896" s="52">
        <f t="shared" si="121"/>
        <v>112</v>
      </c>
    </row>
    <row r="3897" spans="1:12">
      <c r="A3897" t="s">
        <v>825</v>
      </c>
      <c r="B3897" t="s">
        <v>346</v>
      </c>
      <c r="C3897" t="s">
        <v>454</v>
      </c>
      <c r="D3897" s="3" t="s">
        <v>24</v>
      </c>
      <c r="E3897" s="4">
        <v>0.14000000000000001</v>
      </c>
      <c r="F3897" s="4" t="s">
        <v>176</v>
      </c>
      <c r="G3897" s="9">
        <v>55</v>
      </c>
      <c r="H3897" s="9">
        <f t="shared" si="120"/>
        <v>7.7000000000000011</v>
      </c>
      <c r="I3897" t="s">
        <v>179</v>
      </c>
      <c r="J3897" s="33">
        <v>0</v>
      </c>
      <c r="K3897" s="18">
        <f>VLOOKUP(D3897,Ingredients!C:G,5,0)</f>
        <v>80</v>
      </c>
      <c r="L3897" s="52">
        <f t="shared" si="121"/>
        <v>11.200000000000001</v>
      </c>
    </row>
    <row r="3898" spans="1:12">
      <c r="A3898" t="s">
        <v>825</v>
      </c>
      <c r="B3898" t="s">
        <v>346</v>
      </c>
      <c r="C3898" t="s">
        <v>454</v>
      </c>
      <c r="D3898" s="3" t="s">
        <v>853</v>
      </c>
      <c r="E3898" s="4">
        <v>2.5000000000000001E-2</v>
      </c>
      <c r="F3898" s="4" t="s">
        <v>176</v>
      </c>
      <c r="G3898" s="9">
        <v>30</v>
      </c>
      <c r="H3898" s="9">
        <f t="shared" si="120"/>
        <v>0.75</v>
      </c>
      <c r="I3898" t="s">
        <v>179</v>
      </c>
      <c r="J3898" s="33">
        <v>0</v>
      </c>
      <c r="K3898" s="18">
        <f>VLOOKUP(D3898,Ingredients!C:G,5,0)</f>
        <v>55</v>
      </c>
      <c r="L3898" s="52">
        <f t="shared" si="121"/>
        <v>1.375</v>
      </c>
    </row>
    <row r="3899" spans="1:12">
      <c r="A3899" t="s">
        <v>825</v>
      </c>
      <c r="B3899" t="s">
        <v>346</v>
      </c>
      <c r="C3899" t="s">
        <v>454</v>
      </c>
      <c r="D3899" s="3" t="s">
        <v>867</v>
      </c>
      <c r="E3899" s="4">
        <v>0.03</v>
      </c>
      <c r="F3899" s="4" t="s">
        <v>176</v>
      </c>
      <c r="G3899" s="9">
        <v>900</v>
      </c>
      <c r="H3899" s="9">
        <f t="shared" si="120"/>
        <v>27</v>
      </c>
      <c r="I3899" t="s">
        <v>179</v>
      </c>
      <c r="J3899" s="33">
        <v>0</v>
      </c>
      <c r="K3899" s="18">
        <f>VLOOKUP(D3899,Ingredients!C:G,5,0)</f>
        <v>950</v>
      </c>
      <c r="L3899" s="52">
        <f t="shared" si="121"/>
        <v>28.5</v>
      </c>
    </row>
    <row r="3900" spans="1:12">
      <c r="A3900" t="s">
        <v>825</v>
      </c>
      <c r="B3900" t="s">
        <v>346</v>
      </c>
      <c r="C3900" t="s">
        <v>454</v>
      </c>
      <c r="D3900" s="3" t="s">
        <v>895</v>
      </c>
      <c r="E3900" s="4">
        <v>1.4999999999999999E-2</v>
      </c>
      <c r="F3900" s="4" t="s">
        <v>176</v>
      </c>
      <c r="G3900" s="9">
        <v>400</v>
      </c>
      <c r="H3900" s="9">
        <f t="shared" ref="H3900:H3963" si="122">G3900*E3900</f>
        <v>6</v>
      </c>
      <c r="I3900" t="s">
        <v>179</v>
      </c>
      <c r="J3900" s="33">
        <v>0</v>
      </c>
      <c r="K3900" s="18">
        <f>VLOOKUP(D3900,Ingredients!C:G,5,0)</f>
        <v>400</v>
      </c>
      <c r="L3900" s="52">
        <f t="shared" si="121"/>
        <v>6</v>
      </c>
    </row>
    <row r="3901" spans="1:12">
      <c r="A3901" t="s">
        <v>825</v>
      </c>
      <c r="B3901" t="s">
        <v>346</v>
      </c>
      <c r="C3901" t="s">
        <v>454</v>
      </c>
      <c r="D3901" s="3" t="s">
        <v>887</v>
      </c>
      <c r="E3901" s="4">
        <v>8.0000000000000002E-3</v>
      </c>
      <c r="F3901" s="4" t="s">
        <v>176</v>
      </c>
      <c r="G3901" s="9">
        <v>1600</v>
      </c>
      <c r="H3901" s="9">
        <f t="shared" si="122"/>
        <v>12.8</v>
      </c>
      <c r="I3901" t="s">
        <v>179</v>
      </c>
      <c r="J3901" s="33">
        <v>0</v>
      </c>
      <c r="K3901" s="18">
        <f>VLOOKUP(D3901,Ingredients!C:G,5,0)</f>
        <v>1830</v>
      </c>
      <c r="L3901" s="52">
        <f t="shared" si="121"/>
        <v>14.64</v>
      </c>
    </row>
    <row r="3902" spans="1:12">
      <c r="A3902" t="s">
        <v>825</v>
      </c>
      <c r="B3902" t="s">
        <v>346</v>
      </c>
      <c r="C3902" t="s">
        <v>454</v>
      </c>
      <c r="D3902" s="3" t="s">
        <v>872</v>
      </c>
      <c r="E3902" s="4">
        <v>8.0000000000000002E-3</v>
      </c>
      <c r="F3902" s="4" t="s">
        <v>176</v>
      </c>
      <c r="G3902" s="9">
        <v>2100</v>
      </c>
      <c r="H3902" s="9">
        <f t="shared" si="122"/>
        <v>16.8</v>
      </c>
      <c r="I3902" t="s">
        <v>179</v>
      </c>
      <c r="J3902" s="33">
        <v>0</v>
      </c>
      <c r="K3902" s="18">
        <f>VLOOKUP(D3902,Ingredients!C:G,5,0)</f>
        <v>2150</v>
      </c>
      <c r="L3902" s="52">
        <f t="shared" si="121"/>
        <v>17.2</v>
      </c>
    </row>
    <row r="3903" spans="1:12">
      <c r="A3903" t="s">
        <v>825</v>
      </c>
      <c r="B3903" t="s">
        <v>346</v>
      </c>
      <c r="C3903" t="s">
        <v>454</v>
      </c>
      <c r="D3903" s="3" t="s">
        <v>879</v>
      </c>
      <c r="E3903" s="4">
        <v>8.0000000000000002E-3</v>
      </c>
      <c r="F3903" s="4" t="s">
        <v>176</v>
      </c>
      <c r="G3903" s="9">
        <v>1113.51</v>
      </c>
      <c r="H3903" s="9">
        <f t="shared" si="122"/>
        <v>8.90808</v>
      </c>
      <c r="I3903" t="s">
        <v>179</v>
      </c>
      <c r="J3903" s="33">
        <v>0</v>
      </c>
      <c r="K3903" s="18">
        <f>VLOOKUP(D3903,Ingredients!C:G,5,0)</f>
        <v>1066.33</v>
      </c>
      <c r="L3903" s="52">
        <f t="shared" si="121"/>
        <v>8.53064</v>
      </c>
    </row>
    <row r="3904" spans="1:12">
      <c r="A3904" t="s">
        <v>826</v>
      </c>
      <c r="B3904" t="s">
        <v>349</v>
      </c>
      <c r="C3904" t="s">
        <v>352</v>
      </c>
      <c r="D3904" s="33" t="s">
        <v>491</v>
      </c>
      <c r="E3904" s="4">
        <v>0.99999999999999978</v>
      </c>
      <c r="F3904" s="4" t="s">
        <v>176</v>
      </c>
      <c r="G3904" s="9">
        <v>614</v>
      </c>
      <c r="H3904" s="9">
        <f t="shared" si="122"/>
        <v>613.99999999999989</v>
      </c>
      <c r="I3904" t="s">
        <v>179</v>
      </c>
      <c r="J3904" s="33" t="s">
        <v>491</v>
      </c>
      <c r="K3904" s="18">
        <f>VLOOKUP(D3904,Ingredients!C:G,5,0)</f>
        <v>650</v>
      </c>
      <c r="L3904" s="52">
        <f t="shared" si="121"/>
        <v>649.99999999999989</v>
      </c>
    </row>
    <row r="3905" spans="1:12">
      <c r="A3905" t="s">
        <v>826</v>
      </c>
      <c r="B3905" t="s">
        <v>349</v>
      </c>
      <c r="C3905" t="s">
        <v>352</v>
      </c>
      <c r="D3905" s="3" t="s">
        <v>73</v>
      </c>
      <c r="E3905" s="14">
        <v>0.23809523809523808</v>
      </c>
      <c r="F3905" s="4" t="s">
        <v>176</v>
      </c>
      <c r="G3905" s="9">
        <v>305</v>
      </c>
      <c r="H3905" s="9">
        <f t="shared" si="122"/>
        <v>72.61904761904762</v>
      </c>
      <c r="I3905" t="s">
        <v>179</v>
      </c>
      <c r="J3905" s="33" t="s">
        <v>491</v>
      </c>
      <c r="K3905" s="18">
        <f>VLOOKUP(D3905,Ingredients!C:G,5,0)</f>
        <v>300</v>
      </c>
      <c r="L3905" s="52">
        <f t="shared" si="121"/>
        <v>71.428571428571431</v>
      </c>
    </row>
    <row r="3906" spans="1:12">
      <c r="A3906" t="s">
        <v>826</v>
      </c>
      <c r="B3906" t="s">
        <v>349</v>
      </c>
      <c r="C3906" t="s">
        <v>352</v>
      </c>
      <c r="D3906" s="3" t="s">
        <v>310</v>
      </c>
      <c r="E3906" s="14">
        <v>3.428571428571428E-2</v>
      </c>
      <c r="F3906" s="4" t="s">
        <v>176</v>
      </c>
      <c r="G3906" s="9">
        <v>425</v>
      </c>
      <c r="H3906" s="9">
        <f t="shared" si="122"/>
        <v>14.571428571428569</v>
      </c>
      <c r="I3906" t="s">
        <v>179</v>
      </c>
      <c r="J3906" s="33" t="s">
        <v>491</v>
      </c>
      <c r="K3906" s="18">
        <f>VLOOKUP(D3906,Ingredients!C:G,5,0)</f>
        <v>850</v>
      </c>
      <c r="L3906" s="52">
        <f t="shared" si="121"/>
        <v>29.142857142857139</v>
      </c>
    </row>
    <row r="3907" spans="1:12">
      <c r="A3907" t="s">
        <v>826</v>
      </c>
      <c r="B3907" t="s">
        <v>349</v>
      </c>
      <c r="C3907" t="s">
        <v>352</v>
      </c>
      <c r="D3907" s="3" t="s">
        <v>16</v>
      </c>
      <c r="E3907" s="14">
        <v>4.5714285714285714E-2</v>
      </c>
      <c r="F3907" s="4" t="s">
        <v>176</v>
      </c>
      <c r="G3907" s="9">
        <v>270</v>
      </c>
      <c r="H3907" s="9">
        <f t="shared" si="122"/>
        <v>12.342857142857143</v>
      </c>
      <c r="I3907" t="s">
        <v>179</v>
      </c>
      <c r="J3907" s="33" t="s">
        <v>491</v>
      </c>
      <c r="K3907" s="18">
        <f>VLOOKUP(D3907,Ingredients!C:G,5,0)</f>
        <v>310</v>
      </c>
      <c r="L3907" s="52">
        <f t="shared" si="121"/>
        <v>14.171428571428571</v>
      </c>
    </row>
    <row r="3908" spans="1:12">
      <c r="A3908" t="s">
        <v>826</v>
      </c>
      <c r="B3908" t="s">
        <v>349</v>
      </c>
      <c r="C3908" t="s">
        <v>352</v>
      </c>
      <c r="D3908" s="3" t="s">
        <v>23</v>
      </c>
      <c r="E3908" s="14">
        <v>3.2380952380952378E-2</v>
      </c>
      <c r="F3908" s="4" t="s">
        <v>176</v>
      </c>
      <c r="G3908" s="9">
        <v>740</v>
      </c>
      <c r="H3908" s="9">
        <f t="shared" si="122"/>
        <v>23.961904761904758</v>
      </c>
      <c r="I3908" t="s">
        <v>179</v>
      </c>
      <c r="J3908" s="33" t="s">
        <v>491</v>
      </c>
      <c r="K3908" s="18">
        <f>VLOOKUP(D3908,Ingredients!C:G,5,0)</f>
        <v>780</v>
      </c>
      <c r="L3908" s="52">
        <f t="shared" ref="L3908:L3971" si="123">K3908*E3908</f>
        <v>25.257142857142856</v>
      </c>
    </row>
    <row r="3909" spans="1:12">
      <c r="A3909" t="s">
        <v>826</v>
      </c>
      <c r="B3909" t="s">
        <v>349</v>
      </c>
      <c r="C3909" t="s">
        <v>352</v>
      </c>
      <c r="D3909" s="3" t="s">
        <v>853</v>
      </c>
      <c r="E3909" s="14">
        <v>6.4761904761904757E-2</v>
      </c>
      <c r="F3909" s="4" t="s">
        <v>176</v>
      </c>
      <c r="G3909" s="9">
        <v>30</v>
      </c>
      <c r="H3909" s="9">
        <f t="shared" si="122"/>
        <v>1.9428571428571426</v>
      </c>
      <c r="I3909" t="s">
        <v>179</v>
      </c>
      <c r="J3909" s="33" t="s">
        <v>491</v>
      </c>
      <c r="K3909" s="18">
        <f>VLOOKUP(D3909,Ingredients!C:G,5,0)</f>
        <v>55</v>
      </c>
      <c r="L3909" s="52">
        <f t="shared" si="123"/>
        <v>3.5619047619047617</v>
      </c>
    </row>
    <row r="3910" spans="1:12">
      <c r="A3910" t="s">
        <v>826</v>
      </c>
      <c r="B3910" t="s">
        <v>349</v>
      </c>
      <c r="C3910" t="s">
        <v>352</v>
      </c>
      <c r="D3910" s="3" t="s">
        <v>855</v>
      </c>
      <c r="E3910" s="14">
        <v>1.4999999999999999E-2</v>
      </c>
      <c r="F3910" s="4" t="s">
        <v>176</v>
      </c>
      <c r="G3910" s="9">
        <v>2400</v>
      </c>
      <c r="H3910" s="9">
        <f t="shared" si="122"/>
        <v>36</v>
      </c>
      <c r="I3910" t="s">
        <v>179</v>
      </c>
      <c r="J3910" s="33" t="s">
        <v>491</v>
      </c>
      <c r="K3910" s="18">
        <f>VLOOKUP(D3910,Ingredients!C:G,5,0)</f>
        <v>1600</v>
      </c>
      <c r="L3910" s="52">
        <f t="shared" si="123"/>
        <v>24</v>
      </c>
    </row>
    <row r="3911" spans="1:12">
      <c r="A3911" t="s">
        <v>826</v>
      </c>
      <c r="B3911" t="s">
        <v>349</v>
      </c>
      <c r="C3911" t="s">
        <v>352</v>
      </c>
      <c r="D3911" s="3" t="s">
        <v>860</v>
      </c>
      <c r="E3911" s="14">
        <v>1.4999999999999999E-2</v>
      </c>
      <c r="F3911" s="4" t="s">
        <v>176</v>
      </c>
      <c r="G3911" s="9">
        <v>2000</v>
      </c>
      <c r="H3911" s="9">
        <f t="shared" si="122"/>
        <v>30</v>
      </c>
      <c r="I3911" t="s">
        <v>179</v>
      </c>
      <c r="J3911" s="33" t="s">
        <v>491</v>
      </c>
      <c r="K3911" s="18">
        <f>VLOOKUP(D3911,Ingredients!C:G,5,0)</f>
        <v>1900</v>
      </c>
      <c r="L3911" s="52">
        <f t="shared" si="123"/>
        <v>28.5</v>
      </c>
    </row>
    <row r="3912" spans="1:12">
      <c r="A3912" t="s">
        <v>826</v>
      </c>
      <c r="B3912" t="s">
        <v>349</v>
      </c>
      <c r="C3912" t="s">
        <v>352</v>
      </c>
      <c r="D3912" s="3" t="s">
        <v>852</v>
      </c>
      <c r="E3912" s="14">
        <v>8.5714285714285701E-2</v>
      </c>
      <c r="F3912" s="4" t="s">
        <v>190</v>
      </c>
      <c r="G3912" s="9">
        <v>520.63</v>
      </c>
      <c r="H3912" s="9">
        <f t="shared" si="122"/>
        <v>44.625428571428564</v>
      </c>
      <c r="I3912" t="s">
        <v>179</v>
      </c>
      <c r="J3912" s="33" t="s">
        <v>491</v>
      </c>
      <c r="K3912" s="18">
        <v>550</v>
      </c>
      <c r="L3912" s="52">
        <f t="shared" si="123"/>
        <v>47.142857142857139</v>
      </c>
    </row>
    <row r="3913" spans="1:12">
      <c r="A3913" t="s">
        <v>826</v>
      </c>
      <c r="B3913" t="s">
        <v>349</v>
      </c>
      <c r="C3913" t="s">
        <v>352</v>
      </c>
      <c r="D3913" s="3" t="s">
        <v>24</v>
      </c>
      <c r="E3913" s="14">
        <v>0.419047619047619</v>
      </c>
      <c r="F3913" s="4" t="s">
        <v>176</v>
      </c>
      <c r="G3913" s="9">
        <v>55</v>
      </c>
      <c r="H3913" s="9">
        <f t="shared" si="122"/>
        <v>23.047619047619044</v>
      </c>
      <c r="I3913" t="s">
        <v>179</v>
      </c>
      <c r="J3913" s="33" t="s">
        <v>491</v>
      </c>
      <c r="K3913" s="18">
        <f>VLOOKUP(D3913,Ingredients!C:G,5,0)</f>
        <v>80</v>
      </c>
      <c r="L3913" s="52">
        <f t="shared" si="123"/>
        <v>33.523809523809518</v>
      </c>
    </row>
    <row r="3914" spans="1:12">
      <c r="A3914" t="s">
        <v>826</v>
      </c>
      <c r="B3914" t="s">
        <v>349</v>
      </c>
      <c r="C3914" t="s">
        <v>352</v>
      </c>
      <c r="D3914" s="3" t="s">
        <v>23</v>
      </c>
      <c r="E3914" s="14">
        <v>3.2380952380952378E-2</v>
      </c>
      <c r="F3914" s="4" t="s">
        <v>176</v>
      </c>
      <c r="G3914" s="9">
        <v>740</v>
      </c>
      <c r="H3914" s="9">
        <f t="shared" si="122"/>
        <v>23.961904761904758</v>
      </c>
      <c r="I3914" t="s">
        <v>179</v>
      </c>
      <c r="J3914" s="33" t="s">
        <v>491</v>
      </c>
      <c r="K3914" s="18">
        <f>VLOOKUP(D3914,Ingredients!C:G,5,0)</f>
        <v>780</v>
      </c>
      <c r="L3914" s="52">
        <f t="shared" si="123"/>
        <v>25.257142857142856</v>
      </c>
    </row>
    <row r="3915" spans="1:12">
      <c r="A3915" t="s">
        <v>826</v>
      </c>
      <c r="B3915" t="s">
        <v>349</v>
      </c>
      <c r="C3915" t="s">
        <v>352</v>
      </c>
      <c r="D3915" s="3" t="s">
        <v>887</v>
      </c>
      <c r="E3915" s="14">
        <v>1.4999999999999999E-2</v>
      </c>
      <c r="F3915" s="4" t="s">
        <v>176</v>
      </c>
      <c r="G3915" s="9">
        <v>1600</v>
      </c>
      <c r="H3915" s="9">
        <f t="shared" si="122"/>
        <v>24</v>
      </c>
      <c r="I3915" t="s">
        <v>179</v>
      </c>
      <c r="J3915" s="33" t="s">
        <v>491</v>
      </c>
      <c r="K3915" s="18">
        <f>VLOOKUP(D3915,Ingredients!C:G,5,0)</f>
        <v>1830</v>
      </c>
      <c r="L3915" s="52">
        <f t="shared" si="123"/>
        <v>27.45</v>
      </c>
    </row>
    <row r="3916" spans="1:12">
      <c r="A3916" t="s">
        <v>826</v>
      </c>
      <c r="B3916" t="s">
        <v>349</v>
      </c>
      <c r="C3916" t="s">
        <v>352</v>
      </c>
      <c r="D3916" s="3" t="s">
        <v>880</v>
      </c>
      <c r="E3916" s="14">
        <v>3.2380952380952378E-2</v>
      </c>
      <c r="F3916" s="4" t="s">
        <v>176</v>
      </c>
      <c r="G3916" s="9">
        <v>650</v>
      </c>
      <c r="H3916" s="9">
        <f t="shared" si="122"/>
        <v>21.047619047619047</v>
      </c>
      <c r="I3916" t="s">
        <v>179</v>
      </c>
      <c r="J3916" s="33" t="s">
        <v>491</v>
      </c>
      <c r="K3916" s="18">
        <f>VLOOKUP(D3916,Ingredients!C:G,5,0)</f>
        <v>520</v>
      </c>
      <c r="L3916" s="52">
        <f t="shared" si="123"/>
        <v>16.838095238095235</v>
      </c>
    </row>
    <row r="3917" spans="1:12">
      <c r="A3917" t="s">
        <v>826</v>
      </c>
      <c r="B3917" t="s">
        <v>349</v>
      </c>
      <c r="C3917" t="s">
        <v>352</v>
      </c>
      <c r="D3917" s="3" t="s">
        <v>895</v>
      </c>
      <c r="E3917" s="14">
        <v>3.2380952380952378E-2</v>
      </c>
      <c r="F3917" s="4" t="s">
        <v>176</v>
      </c>
      <c r="G3917" s="9">
        <v>400</v>
      </c>
      <c r="H3917" s="9">
        <f t="shared" si="122"/>
        <v>12.952380952380951</v>
      </c>
      <c r="I3917" t="s">
        <v>179</v>
      </c>
      <c r="J3917" s="33" t="s">
        <v>491</v>
      </c>
      <c r="K3917" s="18">
        <f>VLOOKUP(D3917,Ingredients!C:G,5,0)</f>
        <v>400</v>
      </c>
      <c r="L3917" s="52">
        <f t="shared" si="123"/>
        <v>12.952380952380951</v>
      </c>
    </row>
    <row r="3918" spans="1:12">
      <c r="A3918" t="s">
        <v>826</v>
      </c>
      <c r="B3918" t="s">
        <v>349</v>
      </c>
      <c r="C3918" t="s">
        <v>352</v>
      </c>
      <c r="D3918" s="3" t="s">
        <v>867</v>
      </c>
      <c r="E3918" s="14">
        <v>3.2380952380952378E-2</v>
      </c>
      <c r="F3918" s="4" t="s">
        <v>176</v>
      </c>
      <c r="G3918" s="9">
        <v>900</v>
      </c>
      <c r="H3918" s="9">
        <f t="shared" si="122"/>
        <v>29.142857142857139</v>
      </c>
      <c r="I3918" t="s">
        <v>179</v>
      </c>
      <c r="J3918" s="33" t="s">
        <v>491</v>
      </c>
      <c r="K3918" s="18">
        <f>VLOOKUP(D3918,Ingredients!C:G,5,0)</f>
        <v>950</v>
      </c>
      <c r="L3918" s="52">
        <f t="shared" si="123"/>
        <v>30.761904761904759</v>
      </c>
    </row>
    <row r="3919" spans="1:12">
      <c r="A3919" t="s">
        <v>826</v>
      </c>
      <c r="B3919" t="s">
        <v>349</v>
      </c>
      <c r="C3919" t="s">
        <v>352</v>
      </c>
      <c r="D3919" s="3" t="s">
        <v>860</v>
      </c>
      <c r="E3919" s="14">
        <v>1.4999999999999999E-2</v>
      </c>
      <c r="F3919" s="4" t="s">
        <v>176</v>
      </c>
      <c r="G3919" s="9">
        <v>2000</v>
      </c>
      <c r="H3919" s="9">
        <f t="shared" si="122"/>
        <v>30</v>
      </c>
      <c r="I3919" t="s">
        <v>179</v>
      </c>
      <c r="J3919" s="33" t="s">
        <v>491</v>
      </c>
      <c r="K3919" s="18">
        <f>VLOOKUP(D3919,Ingredients!C:G,5,0)</f>
        <v>1900</v>
      </c>
      <c r="L3919" s="52">
        <f t="shared" si="123"/>
        <v>28.5</v>
      </c>
    </row>
    <row r="3920" spans="1:12">
      <c r="A3920" t="s">
        <v>826</v>
      </c>
      <c r="B3920" t="s">
        <v>349</v>
      </c>
      <c r="C3920" t="s">
        <v>352</v>
      </c>
      <c r="D3920" s="3" t="s">
        <v>28</v>
      </c>
      <c r="E3920" s="14">
        <v>0.47619047619047616</v>
      </c>
      <c r="F3920" s="4" t="s">
        <v>176</v>
      </c>
      <c r="G3920" s="9">
        <v>85</v>
      </c>
      <c r="H3920" s="9">
        <f t="shared" si="122"/>
        <v>40.476190476190474</v>
      </c>
      <c r="I3920" t="s">
        <v>179</v>
      </c>
      <c r="J3920" s="33" t="s">
        <v>491</v>
      </c>
      <c r="K3920" s="18">
        <f>VLOOKUP(D3920,Ingredients!C:G,5,0)</f>
        <v>70</v>
      </c>
      <c r="L3920" s="52">
        <f t="shared" si="123"/>
        <v>33.333333333333329</v>
      </c>
    </row>
    <row r="3921" spans="1:12">
      <c r="A3921" t="s">
        <v>826</v>
      </c>
      <c r="B3921" t="s">
        <v>349</v>
      </c>
      <c r="C3921" t="s">
        <v>352</v>
      </c>
      <c r="D3921" s="3" t="s">
        <v>35</v>
      </c>
      <c r="E3921" s="14">
        <v>0.38095238095238093</v>
      </c>
      <c r="F3921" s="4" t="s">
        <v>252</v>
      </c>
      <c r="G3921" s="9">
        <v>13</v>
      </c>
      <c r="H3921" s="9">
        <f t="shared" si="122"/>
        <v>4.9523809523809526</v>
      </c>
      <c r="I3921" t="s">
        <v>179</v>
      </c>
      <c r="J3921" s="33" t="s">
        <v>491</v>
      </c>
      <c r="K3921" s="18">
        <f>VLOOKUP(D3921,Ingredients!C:G,5,0)</f>
        <v>15</v>
      </c>
      <c r="L3921" s="52">
        <f t="shared" si="123"/>
        <v>5.7142857142857135</v>
      </c>
    </row>
    <row r="3922" spans="1:12">
      <c r="A3922" t="s">
        <v>827</v>
      </c>
      <c r="B3922" t="s">
        <v>349</v>
      </c>
      <c r="C3922" t="s">
        <v>352</v>
      </c>
      <c r="D3922" s="33" t="s">
        <v>491</v>
      </c>
      <c r="E3922" s="4">
        <v>1</v>
      </c>
      <c r="F3922" s="4" t="s">
        <v>176</v>
      </c>
      <c r="G3922" s="9">
        <v>614</v>
      </c>
      <c r="H3922" s="9">
        <f t="shared" si="122"/>
        <v>614</v>
      </c>
      <c r="I3922" t="s">
        <v>179</v>
      </c>
      <c r="J3922" s="33" t="s">
        <v>491</v>
      </c>
      <c r="K3922" s="18">
        <f>VLOOKUP(D3922,Ingredients!C:G,5,0)</f>
        <v>650</v>
      </c>
      <c r="L3922" s="52">
        <f t="shared" si="123"/>
        <v>650</v>
      </c>
    </row>
    <row r="3923" spans="1:12">
      <c r="A3923" t="s">
        <v>827</v>
      </c>
      <c r="B3923" t="s">
        <v>349</v>
      </c>
      <c r="C3923" t="s">
        <v>352</v>
      </c>
      <c r="D3923" s="3" t="s">
        <v>24</v>
      </c>
      <c r="E3923" s="4">
        <v>0.5</v>
      </c>
      <c r="F3923" s="4" t="s">
        <v>176</v>
      </c>
      <c r="G3923" s="9">
        <v>55</v>
      </c>
      <c r="H3923" s="9">
        <f t="shared" si="122"/>
        <v>27.5</v>
      </c>
      <c r="I3923" t="s">
        <v>179</v>
      </c>
      <c r="J3923" s="33" t="s">
        <v>491</v>
      </c>
      <c r="K3923" s="18">
        <f>VLOOKUP(D3923,Ingredients!C:G,5,0)</f>
        <v>80</v>
      </c>
      <c r="L3923" s="52">
        <f t="shared" si="123"/>
        <v>40</v>
      </c>
    </row>
    <row r="3924" spans="1:12">
      <c r="A3924" t="s">
        <v>827</v>
      </c>
      <c r="B3924" t="s">
        <v>349</v>
      </c>
      <c r="C3924" t="s">
        <v>352</v>
      </c>
      <c r="D3924" s="3" t="s">
        <v>16</v>
      </c>
      <c r="E3924" s="4">
        <v>1.4999999999999999E-2</v>
      </c>
      <c r="F3924" s="4" t="s">
        <v>176</v>
      </c>
      <c r="G3924" s="9">
        <v>270</v>
      </c>
      <c r="H3924" s="9">
        <f t="shared" si="122"/>
        <v>4.05</v>
      </c>
      <c r="I3924" t="s">
        <v>179</v>
      </c>
      <c r="J3924" s="33" t="s">
        <v>491</v>
      </c>
      <c r="K3924" s="18">
        <f>VLOOKUP(D3924,Ingredients!C:G,5,0)</f>
        <v>310</v>
      </c>
      <c r="L3924" s="52">
        <f t="shared" si="123"/>
        <v>4.6499999999999995</v>
      </c>
    </row>
    <row r="3925" spans="1:12">
      <c r="A3925" t="s">
        <v>827</v>
      </c>
      <c r="B3925" t="s">
        <v>349</v>
      </c>
      <c r="C3925" t="s">
        <v>352</v>
      </c>
      <c r="D3925" s="3" t="s">
        <v>23</v>
      </c>
      <c r="E3925" s="4">
        <v>8.0000000000000002E-3</v>
      </c>
      <c r="F3925" s="4" t="s">
        <v>176</v>
      </c>
      <c r="G3925" s="9">
        <v>740</v>
      </c>
      <c r="H3925" s="9">
        <f t="shared" si="122"/>
        <v>5.92</v>
      </c>
      <c r="I3925" t="s">
        <v>179</v>
      </c>
      <c r="J3925" s="33" t="s">
        <v>491</v>
      </c>
      <c r="K3925" s="18">
        <f>VLOOKUP(D3925,Ingredients!C:G,5,0)</f>
        <v>780</v>
      </c>
      <c r="L3925" s="52">
        <f t="shared" si="123"/>
        <v>6.24</v>
      </c>
    </row>
    <row r="3926" spans="1:12">
      <c r="A3926" t="s">
        <v>827</v>
      </c>
      <c r="B3926" t="s">
        <v>349</v>
      </c>
      <c r="C3926" t="s">
        <v>352</v>
      </c>
      <c r="D3926" s="3" t="s">
        <v>867</v>
      </c>
      <c r="E3926" s="4">
        <v>1.2E-2</v>
      </c>
      <c r="F3926" s="4" t="s">
        <v>176</v>
      </c>
      <c r="G3926" s="9">
        <v>900</v>
      </c>
      <c r="H3926" s="9">
        <f t="shared" si="122"/>
        <v>10.8</v>
      </c>
      <c r="I3926" t="s">
        <v>179</v>
      </c>
      <c r="J3926" s="33" t="s">
        <v>491</v>
      </c>
      <c r="K3926" s="18">
        <f>VLOOKUP(D3926,Ingredients!C:G,5,0)</f>
        <v>950</v>
      </c>
      <c r="L3926" s="52">
        <f t="shared" si="123"/>
        <v>11.4</v>
      </c>
    </row>
    <row r="3927" spans="1:12">
      <c r="A3927" t="s">
        <v>827</v>
      </c>
      <c r="B3927" t="s">
        <v>349</v>
      </c>
      <c r="C3927" t="s">
        <v>352</v>
      </c>
      <c r="D3927" s="3" t="s">
        <v>852</v>
      </c>
      <c r="E3927" s="4">
        <v>0.1</v>
      </c>
      <c r="F3927" s="4" t="s">
        <v>190</v>
      </c>
      <c r="G3927" s="9">
        <v>520.63</v>
      </c>
      <c r="H3927" s="9">
        <f t="shared" si="122"/>
        <v>52.063000000000002</v>
      </c>
      <c r="I3927" t="s">
        <v>179</v>
      </c>
      <c r="J3927" s="33" t="s">
        <v>491</v>
      </c>
      <c r="K3927" s="18">
        <v>550</v>
      </c>
      <c r="L3927" s="52">
        <f t="shared" si="123"/>
        <v>55</v>
      </c>
    </row>
    <row r="3928" spans="1:12">
      <c r="A3928" t="s">
        <v>827</v>
      </c>
      <c r="B3928" t="s">
        <v>349</v>
      </c>
      <c r="C3928" t="s">
        <v>352</v>
      </c>
      <c r="D3928" s="3" t="s">
        <v>23</v>
      </c>
      <c r="E3928" s="4">
        <v>1.4999999999999999E-2</v>
      </c>
      <c r="F3928" s="4" t="s">
        <v>176</v>
      </c>
      <c r="G3928" s="9">
        <v>740</v>
      </c>
      <c r="H3928" s="9">
        <f t="shared" si="122"/>
        <v>11.1</v>
      </c>
      <c r="I3928" t="s">
        <v>179</v>
      </c>
      <c r="J3928" s="33" t="s">
        <v>491</v>
      </c>
      <c r="K3928" s="18">
        <f>VLOOKUP(D3928,Ingredients!C:G,5,0)</f>
        <v>780</v>
      </c>
      <c r="L3928" s="52">
        <f t="shared" si="123"/>
        <v>11.7</v>
      </c>
    </row>
    <row r="3929" spans="1:12">
      <c r="A3929" t="s">
        <v>827</v>
      </c>
      <c r="B3929" t="s">
        <v>349</v>
      </c>
      <c r="C3929" t="s">
        <v>352</v>
      </c>
      <c r="D3929" s="3" t="s">
        <v>16</v>
      </c>
      <c r="E3929" s="4">
        <v>1.4999999999999999E-2</v>
      </c>
      <c r="F3929" s="4" t="s">
        <v>176</v>
      </c>
      <c r="G3929" s="9">
        <v>270</v>
      </c>
      <c r="H3929" s="9">
        <f t="shared" si="122"/>
        <v>4.05</v>
      </c>
      <c r="I3929" t="s">
        <v>179</v>
      </c>
      <c r="J3929" s="33" t="s">
        <v>491</v>
      </c>
      <c r="K3929" s="18">
        <f>VLOOKUP(D3929,Ingredients!C:G,5,0)</f>
        <v>310</v>
      </c>
      <c r="L3929" s="52">
        <f t="shared" si="123"/>
        <v>4.6499999999999995</v>
      </c>
    </row>
    <row r="3930" spans="1:12">
      <c r="A3930" t="s">
        <v>827</v>
      </c>
      <c r="B3930" t="s">
        <v>349</v>
      </c>
      <c r="C3930" t="s">
        <v>352</v>
      </c>
      <c r="D3930" s="3" t="s">
        <v>28</v>
      </c>
      <c r="E3930" s="4">
        <v>0.35</v>
      </c>
      <c r="F3930" s="4" t="s">
        <v>176</v>
      </c>
      <c r="G3930" s="9">
        <v>85</v>
      </c>
      <c r="H3930" s="9">
        <f t="shared" si="122"/>
        <v>29.749999999999996</v>
      </c>
      <c r="I3930" t="s">
        <v>179</v>
      </c>
      <c r="J3930" s="33" t="s">
        <v>491</v>
      </c>
      <c r="K3930" s="18">
        <f>VLOOKUP(D3930,Ingredients!C:G,5,0)</f>
        <v>70</v>
      </c>
      <c r="L3930" s="52">
        <f t="shared" si="123"/>
        <v>24.5</v>
      </c>
    </row>
    <row r="3931" spans="1:12">
      <c r="A3931" t="s">
        <v>827</v>
      </c>
      <c r="B3931" t="s">
        <v>349</v>
      </c>
      <c r="C3931" t="s">
        <v>352</v>
      </c>
      <c r="D3931" s="3" t="s">
        <v>73</v>
      </c>
      <c r="E3931" s="4">
        <v>0.2</v>
      </c>
      <c r="F3931" s="4" t="s">
        <v>176</v>
      </c>
      <c r="G3931" s="9">
        <v>305</v>
      </c>
      <c r="H3931" s="9">
        <f t="shared" si="122"/>
        <v>61</v>
      </c>
      <c r="I3931" t="s">
        <v>179</v>
      </c>
      <c r="J3931" s="33" t="s">
        <v>491</v>
      </c>
      <c r="K3931" s="18">
        <f>VLOOKUP(D3931,Ingredients!C:G,5,0)</f>
        <v>300</v>
      </c>
      <c r="L3931" s="52">
        <f t="shared" si="123"/>
        <v>60</v>
      </c>
    </row>
    <row r="3932" spans="1:12">
      <c r="A3932" t="s">
        <v>827</v>
      </c>
      <c r="B3932" t="s">
        <v>349</v>
      </c>
      <c r="C3932" t="s">
        <v>352</v>
      </c>
      <c r="D3932" s="3" t="s">
        <v>880</v>
      </c>
      <c r="E3932" s="4">
        <v>8.9999999999999993E-3</v>
      </c>
      <c r="F3932" s="4" t="s">
        <v>176</v>
      </c>
      <c r="G3932" s="9">
        <v>650</v>
      </c>
      <c r="H3932" s="9">
        <f t="shared" si="122"/>
        <v>5.85</v>
      </c>
      <c r="I3932" t="s">
        <v>179</v>
      </c>
      <c r="J3932" s="33" t="s">
        <v>491</v>
      </c>
      <c r="K3932" s="18">
        <f>VLOOKUP(D3932,Ingredients!C:G,5,0)</f>
        <v>520</v>
      </c>
      <c r="L3932" s="52">
        <f t="shared" si="123"/>
        <v>4.68</v>
      </c>
    </row>
    <row r="3933" spans="1:12">
      <c r="A3933" t="s">
        <v>827</v>
      </c>
      <c r="B3933" t="s">
        <v>349</v>
      </c>
      <c r="C3933" t="s">
        <v>352</v>
      </c>
      <c r="D3933" s="3" t="s">
        <v>35</v>
      </c>
      <c r="E3933" s="4">
        <v>0.5</v>
      </c>
      <c r="F3933" s="4" t="s">
        <v>176</v>
      </c>
      <c r="G3933" s="9">
        <v>13</v>
      </c>
      <c r="H3933" s="9">
        <f t="shared" si="122"/>
        <v>6.5</v>
      </c>
      <c r="I3933" t="s">
        <v>179</v>
      </c>
      <c r="J3933" s="33" t="s">
        <v>491</v>
      </c>
      <c r="K3933" s="18">
        <f>VLOOKUP(D3933,Ingredients!C:G,5,0)</f>
        <v>15</v>
      </c>
      <c r="L3933" s="52">
        <f t="shared" si="123"/>
        <v>7.5</v>
      </c>
    </row>
    <row r="3934" spans="1:12">
      <c r="A3934" t="s">
        <v>827</v>
      </c>
      <c r="B3934" t="s">
        <v>349</v>
      </c>
      <c r="C3934" t="s">
        <v>352</v>
      </c>
      <c r="D3934" s="3" t="s">
        <v>887</v>
      </c>
      <c r="E3934" s="4">
        <v>8.9999999999999993E-3</v>
      </c>
      <c r="F3934" s="4" t="s">
        <v>176</v>
      </c>
      <c r="G3934" s="9">
        <v>1600</v>
      </c>
      <c r="H3934" s="9">
        <f t="shared" si="122"/>
        <v>14.399999999999999</v>
      </c>
      <c r="I3934" t="s">
        <v>179</v>
      </c>
      <c r="J3934" s="33" t="s">
        <v>491</v>
      </c>
      <c r="K3934" s="18">
        <f>VLOOKUP(D3934,Ingredients!C:G,5,0)</f>
        <v>1830</v>
      </c>
      <c r="L3934" s="52">
        <f t="shared" si="123"/>
        <v>16.47</v>
      </c>
    </row>
    <row r="3935" spans="1:12">
      <c r="A3935" t="s">
        <v>827</v>
      </c>
      <c r="B3935" t="s">
        <v>349</v>
      </c>
      <c r="C3935" t="s">
        <v>352</v>
      </c>
      <c r="D3935" s="3" t="s">
        <v>29</v>
      </c>
      <c r="E3935" s="4">
        <v>0.02</v>
      </c>
      <c r="F3935" s="4" t="s">
        <v>176</v>
      </c>
      <c r="G3935" s="9">
        <v>60</v>
      </c>
      <c r="H3935" s="9">
        <f t="shared" si="122"/>
        <v>1.2</v>
      </c>
      <c r="I3935" t="s">
        <v>179</v>
      </c>
      <c r="J3935" s="33" t="s">
        <v>491</v>
      </c>
      <c r="K3935" s="18">
        <f>VLOOKUP(D3935,Ingredients!C:G,5,0)</f>
        <v>100</v>
      </c>
      <c r="L3935" s="52">
        <f t="shared" si="123"/>
        <v>2</v>
      </c>
    </row>
    <row r="3936" spans="1:12">
      <c r="A3936" t="s">
        <v>827</v>
      </c>
      <c r="B3936" t="s">
        <v>349</v>
      </c>
      <c r="C3936" t="s">
        <v>352</v>
      </c>
      <c r="D3936" s="3" t="s">
        <v>860</v>
      </c>
      <c r="E3936" s="4">
        <v>0.05</v>
      </c>
      <c r="F3936" s="4" t="s">
        <v>176</v>
      </c>
      <c r="G3936" s="9">
        <v>2000</v>
      </c>
      <c r="H3936" s="9">
        <f t="shared" si="122"/>
        <v>100</v>
      </c>
      <c r="I3936" t="s">
        <v>179</v>
      </c>
      <c r="J3936" s="33" t="s">
        <v>491</v>
      </c>
      <c r="K3936" s="18">
        <f>VLOOKUP(D3936,Ingredients!C:G,5,0)</f>
        <v>1900</v>
      </c>
      <c r="L3936" s="52">
        <f t="shared" si="123"/>
        <v>95</v>
      </c>
    </row>
    <row r="3937" spans="1:12">
      <c r="A3937" t="s">
        <v>828</v>
      </c>
      <c r="B3937" t="s">
        <v>349</v>
      </c>
      <c r="C3937" t="s">
        <v>352</v>
      </c>
      <c r="D3937" s="3" t="s">
        <v>838</v>
      </c>
      <c r="E3937" s="4">
        <v>1</v>
      </c>
      <c r="F3937" s="4" t="s">
        <v>176</v>
      </c>
      <c r="G3937" s="9">
        <v>800</v>
      </c>
      <c r="H3937" s="9">
        <f t="shared" si="122"/>
        <v>800</v>
      </c>
      <c r="I3937" t="s">
        <v>179</v>
      </c>
      <c r="J3937" s="33" t="s">
        <v>516</v>
      </c>
      <c r="K3937" s="18">
        <f>VLOOKUP(D3937,Ingredients!C:G,5,0)</f>
        <v>950</v>
      </c>
      <c r="L3937" s="52">
        <f t="shared" si="123"/>
        <v>950</v>
      </c>
    </row>
    <row r="3938" spans="1:12">
      <c r="A3938" t="s">
        <v>828</v>
      </c>
      <c r="B3938" t="s">
        <v>349</v>
      </c>
      <c r="C3938" t="s">
        <v>352</v>
      </c>
      <c r="D3938" s="3" t="s">
        <v>24</v>
      </c>
      <c r="E3938" s="4">
        <v>0.5</v>
      </c>
      <c r="F3938" s="4" t="s">
        <v>176</v>
      </c>
      <c r="G3938" s="9">
        <v>55</v>
      </c>
      <c r="H3938" s="9">
        <f t="shared" si="122"/>
        <v>27.5</v>
      </c>
      <c r="I3938" t="s">
        <v>179</v>
      </c>
      <c r="J3938" s="33" t="s">
        <v>516</v>
      </c>
      <c r="K3938" s="18">
        <f>VLOOKUP(D3938,Ingredients!C:G,5,0)</f>
        <v>80</v>
      </c>
      <c r="L3938" s="52">
        <f t="shared" si="123"/>
        <v>40</v>
      </c>
    </row>
    <row r="3939" spans="1:12">
      <c r="A3939" t="s">
        <v>828</v>
      </c>
      <c r="B3939" t="s">
        <v>349</v>
      </c>
      <c r="C3939" t="s">
        <v>352</v>
      </c>
      <c r="D3939" s="3" t="s">
        <v>16</v>
      </c>
      <c r="E3939" s="4">
        <v>1.4999999999999999E-2</v>
      </c>
      <c r="F3939" s="4" t="s">
        <v>176</v>
      </c>
      <c r="G3939" s="9">
        <v>270</v>
      </c>
      <c r="H3939" s="9">
        <f t="shared" si="122"/>
        <v>4.05</v>
      </c>
      <c r="I3939" t="s">
        <v>179</v>
      </c>
      <c r="J3939" s="33" t="s">
        <v>516</v>
      </c>
      <c r="K3939" s="18">
        <f>VLOOKUP(D3939,Ingredients!C:G,5,0)</f>
        <v>310</v>
      </c>
      <c r="L3939" s="52">
        <f t="shared" si="123"/>
        <v>4.6499999999999995</v>
      </c>
    </row>
    <row r="3940" spans="1:12">
      <c r="A3940" t="s">
        <v>828</v>
      </c>
      <c r="B3940" t="s">
        <v>349</v>
      </c>
      <c r="C3940" t="s">
        <v>352</v>
      </c>
      <c r="D3940" s="3" t="s">
        <v>23</v>
      </c>
      <c r="E3940" s="4">
        <v>8.0000000000000002E-3</v>
      </c>
      <c r="F3940" s="4" t="s">
        <v>176</v>
      </c>
      <c r="G3940" s="9">
        <v>740</v>
      </c>
      <c r="H3940" s="9">
        <f t="shared" si="122"/>
        <v>5.92</v>
      </c>
      <c r="I3940" t="s">
        <v>179</v>
      </c>
      <c r="J3940" s="33" t="s">
        <v>516</v>
      </c>
      <c r="K3940" s="18">
        <f>VLOOKUP(D3940,Ingredients!C:G,5,0)</f>
        <v>780</v>
      </c>
      <c r="L3940" s="52">
        <f t="shared" si="123"/>
        <v>6.24</v>
      </c>
    </row>
    <row r="3941" spans="1:12">
      <c r="A3941" t="s">
        <v>828</v>
      </c>
      <c r="B3941" t="s">
        <v>349</v>
      </c>
      <c r="C3941" t="s">
        <v>352</v>
      </c>
      <c r="D3941" s="3" t="s">
        <v>867</v>
      </c>
      <c r="E3941" s="4">
        <v>1.2E-2</v>
      </c>
      <c r="F3941" s="4" t="s">
        <v>176</v>
      </c>
      <c r="G3941" s="9">
        <v>900</v>
      </c>
      <c r="H3941" s="9">
        <f t="shared" si="122"/>
        <v>10.8</v>
      </c>
      <c r="I3941" t="s">
        <v>179</v>
      </c>
      <c r="J3941" s="33" t="s">
        <v>516</v>
      </c>
      <c r="K3941" s="18">
        <f>VLOOKUP(D3941,Ingredients!C:G,5,0)</f>
        <v>950</v>
      </c>
      <c r="L3941" s="52">
        <f t="shared" si="123"/>
        <v>11.4</v>
      </c>
    </row>
    <row r="3942" spans="1:12">
      <c r="A3942" t="s">
        <v>828</v>
      </c>
      <c r="B3942" t="s">
        <v>349</v>
      </c>
      <c r="C3942" t="s">
        <v>352</v>
      </c>
      <c r="D3942" s="3" t="s">
        <v>852</v>
      </c>
      <c r="E3942" s="4">
        <v>0.1</v>
      </c>
      <c r="F3942" s="4" t="s">
        <v>190</v>
      </c>
      <c r="G3942" s="9">
        <v>520.63</v>
      </c>
      <c r="H3942" s="9">
        <f t="shared" si="122"/>
        <v>52.063000000000002</v>
      </c>
      <c r="I3942" t="s">
        <v>179</v>
      </c>
      <c r="J3942" s="33" t="s">
        <v>516</v>
      </c>
      <c r="K3942" s="18">
        <v>550</v>
      </c>
      <c r="L3942" s="52">
        <f t="shared" si="123"/>
        <v>55</v>
      </c>
    </row>
    <row r="3943" spans="1:12">
      <c r="A3943" t="s">
        <v>828</v>
      </c>
      <c r="B3943" t="s">
        <v>349</v>
      </c>
      <c r="C3943" t="s">
        <v>352</v>
      </c>
      <c r="D3943" s="3" t="s">
        <v>23</v>
      </c>
      <c r="E3943" s="4">
        <v>1.4999999999999999E-2</v>
      </c>
      <c r="F3943" s="4" t="s">
        <v>176</v>
      </c>
      <c r="G3943" s="9">
        <v>740</v>
      </c>
      <c r="H3943" s="9">
        <f t="shared" si="122"/>
        <v>11.1</v>
      </c>
      <c r="I3943" t="s">
        <v>179</v>
      </c>
      <c r="J3943" s="33" t="s">
        <v>516</v>
      </c>
      <c r="K3943" s="18">
        <f>VLOOKUP(D3943,Ingredients!C:G,5,0)</f>
        <v>780</v>
      </c>
      <c r="L3943" s="52">
        <f t="shared" si="123"/>
        <v>11.7</v>
      </c>
    </row>
    <row r="3944" spans="1:12">
      <c r="A3944" t="s">
        <v>828</v>
      </c>
      <c r="B3944" t="s">
        <v>349</v>
      </c>
      <c r="C3944" t="s">
        <v>352</v>
      </c>
      <c r="D3944" s="3" t="s">
        <v>16</v>
      </c>
      <c r="E3944" s="4">
        <v>1.4999999999999999E-2</v>
      </c>
      <c r="F3944" s="4" t="s">
        <v>176</v>
      </c>
      <c r="G3944" s="9">
        <v>270</v>
      </c>
      <c r="H3944" s="9">
        <f t="shared" si="122"/>
        <v>4.05</v>
      </c>
      <c r="I3944" t="s">
        <v>179</v>
      </c>
      <c r="J3944" s="33" t="s">
        <v>516</v>
      </c>
      <c r="K3944" s="18">
        <f>VLOOKUP(D3944,Ingredients!C:G,5,0)</f>
        <v>310</v>
      </c>
      <c r="L3944" s="52">
        <f t="shared" si="123"/>
        <v>4.6499999999999995</v>
      </c>
    </row>
    <row r="3945" spans="1:12">
      <c r="A3945" t="s">
        <v>828</v>
      </c>
      <c r="B3945" t="s">
        <v>349</v>
      </c>
      <c r="C3945" t="s">
        <v>352</v>
      </c>
      <c r="D3945" s="3" t="s">
        <v>28</v>
      </c>
      <c r="E3945" s="4">
        <v>0.35</v>
      </c>
      <c r="F3945" s="4" t="s">
        <v>176</v>
      </c>
      <c r="G3945" s="9">
        <v>85</v>
      </c>
      <c r="H3945" s="9">
        <f t="shared" si="122"/>
        <v>29.749999999999996</v>
      </c>
      <c r="I3945" t="s">
        <v>179</v>
      </c>
      <c r="J3945" s="33" t="s">
        <v>516</v>
      </c>
      <c r="K3945" s="18">
        <f>VLOOKUP(D3945,Ingredients!C:G,5,0)</f>
        <v>70</v>
      </c>
      <c r="L3945" s="52">
        <f t="shared" si="123"/>
        <v>24.5</v>
      </c>
    </row>
    <row r="3946" spans="1:12">
      <c r="A3946" t="s">
        <v>828</v>
      </c>
      <c r="B3946" t="s">
        <v>349</v>
      </c>
      <c r="C3946" t="s">
        <v>352</v>
      </c>
      <c r="D3946" s="3" t="s">
        <v>73</v>
      </c>
      <c r="E3946" s="4">
        <v>0.2</v>
      </c>
      <c r="F3946" s="4" t="s">
        <v>176</v>
      </c>
      <c r="G3946" s="9">
        <v>305</v>
      </c>
      <c r="H3946" s="9">
        <f t="shared" si="122"/>
        <v>61</v>
      </c>
      <c r="I3946" t="s">
        <v>179</v>
      </c>
      <c r="J3946" s="33" t="s">
        <v>516</v>
      </c>
      <c r="K3946" s="18">
        <f>VLOOKUP(D3946,Ingredients!C:G,5,0)</f>
        <v>300</v>
      </c>
      <c r="L3946" s="52">
        <f t="shared" si="123"/>
        <v>60</v>
      </c>
    </row>
    <row r="3947" spans="1:12">
      <c r="A3947" t="s">
        <v>828</v>
      </c>
      <c r="B3947" t="s">
        <v>349</v>
      </c>
      <c r="C3947" t="s">
        <v>352</v>
      </c>
      <c r="D3947" s="3" t="s">
        <v>880</v>
      </c>
      <c r="E3947" s="4">
        <v>8.9999999999999993E-3</v>
      </c>
      <c r="F3947" s="4" t="s">
        <v>176</v>
      </c>
      <c r="G3947" s="9">
        <v>650</v>
      </c>
      <c r="H3947" s="9">
        <f t="shared" si="122"/>
        <v>5.85</v>
      </c>
      <c r="I3947" t="s">
        <v>179</v>
      </c>
      <c r="J3947" s="33" t="s">
        <v>516</v>
      </c>
      <c r="K3947" s="18">
        <f>VLOOKUP(D3947,Ingredients!C:G,5,0)</f>
        <v>520</v>
      </c>
      <c r="L3947" s="52">
        <f t="shared" si="123"/>
        <v>4.68</v>
      </c>
    </row>
    <row r="3948" spans="1:12">
      <c r="A3948" t="s">
        <v>828</v>
      </c>
      <c r="B3948" t="s">
        <v>349</v>
      </c>
      <c r="C3948" t="s">
        <v>352</v>
      </c>
      <c r="D3948" s="3" t="s">
        <v>35</v>
      </c>
      <c r="E3948" s="4">
        <v>0.5</v>
      </c>
      <c r="F3948" s="4" t="s">
        <v>176</v>
      </c>
      <c r="G3948" s="9">
        <v>13</v>
      </c>
      <c r="H3948" s="9">
        <f t="shared" si="122"/>
        <v>6.5</v>
      </c>
      <c r="I3948" t="s">
        <v>179</v>
      </c>
      <c r="J3948" s="33" t="s">
        <v>516</v>
      </c>
      <c r="K3948" s="18">
        <f>VLOOKUP(D3948,Ingredients!C:G,5,0)</f>
        <v>15</v>
      </c>
      <c r="L3948" s="52">
        <f t="shared" si="123"/>
        <v>7.5</v>
      </c>
    </row>
    <row r="3949" spans="1:12">
      <c r="A3949" t="s">
        <v>828</v>
      </c>
      <c r="B3949" t="s">
        <v>349</v>
      </c>
      <c r="C3949" t="s">
        <v>352</v>
      </c>
      <c r="D3949" s="3" t="s">
        <v>887</v>
      </c>
      <c r="E3949" s="4">
        <v>8.9999999999999993E-3</v>
      </c>
      <c r="F3949" s="4" t="s">
        <v>176</v>
      </c>
      <c r="G3949" s="9">
        <v>1600</v>
      </c>
      <c r="H3949" s="9">
        <f t="shared" si="122"/>
        <v>14.399999999999999</v>
      </c>
      <c r="I3949" t="s">
        <v>179</v>
      </c>
      <c r="J3949" s="33" t="s">
        <v>516</v>
      </c>
      <c r="K3949" s="18">
        <f>VLOOKUP(D3949,Ingredients!C:G,5,0)</f>
        <v>1830</v>
      </c>
      <c r="L3949" s="52">
        <f t="shared" si="123"/>
        <v>16.47</v>
      </c>
    </row>
    <row r="3950" spans="1:12">
      <c r="A3950" t="s">
        <v>828</v>
      </c>
      <c r="B3950" t="s">
        <v>349</v>
      </c>
      <c r="C3950" t="s">
        <v>352</v>
      </c>
      <c r="D3950" s="3" t="s">
        <v>29</v>
      </c>
      <c r="E3950" s="4">
        <v>0.02</v>
      </c>
      <c r="F3950" s="4" t="s">
        <v>176</v>
      </c>
      <c r="G3950" s="9">
        <v>60</v>
      </c>
      <c r="H3950" s="9">
        <f t="shared" si="122"/>
        <v>1.2</v>
      </c>
      <c r="I3950" t="s">
        <v>179</v>
      </c>
      <c r="J3950" s="33" t="s">
        <v>516</v>
      </c>
      <c r="K3950" s="18">
        <f>VLOOKUP(D3950,Ingredients!C:G,5,0)</f>
        <v>100</v>
      </c>
      <c r="L3950" s="52">
        <f t="shared" si="123"/>
        <v>2</v>
      </c>
    </row>
    <row r="3951" spans="1:12">
      <c r="A3951" t="s">
        <v>828</v>
      </c>
      <c r="B3951" t="s">
        <v>349</v>
      </c>
      <c r="C3951" t="s">
        <v>352</v>
      </c>
      <c r="D3951" s="3" t="s">
        <v>860</v>
      </c>
      <c r="E3951" s="4">
        <v>0.05</v>
      </c>
      <c r="F3951" s="4" t="s">
        <v>176</v>
      </c>
      <c r="G3951" s="9">
        <v>2000</v>
      </c>
      <c r="H3951" s="9">
        <f t="shared" si="122"/>
        <v>100</v>
      </c>
      <c r="I3951" t="s">
        <v>179</v>
      </c>
      <c r="J3951" s="33" t="s">
        <v>516</v>
      </c>
      <c r="K3951" s="18">
        <f>VLOOKUP(D3951,Ingredients!C:G,5,0)</f>
        <v>1900</v>
      </c>
      <c r="L3951" s="52">
        <f t="shared" si="123"/>
        <v>95</v>
      </c>
    </row>
    <row r="3952" spans="1:12">
      <c r="A3952" t="s">
        <v>991</v>
      </c>
      <c r="B3952" t="s">
        <v>358</v>
      </c>
      <c r="C3952" t="s">
        <v>991</v>
      </c>
      <c r="D3952" s="2" t="s">
        <v>913</v>
      </c>
      <c r="E3952" s="11">
        <v>7.0000000000000007E-2</v>
      </c>
      <c r="F3952" s="7" t="s">
        <v>179</v>
      </c>
      <c r="G3952" s="9">
        <v>229.16666666666666</v>
      </c>
      <c r="H3952" s="9">
        <f t="shared" si="122"/>
        <v>16.041666666666668</v>
      </c>
      <c r="I3952" t="s">
        <v>484</v>
      </c>
      <c r="J3952" s="18">
        <v>0</v>
      </c>
      <c r="K3952" s="18">
        <f>VLOOKUP(D3952,Ingredients!C:F,3,0)</f>
        <v>343.75</v>
      </c>
      <c r="L3952" s="52">
        <f t="shared" si="123"/>
        <v>24.062500000000004</v>
      </c>
    </row>
    <row r="3953" spans="1:12">
      <c r="A3953" t="s">
        <v>991</v>
      </c>
      <c r="B3953" t="s">
        <v>358</v>
      </c>
      <c r="C3953" t="s">
        <v>991</v>
      </c>
      <c r="D3953" s="2" t="s">
        <v>921</v>
      </c>
      <c r="E3953" s="11">
        <v>3.3333333333333335E-3</v>
      </c>
      <c r="F3953" s="7" t="s">
        <v>179</v>
      </c>
      <c r="G3953" s="9">
        <v>1607</v>
      </c>
      <c r="H3953" s="9">
        <f t="shared" si="122"/>
        <v>5.3566666666666674</v>
      </c>
      <c r="I3953" t="s">
        <v>484</v>
      </c>
      <c r="J3953" s="18">
        <v>0</v>
      </c>
      <c r="K3953" s="18">
        <f>VLOOKUP(D3953,Ingredients!C:G,5,0)</f>
        <v>1512</v>
      </c>
      <c r="L3953" s="52">
        <f t="shared" si="123"/>
        <v>5.04</v>
      </c>
    </row>
    <row r="3954" spans="1:12">
      <c r="A3954" t="s">
        <v>991</v>
      </c>
      <c r="B3954" t="s">
        <v>358</v>
      </c>
      <c r="C3954" t="s">
        <v>991</v>
      </c>
      <c r="D3954" s="2" t="s">
        <v>830</v>
      </c>
      <c r="E3954" s="11">
        <v>0.03</v>
      </c>
      <c r="F3954" s="7" t="s">
        <v>250</v>
      </c>
      <c r="G3954" s="9">
        <v>149</v>
      </c>
      <c r="H3954" s="9">
        <f t="shared" si="122"/>
        <v>4.47</v>
      </c>
      <c r="I3954" t="s">
        <v>484</v>
      </c>
      <c r="J3954" s="18">
        <v>0</v>
      </c>
      <c r="K3954" s="18">
        <f>VLOOKUP(D3954,Ingredients!C:G,5,0)</f>
        <v>123</v>
      </c>
      <c r="L3954" s="52">
        <f t="shared" si="123"/>
        <v>3.69</v>
      </c>
    </row>
    <row r="3955" spans="1:12">
      <c r="A3955" t="s">
        <v>976</v>
      </c>
      <c r="B3955" t="s">
        <v>355</v>
      </c>
      <c r="C3955" t="s">
        <v>976</v>
      </c>
      <c r="D3955" s="3" t="s">
        <v>866</v>
      </c>
      <c r="E3955" s="11">
        <v>4.1666666666666664E-2</v>
      </c>
      <c r="F3955" s="7" t="s">
        <v>179</v>
      </c>
      <c r="G3955" s="9">
        <v>153.97999999999999</v>
      </c>
      <c r="H3955" s="9">
        <f t="shared" si="122"/>
        <v>6.4158333333333326</v>
      </c>
      <c r="I3955" t="s">
        <v>557</v>
      </c>
      <c r="J3955" s="33">
        <v>0</v>
      </c>
      <c r="K3955" s="18">
        <f>VLOOKUP(D3955,Ingredients!C:G,5,0)</f>
        <v>142.13999999999999</v>
      </c>
      <c r="L3955" s="52">
        <f t="shared" si="123"/>
        <v>5.9224999999999994</v>
      </c>
    </row>
    <row r="3956" spans="1:12">
      <c r="A3956" t="s">
        <v>976</v>
      </c>
      <c r="B3956" t="s">
        <v>355</v>
      </c>
      <c r="C3956" t="s">
        <v>976</v>
      </c>
      <c r="D3956" s="3" t="s">
        <v>830</v>
      </c>
      <c r="E3956" s="11">
        <v>2.0833333333333333E-3</v>
      </c>
      <c r="F3956" s="7" t="s">
        <v>179</v>
      </c>
      <c r="G3956" s="9">
        <v>149</v>
      </c>
      <c r="H3956" s="9">
        <f t="shared" si="122"/>
        <v>0.31041666666666667</v>
      </c>
      <c r="I3956" t="s">
        <v>557</v>
      </c>
      <c r="J3956" s="33">
        <v>0</v>
      </c>
      <c r="K3956" s="18">
        <f>VLOOKUP(D3956,Ingredients!C:G,5,0)</f>
        <v>123</v>
      </c>
      <c r="L3956" s="52">
        <f t="shared" si="123"/>
        <v>0.25624999999999998</v>
      </c>
    </row>
    <row r="3957" spans="1:12">
      <c r="A3957" t="s">
        <v>976</v>
      </c>
      <c r="B3957" t="s">
        <v>355</v>
      </c>
      <c r="C3957" t="s">
        <v>976</v>
      </c>
      <c r="D3957" s="3" t="s">
        <v>865</v>
      </c>
      <c r="E3957" s="11">
        <v>2.0833333333333333E-3</v>
      </c>
      <c r="F3957" s="7" t="s">
        <v>179</v>
      </c>
      <c r="G3957" s="9">
        <v>1400</v>
      </c>
      <c r="H3957" s="9">
        <f t="shared" si="122"/>
        <v>2.9166666666666665</v>
      </c>
      <c r="I3957" t="s">
        <v>557</v>
      </c>
      <c r="J3957" s="33">
        <v>0</v>
      </c>
      <c r="K3957" s="18">
        <f>VLOOKUP(D3957,Ingredients!C:G,5,0)</f>
        <v>1400</v>
      </c>
      <c r="L3957" s="52">
        <f t="shared" si="123"/>
        <v>2.9166666666666665</v>
      </c>
    </row>
    <row r="3958" spans="1:12">
      <c r="A3958" t="s">
        <v>976</v>
      </c>
      <c r="B3958" t="s">
        <v>355</v>
      </c>
      <c r="C3958" t="s">
        <v>976</v>
      </c>
      <c r="D3958" s="3" t="s">
        <v>905</v>
      </c>
      <c r="E3958" s="11">
        <v>4.1666666666666669E-4</v>
      </c>
      <c r="F3958" s="7" t="s">
        <v>179</v>
      </c>
      <c r="G3958" s="9">
        <v>912.5</v>
      </c>
      <c r="H3958" s="9">
        <f t="shared" si="122"/>
        <v>0.38020833333333337</v>
      </c>
      <c r="I3958" t="s">
        <v>557</v>
      </c>
      <c r="J3958" s="33">
        <v>0</v>
      </c>
      <c r="K3958" s="18">
        <f>VLOOKUP(D3958,Ingredients!C:G,5,0)</f>
        <v>1600</v>
      </c>
      <c r="L3958" s="52">
        <f t="shared" si="123"/>
        <v>0.66666666666666674</v>
      </c>
    </row>
    <row r="3959" spans="1:12">
      <c r="A3959" t="s">
        <v>976</v>
      </c>
      <c r="B3959" t="s">
        <v>355</v>
      </c>
      <c r="C3959" t="s">
        <v>976</v>
      </c>
      <c r="D3959" s="3" t="s">
        <v>222</v>
      </c>
      <c r="E3959" s="11">
        <v>2.0833333333333335E-4</v>
      </c>
      <c r="F3959" s="7" t="s">
        <v>179</v>
      </c>
      <c r="G3959" s="9">
        <v>420</v>
      </c>
      <c r="H3959" s="9">
        <f t="shared" si="122"/>
        <v>8.7500000000000008E-2</v>
      </c>
      <c r="I3959" t="s">
        <v>557</v>
      </c>
      <c r="J3959" s="33">
        <v>0</v>
      </c>
      <c r="K3959" s="18">
        <f>VLOOKUP(D3959,Ingredients!C:G,5,0)</f>
        <v>410</v>
      </c>
      <c r="L3959" s="52">
        <f t="shared" si="123"/>
        <v>8.5416666666666669E-2</v>
      </c>
    </row>
    <row r="3960" spans="1:12">
      <c r="A3960" t="s">
        <v>976</v>
      </c>
      <c r="B3960" t="s">
        <v>355</v>
      </c>
      <c r="C3960" t="s">
        <v>976</v>
      </c>
      <c r="D3960" s="3" t="s">
        <v>853</v>
      </c>
      <c r="E3960" s="11">
        <v>8.3333333333333339E-4</v>
      </c>
      <c r="F3960" s="7" t="s">
        <v>179</v>
      </c>
      <c r="G3960" s="9">
        <v>30</v>
      </c>
      <c r="H3960" s="9">
        <f t="shared" si="122"/>
        <v>2.5000000000000001E-2</v>
      </c>
      <c r="I3960" t="s">
        <v>557</v>
      </c>
      <c r="J3960" s="33">
        <v>0</v>
      </c>
      <c r="K3960" s="18">
        <f>VLOOKUP(D3960,Ingredients!C:G,5,0)</f>
        <v>55</v>
      </c>
      <c r="L3960" s="52">
        <f t="shared" si="123"/>
        <v>4.5833333333333337E-2</v>
      </c>
    </row>
    <row r="3961" spans="1:12">
      <c r="A3961" t="s">
        <v>976</v>
      </c>
      <c r="B3961" t="s">
        <v>355</v>
      </c>
      <c r="C3961" t="s">
        <v>976</v>
      </c>
      <c r="D3961" s="3" t="s">
        <v>16</v>
      </c>
      <c r="E3961" s="4">
        <v>1E-3</v>
      </c>
      <c r="F3961" s="7" t="s">
        <v>179</v>
      </c>
      <c r="G3961" s="9">
        <v>270</v>
      </c>
      <c r="H3961" s="9">
        <f t="shared" si="122"/>
        <v>0.27</v>
      </c>
      <c r="I3961" t="s">
        <v>557</v>
      </c>
      <c r="J3961" s="33">
        <v>0</v>
      </c>
      <c r="K3961" s="18">
        <f>VLOOKUP(D3961,Ingredients!C:G,5,0)</f>
        <v>310</v>
      </c>
      <c r="L3961" s="52">
        <f t="shared" si="123"/>
        <v>0.31</v>
      </c>
    </row>
    <row r="3962" spans="1:12">
      <c r="A3962" t="s">
        <v>978</v>
      </c>
      <c r="B3962" t="s">
        <v>355</v>
      </c>
      <c r="C3962" t="s">
        <v>986</v>
      </c>
      <c r="D3962" s="3" t="s">
        <v>831</v>
      </c>
      <c r="E3962" s="14">
        <v>0.12</v>
      </c>
      <c r="F3962" s="7" t="s">
        <v>179</v>
      </c>
      <c r="G3962" s="9">
        <v>908</v>
      </c>
      <c r="H3962" s="9">
        <f t="shared" si="122"/>
        <v>108.96</v>
      </c>
      <c r="I3962" t="s">
        <v>253</v>
      </c>
      <c r="J3962" s="33" t="s">
        <v>489</v>
      </c>
      <c r="K3962" s="18">
        <f>VLOOKUP(D3962,Ingredients!C:G,5,0)</f>
        <v>908</v>
      </c>
      <c r="L3962" s="52">
        <f t="shared" si="123"/>
        <v>108.96</v>
      </c>
    </row>
    <row r="3963" spans="1:12">
      <c r="A3963" t="s">
        <v>978</v>
      </c>
      <c r="B3963" t="s">
        <v>355</v>
      </c>
      <c r="C3963" t="s">
        <v>986</v>
      </c>
      <c r="D3963" s="3" t="s">
        <v>73</v>
      </c>
      <c r="E3963" s="14">
        <v>0.04</v>
      </c>
      <c r="F3963" s="7" t="s">
        <v>179</v>
      </c>
      <c r="G3963" s="9">
        <v>305</v>
      </c>
      <c r="H3963" s="9">
        <f t="shared" si="122"/>
        <v>12.200000000000001</v>
      </c>
      <c r="I3963" t="s">
        <v>253</v>
      </c>
      <c r="J3963" s="33" t="s">
        <v>489</v>
      </c>
      <c r="K3963" s="18">
        <f>VLOOKUP(D3963,Ingredients!C:G,5,0)</f>
        <v>300</v>
      </c>
      <c r="L3963" s="52">
        <f t="shared" si="123"/>
        <v>12</v>
      </c>
    </row>
    <row r="3964" spans="1:12">
      <c r="A3964" t="s">
        <v>978</v>
      </c>
      <c r="B3964" t="s">
        <v>355</v>
      </c>
      <c r="C3964" t="s">
        <v>986</v>
      </c>
      <c r="D3964" s="3" t="s">
        <v>867</v>
      </c>
      <c r="E3964" s="14">
        <v>2.6666666666666666E-3</v>
      </c>
      <c r="F3964" s="7" t="s">
        <v>179</v>
      </c>
      <c r="G3964" s="9">
        <v>900</v>
      </c>
      <c r="H3964" s="9">
        <f t="shared" ref="H3964:H4027" si="124">G3964*E3964</f>
        <v>2.4</v>
      </c>
      <c r="I3964" t="s">
        <v>253</v>
      </c>
      <c r="J3964" s="33" t="s">
        <v>489</v>
      </c>
      <c r="K3964" s="18">
        <f>VLOOKUP(D3964,Ingredients!C:G,5,0)</f>
        <v>950</v>
      </c>
      <c r="L3964" s="52">
        <f t="shared" si="123"/>
        <v>2.5333333333333332</v>
      </c>
    </row>
    <row r="3965" spans="1:12">
      <c r="A3965" t="s">
        <v>978</v>
      </c>
      <c r="B3965" t="s">
        <v>355</v>
      </c>
      <c r="C3965" t="s">
        <v>986</v>
      </c>
      <c r="D3965" s="3" t="s">
        <v>895</v>
      </c>
      <c r="E3965" s="14">
        <v>2.6666666666666666E-3</v>
      </c>
      <c r="F3965" s="7" t="s">
        <v>179</v>
      </c>
      <c r="G3965" s="9">
        <v>400</v>
      </c>
      <c r="H3965" s="9">
        <f t="shared" si="124"/>
        <v>1.0666666666666667</v>
      </c>
      <c r="I3965" t="s">
        <v>253</v>
      </c>
      <c r="J3965" s="33" t="s">
        <v>489</v>
      </c>
      <c r="K3965" s="18">
        <f>VLOOKUP(D3965,Ingredients!C:G,5,0)</f>
        <v>400</v>
      </c>
      <c r="L3965" s="52">
        <f t="shared" si="123"/>
        <v>1.0666666666666667</v>
      </c>
    </row>
    <row r="3966" spans="1:12">
      <c r="A3966" t="s">
        <v>978</v>
      </c>
      <c r="B3966" t="s">
        <v>355</v>
      </c>
      <c r="C3966" t="s">
        <v>986</v>
      </c>
      <c r="D3966" s="3" t="s">
        <v>880</v>
      </c>
      <c r="E3966" s="14">
        <v>1.3333333333333333E-3</v>
      </c>
      <c r="F3966" s="7" t="s">
        <v>179</v>
      </c>
      <c r="G3966" s="9">
        <v>650</v>
      </c>
      <c r="H3966" s="9">
        <f t="shared" si="124"/>
        <v>0.86666666666666659</v>
      </c>
      <c r="I3966" t="s">
        <v>253</v>
      </c>
      <c r="J3966" s="33" t="s">
        <v>489</v>
      </c>
      <c r="K3966" s="18">
        <f>VLOOKUP(D3966,Ingredients!C:G,5,0)</f>
        <v>520</v>
      </c>
      <c r="L3966" s="52">
        <f t="shared" si="123"/>
        <v>0.69333333333333336</v>
      </c>
    </row>
    <row r="3967" spans="1:12">
      <c r="A3967" t="s">
        <v>978</v>
      </c>
      <c r="B3967" t="s">
        <v>355</v>
      </c>
      <c r="C3967" t="s">
        <v>986</v>
      </c>
      <c r="D3967" s="3" t="s">
        <v>923</v>
      </c>
      <c r="E3967" s="14">
        <v>2.3333333333333335E-3</v>
      </c>
      <c r="F3967" s="7" t="s">
        <v>179</v>
      </c>
      <c r="G3967" s="9">
        <v>100</v>
      </c>
      <c r="H3967" s="9">
        <f t="shared" si="124"/>
        <v>0.23333333333333336</v>
      </c>
      <c r="I3967" t="s">
        <v>253</v>
      </c>
      <c r="J3967" s="33" t="s">
        <v>489</v>
      </c>
      <c r="K3967" s="18">
        <f>VLOOKUP(D3967,Ingredients!C:G,5,0)</f>
        <v>1000</v>
      </c>
      <c r="L3967" s="52">
        <f t="shared" si="123"/>
        <v>2.3333333333333335</v>
      </c>
    </row>
    <row r="3968" spans="1:12">
      <c r="A3968" t="s">
        <v>978</v>
      </c>
      <c r="B3968" t="s">
        <v>355</v>
      </c>
      <c r="C3968" t="s">
        <v>986</v>
      </c>
      <c r="D3968" s="3" t="s">
        <v>853</v>
      </c>
      <c r="E3968" s="14">
        <v>5.0000000000000001E-3</v>
      </c>
      <c r="F3968" s="7" t="s">
        <v>179</v>
      </c>
      <c r="G3968" s="9">
        <v>30</v>
      </c>
      <c r="H3968" s="9">
        <f t="shared" si="124"/>
        <v>0.15</v>
      </c>
      <c r="I3968" t="s">
        <v>253</v>
      </c>
      <c r="J3968" s="33" t="s">
        <v>489</v>
      </c>
      <c r="K3968" s="18">
        <f>VLOOKUP(D3968,Ingredients!C:G,5,0)</f>
        <v>55</v>
      </c>
      <c r="L3968" s="52">
        <f t="shared" si="123"/>
        <v>0.27500000000000002</v>
      </c>
    </row>
    <row r="3969" spans="1:12">
      <c r="A3969" t="s">
        <v>978</v>
      </c>
      <c r="B3969" t="s">
        <v>355</v>
      </c>
      <c r="C3969" t="s">
        <v>986</v>
      </c>
      <c r="D3969" s="3" t="s">
        <v>23</v>
      </c>
      <c r="E3969" s="14">
        <v>1.6666666666666668E-3</v>
      </c>
      <c r="F3969" s="7" t="s">
        <v>179</v>
      </c>
      <c r="G3969" s="9">
        <v>740</v>
      </c>
      <c r="H3969" s="9">
        <f t="shared" si="124"/>
        <v>1.2333333333333334</v>
      </c>
      <c r="I3969" t="s">
        <v>253</v>
      </c>
      <c r="J3969" s="33" t="s">
        <v>489</v>
      </c>
      <c r="K3969" s="18">
        <f>VLOOKUP(D3969,Ingredients!C:G,5,0)</f>
        <v>780</v>
      </c>
      <c r="L3969" s="52">
        <f t="shared" si="123"/>
        <v>1.3</v>
      </c>
    </row>
    <row r="3970" spans="1:12">
      <c r="A3970" t="s">
        <v>978</v>
      </c>
      <c r="B3970" t="s">
        <v>355</v>
      </c>
      <c r="C3970" t="s">
        <v>986</v>
      </c>
      <c r="D3970" s="3" t="s">
        <v>16</v>
      </c>
      <c r="E3970" s="14">
        <v>1.6666666666666668E-3</v>
      </c>
      <c r="F3970" s="7" t="s">
        <v>179</v>
      </c>
      <c r="G3970" s="9">
        <v>270</v>
      </c>
      <c r="H3970" s="9">
        <f t="shared" si="124"/>
        <v>0.45</v>
      </c>
      <c r="I3970" t="s">
        <v>253</v>
      </c>
      <c r="J3970" s="33" t="s">
        <v>489</v>
      </c>
      <c r="K3970" s="18">
        <f>VLOOKUP(D3970,Ingredients!C:G,5,0)</f>
        <v>310</v>
      </c>
      <c r="L3970" s="52">
        <f t="shared" si="123"/>
        <v>0.51666666666666672</v>
      </c>
    </row>
    <row r="3971" spans="1:12">
      <c r="A3971" t="s">
        <v>978</v>
      </c>
      <c r="B3971" t="s">
        <v>355</v>
      </c>
      <c r="C3971" t="s">
        <v>986</v>
      </c>
      <c r="D3971" s="3" t="s">
        <v>852</v>
      </c>
      <c r="E3971" s="14">
        <v>8.3333333333333332E-3</v>
      </c>
      <c r="F3971" s="7" t="s">
        <v>190</v>
      </c>
      <c r="G3971" s="9">
        <v>520.63</v>
      </c>
      <c r="H3971" s="9">
        <f t="shared" si="124"/>
        <v>4.3385833333333332</v>
      </c>
      <c r="I3971" t="s">
        <v>253</v>
      </c>
      <c r="J3971" s="33" t="s">
        <v>489</v>
      </c>
      <c r="K3971" s="18">
        <v>550</v>
      </c>
      <c r="L3971" s="52">
        <f t="shared" si="123"/>
        <v>4.583333333333333</v>
      </c>
    </row>
    <row r="3972" spans="1:12">
      <c r="A3972" t="s">
        <v>978</v>
      </c>
      <c r="B3972" t="s">
        <v>355</v>
      </c>
      <c r="C3972" t="s">
        <v>986</v>
      </c>
      <c r="D3972" s="3" t="s">
        <v>888</v>
      </c>
      <c r="E3972" s="14">
        <v>0.04</v>
      </c>
      <c r="F3972" s="7" t="s">
        <v>179</v>
      </c>
      <c r="G3972" s="9">
        <v>580</v>
      </c>
      <c r="H3972" s="9">
        <f t="shared" si="124"/>
        <v>23.2</v>
      </c>
      <c r="I3972" t="s">
        <v>253</v>
      </c>
      <c r="J3972" s="33" t="s">
        <v>489</v>
      </c>
      <c r="K3972" s="18">
        <f>VLOOKUP(D3972,Ingredients!C:G,5,0)</f>
        <v>580</v>
      </c>
      <c r="L3972" s="52">
        <f t="shared" ref="L3972:L4035" si="125">K3972*E3972</f>
        <v>23.2</v>
      </c>
    </row>
    <row r="3973" spans="1:12">
      <c r="A3973" t="s">
        <v>978</v>
      </c>
      <c r="B3973" t="s">
        <v>355</v>
      </c>
      <c r="C3973" t="s">
        <v>986</v>
      </c>
      <c r="D3973" s="3" t="s">
        <v>24</v>
      </c>
      <c r="E3973" s="14">
        <v>5.3333333333333337E-2</v>
      </c>
      <c r="F3973" s="7" t="s">
        <v>179</v>
      </c>
      <c r="G3973" s="9">
        <v>55</v>
      </c>
      <c r="H3973" s="9">
        <f t="shared" si="124"/>
        <v>2.9333333333333336</v>
      </c>
      <c r="I3973" t="s">
        <v>253</v>
      </c>
      <c r="J3973" s="33" t="s">
        <v>489</v>
      </c>
      <c r="K3973" s="18">
        <f>VLOOKUP(D3973,Ingredients!C:G,5,0)</f>
        <v>80</v>
      </c>
      <c r="L3973" s="52">
        <f t="shared" si="125"/>
        <v>4.2666666666666666</v>
      </c>
    </row>
    <row r="3974" spans="1:12">
      <c r="A3974" t="s">
        <v>978</v>
      </c>
      <c r="B3974" t="s">
        <v>355</v>
      </c>
      <c r="C3974" t="s">
        <v>986</v>
      </c>
      <c r="D3974" s="3" t="s">
        <v>16</v>
      </c>
      <c r="E3974" s="14">
        <v>2.6666666666666666E-3</v>
      </c>
      <c r="F3974" s="7" t="s">
        <v>179</v>
      </c>
      <c r="G3974" s="9">
        <v>270</v>
      </c>
      <c r="H3974" s="9">
        <f t="shared" si="124"/>
        <v>0.72</v>
      </c>
      <c r="I3974" t="s">
        <v>253</v>
      </c>
      <c r="J3974" s="33" t="s">
        <v>489</v>
      </c>
      <c r="K3974" s="18">
        <f>VLOOKUP(D3974,Ingredients!C:G,5,0)</f>
        <v>310</v>
      </c>
      <c r="L3974" s="52">
        <f t="shared" si="125"/>
        <v>0.82666666666666666</v>
      </c>
    </row>
    <row r="3975" spans="1:12">
      <c r="A3975" t="s">
        <v>978</v>
      </c>
      <c r="B3975" t="s">
        <v>355</v>
      </c>
      <c r="C3975" t="s">
        <v>986</v>
      </c>
      <c r="D3975" s="3" t="s">
        <v>849</v>
      </c>
      <c r="E3975" s="14">
        <v>2.6666666666666666E-3</v>
      </c>
      <c r="F3975" s="7" t="s">
        <v>179</v>
      </c>
      <c r="G3975" s="9">
        <v>1000</v>
      </c>
      <c r="H3975" s="9">
        <f t="shared" si="124"/>
        <v>2.6666666666666665</v>
      </c>
      <c r="I3975" t="s">
        <v>253</v>
      </c>
      <c r="J3975" s="33" t="s">
        <v>489</v>
      </c>
      <c r="K3975" s="18">
        <f>VLOOKUP(D3975,Ingredients!C:G,5,0)</f>
        <v>950</v>
      </c>
      <c r="L3975" s="52">
        <f t="shared" si="125"/>
        <v>2.5333333333333332</v>
      </c>
    </row>
    <row r="3976" spans="1:12">
      <c r="A3976" t="s">
        <v>978</v>
      </c>
      <c r="B3976" t="s">
        <v>355</v>
      </c>
      <c r="C3976" t="s">
        <v>986</v>
      </c>
      <c r="D3976" s="3" t="s">
        <v>323</v>
      </c>
      <c r="E3976" s="14">
        <v>6.6666666666666664E-4</v>
      </c>
      <c r="F3976" s="7" t="s">
        <v>179</v>
      </c>
      <c r="G3976" s="9">
        <v>5000</v>
      </c>
      <c r="H3976" s="9">
        <f t="shared" si="124"/>
        <v>3.333333333333333</v>
      </c>
      <c r="I3976" t="s">
        <v>253</v>
      </c>
      <c r="J3976" s="33" t="s">
        <v>489</v>
      </c>
      <c r="K3976" s="18">
        <f>VLOOKUP(D3976,Ingredients!C:G,5,0)</f>
        <v>5000</v>
      </c>
      <c r="L3976" s="52">
        <f t="shared" si="125"/>
        <v>3.333333333333333</v>
      </c>
    </row>
    <row r="3977" spans="1:12">
      <c r="A3977" t="s">
        <v>978</v>
      </c>
      <c r="B3977" t="s">
        <v>355</v>
      </c>
      <c r="C3977" t="s">
        <v>986</v>
      </c>
      <c r="D3977" s="3" t="s">
        <v>903</v>
      </c>
      <c r="E3977" s="14">
        <v>6.6666666666666666E-2</v>
      </c>
      <c r="F3977" s="7" t="s">
        <v>179</v>
      </c>
      <c r="G3977" s="9">
        <v>153.97999999999999</v>
      </c>
      <c r="H3977" s="9">
        <f t="shared" si="124"/>
        <v>10.265333333333333</v>
      </c>
      <c r="I3977" t="s">
        <v>253</v>
      </c>
      <c r="J3977" s="33" t="s">
        <v>489</v>
      </c>
      <c r="K3977" s="18">
        <f>VLOOKUP(D3977,Ingredients!C:G,5,0)</f>
        <v>152</v>
      </c>
      <c r="L3977" s="52">
        <f t="shared" si="125"/>
        <v>10.133333333333333</v>
      </c>
    </row>
    <row r="3978" spans="1:12">
      <c r="A3978" t="s">
        <v>978</v>
      </c>
      <c r="B3978" t="s">
        <v>355</v>
      </c>
      <c r="C3978" t="s">
        <v>986</v>
      </c>
      <c r="D3978" s="3" t="s">
        <v>979</v>
      </c>
      <c r="E3978" s="14">
        <v>3.3333333333333333E-2</v>
      </c>
      <c r="F3978" s="7" t="s">
        <v>179</v>
      </c>
      <c r="G3978" s="9">
        <v>153.97999999999999</v>
      </c>
      <c r="H3978" s="9">
        <f t="shared" si="124"/>
        <v>5.1326666666666663</v>
      </c>
      <c r="I3978" t="s">
        <v>253</v>
      </c>
      <c r="J3978" s="33" t="s">
        <v>489</v>
      </c>
      <c r="K3978" s="18">
        <f>VLOOKUP(D3978,Ingredients!C:G,5,0)</f>
        <v>142.13999999999999</v>
      </c>
      <c r="L3978" s="52">
        <f t="shared" si="125"/>
        <v>4.7379999999999995</v>
      </c>
    </row>
    <row r="3979" spans="1:12">
      <c r="A3979" t="s">
        <v>981</v>
      </c>
      <c r="B3979" t="s">
        <v>349</v>
      </c>
      <c r="C3979" t="s">
        <v>352</v>
      </c>
      <c r="D3979" s="3" t="s">
        <v>831</v>
      </c>
      <c r="E3979" s="4">
        <v>0.45</v>
      </c>
      <c r="F3979" s="7" t="s">
        <v>179</v>
      </c>
      <c r="G3979" s="9">
        <v>908</v>
      </c>
      <c r="H3979" s="9">
        <f t="shared" si="124"/>
        <v>408.6</v>
      </c>
      <c r="I3979" t="s">
        <v>977</v>
      </c>
      <c r="J3979" s="33" t="s">
        <v>489</v>
      </c>
      <c r="K3979" s="18">
        <f>VLOOKUP(D3979,Ingredients!C:G,5,0)</f>
        <v>908</v>
      </c>
      <c r="L3979" s="52">
        <f t="shared" si="125"/>
        <v>408.6</v>
      </c>
    </row>
    <row r="3980" spans="1:12">
      <c r="A3980" t="s">
        <v>981</v>
      </c>
      <c r="B3980" t="s">
        <v>349</v>
      </c>
      <c r="C3980" t="s">
        <v>352</v>
      </c>
      <c r="D3980" s="3" t="s">
        <v>957</v>
      </c>
      <c r="E3980" s="11">
        <f>0.45*0.75</f>
        <v>0.33750000000000002</v>
      </c>
      <c r="F3980" s="7" t="s">
        <v>176</v>
      </c>
      <c r="G3980" s="9">
        <v>645</v>
      </c>
      <c r="H3980" s="9">
        <f t="shared" si="124"/>
        <v>217.68750000000003</v>
      </c>
      <c r="I3980" t="s">
        <v>977</v>
      </c>
      <c r="J3980" s="33" t="s">
        <v>489</v>
      </c>
      <c r="K3980" s="18">
        <f>VLOOKUP(D3980,Ingredients!C:G,5,0)</f>
        <v>1375</v>
      </c>
      <c r="L3980" s="52">
        <f t="shared" si="125"/>
        <v>464.06250000000006</v>
      </c>
    </row>
    <row r="3981" spans="1:12">
      <c r="A3981" t="s">
        <v>981</v>
      </c>
      <c r="B3981" t="s">
        <v>349</v>
      </c>
      <c r="C3981" t="s">
        <v>352</v>
      </c>
      <c r="D3981" s="3" t="s">
        <v>913</v>
      </c>
      <c r="E3981" s="11">
        <v>0.36</v>
      </c>
      <c r="F3981" s="7" t="s">
        <v>176</v>
      </c>
      <c r="G3981" s="9">
        <v>229.16666666666666</v>
      </c>
      <c r="H3981" s="9">
        <f t="shared" si="124"/>
        <v>82.5</v>
      </c>
      <c r="I3981" t="s">
        <v>977</v>
      </c>
      <c r="J3981" s="33" t="s">
        <v>489</v>
      </c>
      <c r="K3981" s="18">
        <f>VLOOKUP(D3981,Ingredients!C:F,3,0)</f>
        <v>343.75</v>
      </c>
      <c r="L3981" s="52">
        <f t="shared" si="125"/>
        <v>123.75</v>
      </c>
    </row>
    <row r="3982" spans="1:12">
      <c r="A3982" t="s">
        <v>981</v>
      </c>
      <c r="B3982" t="s">
        <v>349</v>
      </c>
      <c r="C3982" t="s">
        <v>352</v>
      </c>
      <c r="D3982" s="3" t="s">
        <v>885</v>
      </c>
      <c r="E3982" s="11">
        <v>6.7600000000000007E-2</v>
      </c>
      <c r="F3982" s="7" t="s">
        <v>253</v>
      </c>
      <c r="G3982" s="9">
        <v>1620</v>
      </c>
      <c r="H3982" s="9">
        <f t="shared" si="124"/>
        <v>109.51200000000001</v>
      </c>
      <c r="I3982" t="s">
        <v>977</v>
      </c>
      <c r="J3982" s="33" t="s">
        <v>489</v>
      </c>
      <c r="K3982" s="18">
        <f>VLOOKUP(D3982,Ingredients!C:F,3,0)</f>
        <v>1296</v>
      </c>
      <c r="L3982" s="52">
        <f t="shared" si="125"/>
        <v>87.609600000000015</v>
      </c>
    </row>
    <row r="3983" spans="1:12">
      <c r="A3983" t="s">
        <v>981</v>
      </c>
      <c r="B3983" t="s">
        <v>349</v>
      </c>
      <c r="C3983" t="s">
        <v>352</v>
      </c>
      <c r="D3983" s="3" t="s">
        <v>879</v>
      </c>
      <c r="E3983" s="11">
        <v>1.0562500000000001E-2</v>
      </c>
      <c r="F3983" s="7" t="s">
        <v>179</v>
      </c>
      <c r="G3983" s="9">
        <v>1113.51</v>
      </c>
      <c r="H3983" s="9">
        <f t="shared" si="124"/>
        <v>11.761449375000002</v>
      </c>
      <c r="I3983" t="s">
        <v>977</v>
      </c>
      <c r="J3983" s="33" t="s">
        <v>489</v>
      </c>
      <c r="K3983" s="18">
        <f>VLOOKUP(D3983,Ingredients!C:G,5,0)</f>
        <v>1066.33</v>
      </c>
      <c r="L3983" s="52">
        <f t="shared" si="125"/>
        <v>11.263110624999999</v>
      </c>
    </row>
    <row r="3984" spans="1:12">
      <c r="A3984" t="s">
        <v>981</v>
      </c>
      <c r="B3984" t="s">
        <v>349</v>
      </c>
      <c r="C3984" t="s">
        <v>352</v>
      </c>
      <c r="D3984" s="3" t="s">
        <v>853</v>
      </c>
      <c r="E3984" s="11">
        <v>1.0562500000000001E-2</v>
      </c>
      <c r="F3984" s="7" t="s">
        <v>179</v>
      </c>
      <c r="G3984" s="9">
        <v>30</v>
      </c>
      <c r="H3984" s="9">
        <f t="shared" si="124"/>
        <v>0.31687500000000002</v>
      </c>
      <c r="I3984" t="s">
        <v>977</v>
      </c>
      <c r="J3984" s="33" t="s">
        <v>489</v>
      </c>
      <c r="K3984" s="18">
        <f>VLOOKUP(D3984,Ingredients!C:G,5,0)</f>
        <v>55</v>
      </c>
      <c r="L3984" s="52">
        <f t="shared" si="125"/>
        <v>0.5809375</v>
      </c>
    </row>
    <row r="3985" spans="1:12">
      <c r="A3985" t="s">
        <v>981</v>
      </c>
      <c r="B3985" t="s">
        <v>349</v>
      </c>
      <c r="C3985" t="s">
        <v>352</v>
      </c>
      <c r="D3985" s="3" t="s">
        <v>323</v>
      </c>
      <c r="E3985" s="11">
        <v>5.2812500000000004E-3</v>
      </c>
      <c r="F3985" s="7" t="s">
        <v>179</v>
      </c>
      <c r="G3985" s="9">
        <v>5000</v>
      </c>
      <c r="H3985" s="9">
        <f t="shared" si="124"/>
        <v>26.40625</v>
      </c>
      <c r="I3985" t="s">
        <v>977</v>
      </c>
      <c r="J3985" s="33" t="s">
        <v>489</v>
      </c>
      <c r="K3985" s="18">
        <f>VLOOKUP(D3985,Ingredients!C:G,5,0)</f>
        <v>5000</v>
      </c>
      <c r="L3985" s="52">
        <f t="shared" si="125"/>
        <v>26.40625</v>
      </c>
    </row>
    <row r="3986" spans="1:12">
      <c r="A3986" t="s">
        <v>981</v>
      </c>
      <c r="B3986" t="s">
        <v>349</v>
      </c>
      <c r="C3986" t="s">
        <v>352</v>
      </c>
      <c r="D3986" s="3" t="s">
        <v>851</v>
      </c>
      <c r="E3986" s="11">
        <v>0.36</v>
      </c>
      <c r="F3986" s="13" t="s">
        <v>176</v>
      </c>
      <c r="G3986" s="9">
        <v>177</v>
      </c>
      <c r="H3986" s="9">
        <f t="shared" si="124"/>
        <v>63.72</v>
      </c>
      <c r="I3986" t="s">
        <v>977</v>
      </c>
      <c r="J3986" s="33" t="s">
        <v>489</v>
      </c>
      <c r="K3986" s="18">
        <f>VLOOKUP(D3986,Ingredients!C:G,5,0)</f>
        <v>920</v>
      </c>
      <c r="L3986" s="52">
        <f t="shared" si="125"/>
        <v>331.2</v>
      </c>
    </row>
    <row r="3987" spans="1:12">
      <c r="A3987" t="s">
        <v>982</v>
      </c>
      <c r="B3987" t="s">
        <v>349</v>
      </c>
      <c r="C3987" t="s">
        <v>352</v>
      </c>
      <c r="D3987" s="3" t="s">
        <v>833</v>
      </c>
      <c r="E3987" s="11">
        <v>1</v>
      </c>
      <c r="F3987" s="13" t="s">
        <v>176</v>
      </c>
      <c r="G3987" s="9">
        <v>1020</v>
      </c>
      <c r="H3987" s="9">
        <f t="shared" si="124"/>
        <v>1020</v>
      </c>
      <c r="I3987" t="s">
        <v>179</v>
      </c>
      <c r="J3987" s="33" t="s">
        <v>490</v>
      </c>
      <c r="K3987" s="18">
        <f>VLOOKUP(D3987,Ingredients!C:G,5,0)</f>
        <v>1000</v>
      </c>
      <c r="L3987" s="52">
        <f t="shared" si="125"/>
        <v>1000</v>
      </c>
    </row>
    <row r="3988" spans="1:12">
      <c r="A3988" t="s">
        <v>982</v>
      </c>
      <c r="B3988" t="s">
        <v>349</v>
      </c>
      <c r="C3988" t="s">
        <v>352</v>
      </c>
      <c r="D3988" s="3" t="s">
        <v>922</v>
      </c>
      <c r="E3988" s="14">
        <v>0.5</v>
      </c>
      <c r="F3988" s="4" t="s">
        <v>176</v>
      </c>
      <c r="G3988" s="9">
        <v>300</v>
      </c>
      <c r="H3988" s="9">
        <f t="shared" si="124"/>
        <v>150</v>
      </c>
      <c r="I3988" t="s">
        <v>179</v>
      </c>
      <c r="J3988" s="33" t="s">
        <v>490</v>
      </c>
      <c r="K3988" s="18">
        <f>VLOOKUP(D3988,Ingredients!C:G,5,0)</f>
        <v>315</v>
      </c>
      <c r="L3988" s="52">
        <f t="shared" si="125"/>
        <v>157.5</v>
      </c>
    </row>
    <row r="3989" spans="1:12">
      <c r="A3989" t="s">
        <v>982</v>
      </c>
      <c r="B3989" t="s">
        <v>349</v>
      </c>
      <c r="C3989" t="s">
        <v>352</v>
      </c>
      <c r="D3989" s="3" t="s">
        <v>852</v>
      </c>
      <c r="E3989" s="14">
        <v>0.1</v>
      </c>
      <c r="F3989" s="4" t="s">
        <v>176</v>
      </c>
      <c r="G3989" s="9">
        <v>520.63</v>
      </c>
      <c r="H3989" s="9">
        <f t="shared" si="124"/>
        <v>52.063000000000002</v>
      </c>
      <c r="I3989" t="s">
        <v>179</v>
      </c>
      <c r="J3989" s="33" t="s">
        <v>490</v>
      </c>
      <c r="K3989" s="18">
        <v>550</v>
      </c>
      <c r="L3989" s="52">
        <f t="shared" si="125"/>
        <v>55</v>
      </c>
    </row>
    <row r="3990" spans="1:12">
      <c r="A3990" t="s">
        <v>982</v>
      </c>
      <c r="B3990" t="s">
        <v>349</v>
      </c>
      <c r="C3990" t="s">
        <v>352</v>
      </c>
      <c r="D3990" s="3" t="s">
        <v>864</v>
      </c>
      <c r="E3990" s="14">
        <v>1.4999999999999999E-2</v>
      </c>
      <c r="F3990" s="4" t="s">
        <v>179</v>
      </c>
      <c r="G3990" s="9">
        <v>1400</v>
      </c>
      <c r="H3990" s="9">
        <f t="shared" si="124"/>
        <v>21</v>
      </c>
      <c r="I3990" t="s">
        <v>179</v>
      </c>
      <c r="J3990" s="33" t="s">
        <v>490</v>
      </c>
      <c r="K3990" s="18">
        <f>VLOOKUP(D3990,Ingredients!C:G,5,0)</f>
        <v>1400</v>
      </c>
      <c r="L3990" s="52">
        <f t="shared" si="125"/>
        <v>21</v>
      </c>
    </row>
    <row r="3991" spans="1:12">
      <c r="A3991" t="s">
        <v>982</v>
      </c>
      <c r="B3991" t="s">
        <v>349</v>
      </c>
      <c r="C3991" t="s">
        <v>352</v>
      </c>
      <c r="D3991" s="3" t="s">
        <v>853</v>
      </c>
      <c r="E3991" s="14">
        <v>0.03</v>
      </c>
      <c r="F3991" s="4" t="s">
        <v>179</v>
      </c>
      <c r="G3991" s="9">
        <v>30</v>
      </c>
      <c r="H3991" s="9">
        <f t="shared" si="124"/>
        <v>0.89999999999999991</v>
      </c>
      <c r="I3991" t="s">
        <v>179</v>
      </c>
      <c r="J3991" s="33" t="s">
        <v>490</v>
      </c>
      <c r="K3991" s="18">
        <f>VLOOKUP(D3991,Ingredients!C:G,5,0)</f>
        <v>55</v>
      </c>
      <c r="L3991" s="52">
        <f t="shared" si="125"/>
        <v>1.65</v>
      </c>
    </row>
    <row r="3992" spans="1:12">
      <c r="A3992" t="s">
        <v>982</v>
      </c>
      <c r="B3992" t="s">
        <v>349</v>
      </c>
      <c r="C3992" t="s">
        <v>352</v>
      </c>
      <c r="D3992" s="3" t="s">
        <v>879</v>
      </c>
      <c r="E3992" s="14">
        <v>0.03</v>
      </c>
      <c r="F3992" s="4" t="s">
        <v>179</v>
      </c>
      <c r="G3992" s="9">
        <v>1113.51</v>
      </c>
      <c r="H3992" s="9">
        <f t="shared" si="124"/>
        <v>33.405299999999997</v>
      </c>
      <c r="I3992" t="s">
        <v>179</v>
      </c>
      <c r="J3992" s="33" t="s">
        <v>490</v>
      </c>
      <c r="K3992" s="18">
        <f>VLOOKUP(D3992,Ingredients!C:G,5,0)</f>
        <v>1066.33</v>
      </c>
      <c r="L3992" s="52">
        <f t="shared" si="125"/>
        <v>31.989899999999995</v>
      </c>
    </row>
    <row r="3993" spans="1:12">
      <c r="A3993" t="s">
        <v>982</v>
      </c>
      <c r="B3993" t="s">
        <v>349</v>
      </c>
      <c r="C3993" t="s">
        <v>352</v>
      </c>
      <c r="D3993" s="3" t="s">
        <v>855</v>
      </c>
      <c r="E3993" s="14">
        <v>1.2E-2</v>
      </c>
      <c r="F3993" s="4" t="s">
        <v>179</v>
      </c>
      <c r="G3993" s="9">
        <v>2400</v>
      </c>
      <c r="H3993" s="9">
        <f t="shared" si="124"/>
        <v>28.8</v>
      </c>
      <c r="I3993" t="s">
        <v>179</v>
      </c>
      <c r="J3993" s="33" t="s">
        <v>490</v>
      </c>
      <c r="K3993" s="18">
        <f>VLOOKUP(D3993,Ingredients!C:G,5,0)</f>
        <v>1600</v>
      </c>
      <c r="L3993" s="52">
        <f t="shared" si="125"/>
        <v>19.2</v>
      </c>
    </row>
    <row r="3994" spans="1:12">
      <c r="A3994" t="s">
        <v>982</v>
      </c>
      <c r="B3994" t="s">
        <v>349</v>
      </c>
      <c r="C3994" t="s">
        <v>352</v>
      </c>
      <c r="D3994" s="3" t="s">
        <v>880</v>
      </c>
      <c r="E3994" s="14">
        <v>3.3333333333333335E-3</v>
      </c>
      <c r="F3994" s="4" t="s">
        <v>179</v>
      </c>
      <c r="G3994" s="9">
        <v>650</v>
      </c>
      <c r="H3994" s="9">
        <f t="shared" si="124"/>
        <v>2.166666666666667</v>
      </c>
      <c r="I3994" t="s">
        <v>179</v>
      </c>
      <c r="J3994" s="33" t="s">
        <v>490</v>
      </c>
      <c r="K3994" s="18">
        <f>VLOOKUP(D3994,Ingredients!C:G,5,0)</f>
        <v>520</v>
      </c>
      <c r="L3994" s="52">
        <f t="shared" si="125"/>
        <v>1.7333333333333334</v>
      </c>
    </row>
    <row r="3995" spans="1:12">
      <c r="A3995" t="s">
        <v>982</v>
      </c>
      <c r="B3995" t="s">
        <v>349</v>
      </c>
      <c r="C3995" t="s">
        <v>352</v>
      </c>
      <c r="D3995" s="3" t="s">
        <v>23</v>
      </c>
      <c r="E3995" s="14">
        <v>1.4999999999999999E-2</v>
      </c>
      <c r="F3995" s="4" t="s">
        <v>179</v>
      </c>
      <c r="G3995" s="9">
        <v>740</v>
      </c>
      <c r="H3995" s="9">
        <f t="shared" si="124"/>
        <v>11.1</v>
      </c>
      <c r="I3995" t="s">
        <v>179</v>
      </c>
      <c r="J3995" s="33" t="s">
        <v>490</v>
      </c>
      <c r="K3995" s="18">
        <f>VLOOKUP(D3995,Ingredients!C:G,5,0)</f>
        <v>780</v>
      </c>
      <c r="L3995" s="52">
        <f t="shared" si="125"/>
        <v>11.7</v>
      </c>
    </row>
    <row r="3996" spans="1:12">
      <c r="A3996" t="s">
        <v>982</v>
      </c>
      <c r="B3996" t="s">
        <v>349</v>
      </c>
      <c r="C3996" t="s">
        <v>352</v>
      </c>
      <c r="D3996" s="3" t="s">
        <v>16</v>
      </c>
      <c r="E3996" s="14">
        <v>1.4999999999999999E-2</v>
      </c>
      <c r="F3996" s="4" t="s">
        <v>179</v>
      </c>
      <c r="G3996" s="9">
        <v>270</v>
      </c>
      <c r="H3996" s="9">
        <f t="shared" si="124"/>
        <v>4.05</v>
      </c>
      <c r="I3996" t="s">
        <v>179</v>
      </c>
      <c r="J3996" s="33" t="s">
        <v>490</v>
      </c>
      <c r="K3996" s="18">
        <f>VLOOKUP(D3996,Ingredients!C:G,5,0)</f>
        <v>310</v>
      </c>
      <c r="L3996" s="52">
        <f t="shared" si="125"/>
        <v>4.6499999999999995</v>
      </c>
    </row>
    <row r="3997" spans="1:12">
      <c r="A3997" t="s">
        <v>982</v>
      </c>
      <c r="B3997" t="s">
        <v>349</v>
      </c>
      <c r="C3997" t="s">
        <v>352</v>
      </c>
      <c r="D3997" s="3" t="s">
        <v>24</v>
      </c>
      <c r="E3997" s="14">
        <v>0.18</v>
      </c>
      <c r="F3997" s="4" t="s">
        <v>176</v>
      </c>
      <c r="G3997" s="9">
        <v>55</v>
      </c>
      <c r="H3997" s="9">
        <f t="shared" si="124"/>
        <v>9.9</v>
      </c>
      <c r="I3997" t="s">
        <v>179</v>
      </c>
      <c r="J3997" s="33" t="s">
        <v>490</v>
      </c>
      <c r="K3997" s="18">
        <f>VLOOKUP(D3997,Ingredients!C:G,5,0)</f>
        <v>80</v>
      </c>
      <c r="L3997" s="52">
        <f t="shared" si="125"/>
        <v>14.399999999999999</v>
      </c>
    </row>
    <row r="3998" spans="1:12">
      <c r="A3998" t="s">
        <v>982</v>
      </c>
      <c r="B3998" t="s">
        <v>349</v>
      </c>
      <c r="C3998" t="s">
        <v>352</v>
      </c>
      <c r="D3998" s="3" t="s">
        <v>895</v>
      </c>
      <c r="E3998" s="14">
        <v>0.03</v>
      </c>
      <c r="F3998" s="4" t="s">
        <v>176</v>
      </c>
      <c r="G3998" s="9">
        <v>400</v>
      </c>
      <c r="H3998" s="9">
        <f t="shared" si="124"/>
        <v>12</v>
      </c>
      <c r="I3998" t="s">
        <v>179</v>
      </c>
      <c r="J3998" s="33" t="s">
        <v>490</v>
      </c>
      <c r="K3998" s="18">
        <f>VLOOKUP(D3998,Ingredients!C:G,5,0)</f>
        <v>400</v>
      </c>
      <c r="L3998" s="52">
        <f t="shared" si="125"/>
        <v>12</v>
      </c>
    </row>
    <row r="3999" spans="1:12">
      <c r="A3999" t="s">
        <v>983</v>
      </c>
      <c r="B3999" t="s">
        <v>348</v>
      </c>
      <c r="C3999" t="s">
        <v>365</v>
      </c>
      <c r="D3999" s="3" t="s">
        <v>983</v>
      </c>
      <c r="E3999" s="4">
        <v>1</v>
      </c>
      <c r="F3999" s="4" t="s">
        <v>253</v>
      </c>
      <c r="G3999" s="9">
        <v>36.159999999999997</v>
      </c>
      <c r="H3999" s="9">
        <f t="shared" si="124"/>
        <v>36.159999999999997</v>
      </c>
      <c r="I3999" t="s">
        <v>253</v>
      </c>
      <c r="J3999" s="33">
        <v>0</v>
      </c>
      <c r="K3999" s="18">
        <f>VLOOKUP(D3999,Ingredients!C:G,5,0)</f>
        <v>36.159999999999997</v>
      </c>
      <c r="L3999" s="52">
        <f t="shared" si="125"/>
        <v>36.159999999999997</v>
      </c>
    </row>
    <row r="4000" spans="1:12">
      <c r="A4000" t="s">
        <v>108</v>
      </c>
      <c r="B4000" t="s">
        <v>349</v>
      </c>
      <c r="C4000" t="s">
        <v>351</v>
      </c>
      <c r="D4000" s="3" t="s">
        <v>843</v>
      </c>
      <c r="E4000" s="10">
        <v>1</v>
      </c>
      <c r="F4000" s="7" t="s">
        <v>176</v>
      </c>
      <c r="G4000" s="9">
        <v>614</v>
      </c>
      <c r="H4000" s="9">
        <f t="shared" si="124"/>
        <v>614</v>
      </c>
      <c r="I4000" t="s">
        <v>179</v>
      </c>
      <c r="J4000" s="33" t="s">
        <v>491</v>
      </c>
      <c r="K4000" s="18">
        <f>VLOOKUP(D4000,Ingredients!C:G,5,0)</f>
        <v>650</v>
      </c>
      <c r="L4000" s="52">
        <f t="shared" si="125"/>
        <v>650</v>
      </c>
    </row>
    <row r="4001" spans="1:12">
      <c r="A4001" t="s">
        <v>108</v>
      </c>
      <c r="B4001" t="s">
        <v>349</v>
      </c>
      <c r="C4001" t="s">
        <v>351</v>
      </c>
      <c r="D4001" s="3" t="s">
        <v>866</v>
      </c>
      <c r="E4001" s="10">
        <v>3.7499999999999999E-2</v>
      </c>
      <c r="F4001" s="7" t="s">
        <v>176</v>
      </c>
      <c r="G4001" s="9">
        <v>153.97999999999999</v>
      </c>
      <c r="H4001" s="9">
        <f t="shared" si="124"/>
        <v>5.7742499999999994</v>
      </c>
      <c r="I4001" t="s">
        <v>179</v>
      </c>
      <c r="J4001" s="33" t="s">
        <v>491</v>
      </c>
      <c r="K4001" s="18">
        <f>VLOOKUP(D4001,Ingredients!C:G,5,0)</f>
        <v>142.13999999999999</v>
      </c>
      <c r="L4001" s="52">
        <f t="shared" si="125"/>
        <v>5.3302499999999995</v>
      </c>
    </row>
    <row r="4002" spans="1:12">
      <c r="A4002" t="s">
        <v>108</v>
      </c>
      <c r="B4002" t="s">
        <v>349</v>
      </c>
      <c r="C4002" t="s">
        <v>351</v>
      </c>
      <c r="D4002" s="3" t="s">
        <v>835</v>
      </c>
      <c r="E4002" s="10">
        <v>0.05</v>
      </c>
      <c r="F4002" s="7" t="s">
        <v>176</v>
      </c>
      <c r="G4002" s="9">
        <v>389.34</v>
      </c>
      <c r="H4002" s="9">
        <f t="shared" si="124"/>
        <v>19.466999999999999</v>
      </c>
      <c r="I4002" t="s">
        <v>179</v>
      </c>
      <c r="J4002" s="33" t="s">
        <v>491</v>
      </c>
      <c r="K4002" s="18">
        <f>VLOOKUP(D4002,Ingredients!C:G,5,0)</f>
        <v>394.63</v>
      </c>
      <c r="L4002" s="52">
        <f t="shared" si="125"/>
        <v>19.7315</v>
      </c>
    </row>
    <row r="4003" spans="1:12">
      <c r="A4003" t="s">
        <v>108</v>
      </c>
      <c r="B4003" t="s">
        <v>349</v>
      </c>
      <c r="C4003" t="s">
        <v>351</v>
      </c>
      <c r="D4003" s="3" t="s">
        <v>854</v>
      </c>
      <c r="E4003" s="10">
        <v>3.5</v>
      </c>
      <c r="F4003" s="13" t="s">
        <v>173</v>
      </c>
      <c r="G4003" s="9">
        <v>24.64</v>
      </c>
      <c r="H4003" s="9">
        <f t="shared" si="124"/>
        <v>86.240000000000009</v>
      </c>
      <c r="I4003" t="s">
        <v>179</v>
      </c>
      <c r="J4003" s="33" t="s">
        <v>491</v>
      </c>
      <c r="K4003" s="18">
        <f>VLOOKUP(D4003,Ingredients!C:G,5,0)</f>
        <v>20.059999999999999</v>
      </c>
      <c r="L4003" s="52">
        <f t="shared" si="125"/>
        <v>70.209999999999994</v>
      </c>
    </row>
    <row r="4004" spans="1:12">
      <c r="A4004" t="s">
        <v>108</v>
      </c>
      <c r="B4004" t="s">
        <v>349</v>
      </c>
      <c r="C4004" t="s">
        <v>351</v>
      </c>
      <c r="D4004" s="3" t="s">
        <v>23</v>
      </c>
      <c r="E4004" s="10">
        <v>3.1250000000000002E-3</v>
      </c>
      <c r="F4004" s="7" t="s">
        <v>179</v>
      </c>
      <c r="G4004" s="9">
        <v>740</v>
      </c>
      <c r="H4004" s="9">
        <f t="shared" si="124"/>
        <v>2.3125</v>
      </c>
      <c r="I4004" t="s">
        <v>179</v>
      </c>
      <c r="J4004" s="33" t="s">
        <v>491</v>
      </c>
      <c r="K4004" s="18">
        <f>VLOOKUP(D4004,Ingredients!C:G,5,0)</f>
        <v>780</v>
      </c>
      <c r="L4004" s="52">
        <f t="shared" si="125"/>
        <v>2.4375</v>
      </c>
    </row>
    <row r="4005" spans="1:12">
      <c r="A4005" t="s">
        <v>108</v>
      </c>
      <c r="B4005" t="s">
        <v>349</v>
      </c>
      <c r="C4005" t="s">
        <v>351</v>
      </c>
      <c r="D4005" s="3" t="s">
        <v>16</v>
      </c>
      <c r="E4005" s="10">
        <v>3.1250000000000002E-3</v>
      </c>
      <c r="F4005" s="7" t="s">
        <v>179</v>
      </c>
      <c r="G4005" s="9">
        <v>270</v>
      </c>
      <c r="H4005" s="9">
        <f t="shared" si="124"/>
        <v>0.84375</v>
      </c>
      <c r="I4005" t="s">
        <v>179</v>
      </c>
      <c r="J4005" s="33" t="s">
        <v>491</v>
      </c>
      <c r="K4005" s="18">
        <f>VLOOKUP(D4005,Ingredients!C:G,5,0)</f>
        <v>310</v>
      </c>
      <c r="L4005" s="52">
        <f t="shared" si="125"/>
        <v>0.96875</v>
      </c>
    </row>
    <row r="4006" spans="1:12">
      <c r="A4006" t="s">
        <v>108</v>
      </c>
      <c r="B4006" t="s">
        <v>349</v>
      </c>
      <c r="C4006" t="s">
        <v>351</v>
      </c>
      <c r="D4006" s="3" t="s">
        <v>853</v>
      </c>
      <c r="E4006" s="10">
        <v>8.7500000000000008E-3</v>
      </c>
      <c r="F4006" s="7" t="s">
        <v>179</v>
      </c>
      <c r="G4006" s="9">
        <v>30</v>
      </c>
      <c r="H4006" s="9">
        <f t="shared" si="124"/>
        <v>0.26250000000000001</v>
      </c>
      <c r="I4006" t="s">
        <v>179</v>
      </c>
      <c r="J4006" s="33" t="s">
        <v>491</v>
      </c>
      <c r="K4006" s="18">
        <f>VLOOKUP(D4006,Ingredients!C:G,5,0)</f>
        <v>55</v>
      </c>
      <c r="L4006" s="52">
        <f t="shared" si="125"/>
        <v>0.48125000000000007</v>
      </c>
    </row>
    <row r="4007" spans="1:12">
      <c r="A4007" t="s">
        <v>108</v>
      </c>
      <c r="B4007" t="s">
        <v>349</v>
      </c>
      <c r="C4007" t="s">
        <v>351</v>
      </c>
      <c r="D4007" s="3" t="s">
        <v>867</v>
      </c>
      <c r="E4007" s="10">
        <v>8.7500000000000008E-3</v>
      </c>
      <c r="F4007" s="7" t="s">
        <v>179</v>
      </c>
      <c r="G4007" s="9">
        <v>900</v>
      </c>
      <c r="H4007" s="9">
        <f t="shared" si="124"/>
        <v>7.8750000000000009</v>
      </c>
      <c r="I4007" t="s">
        <v>179</v>
      </c>
      <c r="J4007" s="33" t="s">
        <v>491</v>
      </c>
      <c r="K4007" s="18">
        <f>VLOOKUP(D4007,Ingredients!C:G,5,0)</f>
        <v>950</v>
      </c>
      <c r="L4007" s="52">
        <f t="shared" si="125"/>
        <v>8.3125</v>
      </c>
    </row>
    <row r="4008" spans="1:12">
      <c r="A4008" t="s">
        <v>108</v>
      </c>
      <c r="B4008" t="s">
        <v>349</v>
      </c>
      <c r="C4008" t="s">
        <v>351</v>
      </c>
      <c r="D4008" s="3" t="s">
        <v>849</v>
      </c>
      <c r="E4008" s="10">
        <v>3.7499999999999999E-3</v>
      </c>
      <c r="F4008" s="7" t="s">
        <v>179</v>
      </c>
      <c r="G4008" s="9">
        <v>1000</v>
      </c>
      <c r="H4008" s="9">
        <f t="shared" si="124"/>
        <v>3.75</v>
      </c>
      <c r="I4008" t="s">
        <v>179</v>
      </c>
      <c r="J4008" s="33" t="s">
        <v>491</v>
      </c>
      <c r="K4008" s="18">
        <f>VLOOKUP(D4008,Ingredients!C:G,5,0)</f>
        <v>950</v>
      </c>
      <c r="L4008" s="52">
        <f t="shared" si="125"/>
        <v>3.5625</v>
      </c>
    </row>
    <row r="4009" spans="1:12">
      <c r="A4009" t="s">
        <v>108</v>
      </c>
      <c r="B4009" t="s">
        <v>349</v>
      </c>
      <c r="C4009" t="s">
        <v>351</v>
      </c>
      <c r="D4009" s="3" t="s">
        <v>852</v>
      </c>
      <c r="E4009" s="10">
        <v>3.7499999999999999E-3</v>
      </c>
      <c r="F4009" s="7" t="s">
        <v>179</v>
      </c>
      <c r="G4009" s="9">
        <v>520.63</v>
      </c>
      <c r="H4009" s="9">
        <f t="shared" si="124"/>
        <v>1.9523625</v>
      </c>
      <c r="I4009" t="s">
        <v>179</v>
      </c>
      <c r="J4009" s="33" t="s">
        <v>491</v>
      </c>
      <c r="K4009" s="18">
        <v>550</v>
      </c>
      <c r="L4009" s="52">
        <f t="shared" si="125"/>
        <v>2.0625</v>
      </c>
    </row>
    <row r="4010" spans="1:12">
      <c r="A4010" t="s">
        <v>108</v>
      </c>
      <c r="B4010" t="s">
        <v>349</v>
      </c>
      <c r="C4010" t="s">
        <v>351</v>
      </c>
      <c r="D4010" s="3" t="s">
        <v>874</v>
      </c>
      <c r="E4010" s="10">
        <v>2.5000000000000001E-2</v>
      </c>
      <c r="F4010" s="7" t="s">
        <v>176</v>
      </c>
      <c r="G4010" s="9">
        <v>110</v>
      </c>
      <c r="H4010" s="9">
        <f t="shared" si="124"/>
        <v>2.75</v>
      </c>
      <c r="I4010" t="s">
        <v>179</v>
      </c>
      <c r="J4010" s="33" t="s">
        <v>491</v>
      </c>
      <c r="K4010" s="18">
        <f>VLOOKUP(D4010,Ingredients!C:G,5,0)</f>
        <v>179</v>
      </c>
      <c r="L4010" s="52">
        <f t="shared" si="125"/>
        <v>4.4750000000000005</v>
      </c>
    </row>
    <row r="4011" spans="1:12">
      <c r="A4011" t="s">
        <v>108</v>
      </c>
      <c r="B4011" t="s">
        <v>349</v>
      </c>
      <c r="C4011" t="s">
        <v>351</v>
      </c>
      <c r="D4011" s="3" t="s">
        <v>186</v>
      </c>
      <c r="E4011" s="10">
        <v>2.5000000000000001E-2</v>
      </c>
      <c r="F4011" s="7" t="s">
        <v>176</v>
      </c>
      <c r="G4011" s="9">
        <v>1500</v>
      </c>
      <c r="H4011" s="9">
        <f t="shared" si="124"/>
        <v>37.5</v>
      </c>
      <c r="I4011" t="s">
        <v>179</v>
      </c>
      <c r="J4011" s="33" t="s">
        <v>491</v>
      </c>
      <c r="K4011" s="18">
        <f>VLOOKUP(D4011,Ingredients!C:G,5,0)</f>
        <v>1400</v>
      </c>
      <c r="L4011" s="52">
        <f t="shared" si="125"/>
        <v>35</v>
      </c>
    </row>
    <row r="4012" spans="1:12">
      <c r="A4012" t="s">
        <v>108</v>
      </c>
      <c r="B4012" t="s">
        <v>349</v>
      </c>
      <c r="C4012" t="s">
        <v>351</v>
      </c>
      <c r="D4012" s="3" t="s">
        <v>16</v>
      </c>
      <c r="E4012" s="10">
        <v>6.2500000000000003E-3</v>
      </c>
      <c r="F4012" s="7" t="s">
        <v>176</v>
      </c>
      <c r="G4012" s="9">
        <v>270</v>
      </c>
      <c r="H4012" s="9">
        <f t="shared" si="124"/>
        <v>1.6875</v>
      </c>
      <c r="I4012" t="s">
        <v>179</v>
      </c>
      <c r="J4012" s="33" t="s">
        <v>491</v>
      </c>
      <c r="K4012" s="18">
        <f>VLOOKUP(D4012,Ingredients!C:G,5,0)</f>
        <v>310</v>
      </c>
      <c r="L4012" s="52">
        <f t="shared" si="125"/>
        <v>1.9375</v>
      </c>
    </row>
    <row r="4013" spans="1:12">
      <c r="A4013" t="s">
        <v>108</v>
      </c>
      <c r="B4013" t="s">
        <v>349</v>
      </c>
      <c r="C4013" t="s">
        <v>351</v>
      </c>
      <c r="D4013" s="3" t="s">
        <v>852</v>
      </c>
      <c r="E4013" s="10">
        <v>3.7499999999999999E-3</v>
      </c>
      <c r="F4013" s="7" t="s">
        <v>176</v>
      </c>
      <c r="G4013" s="9">
        <v>520.63</v>
      </c>
      <c r="H4013" s="9">
        <f t="shared" si="124"/>
        <v>1.9523625</v>
      </c>
      <c r="I4013" t="s">
        <v>179</v>
      </c>
      <c r="J4013" s="33" t="s">
        <v>491</v>
      </c>
      <c r="K4013" s="18">
        <v>550</v>
      </c>
      <c r="L4013" s="52">
        <f t="shared" si="125"/>
        <v>2.0625</v>
      </c>
    </row>
    <row r="4014" spans="1:12">
      <c r="A4014" t="s">
        <v>1004</v>
      </c>
      <c r="B4014" t="s">
        <v>346</v>
      </c>
      <c r="C4014" t="s">
        <v>353</v>
      </c>
      <c r="D4014" s="3" t="s">
        <v>884</v>
      </c>
      <c r="E4014" s="4">
        <v>1</v>
      </c>
      <c r="F4014" s="4" t="s">
        <v>176</v>
      </c>
      <c r="G4014" s="9">
        <v>344</v>
      </c>
      <c r="H4014" s="9">
        <f t="shared" si="124"/>
        <v>344</v>
      </c>
      <c r="I4014" t="s">
        <v>179</v>
      </c>
      <c r="J4014" s="33">
        <v>0</v>
      </c>
      <c r="K4014" s="18">
        <f>VLOOKUP(D4014,Ingredients!C:G,5,0)</f>
        <v>344</v>
      </c>
      <c r="L4014" s="52">
        <f t="shared" si="125"/>
        <v>344</v>
      </c>
    </row>
    <row r="4015" spans="1:12">
      <c r="A4015" t="s">
        <v>1004</v>
      </c>
      <c r="B4015" t="s">
        <v>346</v>
      </c>
      <c r="C4015" t="s">
        <v>353</v>
      </c>
      <c r="D4015" s="3" t="s">
        <v>852</v>
      </c>
      <c r="E4015" s="4">
        <v>0.05</v>
      </c>
      <c r="F4015" s="4" t="s">
        <v>190</v>
      </c>
      <c r="G4015" s="9">
        <v>520.63</v>
      </c>
      <c r="H4015" s="9">
        <f t="shared" si="124"/>
        <v>26.031500000000001</v>
      </c>
      <c r="I4015" t="s">
        <v>179</v>
      </c>
      <c r="J4015" s="33">
        <v>0</v>
      </c>
      <c r="K4015" s="18">
        <v>550</v>
      </c>
      <c r="L4015" s="52">
        <f t="shared" si="125"/>
        <v>27.5</v>
      </c>
    </row>
    <row r="4016" spans="1:12">
      <c r="A4016" t="s">
        <v>1004</v>
      </c>
      <c r="B4016" t="s">
        <v>346</v>
      </c>
      <c r="C4016" t="s">
        <v>353</v>
      </c>
      <c r="D4016" s="3" t="s">
        <v>855</v>
      </c>
      <c r="E4016" s="4">
        <v>2.2499999999999999E-2</v>
      </c>
      <c r="F4016" s="4" t="s">
        <v>176</v>
      </c>
      <c r="G4016" s="9">
        <v>2400</v>
      </c>
      <c r="H4016" s="9">
        <f t="shared" si="124"/>
        <v>54</v>
      </c>
      <c r="I4016" t="s">
        <v>179</v>
      </c>
      <c r="J4016" s="33">
        <v>0</v>
      </c>
      <c r="K4016" s="18">
        <f>VLOOKUP(D4016,Ingredients!C:G,5,0)</f>
        <v>1600</v>
      </c>
      <c r="L4016" s="52">
        <f t="shared" si="125"/>
        <v>36</v>
      </c>
    </row>
    <row r="4017" spans="1:12">
      <c r="A4017" t="s">
        <v>1004</v>
      </c>
      <c r="B4017" t="s">
        <v>346</v>
      </c>
      <c r="C4017" t="s">
        <v>353</v>
      </c>
      <c r="D4017" s="3" t="s">
        <v>24</v>
      </c>
      <c r="E4017" s="4">
        <v>0.3125</v>
      </c>
      <c r="F4017" s="4" t="s">
        <v>176</v>
      </c>
      <c r="G4017" s="9">
        <v>55</v>
      </c>
      <c r="H4017" s="9">
        <f t="shared" si="124"/>
        <v>17.1875</v>
      </c>
      <c r="I4017" t="s">
        <v>179</v>
      </c>
      <c r="J4017" s="33">
        <v>0</v>
      </c>
      <c r="K4017" s="18">
        <f>VLOOKUP(D4017,Ingredients!C:G,5,0)</f>
        <v>80</v>
      </c>
      <c r="L4017" s="52">
        <f t="shared" si="125"/>
        <v>25</v>
      </c>
    </row>
    <row r="4018" spans="1:12">
      <c r="A4018" t="s">
        <v>1004</v>
      </c>
      <c r="B4018" t="s">
        <v>346</v>
      </c>
      <c r="C4018" t="s">
        <v>353</v>
      </c>
      <c r="D4018" s="3" t="s">
        <v>867</v>
      </c>
      <c r="E4018" s="4">
        <v>0.02</v>
      </c>
      <c r="F4018" s="4" t="s">
        <v>176</v>
      </c>
      <c r="G4018" s="9">
        <v>900</v>
      </c>
      <c r="H4018" s="9">
        <f t="shared" si="124"/>
        <v>18</v>
      </c>
      <c r="I4018" t="s">
        <v>179</v>
      </c>
      <c r="J4018" s="33">
        <v>0</v>
      </c>
      <c r="K4018" s="18">
        <f>VLOOKUP(D4018,Ingredients!C:G,5,0)</f>
        <v>950</v>
      </c>
      <c r="L4018" s="52">
        <f t="shared" si="125"/>
        <v>19</v>
      </c>
    </row>
    <row r="4019" spans="1:12">
      <c r="A4019" t="s">
        <v>1004</v>
      </c>
      <c r="B4019" t="s">
        <v>346</v>
      </c>
      <c r="C4019" t="s">
        <v>353</v>
      </c>
      <c r="D4019" s="3" t="s">
        <v>880</v>
      </c>
      <c r="E4019" s="4">
        <v>0.02</v>
      </c>
      <c r="F4019" s="4" t="s">
        <v>176</v>
      </c>
      <c r="G4019" s="9">
        <v>650</v>
      </c>
      <c r="H4019" s="9">
        <f t="shared" si="124"/>
        <v>13</v>
      </c>
      <c r="I4019" t="s">
        <v>179</v>
      </c>
      <c r="J4019" s="33">
        <v>0</v>
      </c>
      <c r="K4019" s="18">
        <f>VLOOKUP(D4019,Ingredients!C:G,5,0)</f>
        <v>520</v>
      </c>
      <c r="L4019" s="52">
        <f t="shared" si="125"/>
        <v>10.4</v>
      </c>
    </row>
    <row r="4020" spans="1:12">
      <c r="A4020" t="s">
        <v>1004</v>
      </c>
      <c r="B4020" t="s">
        <v>346</v>
      </c>
      <c r="C4020" t="s">
        <v>353</v>
      </c>
      <c r="D4020" s="3" t="s">
        <v>28</v>
      </c>
      <c r="E4020" s="4">
        <v>0.3</v>
      </c>
      <c r="F4020" s="4" t="s">
        <v>176</v>
      </c>
      <c r="G4020" s="9">
        <v>85</v>
      </c>
      <c r="H4020" s="9">
        <f t="shared" si="124"/>
        <v>25.5</v>
      </c>
      <c r="I4020" t="s">
        <v>179</v>
      </c>
      <c r="J4020" s="33">
        <v>0</v>
      </c>
      <c r="K4020" s="18">
        <f>VLOOKUP(D4020,Ingredients!C:G,5,0)</f>
        <v>70</v>
      </c>
      <c r="L4020" s="52">
        <f t="shared" si="125"/>
        <v>21</v>
      </c>
    </row>
    <row r="4021" spans="1:12">
      <c r="A4021" t="s">
        <v>1004</v>
      </c>
      <c r="B4021" t="s">
        <v>346</v>
      </c>
      <c r="C4021" t="s">
        <v>353</v>
      </c>
      <c r="D4021" s="3" t="s">
        <v>171</v>
      </c>
      <c r="E4021" s="4">
        <v>0.4</v>
      </c>
      <c r="F4021" s="4" t="s">
        <v>176</v>
      </c>
      <c r="G4021" s="9">
        <v>65</v>
      </c>
      <c r="H4021" s="9">
        <f t="shared" si="124"/>
        <v>26</v>
      </c>
      <c r="I4021" t="s">
        <v>179</v>
      </c>
      <c r="J4021" s="33">
        <v>0</v>
      </c>
      <c r="K4021" s="18">
        <f>VLOOKUP(D4021,Ingredients!C:G,5,0)</f>
        <v>80</v>
      </c>
      <c r="L4021" s="52">
        <f t="shared" si="125"/>
        <v>32</v>
      </c>
    </row>
    <row r="4022" spans="1:12">
      <c r="A4022" t="s">
        <v>1004</v>
      </c>
      <c r="B4022" t="s">
        <v>346</v>
      </c>
      <c r="C4022" t="s">
        <v>353</v>
      </c>
      <c r="D4022" s="3" t="s">
        <v>29</v>
      </c>
      <c r="E4022" s="4">
        <v>2.5000000000000001E-2</v>
      </c>
      <c r="F4022" s="4" t="s">
        <v>176</v>
      </c>
      <c r="G4022" s="9">
        <v>60</v>
      </c>
      <c r="H4022" s="9">
        <f t="shared" si="124"/>
        <v>1.5</v>
      </c>
      <c r="I4022" t="s">
        <v>179</v>
      </c>
      <c r="J4022" s="33">
        <v>0</v>
      </c>
      <c r="K4022" s="18">
        <f>VLOOKUP(D4022,Ingredients!C:G,5,0)</f>
        <v>100</v>
      </c>
      <c r="L4022" s="52">
        <f t="shared" si="125"/>
        <v>2.5</v>
      </c>
    </row>
    <row r="4023" spans="1:12">
      <c r="A4023" t="s">
        <v>1004</v>
      </c>
      <c r="B4023" t="s">
        <v>346</v>
      </c>
      <c r="C4023" t="s">
        <v>353</v>
      </c>
      <c r="D4023" s="3" t="s">
        <v>23</v>
      </c>
      <c r="E4023" s="4">
        <v>0.02</v>
      </c>
      <c r="F4023" s="4" t="s">
        <v>176</v>
      </c>
      <c r="G4023" s="9">
        <v>740</v>
      </c>
      <c r="H4023" s="9">
        <f t="shared" si="124"/>
        <v>14.8</v>
      </c>
      <c r="I4023" t="s">
        <v>179</v>
      </c>
      <c r="J4023" s="33">
        <v>0</v>
      </c>
      <c r="K4023" s="18">
        <f>VLOOKUP(D4023,Ingredients!C:G,5,0)</f>
        <v>780</v>
      </c>
      <c r="L4023" s="52">
        <f t="shared" si="125"/>
        <v>15.6</v>
      </c>
    </row>
    <row r="4024" spans="1:12">
      <c r="A4024" t="s">
        <v>1004</v>
      </c>
      <c r="B4024" t="s">
        <v>346</v>
      </c>
      <c r="C4024" t="s">
        <v>353</v>
      </c>
      <c r="D4024" s="3" t="s">
        <v>16</v>
      </c>
      <c r="E4024" s="4">
        <v>0.02</v>
      </c>
      <c r="F4024" s="4" t="s">
        <v>176</v>
      </c>
      <c r="G4024" s="9">
        <v>270</v>
      </c>
      <c r="H4024" s="9">
        <f t="shared" si="124"/>
        <v>5.4</v>
      </c>
      <c r="I4024" t="s">
        <v>179</v>
      </c>
      <c r="J4024" s="33">
        <v>0</v>
      </c>
      <c r="K4024" s="18">
        <f>VLOOKUP(D4024,Ingredients!C:G,5,0)</f>
        <v>310</v>
      </c>
      <c r="L4024" s="52">
        <f t="shared" si="125"/>
        <v>6.2</v>
      </c>
    </row>
    <row r="4025" spans="1:12">
      <c r="A4025" t="s">
        <v>1005</v>
      </c>
      <c r="B4025" t="s">
        <v>346</v>
      </c>
      <c r="C4025" t="s">
        <v>353</v>
      </c>
      <c r="D4025" s="3" t="s">
        <v>884</v>
      </c>
      <c r="E4025" s="4">
        <v>1</v>
      </c>
      <c r="F4025" s="4" t="s">
        <v>176</v>
      </c>
      <c r="G4025" s="9">
        <v>344</v>
      </c>
      <c r="H4025" s="9">
        <f t="shared" si="124"/>
        <v>344</v>
      </c>
      <c r="I4025" t="s">
        <v>179</v>
      </c>
      <c r="J4025" s="33">
        <v>0</v>
      </c>
      <c r="K4025" s="18">
        <f>VLOOKUP(D4025,Ingredients!C:G,5,0)</f>
        <v>344</v>
      </c>
      <c r="L4025" s="52">
        <f t="shared" si="125"/>
        <v>344</v>
      </c>
    </row>
    <row r="4026" spans="1:12">
      <c r="A4026" t="s">
        <v>1005</v>
      </c>
      <c r="B4026" t="s">
        <v>346</v>
      </c>
      <c r="C4026" t="s">
        <v>353</v>
      </c>
      <c r="D4026" s="3" t="s">
        <v>852</v>
      </c>
      <c r="E4026" s="4">
        <v>0.125</v>
      </c>
      <c r="F4026" s="4" t="s">
        <v>176</v>
      </c>
      <c r="G4026" s="9">
        <v>520.63</v>
      </c>
      <c r="H4026" s="9">
        <f t="shared" si="124"/>
        <v>65.078749999999999</v>
      </c>
      <c r="I4026" t="s">
        <v>179</v>
      </c>
      <c r="J4026" s="33">
        <v>0</v>
      </c>
      <c r="K4026" s="18">
        <v>550</v>
      </c>
      <c r="L4026" s="52">
        <f t="shared" si="125"/>
        <v>68.75</v>
      </c>
    </row>
    <row r="4027" spans="1:12">
      <c r="A4027" t="s">
        <v>1005</v>
      </c>
      <c r="B4027" t="s">
        <v>346</v>
      </c>
      <c r="C4027" t="s">
        <v>353</v>
      </c>
      <c r="D4027" s="3" t="s">
        <v>24</v>
      </c>
      <c r="E4027" s="4">
        <v>0.375</v>
      </c>
      <c r="F4027" s="4" t="s">
        <v>176</v>
      </c>
      <c r="G4027" s="9">
        <v>55</v>
      </c>
      <c r="H4027" s="9">
        <f t="shared" si="124"/>
        <v>20.625</v>
      </c>
      <c r="I4027" t="s">
        <v>179</v>
      </c>
      <c r="J4027" s="33">
        <v>0</v>
      </c>
      <c r="K4027" s="18">
        <f>VLOOKUP(D4027,Ingredients!C:G,5,0)</f>
        <v>80</v>
      </c>
      <c r="L4027" s="52">
        <f t="shared" si="125"/>
        <v>30</v>
      </c>
    </row>
    <row r="4028" spans="1:12">
      <c r="A4028" t="s">
        <v>1005</v>
      </c>
      <c r="B4028" t="s">
        <v>346</v>
      </c>
      <c r="C4028" t="s">
        <v>353</v>
      </c>
      <c r="D4028" s="3" t="s">
        <v>855</v>
      </c>
      <c r="E4028" s="4">
        <v>0.03</v>
      </c>
      <c r="F4028" s="4" t="s">
        <v>176</v>
      </c>
      <c r="G4028" s="9">
        <v>2400</v>
      </c>
      <c r="H4028" s="9">
        <f t="shared" ref="H4028:H4091" si="126">G4028*E4028</f>
        <v>72</v>
      </c>
      <c r="I4028" t="s">
        <v>179</v>
      </c>
      <c r="J4028" s="33">
        <v>0</v>
      </c>
      <c r="K4028" s="18">
        <f>VLOOKUP(D4028,Ingredients!C:G,5,0)</f>
        <v>1600</v>
      </c>
      <c r="L4028" s="52">
        <f t="shared" si="125"/>
        <v>48</v>
      </c>
    </row>
    <row r="4029" spans="1:12">
      <c r="A4029" t="s">
        <v>1005</v>
      </c>
      <c r="B4029" t="s">
        <v>346</v>
      </c>
      <c r="C4029" t="s">
        <v>353</v>
      </c>
      <c r="D4029" s="3" t="s">
        <v>853</v>
      </c>
      <c r="E4029" s="4">
        <v>4.4999999999999998E-2</v>
      </c>
      <c r="F4029" s="4" t="s">
        <v>176</v>
      </c>
      <c r="G4029" s="9">
        <v>30</v>
      </c>
      <c r="H4029" s="9">
        <f t="shared" si="126"/>
        <v>1.3499999999999999</v>
      </c>
      <c r="I4029" t="s">
        <v>179</v>
      </c>
      <c r="J4029" s="33">
        <v>0</v>
      </c>
      <c r="K4029" s="18">
        <f>VLOOKUP(D4029,Ingredients!C:G,5,0)</f>
        <v>55</v>
      </c>
      <c r="L4029" s="52">
        <f t="shared" si="125"/>
        <v>2.4750000000000001</v>
      </c>
    </row>
    <row r="4030" spans="1:12">
      <c r="A4030" t="s">
        <v>1005</v>
      </c>
      <c r="B4030" t="s">
        <v>346</v>
      </c>
      <c r="C4030" t="s">
        <v>353</v>
      </c>
      <c r="D4030" s="3" t="s">
        <v>955</v>
      </c>
      <c r="E4030" s="4">
        <v>1.2E-2</v>
      </c>
      <c r="F4030" s="4" t="s">
        <v>176</v>
      </c>
      <c r="G4030" s="9">
        <v>3600</v>
      </c>
      <c r="H4030" s="9">
        <f t="shared" si="126"/>
        <v>43.2</v>
      </c>
      <c r="I4030" t="s">
        <v>179</v>
      </c>
      <c r="J4030" s="33">
        <v>0</v>
      </c>
      <c r="K4030" s="18">
        <f>VLOOKUP(D4030,Ingredients!C:G,5,0)</f>
        <v>3400</v>
      </c>
      <c r="L4030" s="52">
        <f t="shared" si="125"/>
        <v>40.800000000000004</v>
      </c>
    </row>
    <row r="4031" spans="1:12">
      <c r="A4031" t="s">
        <v>1005</v>
      </c>
      <c r="B4031" t="s">
        <v>346</v>
      </c>
      <c r="C4031" t="s">
        <v>353</v>
      </c>
      <c r="D4031" s="3" t="s">
        <v>931</v>
      </c>
      <c r="E4031" s="4">
        <v>0.01</v>
      </c>
      <c r="F4031" s="4" t="s">
        <v>176</v>
      </c>
      <c r="G4031" s="9">
        <v>4000</v>
      </c>
      <c r="H4031" s="9">
        <f t="shared" si="126"/>
        <v>40</v>
      </c>
      <c r="I4031" t="s">
        <v>179</v>
      </c>
      <c r="J4031" s="33">
        <v>0</v>
      </c>
      <c r="K4031" s="18">
        <f>VLOOKUP(D4031,Ingredients!C:G,5,0)</f>
        <v>2900</v>
      </c>
      <c r="L4031" s="52">
        <f t="shared" si="125"/>
        <v>29</v>
      </c>
    </row>
    <row r="4032" spans="1:12">
      <c r="A4032" t="s">
        <v>1005</v>
      </c>
      <c r="B4032" t="s">
        <v>346</v>
      </c>
      <c r="C4032" t="s">
        <v>353</v>
      </c>
      <c r="D4032" s="3" t="s">
        <v>928</v>
      </c>
      <c r="E4032" s="4">
        <v>7.4999999999999997E-3</v>
      </c>
      <c r="F4032" s="4" t="s">
        <v>176</v>
      </c>
      <c r="G4032" s="9">
        <v>850</v>
      </c>
      <c r="H4032" s="9">
        <f t="shared" si="126"/>
        <v>6.375</v>
      </c>
      <c r="I4032" t="s">
        <v>179</v>
      </c>
      <c r="J4032" s="33">
        <v>0</v>
      </c>
      <c r="K4032" s="18">
        <f>VLOOKUP(D4032,Ingredients!C:G,5,0)</f>
        <v>900</v>
      </c>
      <c r="L4032" s="52">
        <f t="shared" si="125"/>
        <v>6.75</v>
      </c>
    </row>
    <row r="4033" spans="1:12">
      <c r="A4033" t="s">
        <v>1005</v>
      </c>
      <c r="B4033" t="s">
        <v>346</v>
      </c>
      <c r="C4033" t="s">
        <v>353</v>
      </c>
      <c r="D4033" s="3" t="s">
        <v>29</v>
      </c>
      <c r="E4033" s="4">
        <v>2.5000000000000001E-2</v>
      </c>
      <c r="F4033" s="4" t="s">
        <v>176</v>
      </c>
      <c r="G4033" s="9">
        <v>60</v>
      </c>
      <c r="H4033" s="9">
        <f t="shared" si="126"/>
        <v>1.5</v>
      </c>
      <c r="I4033" t="s">
        <v>179</v>
      </c>
      <c r="J4033" s="33">
        <v>0</v>
      </c>
      <c r="K4033" s="18">
        <f>VLOOKUP(D4033,Ingredients!C:G,5,0)</f>
        <v>100</v>
      </c>
      <c r="L4033" s="52">
        <f t="shared" si="125"/>
        <v>2.5</v>
      </c>
    </row>
    <row r="4034" spans="1:12">
      <c r="A4034" t="s">
        <v>1005</v>
      </c>
      <c r="B4034" t="s">
        <v>346</v>
      </c>
      <c r="C4034" t="s">
        <v>353</v>
      </c>
      <c r="D4034" s="3" t="s">
        <v>922</v>
      </c>
      <c r="E4034" s="4">
        <v>0.5</v>
      </c>
      <c r="F4034" s="4" t="s">
        <v>176</v>
      </c>
      <c r="G4034" s="9">
        <v>300</v>
      </c>
      <c r="H4034" s="9">
        <f t="shared" si="126"/>
        <v>150</v>
      </c>
      <c r="I4034" t="s">
        <v>179</v>
      </c>
      <c r="J4034" s="33">
        <v>0</v>
      </c>
      <c r="K4034" s="18">
        <f>VLOOKUP(D4034,Ingredients!C:G,5,0)</f>
        <v>315</v>
      </c>
      <c r="L4034" s="52">
        <f t="shared" si="125"/>
        <v>157.5</v>
      </c>
    </row>
    <row r="4035" spans="1:12">
      <c r="A4035" t="s">
        <v>1005</v>
      </c>
      <c r="B4035" t="s">
        <v>346</v>
      </c>
      <c r="C4035" t="s">
        <v>353</v>
      </c>
      <c r="D4035" s="3" t="s">
        <v>23</v>
      </c>
      <c r="E4035" s="4">
        <v>1.7500000000000002E-2</v>
      </c>
      <c r="F4035" s="4" t="s">
        <v>176</v>
      </c>
      <c r="G4035" s="9">
        <v>740</v>
      </c>
      <c r="H4035" s="9">
        <f t="shared" si="126"/>
        <v>12.950000000000001</v>
      </c>
      <c r="I4035" t="s">
        <v>179</v>
      </c>
      <c r="J4035" s="33">
        <v>0</v>
      </c>
      <c r="K4035" s="18">
        <f>VLOOKUP(D4035,Ingredients!C:G,5,0)</f>
        <v>780</v>
      </c>
      <c r="L4035" s="52">
        <f t="shared" si="125"/>
        <v>13.650000000000002</v>
      </c>
    </row>
    <row r="4036" spans="1:12">
      <c r="A4036" t="s">
        <v>1005</v>
      </c>
      <c r="B4036" t="s">
        <v>346</v>
      </c>
      <c r="C4036" t="s">
        <v>353</v>
      </c>
      <c r="D4036" s="3" t="s">
        <v>16</v>
      </c>
      <c r="E4036" s="4">
        <v>1.7500000000000002E-2</v>
      </c>
      <c r="F4036" s="4" t="s">
        <v>176</v>
      </c>
      <c r="G4036" s="9">
        <v>270</v>
      </c>
      <c r="H4036" s="9">
        <f t="shared" si="126"/>
        <v>4.7250000000000005</v>
      </c>
      <c r="I4036" t="s">
        <v>179</v>
      </c>
      <c r="J4036" s="33">
        <v>0</v>
      </c>
      <c r="K4036" s="18">
        <f>VLOOKUP(D4036,Ingredients!C:G,5,0)</f>
        <v>310</v>
      </c>
      <c r="L4036" s="52">
        <f t="shared" ref="L4036:L4071" si="127">K4036*E4036</f>
        <v>5.4250000000000007</v>
      </c>
    </row>
    <row r="4037" spans="1:12">
      <c r="A4037" t="s">
        <v>1006</v>
      </c>
      <c r="B4037" t="s">
        <v>362</v>
      </c>
      <c r="C4037" t="s">
        <v>354</v>
      </c>
      <c r="D4037" s="3" t="s">
        <v>14</v>
      </c>
      <c r="E4037" s="4">
        <v>0.3</v>
      </c>
      <c r="F4037" s="4" t="s">
        <v>176</v>
      </c>
      <c r="G4037" s="9">
        <v>120</v>
      </c>
      <c r="H4037" s="9">
        <f t="shared" si="126"/>
        <v>36</v>
      </c>
      <c r="I4037" t="s">
        <v>179</v>
      </c>
      <c r="J4037" s="33">
        <v>0</v>
      </c>
      <c r="K4037" s="18">
        <f>VLOOKUP(D4037,Ingredients!C:G,5,0)</f>
        <v>60</v>
      </c>
      <c r="L4037" s="52">
        <f t="shared" si="127"/>
        <v>18</v>
      </c>
    </row>
    <row r="4038" spans="1:12">
      <c r="A4038" t="s">
        <v>1006</v>
      </c>
      <c r="B4038" t="s">
        <v>362</v>
      </c>
      <c r="C4038" t="s">
        <v>354</v>
      </c>
      <c r="D4038" s="3" t="s">
        <v>502</v>
      </c>
      <c r="E4038" s="4">
        <v>0.26</v>
      </c>
      <c r="F4038" s="4" t="s">
        <v>176</v>
      </c>
      <c r="G4038" s="9">
        <v>500</v>
      </c>
      <c r="H4038" s="9">
        <f t="shared" si="126"/>
        <v>130</v>
      </c>
      <c r="I4038" t="s">
        <v>179</v>
      </c>
      <c r="J4038" s="33">
        <v>0</v>
      </c>
      <c r="K4038" s="18">
        <f>VLOOKUP(D4038,Ingredients!C:G,5,0)</f>
        <v>130</v>
      </c>
      <c r="L4038" s="52">
        <f t="shared" si="127"/>
        <v>33.800000000000004</v>
      </c>
    </row>
    <row r="4039" spans="1:12">
      <c r="A4039" t="s">
        <v>1006</v>
      </c>
      <c r="B4039" t="s">
        <v>362</v>
      </c>
      <c r="C4039" t="s">
        <v>354</v>
      </c>
      <c r="D4039" s="3" t="s">
        <v>1008</v>
      </c>
      <c r="E4039" s="4">
        <v>0.24</v>
      </c>
      <c r="F4039" s="4" t="s">
        <v>176</v>
      </c>
      <c r="G4039" s="9">
        <v>4500</v>
      </c>
      <c r="H4039" s="9">
        <f t="shared" si="126"/>
        <v>1080</v>
      </c>
      <c r="I4039" t="s">
        <v>179</v>
      </c>
      <c r="J4039" s="33">
        <v>0</v>
      </c>
      <c r="K4039" s="18">
        <f>VLOOKUP(D4039,Ingredients!C:G,5,0)</f>
        <v>4500</v>
      </c>
      <c r="L4039" s="52">
        <f t="shared" si="127"/>
        <v>1080</v>
      </c>
    </row>
    <row r="4040" spans="1:12">
      <c r="A4040" t="s">
        <v>1006</v>
      </c>
      <c r="B4040" t="s">
        <v>362</v>
      </c>
      <c r="C4040" t="s">
        <v>354</v>
      </c>
      <c r="D4040" s="3" t="s">
        <v>889</v>
      </c>
      <c r="E4040" s="4">
        <v>0.22</v>
      </c>
      <c r="F4040" s="4" t="s">
        <v>176</v>
      </c>
      <c r="G4040" s="9">
        <v>1648.3235294117644</v>
      </c>
      <c r="H4040" s="9">
        <f t="shared" si="126"/>
        <v>362.63117647058817</v>
      </c>
      <c r="I4040" t="s">
        <v>179</v>
      </c>
      <c r="J4040" s="33">
        <v>0</v>
      </c>
      <c r="K4040" s="18">
        <f>VLOOKUP(D4040,Ingredients!C:F,3,0)</f>
        <v>560.42999999999995</v>
      </c>
      <c r="L4040" s="52">
        <f t="shared" si="127"/>
        <v>123.29459999999999</v>
      </c>
    </row>
    <row r="4041" spans="1:12">
      <c r="A4041" t="s">
        <v>1006</v>
      </c>
      <c r="B4041" t="s">
        <v>362</v>
      </c>
      <c r="C4041" t="s">
        <v>354</v>
      </c>
      <c r="D4041" s="3" t="s">
        <v>24</v>
      </c>
      <c r="E4041" s="4">
        <v>0.06</v>
      </c>
      <c r="F4041" s="4" t="s">
        <v>176</v>
      </c>
      <c r="G4041" s="9">
        <v>55</v>
      </c>
      <c r="H4041" s="9">
        <f t="shared" si="126"/>
        <v>3.3</v>
      </c>
      <c r="I4041" t="s">
        <v>179</v>
      </c>
      <c r="J4041" s="33">
        <v>0</v>
      </c>
      <c r="K4041" s="18">
        <f>VLOOKUP(D4041,Ingredients!C:G,5,0)</f>
        <v>80</v>
      </c>
      <c r="L4041" s="52">
        <f t="shared" si="127"/>
        <v>4.8</v>
      </c>
    </row>
    <row r="4042" spans="1:12">
      <c r="A4042" t="s">
        <v>1006</v>
      </c>
      <c r="B4042" t="s">
        <v>362</v>
      </c>
      <c r="C4042" t="s">
        <v>354</v>
      </c>
      <c r="D4042" s="3" t="s">
        <v>896</v>
      </c>
      <c r="E4042" s="4">
        <v>0.11</v>
      </c>
      <c r="F4042" s="4" t="s">
        <v>176</v>
      </c>
      <c r="G4042" s="9">
        <v>330</v>
      </c>
      <c r="H4042" s="9">
        <f t="shared" si="126"/>
        <v>36.299999999999997</v>
      </c>
      <c r="I4042" t="s">
        <v>179</v>
      </c>
      <c r="J4042" s="33">
        <v>0</v>
      </c>
      <c r="K4042" s="18">
        <f>VLOOKUP(D4042,Ingredients!C:G,5,0)</f>
        <v>1650</v>
      </c>
      <c r="L4042" s="52">
        <f t="shared" si="127"/>
        <v>181.5</v>
      </c>
    </row>
    <row r="4043" spans="1:12">
      <c r="A4043" t="s">
        <v>1006</v>
      </c>
      <c r="B4043" t="s">
        <v>362</v>
      </c>
      <c r="C4043" t="s">
        <v>354</v>
      </c>
      <c r="D4043" s="3" t="s">
        <v>497</v>
      </c>
      <c r="E4043" s="4">
        <v>0.03</v>
      </c>
      <c r="F4043" s="4" t="s">
        <v>176</v>
      </c>
      <c r="G4043" s="9">
        <v>350</v>
      </c>
      <c r="H4043" s="9">
        <f t="shared" si="126"/>
        <v>10.5</v>
      </c>
      <c r="I4043" t="s">
        <v>179</v>
      </c>
      <c r="J4043" s="33">
        <v>0</v>
      </c>
      <c r="K4043" s="18">
        <f>VLOOKUP(D4043,Ingredients!C:G,5,0)</f>
        <v>400</v>
      </c>
      <c r="L4043" s="52">
        <f t="shared" si="127"/>
        <v>12</v>
      </c>
    </row>
    <row r="4044" spans="1:12">
      <c r="A4044" t="s">
        <v>1006</v>
      </c>
      <c r="B4044" t="s">
        <v>362</v>
      </c>
      <c r="C4044" t="s">
        <v>354</v>
      </c>
      <c r="D4044" s="3" t="s">
        <v>874</v>
      </c>
      <c r="E4044" s="4">
        <v>0.02</v>
      </c>
      <c r="F4044" s="4" t="s">
        <v>176</v>
      </c>
      <c r="G4044" s="9">
        <v>110</v>
      </c>
      <c r="H4044" s="9">
        <f t="shared" si="126"/>
        <v>2.2000000000000002</v>
      </c>
      <c r="I4044" t="s">
        <v>179</v>
      </c>
      <c r="J4044" s="33">
        <v>0</v>
      </c>
      <c r="K4044" s="18">
        <f>VLOOKUP(D4044,Ingredients!C:G,5,0)</f>
        <v>179</v>
      </c>
      <c r="L4044" s="52">
        <f t="shared" si="127"/>
        <v>3.58</v>
      </c>
    </row>
    <row r="4045" spans="1:12">
      <c r="A4045" t="s">
        <v>1006</v>
      </c>
      <c r="B4045" t="s">
        <v>362</v>
      </c>
      <c r="C4045" t="s">
        <v>354</v>
      </c>
      <c r="D4045" s="3" t="s">
        <v>882</v>
      </c>
      <c r="E4045" s="4">
        <v>8.0000000000000002E-3</v>
      </c>
      <c r="F4045" s="4" t="s">
        <v>176</v>
      </c>
      <c r="G4045" s="9">
        <v>1500</v>
      </c>
      <c r="H4045" s="9">
        <f t="shared" si="126"/>
        <v>12</v>
      </c>
      <c r="I4045" t="s">
        <v>179</v>
      </c>
      <c r="J4045" s="33">
        <v>0</v>
      </c>
      <c r="K4045" s="18">
        <f>VLOOKUP(D4045,Ingredients!C:G,5,0)</f>
        <v>1450</v>
      </c>
      <c r="L4045" s="52">
        <f t="shared" si="127"/>
        <v>11.6</v>
      </c>
    </row>
    <row r="4046" spans="1:12">
      <c r="A4046" t="s">
        <v>1010</v>
      </c>
      <c r="B4046" t="s">
        <v>349</v>
      </c>
      <c r="C4046" t="s">
        <v>454</v>
      </c>
      <c r="D4046" s="3" t="s">
        <v>833</v>
      </c>
      <c r="E4046" s="14">
        <v>5.6249296883788956E-2</v>
      </c>
      <c r="F4046" s="4" t="s">
        <v>176</v>
      </c>
      <c r="G4046" s="9">
        <v>1020</v>
      </c>
      <c r="H4046" s="9">
        <f t="shared" si="126"/>
        <v>57.374282821464732</v>
      </c>
      <c r="I4046" t="s">
        <v>253</v>
      </c>
      <c r="J4046" s="33" t="s">
        <v>490</v>
      </c>
      <c r="K4046" s="18">
        <f>VLOOKUP(D4046,Ingredients!C:G,5,0)</f>
        <v>1000</v>
      </c>
      <c r="L4046" s="52">
        <f t="shared" si="127"/>
        <v>56.249296883788958</v>
      </c>
    </row>
    <row r="4047" spans="1:12">
      <c r="A4047" t="s">
        <v>1010</v>
      </c>
      <c r="B4047" t="s">
        <v>349</v>
      </c>
      <c r="C4047" t="s">
        <v>454</v>
      </c>
      <c r="D4047" s="3" t="s">
        <v>867</v>
      </c>
      <c r="E4047" s="14">
        <v>2.1249734378320276E-3</v>
      </c>
      <c r="F4047" s="4" t="s">
        <v>176</v>
      </c>
      <c r="G4047" s="9">
        <v>900</v>
      </c>
      <c r="H4047" s="9">
        <f t="shared" si="126"/>
        <v>1.9124760940488248</v>
      </c>
      <c r="I4047" t="s">
        <v>253</v>
      </c>
      <c r="J4047" s="33" t="s">
        <v>490</v>
      </c>
      <c r="K4047" s="18">
        <f>VLOOKUP(D4047,Ingredients!C:G,5,0)</f>
        <v>950</v>
      </c>
      <c r="L4047" s="52">
        <f t="shared" si="127"/>
        <v>2.0187247659404264</v>
      </c>
    </row>
    <row r="4048" spans="1:12">
      <c r="A4048" t="s">
        <v>1010</v>
      </c>
      <c r="B4048" t="s">
        <v>349</v>
      </c>
      <c r="C4048" t="s">
        <v>454</v>
      </c>
      <c r="D4048" s="3" t="s">
        <v>853</v>
      </c>
      <c r="E4048" s="14">
        <v>8.7498906263671716E-4</v>
      </c>
      <c r="F4048" s="4" t="s">
        <v>176</v>
      </c>
      <c r="G4048" s="9">
        <v>30</v>
      </c>
      <c r="H4048" s="9">
        <f t="shared" si="126"/>
        <v>2.6249671879101516E-2</v>
      </c>
      <c r="I4048" t="s">
        <v>253</v>
      </c>
      <c r="J4048" s="33" t="s">
        <v>490</v>
      </c>
      <c r="K4048" s="18">
        <f>VLOOKUP(D4048,Ingredients!C:G,5,0)</f>
        <v>55</v>
      </c>
      <c r="L4048" s="52">
        <f t="shared" si="127"/>
        <v>4.8124398445019444E-2</v>
      </c>
    </row>
    <row r="4049" spans="1:12">
      <c r="A4049" t="s">
        <v>1010</v>
      </c>
      <c r="B4049" t="s">
        <v>349</v>
      </c>
      <c r="C4049" t="s">
        <v>454</v>
      </c>
      <c r="D4049" s="3" t="s">
        <v>855</v>
      </c>
      <c r="E4049" s="14">
        <v>3.7499531255859309E-4</v>
      </c>
      <c r="F4049" s="4" t="s">
        <v>176</v>
      </c>
      <c r="G4049" s="9">
        <v>2400</v>
      </c>
      <c r="H4049" s="9">
        <f t="shared" si="126"/>
        <v>0.89998875014062341</v>
      </c>
      <c r="I4049" t="s">
        <v>253</v>
      </c>
      <c r="J4049" s="33" t="s">
        <v>490</v>
      </c>
      <c r="K4049" s="18">
        <f>VLOOKUP(D4049,Ingredients!C:G,5,0)</f>
        <v>1600</v>
      </c>
      <c r="L4049" s="52">
        <f t="shared" si="127"/>
        <v>0.59999250009374894</v>
      </c>
    </row>
    <row r="4050" spans="1:12">
      <c r="A4050" t="s">
        <v>1010</v>
      </c>
      <c r="B4050" t="s">
        <v>349</v>
      </c>
      <c r="C4050" t="s">
        <v>454</v>
      </c>
      <c r="D4050" s="3" t="s">
        <v>323</v>
      </c>
      <c r="E4050" s="14">
        <v>3.7499531255859309E-4</v>
      </c>
      <c r="F4050" s="4" t="s">
        <v>176</v>
      </c>
      <c r="G4050" s="9">
        <v>5000</v>
      </c>
      <c r="H4050" s="9">
        <f t="shared" si="126"/>
        <v>1.8749765627929653</v>
      </c>
      <c r="I4050" t="s">
        <v>253</v>
      </c>
      <c r="J4050" s="33" t="s">
        <v>490</v>
      </c>
      <c r="K4050" s="18">
        <f>VLOOKUP(D4050,Ingredients!C:G,5,0)</f>
        <v>5000</v>
      </c>
      <c r="L4050" s="52">
        <f t="shared" si="127"/>
        <v>1.8749765627929653</v>
      </c>
    </row>
    <row r="4051" spans="1:12">
      <c r="A4051" t="s">
        <v>1010</v>
      </c>
      <c r="B4051" t="s">
        <v>349</v>
      </c>
      <c r="C4051" t="s">
        <v>454</v>
      </c>
      <c r="D4051" s="3" t="s">
        <v>16</v>
      </c>
      <c r="E4051" s="14">
        <v>4.9999375007812408E-4</v>
      </c>
      <c r="F4051" s="4" t="s">
        <v>176</v>
      </c>
      <c r="G4051" s="9">
        <v>270</v>
      </c>
      <c r="H4051" s="9">
        <f t="shared" si="126"/>
        <v>0.13499831252109351</v>
      </c>
      <c r="I4051" t="s">
        <v>253</v>
      </c>
      <c r="J4051" s="33" t="s">
        <v>490</v>
      </c>
      <c r="K4051" s="18">
        <f>VLOOKUP(D4051,Ingredients!C:G,5,0)</f>
        <v>310</v>
      </c>
      <c r="L4051" s="52">
        <f t="shared" si="127"/>
        <v>0.15499806252421847</v>
      </c>
    </row>
    <row r="4052" spans="1:12">
      <c r="A4052" t="s">
        <v>1010</v>
      </c>
      <c r="B4052" t="s">
        <v>349</v>
      </c>
      <c r="C4052" t="s">
        <v>454</v>
      </c>
      <c r="D4052" s="3" t="s">
        <v>24</v>
      </c>
      <c r="E4052" s="14">
        <v>1.2499843751953101E-3</v>
      </c>
      <c r="F4052" s="4" t="s">
        <v>176</v>
      </c>
      <c r="G4052" s="9">
        <v>55</v>
      </c>
      <c r="H4052" s="9">
        <f t="shared" si="126"/>
        <v>6.8749140635742056E-2</v>
      </c>
      <c r="I4052" t="s">
        <v>253</v>
      </c>
      <c r="J4052" s="33" t="s">
        <v>490</v>
      </c>
      <c r="K4052" s="18">
        <f>VLOOKUP(D4052,Ingredients!C:G,5,0)</f>
        <v>80</v>
      </c>
      <c r="L4052" s="52">
        <f t="shared" si="127"/>
        <v>9.9998750015624804E-2</v>
      </c>
    </row>
    <row r="4053" spans="1:12">
      <c r="A4053" t="s">
        <v>1010</v>
      </c>
      <c r="B4053" t="s">
        <v>349</v>
      </c>
      <c r="C4053" t="s">
        <v>454</v>
      </c>
      <c r="D4053" s="3" t="s">
        <v>28</v>
      </c>
      <c r="E4053" s="14">
        <v>1.2499843751953102E-2</v>
      </c>
      <c r="F4053" s="4" t="s">
        <v>176</v>
      </c>
      <c r="G4053" s="9">
        <v>85</v>
      </c>
      <c r="H4053" s="9">
        <f t="shared" si="126"/>
        <v>1.0624867189160137</v>
      </c>
      <c r="I4053" t="s">
        <v>253</v>
      </c>
      <c r="J4053" s="33" t="s">
        <v>490</v>
      </c>
      <c r="K4053" s="18">
        <f>VLOOKUP(D4053,Ingredients!C:G,5,0)</f>
        <v>70</v>
      </c>
      <c r="L4053" s="52">
        <f t="shared" si="127"/>
        <v>0.87498906263671716</v>
      </c>
    </row>
    <row r="4054" spans="1:12">
      <c r="A4054" t="s">
        <v>1010</v>
      </c>
      <c r="B4054" t="s">
        <v>349</v>
      </c>
      <c r="C4054" t="s">
        <v>454</v>
      </c>
      <c r="D4054" s="3" t="s">
        <v>1011</v>
      </c>
      <c r="E4054" s="14">
        <v>0.99998750015624815</v>
      </c>
      <c r="F4054" s="4" t="s">
        <v>253</v>
      </c>
      <c r="G4054" s="9">
        <v>48.13</v>
      </c>
      <c r="H4054" s="9">
        <f t="shared" si="126"/>
        <v>48.129398382520229</v>
      </c>
      <c r="I4054" t="s">
        <v>253</v>
      </c>
      <c r="J4054" s="33" t="s">
        <v>490</v>
      </c>
      <c r="K4054" s="18">
        <f>VLOOKUP(D4054,Ingredients!C:G,5,0)</f>
        <v>48.13</v>
      </c>
      <c r="L4054" s="52">
        <f t="shared" si="127"/>
        <v>48.129398382520229</v>
      </c>
    </row>
    <row r="4055" spans="1:12">
      <c r="A4055" t="s">
        <v>1010</v>
      </c>
      <c r="B4055" t="s">
        <v>349</v>
      </c>
      <c r="C4055" t="s">
        <v>454</v>
      </c>
      <c r="D4055" s="3" t="s">
        <v>852</v>
      </c>
      <c r="E4055" s="14">
        <v>1.4999812502343722E-2</v>
      </c>
      <c r="F4055" s="4" t="s">
        <v>190</v>
      </c>
      <c r="G4055" s="9">
        <v>520.63</v>
      </c>
      <c r="H4055" s="9">
        <f t="shared" si="126"/>
        <v>7.8093523830952121</v>
      </c>
      <c r="I4055" t="s">
        <v>253</v>
      </c>
      <c r="J4055" s="33" t="s">
        <v>490</v>
      </c>
      <c r="K4055" s="18">
        <v>550</v>
      </c>
      <c r="L4055" s="52">
        <f t="shared" si="127"/>
        <v>8.2498968762890463</v>
      </c>
    </row>
    <row r="4056" spans="1:12">
      <c r="A4056" t="s">
        <v>1012</v>
      </c>
      <c r="B4056" t="s">
        <v>349</v>
      </c>
      <c r="C4056" t="s">
        <v>352</v>
      </c>
      <c r="D4056" s="3" t="s">
        <v>29</v>
      </c>
      <c r="E4056" s="10">
        <v>8.3333333333333332E-3</v>
      </c>
      <c r="F4056" s="13" t="s">
        <v>176</v>
      </c>
      <c r="G4056" s="9">
        <v>60</v>
      </c>
      <c r="H4056" s="9">
        <f t="shared" si="126"/>
        <v>0.5</v>
      </c>
      <c r="I4056" t="s">
        <v>179</v>
      </c>
      <c r="J4056" s="33" t="s">
        <v>514</v>
      </c>
      <c r="K4056" s="18">
        <f>VLOOKUP(D4056,Ingredients!C:G,5,0)</f>
        <v>100</v>
      </c>
      <c r="L4056" s="52">
        <f t="shared" si="127"/>
        <v>0.83333333333333337</v>
      </c>
    </row>
    <row r="4057" spans="1:12">
      <c r="A4057" t="s">
        <v>1012</v>
      </c>
      <c r="B4057" t="s">
        <v>349</v>
      </c>
      <c r="C4057" t="s">
        <v>352</v>
      </c>
      <c r="D4057" s="3" t="s">
        <v>28</v>
      </c>
      <c r="E4057" s="10">
        <v>0.25</v>
      </c>
      <c r="F4057" s="13" t="s">
        <v>176</v>
      </c>
      <c r="G4057" s="9">
        <v>85</v>
      </c>
      <c r="H4057" s="9">
        <f t="shared" si="126"/>
        <v>21.25</v>
      </c>
      <c r="I4057" t="s">
        <v>179</v>
      </c>
      <c r="J4057" s="33" t="s">
        <v>514</v>
      </c>
      <c r="K4057" s="18">
        <f>VLOOKUP(D4057,Ingredients!C:G,5,0)</f>
        <v>70</v>
      </c>
      <c r="L4057" s="52">
        <f t="shared" si="127"/>
        <v>17.5</v>
      </c>
    </row>
    <row r="4058" spans="1:12">
      <c r="A4058" t="s">
        <v>1012</v>
      </c>
      <c r="B4058" t="s">
        <v>349</v>
      </c>
      <c r="C4058" t="s">
        <v>352</v>
      </c>
      <c r="D4058" s="3" t="s">
        <v>16</v>
      </c>
      <c r="E4058" s="10">
        <v>8.3333333333333332E-3</v>
      </c>
      <c r="F4058" s="13" t="s">
        <v>176</v>
      </c>
      <c r="G4058" s="9">
        <v>270</v>
      </c>
      <c r="H4058" s="9">
        <f t="shared" si="126"/>
        <v>2.25</v>
      </c>
      <c r="I4058" t="s">
        <v>179</v>
      </c>
      <c r="J4058" s="33" t="s">
        <v>514</v>
      </c>
      <c r="K4058" s="18">
        <f>VLOOKUP(D4058,Ingredients!C:G,5,0)</f>
        <v>310</v>
      </c>
      <c r="L4058" s="52">
        <f t="shared" si="127"/>
        <v>2.5833333333333335</v>
      </c>
    </row>
    <row r="4059" spans="1:12">
      <c r="A4059" t="s">
        <v>1012</v>
      </c>
      <c r="B4059" t="s">
        <v>349</v>
      </c>
      <c r="C4059" t="s">
        <v>352</v>
      </c>
      <c r="D4059" s="3" t="s">
        <v>852</v>
      </c>
      <c r="E4059" s="10">
        <v>0.25</v>
      </c>
      <c r="F4059" s="13" t="s">
        <v>177</v>
      </c>
      <c r="G4059" s="9">
        <v>520.63</v>
      </c>
      <c r="H4059" s="9">
        <f t="shared" si="126"/>
        <v>130.1575</v>
      </c>
      <c r="I4059" t="s">
        <v>179</v>
      </c>
      <c r="J4059" s="33" t="s">
        <v>514</v>
      </c>
      <c r="K4059" s="18">
        <v>550</v>
      </c>
      <c r="L4059" s="52">
        <f t="shared" si="127"/>
        <v>137.5</v>
      </c>
    </row>
    <row r="4060" spans="1:12">
      <c r="A4060" t="s">
        <v>1012</v>
      </c>
      <c r="B4060" t="s">
        <v>349</v>
      </c>
      <c r="C4060" t="s">
        <v>352</v>
      </c>
      <c r="D4060" s="3" t="s">
        <v>23</v>
      </c>
      <c r="E4060" s="10">
        <v>1.6666666666666666E-2</v>
      </c>
      <c r="F4060" s="13" t="s">
        <v>176</v>
      </c>
      <c r="G4060" s="9">
        <v>740</v>
      </c>
      <c r="H4060" s="9">
        <f t="shared" si="126"/>
        <v>12.333333333333334</v>
      </c>
      <c r="I4060" t="s">
        <v>179</v>
      </c>
      <c r="J4060" s="33" t="s">
        <v>514</v>
      </c>
      <c r="K4060" s="18">
        <f>VLOOKUP(D4060,Ingredients!C:G,5,0)</f>
        <v>780</v>
      </c>
      <c r="L4060" s="52">
        <f t="shared" si="127"/>
        <v>13</v>
      </c>
    </row>
    <row r="4061" spans="1:12">
      <c r="A4061" t="s">
        <v>1012</v>
      </c>
      <c r="B4061" t="s">
        <v>349</v>
      </c>
      <c r="C4061" t="s">
        <v>352</v>
      </c>
      <c r="D4061" s="3" t="s">
        <v>856</v>
      </c>
      <c r="E4061" s="10">
        <v>1.6666666666666666E-2</v>
      </c>
      <c r="F4061" s="13" t="s">
        <v>176</v>
      </c>
      <c r="G4061" s="9">
        <v>850</v>
      </c>
      <c r="H4061" s="9">
        <f t="shared" si="126"/>
        <v>14.166666666666666</v>
      </c>
      <c r="I4061" t="s">
        <v>179</v>
      </c>
      <c r="J4061" s="33" t="s">
        <v>514</v>
      </c>
      <c r="K4061" s="18">
        <f>VLOOKUP(D4061,Ingredients!C:G,5,0)</f>
        <v>980</v>
      </c>
      <c r="L4061" s="52">
        <f t="shared" si="127"/>
        <v>16.333333333333332</v>
      </c>
    </row>
    <row r="4062" spans="1:12">
      <c r="A4062" t="s">
        <v>1012</v>
      </c>
      <c r="B4062" t="s">
        <v>349</v>
      </c>
      <c r="C4062" t="s">
        <v>352</v>
      </c>
      <c r="D4062" s="3" t="s">
        <v>853</v>
      </c>
      <c r="E4062" s="10">
        <v>8.3333333333333332E-3</v>
      </c>
      <c r="F4062" s="13" t="s">
        <v>176</v>
      </c>
      <c r="G4062" s="9">
        <v>30</v>
      </c>
      <c r="H4062" s="9">
        <f t="shared" si="126"/>
        <v>0.25</v>
      </c>
      <c r="I4062" t="s">
        <v>179</v>
      </c>
      <c r="J4062" s="33" t="s">
        <v>514</v>
      </c>
      <c r="K4062" s="18">
        <f>VLOOKUP(D4062,Ingredients!C:G,5,0)</f>
        <v>55</v>
      </c>
      <c r="L4062" s="52">
        <f t="shared" si="127"/>
        <v>0.45833333333333331</v>
      </c>
    </row>
    <row r="4063" spans="1:12">
      <c r="A4063" t="s">
        <v>1012</v>
      </c>
      <c r="B4063" t="s">
        <v>349</v>
      </c>
      <c r="C4063" t="s">
        <v>352</v>
      </c>
      <c r="D4063" s="3" t="s">
        <v>837</v>
      </c>
      <c r="E4063" s="10">
        <v>1</v>
      </c>
      <c r="F4063" s="13" t="s">
        <v>176</v>
      </c>
      <c r="G4063" s="9">
        <v>1700</v>
      </c>
      <c r="H4063" s="9">
        <f t="shared" si="126"/>
        <v>1700</v>
      </c>
      <c r="I4063" t="s">
        <v>179</v>
      </c>
      <c r="J4063" s="33" t="s">
        <v>514</v>
      </c>
      <c r="K4063" s="18">
        <f>VLOOKUP(D4063,Ingredients!C:G,5,0)</f>
        <v>1800</v>
      </c>
      <c r="L4063" s="52">
        <f t="shared" si="127"/>
        <v>1800</v>
      </c>
    </row>
    <row r="4064" spans="1:12">
      <c r="A4064" t="s">
        <v>1013</v>
      </c>
      <c r="B4064" t="s">
        <v>349</v>
      </c>
      <c r="C4064" t="s">
        <v>428</v>
      </c>
      <c r="D4064" s="3" t="s">
        <v>428</v>
      </c>
      <c r="E4064" s="14">
        <v>1</v>
      </c>
      <c r="F4064" s="4" t="s">
        <v>176</v>
      </c>
      <c r="G4064" s="9">
        <v>1600</v>
      </c>
      <c r="H4064" s="9">
        <f t="shared" si="126"/>
        <v>1600</v>
      </c>
      <c r="I4064" t="s">
        <v>179</v>
      </c>
      <c r="J4064" s="33" t="s">
        <v>428</v>
      </c>
      <c r="K4064" s="18">
        <f>VLOOKUP(D4064,Ingredients!C:G,5,0)</f>
        <v>1514.78</v>
      </c>
      <c r="L4064" s="52">
        <f t="shared" si="127"/>
        <v>1514.78</v>
      </c>
    </row>
    <row r="4065" spans="1:12">
      <c r="A4065" t="s">
        <v>1013</v>
      </c>
      <c r="B4065" t="s">
        <v>349</v>
      </c>
      <c r="C4065" t="s">
        <v>428</v>
      </c>
      <c r="D4065" s="3" t="s">
        <v>865</v>
      </c>
      <c r="E4065" s="14">
        <v>0.19980000000000001</v>
      </c>
      <c r="F4065" s="4" t="s">
        <v>176</v>
      </c>
      <c r="G4065" s="9">
        <v>1400</v>
      </c>
      <c r="H4065" s="9">
        <f t="shared" si="126"/>
        <v>279.72000000000003</v>
      </c>
      <c r="I4065" t="s">
        <v>179</v>
      </c>
      <c r="J4065" s="33" t="s">
        <v>428</v>
      </c>
      <c r="K4065" s="18">
        <f>VLOOKUP(D4065,Ingredients!C:G,5,0)</f>
        <v>1400</v>
      </c>
      <c r="L4065" s="52">
        <f t="shared" si="127"/>
        <v>279.72000000000003</v>
      </c>
    </row>
    <row r="4066" spans="1:12">
      <c r="A4066" t="s">
        <v>1013</v>
      </c>
      <c r="B4066" t="s">
        <v>349</v>
      </c>
      <c r="C4066" t="s">
        <v>428</v>
      </c>
      <c r="D4066" s="3" t="s">
        <v>310</v>
      </c>
      <c r="E4066" s="14">
        <v>6.6600000000000006E-2</v>
      </c>
      <c r="F4066" s="4" t="s">
        <v>176</v>
      </c>
      <c r="G4066" s="9">
        <v>425</v>
      </c>
      <c r="H4066" s="9">
        <f t="shared" si="126"/>
        <v>28.305000000000003</v>
      </c>
      <c r="I4066" t="s">
        <v>179</v>
      </c>
      <c r="J4066" s="33" t="s">
        <v>428</v>
      </c>
      <c r="K4066" s="18">
        <f>VLOOKUP(D4066,Ingredients!C:G,5,0)</f>
        <v>850</v>
      </c>
      <c r="L4066" s="52">
        <f t="shared" si="127"/>
        <v>56.610000000000007</v>
      </c>
    </row>
    <row r="4067" spans="1:12">
      <c r="A4067" t="s">
        <v>1013</v>
      </c>
      <c r="B4067" t="s">
        <v>349</v>
      </c>
      <c r="C4067" t="s">
        <v>428</v>
      </c>
      <c r="D4067" s="3" t="s">
        <v>853</v>
      </c>
      <c r="E4067" s="14">
        <v>1.7760000000000001E-2</v>
      </c>
      <c r="F4067" s="4" t="s">
        <v>176</v>
      </c>
      <c r="G4067" s="9">
        <v>30</v>
      </c>
      <c r="H4067" s="9">
        <f t="shared" si="126"/>
        <v>0.53280000000000005</v>
      </c>
      <c r="I4067" t="s">
        <v>179</v>
      </c>
      <c r="J4067" s="33" t="s">
        <v>428</v>
      </c>
      <c r="K4067" s="18">
        <f>VLOOKUP(D4067,Ingredients!C:G,5,0)</f>
        <v>55</v>
      </c>
      <c r="L4067" s="52">
        <f t="shared" si="127"/>
        <v>0.97680000000000011</v>
      </c>
    </row>
    <row r="4068" spans="1:12">
      <c r="A4068" t="s">
        <v>1013</v>
      </c>
      <c r="B4068" t="s">
        <v>349</v>
      </c>
      <c r="C4068" t="s">
        <v>428</v>
      </c>
      <c r="D4068" s="3" t="s">
        <v>882</v>
      </c>
      <c r="E4068" s="14">
        <v>0.03</v>
      </c>
      <c r="F4068" s="4" t="s">
        <v>176</v>
      </c>
      <c r="G4068" s="9">
        <v>1500</v>
      </c>
      <c r="H4068" s="9">
        <f t="shared" si="126"/>
        <v>45</v>
      </c>
      <c r="I4068" t="s">
        <v>179</v>
      </c>
      <c r="J4068" s="33" t="s">
        <v>428</v>
      </c>
      <c r="K4068" s="18">
        <f>VLOOKUP(D4068,Ingredients!C:G,5,0)</f>
        <v>1450</v>
      </c>
      <c r="L4068" s="52">
        <f t="shared" si="127"/>
        <v>43.5</v>
      </c>
    </row>
    <row r="4069" spans="1:12">
      <c r="A4069" t="s">
        <v>1013</v>
      </c>
      <c r="B4069" t="s">
        <v>349</v>
      </c>
      <c r="C4069" t="s">
        <v>428</v>
      </c>
      <c r="D4069" s="3" t="s">
        <v>867</v>
      </c>
      <c r="E4069" s="14">
        <v>1.4999999999999999E-2</v>
      </c>
      <c r="F4069" s="4" t="s">
        <v>176</v>
      </c>
      <c r="G4069" s="9">
        <v>900</v>
      </c>
      <c r="H4069" s="9">
        <f t="shared" si="126"/>
        <v>13.5</v>
      </c>
      <c r="I4069" t="s">
        <v>179</v>
      </c>
      <c r="J4069" s="33" t="s">
        <v>428</v>
      </c>
      <c r="K4069" s="18">
        <f>VLOOKUP(D4069,Ingredients!C:G,5,0)</f>
        <v>950</v>
      </c>
      <c r="L4069" s="52">
        <f t="shared" si="127"/>
        <v>14.25</v>
      </c>
    </row>
    <row r="4070" spans="1:12">
      <c r="A4070" t="s">
        <v>1013</v>
      </c>
      <c r="B4070" t="s">
        <v>349</v>
      </c>
      <c r="C4070" t="s">
        <v>428</v>
      </c>
      <c r="D4070" s="3" t="s">
        <v>849</v>
      </c>
      <c r="E4070" s="14">
        <v>1.4999999999999999E-2</v>
      </c>
      <c r="F4070" s="4" t="s">
        <v>176</v>
      </c>
      <c r="G4070" s="9">
        <v>1000</v>
      </c>
      <c r="H4070" s="9">
        <f t="shared" si="126"/>
        <v>15</v>
      </c>
      <c r="I4070" t="s">
        <v>179</v>
      </c>
      <c r="J4070" s="33" t="s">
        <v>428</v>
      </c>
      <c r="K4070" s="18">
        <f>VLOOKUP(D4070,Ingredients!C:G,5,0)</f>
        <v>950</v>
      </c>
      <c r="L4070" s="52">
        <f t="shared" si="127"/>
        <v>14.25</v>
      </c>
    </row>
    <row r="4071" spans="1:12">
      <c r="A4071" t="s">
        <v>1013</v>
      </c>
      <c r="B4071" t="s">
        <v>349</v>
      </c>
      <c r="C4071" t="s">
        <v>428</v>
      </c>
      <c r="D4071" s="3" t="s">
        <v>50</v>
      </c>
      <c r="E4071" s="4">
        <v>0.2</v>
      </c>
      <c r="F4071" s="4" t="s">
        <v>176</v>
      </c>
      <c r="G4071" s="9">
        <v>120</v>
      </c>
      <c r="H4071" s="9">
        <f t="shared" si="126"/>
        <v>24</v>
      </c>
      <c r="I4071" t="s">
        <v>179</v>
      </c>
      <c r="J4071" s="33" t="s">
        <v>428</v>
      </c>
      <c r="K4071" s="18">
        <f>VLOOKUP(D4071,Ingredients!C:G,5,0)</f>
        <v>120</v>
      </c>
      <c r="L4071" s="52">
        <f t="shared" si="127"/>
        <v>24</v>
      </c>
    </row>
    <row r="4072" spans="1:12">
      <c r="A4072" t="s">
        <v>1017</v>
      </c>
      <c r="B4072" t="s">
        <v>349</v>
      </c>
      <c r="C4072" t="s">
        <v>456</v>
      </c>
      <c r="D4072" s="3" t="s">
        <v>831</v>
      </c>
      <c r="E4072" s="4">
        <v>1.0009999999999999</v>
      </c>
      <c r="F4072" s="4" t="s">
        <v>176</v>
      </c>
      <c r="G4072" s="12">
        <v>908</v>
      </c>
      <c r="H4072" s="9">
        <f t="shared" si="126"/>
        <v>908.9079999999999</v>
      </c>
      <c r="I4072" t="s">
        <v>179</v>
      </c>
      <c r="J4072" s="33" t="s">
        <v>489</v>
      </c>
      <c r="K4072" s="18">
        <f>VLOOKUP(D4072,Ingredients!C:G,5,0)</f>
        <v>908</v>
      </c>
      <c r="L4072" s="52">
        <f t="shared" ref="L4072:L4081" si="128">K4072*E4072</f>
        <v>908.9079999999999</v>
      </c>
    </row>
    <row r="4073" spans="1:12">
      <c r="A4073" t="s">
        <v>1017</v>
      </c>
      <c r="B4073" t="s">
        <v>349</v>
      </c>
      <c r="C4073" t="s">
        <v>456</v>
      </c>
      <c r="D4073" s="3" t="s">
        <v>853</v>
      </c>
      <c r="E4073" s="4">
        <v>3.4319999999999996E-2</v>
      </c>
      <c r="F4073" s="4" t="s">
        <v>176</v>
      </c>
      <c r="G4073" s="12">
        <f>VLOOKUP(D4073,D2:G4072,4,0)</f>
        <v>30</v>
      </c>
      <c r="H4073" s="9">
        <f t="shared" si="126"/>
        <v>1.0295999999999998</v>
      </c>
      <c r="I4073" t="s">
        <v>179</v>
      </c>
      <c r="J4073" s="33" t="s">
        <v>489</v>
      </c>
      <c r="K4073" s="18">
        <f>VLOOKUP(D4073,Ingredients!C:G,5,0)</f>
        <v>55</v>
      </c>
      <c r="L4073" s="52">
        <f t="shared" si="128"/>
        <v>1.8875999999999997</v>
      </c>
    </row>
    <row r="4074" spans="1:12">
      <c r="A4074" t="s">
        <v>1017</v>
      </c>
      <c r="B4074" t="s">
        <v>349</v>
      </c>
      <c r="C4074" t="s">
        <v>456</v>
      </c>
      <c r="D4074" s="3" t="s">
        <v>882</v>
      </c>
      <c r="E4074" s="4">
        <v>3.4319999999999996E-2</v>
      </c>
      <c r="F4074" s="4" t="s">
        <v>176</v>
      </c>
      <c r="G4074" s="12">
        <f>VLOOKUP(D4074,D3:G4073,4,0)</f>
        <v>1500</v>
      </c>
      <c r="H4074" s="9">
        <f t="shared" si="126"/>
        <v>51.48</v>
      </c>
      <c r="I4074" t="s">
        <v>179</v>
      </c>
      <c r="J4074" s="33" t="s">
        <v>489</v>
      </c>
      <c r="K4074" s="18">
        <f>VLOOKUP(D4074,Ingredients!C:G,5,0)</f>
        <v>1450</v>
      </c>
      <c r="L4074" s="52">
        <f t="shared" si="128"/>
        <v>49.763999999999996</v>
      </c>
    </row>
    <row r="4075" spans="1:12">
      <c r="A4075" t="s">
        <v>1017</v>
      </c>
      <c r="B4075" t="s">
        <v>349</v>
      </c>
      <c r="C4075" t="s">
        <v>456</v>
      </c>
      <c r="D4075" s="3" t="s">
        <v>852</v>
      </c>
      <c r="E4075" s="4">
        <v>7.2930000000000009E-2</v>
      </c>
      <c r="F4075" s="4" t="s">
        <v>190</v>
      </c>
      <c r="G4075" s="9">
        <v>520.63</v>
      </c>
      <c r="H4075" s="9">
        <f t="shared" si="126"/>
        <v>37.969545900000007</v>
      </c>
      <c r="I4075" t="s">
        <v>179</v>
      </c>
      <c r="J4075" s="33" t="s">
        <v>489</v>
      </c>
      <c r="K4075" s="18">
        <f>VLOOKUP(D4075,Ingredients!C:G,4,0)</f>
        <v>531.25</v>
      </c>
      <c r="L4075" s="52">
        <f t="shared" si="128"/>
        <v>38.744062500000005</v>
      </c>
    </row>
    <row r="4076" spans="1:12">
      <c r="A4076" t="s">
        <v>1017</v>
      </c>
      <c r="B4076" t="s">
        <v>349</v>
      </c>
      <c r="C4076" t="s">
        <v>456</v>
      </c>
      <c r="D4076" s="3" t="s">
        <v>979</v>
      </c>
      <c r="E4076" s="4">
        <v>0.12869999999999998</v>
      </c>
      <c r="F4076" s="4" t="s">
        <v>176</v>
      </c>
      <c r="G4076" s="12">
        <f>VLOOKUP(D4076,D5:G4075,4,0)</f>
        <v>153.97999999999999</v>
      </c>
      <c r="H4076" s="9">
        <f t="shared" si="126"/>
        <v>19.817225999999994</v>
      </c>
      <c r="I4076" t="s">
        <v>179</v>
      </c>
      <c r="J4076" s="33" t="s">
        <v>489</v>
      </c>
      <c r="K4076" s="18">
        <f>VLOOKUP(D4076,Ingredients!C:G,5,0)</f>
        <v>142.13999999999999</v>
      </c>
      <c r="L4076" s="52">
        <f t="shared" si="128"/>
        <v>18.293417999999996</v>
      </c>
    </row>
    <row r="4077" spans="1:12">
      <c r="A4077" t="s">
        <v>1017</v>
      </c>
      <c r="B4077" t="s">
        <v>349</v>
      </c>
      <c r="C4077" t="s">
        <v>456</v>
      </c>
      <c r="D4077" s="3" t="s">
        <v>865</v>
      </c>
      <c r="E4077" s="4">
        <v>8.0079999999999998E-2</v>
      </c>
      <c r="F4077" s="4" t="s">
        <v>176</v>
      </c>
      <c r="G4077" s="12">
        <f>VLOOKUP(D4077,D6:G4076,4,0)</f>
        <v>1400</v>
      </c>
      <c r="H4077" s="9">
        <f t="shared" si="126"/>
        <v>112.11199999999999</v>
      </c>
      <c r="I4077" t="s">
        <v>179</v>
      </c>
      <c r="J4077" s="33" t="s">
        <v>489</v>
      </c>
      <c r="K4077" s="18">
        <f>VLOOKUP(D4077,Ingredients!C:G,5,0)</f>
        <v>1400</v>
      </c>
      <c r="L4077" s="52">
        <f t="shared" si="128"/>
        <v>112.11199999999999</v>
      </c>
    </row>
    <row r="4078" spans="1:12">
      <c r="A4078" t="s">
        <v>1017</v>
      </c>
      <c r="B4078" t="s">
        <v>349</v>
      </c>
      <c r="C4078" t="s">
        <v>456</v>
      </c>
      <c r="D4078" s="3" t="s">
        <v>16</v>
      </c>
      <c r="E4078" s="4">
        <v>4.0039999999999999E-2</v>
      </c>
      <c r="F4078" s="4" t="s">
        <v>176</v>
      </c>
      <c r="G4078" s="12">
        <f>VLOOKUP(D4078,D7:G4077,4,0)</f>
        <v>270</v>
      </c>
      <c r="H4078" s="9">
        <f t="shared" si="126"/>
        <v>10.8108</v>
      </c>
      <c r="I4078" t="s">
        <v>179</v>
      </c>
      <c r="J4078" s="33" t="s">
        <v>489</v>
      </c>
      <c r="K4078" s="18">
        <f>VLOOKUP(D4078,Ingredients!C:G,5,0)</f>
        <v>310</v>
      </c>
      <c r="L4078" s="52">
        <f t="shared" si="128"/>
        <v>12.4124</v>
      </c>
    </row>
    <row r="4079" spans="1:12">
      <c r="A4079" t="s">
        <v>1017</v>
      </c>
      <c r="B4079" t="s">
        <v>349</v>
      </c>
      <c r="C4079" t="s">
        <v>456</v>
      </c>
      <c r="D4079" s="3" t="s">
        <v>50</v>
      </c>
      <c r="E4079" s="4">
        <v>8.8659999999999989E-2</v>
      </c>
      <c r="F4079" s="4" t="s">
        <v>176</v>
      </c>
      <c r="G4079" s="12">
        <f>VLOOKUP(D4079,D8:G4078,4,0)</f>
        <v>120</v>
      </c>
      <c r="H4079" s="9">
        <f t="shared" si="126"/>
        <v>10.639199999999999</v>
      </c>
      <c r="I4079" t="s">
        <v>179</v>
      </c>
      <c r="J4079" s="33" t="s">
        <v>489</v>
      </c>
      <c r="K4079" s="18">
        <f>VLOOKUP(D4079,Ingredients!C:G,5,0)</f>
        <v>120</v>
      </c>
      <c r="L4079" s="52">
        <f t="shared" si="128"/>
        <v>10.639199999999999</v>
      </c>
    </row>
    <row r="4080" spans="1:12">
      <c r="A4080" t="s">
        <v>1017</v>
      </c>
      <c r="B4080" t="s">
        <v>349</v>
      </c>
      <c r="C4080" t="s">
        <v>456</v>
      </c>
      <c r="D4080" s="3" t="s">
        <v>310</v>
      </c>
      <c r="E4080" s="4">
        <v>8.5799999999999987E-2</v>
      </c>
      <c r="F4080" s="4" t="s">
        <v>176</v>
      </c>
      <c r="G4080" s="12">
        <f>VLOOKUP(D4080,D9:G4079,4,0)</f>
        <v>425</v>
      </c>
      <c r="H4080" s="9">
        <f t="shared" si="126"/>
        <v>36.464999999999996</v>
      </c>
      <c r="I4080" t="s">
        <v>179</v>
      </c>
      <c r="J4080" s="33" t="s">
        <v>489</v>
      </c>
      <c r="K4080" s="18">
        <f>VLOOKUP(D4080,Ingredients!C:G,5,0)</f>
        <v>850</v>
      </c>
      <c r="L4080" s="52">
        <f t="shared" si="128"/>
        <v>72.929999999999993</v>
      </c>
    </row>
    <row r="4081" spans="1:12">
      <c r="A4081" t="s">
        <v>1017</v>
      </c>
      <c r="B4081" t="s">
        <v>349</v>
      </c>
      <c r="C4081" t="s">
        <v>456</v>
      </c>
      <c r="D4081" s="3" t="s">
        <v>497</v>
      </c>
      <c r="E4081" s="4">
        <v>3.5749999999999997E-2</v>
      </c>
      <c r="F4081" s="4" t="s">
        <v>176</v>
      </c>
      <c r="G4081" s="12">
        <f>VLOOKUP(D4081,D10:G4080,4,0)</f>
        <v>350</v>
      </c>
      <c r="H4081" s="9">
        <f t="shared" si="126"/>
        <v>12.512499999999999</v>
      </c>
      <c r="I4081" t="s">
        <v>179</v>
      </c>
      <c r="J4081" s="33" t="s">
        <v>489</v>
      </c>
      <c r="K4081" s="18">
        <f>VLOOKUP(D4081,Ingredients!C:G,5,0)</f>
        <v>400</v>
      </c>
      <c r="L4081" s="52">
        <f t="shared" si="128"/>
        <v>14.299999999999999</v>
      </c>
    </row>
    <row r="4082" spans="1:12">
      <c r="A4082" t="s">
        <v>1024</v>
      </c>
      <c r="B4082" t="s">
        <v>358</v>
      </c>
      <c r="C4082" t="s">
        <v>1025</v>
      </c>
      <c r="D4082" t="s">
        <v>1022</v>
      </c>
      <c r="E4082" s="4">
        <v>0.3</v>
      </c>
      <c r="F4082" s="4" t="s">
        <v>179</v>
      </c>
      <c r="G4082" s="12">
        <v>224.76821192052981</v>
      </c>
      <c r="H4082" s="9">
        <f t="shared" si="126"/>
        <v>67.430463576158942</v>
      </c>
      <c r="I4082" t="s">
        <v>485</v>
      </c>
      <c r="J4082" s="33">
        <v>0</v>
      </c>
      <c r="K4082" s="18">
        <v>224.76821192052981</v>
      </c>
      <c r="L4082" s="52">
        <f t="shared" ref="L4082:L4084" si="129">K4082*E4082</f>
        <v>67.430463576158942</v>
      </c>
    </row>
    <row r="4083" spans="1:12">
      <c r="A4083" t="s">
        <v>1024</v>
      </c>
      <c r="B4083" t="s">
        <v>358</v>
      </c>
      <c r="C4083" t="s">
        <v>1025</v>
      </c>
      <c r="D4083" t="s">
        <v>1023</v>
      </c>
      <c r="E4083" s="4">
        <v>0.25</v>
      </c>
      <c r="F4083" s="4" t="s">
        <v>190</v>
      </c>
      <c r="G4083" s="12">
        <v>246.66666666666666</v>
      </c>
      <c r="H4083" s="9">
        <f t="shared" si="126"/>
        <v>61.666666666666664</v>
      </c>
      <c r="I4083" t="s">
        <v>485</v>
      </c>
      <c r="J4083" s="33">
        <v>0</v>
      </c>
      <c r="K4083" s="18">
        <v>246.66666666666666</v>
      </c>
      <c r="L4083" s="52">
        <f t="shared" si="129"/>
        <v>61.666666666666664</v>
      </c>
    </row>
    <row r="4084" spans="1:12">
      <c r="A4084" t="s">
        <v>1024</v>
      </c>
      <c r="B4084" t="s">
        <v>358</v>
      </c>
      <c r="C4084" t="s">
        <v>1025</v>
      </c>
      <c r="D4084" t="s">
        <v>10</v>
      </c>
      <c r="E4084" s="4">
        <v>0.02</v>
      </c>
      <c r="F4084" s="4" t="s">
        <v>179</v>
      </c>
      <c r="G4084" s="12">
        <v>129</v>
      </c>
      <c r="H4084" s="9">
        <f t="shared" si="126"/>
        <v>2.58</v>
      </c>
      <c r="I4084" t="s">
        <v>485</v>
      </c>
      <c r="J4084" s="33">
        <v>0</v>
      </c>
      <c r="K4084" s="18">
        <f>VLOOKUP(D4084,Ingredients!C:G,5,0)</f>
        <v>123</v>
      </c>
      <c r="L4084" s="52">
        <f t="shared" si="129"/>
        <v>2.46</v>
      </c>
    </row>
    <row r="4085" spans="1:12">
      <c r="A4085" t="s">
        <v>1027</v>
      </c>
      <c r="B4085" t="s">
        <v>358</v>
      </c>
      <c r="C4085" t="s">
        <v>1025</v>
      </c>
      <c r="D4085" t="s">
        <v>1023</v>
      </c>
      <c r="E4085" s="4">
        <v>0.25</v>
      </c>
      <c r="F4085" s="4" t="s">
        <v>190</v>
      </c>
      <c r="G4085" s="12">
        <v>246.66666666666666</v>
      </c>
      <c r="H4085" s="9">
        <f t="shared" si="126"/>
        <v>61.666666666666664</v>
      </c>
      <c r="I4085" t="s">
        <v>485</v>
      </c>
      <c r="J4085" s="33">
        <v>0</v>
      </c>
      <c r="K4085" s="12">
        <v>246.66666666666666</v>
      </c>
      <c r="L4085" s="52">
        <f t="shared" ref="L4085:L4103" si="130">K4085*E4085</f>
        <v>61.666666666666664</v>
      </c>
    </row>
    <row r="4086" spans="1:12">
      <c r="A4086" t="s">
        <v>1027</v>
      </c>
      <c r="B4086" t="s">
        <v>358</v>
      </c>
      <c r="C4086" t="s">
        <v>1025</v>
      </c>
      <c r="D4086" t="s">
        <v>1026</v>
      </c>
      <c r="E4086" s="4">
        <v>2</v>
      </c>
      <c r="F4086" s="4" t="s">
        <v>253</v>
      </c>
      <c r="G4086" s="12">
        <v>23.981481481481481</v>
      </c>
      <c r="H4086" s="9">
        <f t="shared" si="126"/>
        <v>47.962962962962962</v>
      </c>
      <c r="I4086" t="s">
        <v>485</v>
      </c>
      <c r="J4086" s="33">
        <v>0</v>
      </c>
      <c r="K4086" s="18">
        <f>VLOOKUP(D4086,Ingredients!C:G,5,0)</f>
        <v>20</v>
      </c>
      <c r="L4086" s="52">
        <f t="shared" si="130"/>
        <v>40</v>
      </c>
    </row>
    <row r="4087" spans="1:12">
      <c r="A4087" t="s">
        <v>1027</v>
      </c>
      <c r="B4087" t="s">
        <v>358</v>
      </c>
      <c r="C4087" t="s">
        <v>1025</v>
      </c>
      <c r="D4087" t="s">
        <v>10</v>
      </c>
      <c r="E4087" s="4">
        <v>0.02</v>
      </c>
      <c r="F4087" s="4" t="s">
        <v>179</v>
      </c>
      <c r="G4087" s="12">
        <v>129</v>
      </c>
      <c r="H4087" s="9">
        <f t="shared" si="126"/>
        <v>2.58</v>
      </c>
      <c r="I4087" t="s">
        <v>485</v>
      </c>
      <c r="J4087" s="33">
        <v>0</v>
      </c>
      <c r="K4087" s="18">
        <f>VLOOKUP(D4087,Ingredients!C:G,5,0)</f>
        <v>123</v>
      </c>
      <c r="L4087" s="52">
        <f t="shared" si="130"/>
        <v>2.46</v>
      </c>
    </row>
    <row r="4088" spans="1:12">
      <c r="A4088" t="s">
        <v>1028</v>
      </c>
      <c r="B4088" t="s">
        <v>346</v>
      </c>
      <c r="C4088" t="s">
        <v>352</v>
      </c>
      <c r="D4088" t="s">
        <v>171</v>
      </c>
      <c r="E4088" s="4">
        <v>1</v>
      </c>
      <c r="F4088" s="4" t="s">
        <v>179</v>
      </c>
      <c r="G4088" s="12">
        <f>VLOOKUP(D4088,D2:G4087,4,0)</f>
        <v>65</v>
      </c>
      <c r="H4088" s="9">
        <f t="shared" si="126"/>
        <v>65</v>
      </c>
      <c r="I4088" t="s">
        <v>179</v>
      </c>
      <c r="J4088" s="33">
        <v>0</v>
      </c>
      <c r="K4088" s="18">
        <f>VLOOKUP(D4088,Ingredients!C:G,5,0)</f>
        <v>80</v>
      </c>
      <c r="L4088" s="52">
        <f t="shared" si="130"/>
        <v>80</v>
      </c>
    </row>
    <row r="4089" spans="1:12">
      <c r="A4089" t="s">
        <v>1028</v>
      </c>
      <c r="B4089" t="s">
        <v>346</v>
      </c>
      <c r="C4089" t="s">
        <v>352</v>
      </c>
      <c r="D4089" t="s">
        <v>852</v>
      </c>
      <c r="E4089" s="4">
        <v>0.04</v>
      </c>
      <c r="F4089" s="4" t="s">
        <v>190</v>
      </c>
      <c r="G4089" s="9">
        <v>520.63</v>
      </c>
      <c r="H4089" s="9">
        <f t="shared" si="126"/>
        <v>20.825199999999999</v>
      </c>
      <c r="I4089" t="s">
        <v>179</v>
      </c>
      <c r="J4089" s="33">
        <v>0</v>
      </c>
      <c r="K4089" s="18">
        <f>VLOOKUP(D4089,Ingredients!C:G,5,0)</f>
        <v>550</v>
      </c>
      <c r="L4089" s="52">
        <f t="shared" si="130"/>
        <v>22</v>
      </c>
    </row>
    <row r="4090" spans="1:12">
      <c r="A4090" t="s">
        <v>1028</v>
      </c>
      <c r="B4090" t="s">
        <v>346</v>
      </c>
      <c r="C4090" t="s">
        <v>352</v>
      </c>
      <c r="D4090" t="s">
        <v>855</v>
      </c>
      <c r="E4090" s="4">
        <v>1.2E-2</v>
      </c>
      <c r="F4090" s="4" t="s">
        <v>179</v>
      </c>
      <c r="G4090" s="12">
        <f>VLOOKUP(D4090,D4:G4089,4,0)</f>
        <v>2400</v>
      </c>
      <c r="H4090" s="9">
        <f t="shared" si="126"/>
        <v>28.8</v>
      </c>
      <c r="I4090" t="s">
        <v>179</v>
      </c>
      <c r="J4090" s="33">
        <v>0</v>
      </c>
      <c r="K4090" s="18">
        <f>VLOOKUP(D4090,Ingredients!C:G,5,0)</f>
        <v>1600</v>
      </c>
      <c r="L4090" s="52">
        <f t="shared" si="130"/>
        <v>19.2</v>
      </c>
    </row>
    <row r="4091" spans="1:12">
      <c r="A4091" t="s">
        <v>1028</v>
      </c>
      <c r="B4091" t="s">
        <v>346</v>
      </c>
      <c r="C4091" t="s">
        <v>352</v>
      </c>
      <c r="D4091" s="3" t="s">
        <v>170</v>
      </c>
      <c r="E4091" s="4">
        <v>0.3</v>
      </c>
      <c r="F4091" s="4" t="s">
        <v>179</v>
      </c>
      <c r="G4091" s="12">
        <f>VLOOKUP(D4091,D5:G4090,4,0)</f>
        <v>240</v>
      </c>
      <c r="H4091" s="9">
        <f t="shared" si="126"/>
        <v>72</v>
      </c>
      <c r="I4091" t="s">
        <v>179</v>
      </c>
      <c r="J4091" s="33">
        <v>0</v>
      </c>
      <c r="K4091" s="18">
        <f>VLOOKUP(D4091,Ingredients!C:G,5,0)</f>
        <v>240</v>
      </c>
      <c r="L4091" s="52">
        <f t="shared" si="130"/>
        <v>72</v>
      </c>
    </row>
    <row r="4092" spans="1:12">
      <c r="A4092" t="s">
        <v>1028</v>
      </c>
      <c r="B4092" t="s">
        <v>346</v>
      </c>
      <c r="C4092" t="s">
        <v>352</v>
      </c>
      <c r="D4092" t="s">
        <v>24</v>
      </c>
      <c r="E4092" s="4">
        <v>0.4</v>
      </c>
      <c r="F4092" s="4" t="s">
        <v>179</v>
      </c>
      <c r="G4092" s="12">
        <f>VLOOKUP(D4092,D6:G4091,4,0)</f>
        <v>55</v>
      </c>
      <c r="H4092" s="9">
        <f t="shared" ref="H4092:H4110" si="131">G4092*E4092</f>
        <v>22</v>
      </c>
      <c r="I4092" t="s">
        <v>179</v>
      </c>
      <c r="J4092" s="33">
        <v>0</v>
      </c>
      <c r="K4092" s="18">
        <f>VLOOKUP(D4092,Ingredients!C:G,5,0)</f>
        <v>80</v>
      </c>
      <c r="L4092" s="52">
        <f t="shared" si="130"/>
        <v>32</v>
      </c>
    </row>
    <row r="4093" spans="1:12">
      <c r="A4093" t="s">
        <v>1028</v>
      </c>
      <c r="B4093" t="s">
        <v>346</v>
      </c>
      <c r="C4093" t="s">
        <v>352</v>
      </c>
      <c r="D4093" t="s">
        <v>28</v>
      </c>
      <c r="E4093" s="4">
        <v>0.8</v>
      </c>
      <c r="F4093" s="4" t="s">
        <v>179</v>
      </c>
      <c r="G4093" s="12">
        <f>VLOOKUP(D4093,D7:G4092,4,0)</f>
        <v>85</v>
      </c>
      <c r="H4093" s="9">
        <f t="shared" si="131"/>
        <v>68</v>
      </c>
      <c r="I4093" t="s">
        <v>179</v>
      </c>
      <c r="J4093" s="33">
        <v>0</v>
      </c>
      <c r="K4093" s="18">
        <f>VLOOKUP(D4093,Ingredients!C:G,5,0)</f>
        <v>70</v>
      </c>
      <c r="L4093" s="52">
        <f t="shared" si="130"/>
        <v>56</v>
      </c>
    </row>
    <row r="4094" spans="1:12">
      <c r="A4094" t="s">
        <v>1028</v>
      </c>
      <c r="B4094" t="s">
        <v>346</v>
      </c>
      <c r="C4094" t="s">
        <v>352</v>
      </c>
      <c r="D4094" t="s">
        <v>29</v>
      </c>
      <c r="E4094" s="4">
        <v>1.6E-2</v>
      </c>
      <c r="F4094" s="4" t="s">
        <v>179</v>
      </c>
      <c r="G4094" s="12">
        <f>VLOOKUP(D4094,D8:G4093,4,0)</f>
        <v>60</v>
      </c>
      <c r="H4094" s="9">
        <f t="shared" si="131"/>
        <v>0.96</v>
      </c>
      <c r="I4094" t="s">
        <v>179</v>
      </c>
      <c r="J4094" s="33">
        <v>0</v>
      </c>
      <c r="K4094" s="18">
        <f>VLOOKUP(D4094,Ingredients!C:G,5,0)</f>
        <v>100</v>
      </c>
      <c r="L4094" s="52">
        <f t="shared" si="130"/>
        <v>1.6</v>
      </c>
    </row>
    <row r="4095" spans="1:12">
      <c r="A4095" t="s">
        <v>1028</v>
      </c>
      <c r="B4095" t="s">
        <v>346</v>
      </c>
      <c r="C4095" t="s">
        <v>352</v>
      </c>
      <c r="D4095" t="s">
        <v>23</v>
      </c>
      <c r="E4095" s="4">
        <v>4.8000000000000001E-2</v>
      </c>
      <c r="F4095" s="4" t="s">
        <v>179</v>
      </c>
      <c r="G4095" s="12">
        <f>VLOOKUP(D4095,D9:G4094,4,0)</f>
        <v>740</v>
      </c>
      <c r="H4095" s="9">
        <f t="shared" si="131"/>
        <v>35.520000000000003</v>
      </c>
      <c r="I4095" t="s">
        <v>179</v>
      </c>
      <c r="J4095" s="33">
        <v>0</v>
      </c>
      <c r="K4095" s="18">
        <f>VLOOKUP(D4095,Ingredients!C:G,5,0)</f>
        <v>780</v>
      </c>
      <c r="L4095" s="52">
        <f t="shared" si="130"/>
        <v>37.44</v>
      </c>
    </row>
    <row r="4096" spans="1:12">
      <c r="A4096" t="s">
        <v>1028</v>
      </c>
      <c r="B4096" t="s">
        <v>346</v>
      </c>
      <c r="C4096" t="s">
        <v>352</v>
      </c>
      <c r="D4096" t="s">
        <v>16</v>
      </c>
      <c r="E4096" s="4">
        <v>4.8000000000000001E-2</v>
      </c>
      <c r="F4096" s="4" t="s">
        <v>179</v>
      </c>
      <c r="G4096" s="12">
        <f>VLOOKUP(D4096,D10:G4095,4,0)</f>
        <v>270</v>
      </c>
      <c r="H4096" s="9">
        <f t="shared" si="131"/>
        <v>12.96</v>
      </c>
      <c r="I4096" t="s">
        <v>179</v>
      </c>
      <c r="J4096" s="33">
        <v>0</v>
      </c>
      <c r="K4096" s="18">
        <f>VLOOKUP(D4096,Ingredients!C:G,5,0)</f>
        <v>310</v>
      </c>
      <c r="L4096" s="52">
        <f t="shared" si="130"/>
        <v>14.88</v>
      </c>
    </row>
    <row r="4097" spans="1:12">
      <c r="A4097" t="s">
        <v>1028</v>
      </c>
      <c r="B4097" t="s">
        <v>346</v>
      </c>
      <c r="C4097" t="s">
        <v>352</v>
      </c>
      <c r="D4097" t="s">
        <v>895</v>
      </c>
      <c r="E4097" s="4">
        <v>3.2000000000000001E-2</v>
      </c>
      <c r="F4097" s="4" t="s">
        <v>179</v>
      </c>
      <c r="G4097" s="12">
        <f>VLOOKUP(D4097,D11:G4096,4,0)</f>
        <v>400</v>
      </c>
      <c r="H4097" s="9">
        <f t="shared" si="131"/>
        <v>12.8</v>
      </c>
      <c r="I4097" t="s">
        <v>179</v>
      </c>
      <c r="J4097" s="33">
        <v>0</v>
      </c>
      <c r="K4097" s="18">
        <f>VLOOKUP(D4097,Ingredients!C:G,5,0)</f>
        <v>400</v>
      </c>
      <c r="L4097" s="52">
        <f t="shared" si="130"/>
        <v>12.8</v>
      </c>
    </row>
    <row r="4098" spans="1:12">
      <c r="A4098" t="s">
        <v>1028</v>
      </c>
      <c r="B4098" t="s">
        <v>346</v>
      </c>
      <c r="C4098" t="s">
        <v>352</v>
      </c>
      <c r="D4098" t="s">
        <v>867</v>
      </c>
      <c r="E4098" s="4">
        <v>0.02</v>
      </c>
      <c r="F4098" s="4" t="s">
        <v>179</v>
      </c>
      <c r="G4098" s="12">
        <f>VLOOKUP(D4098,D12:G4097,4,0)</f>
        <v>900</v>
      </c>
      <c r="H4098" s="9">
        <f t="shared" si="131"/>
        <v>18</v>
      </c>
      <c r="I4098" t="s">
        <v>179</v>
      </c>
      <c r="J4098" s="33">
        <v>0</v>
      </c>
      <c r="K4098" s="18">
        <f>VLOOKUP(D4098,Ingredients!C:G,5,0)</f>
        <v>950</v>
      </c>
      <c r="L4098" s="52">
        <f t="shared" si="130"/>
        <v>19</v>
      </c>
    </row>
    <row r="4099" spans="1:12">
      <c r="A4099" t="s">
        <v>1028</v>
      </c>
      <c r="B4099" t="s">
        <v>346</v>
      </c>
      <c r="C4099" t="s">
        <v>352</v>
      </c>
      <c r="D4099" t="s">
        <v>860</v>
      </c>
      <c r="E4099" s="4">
        <v>1.6E-2</v>
      </c>
      <c r="F4099" s="4" t="s">
        <v>179</v>
      </c>
      <c r="G4099" s="12">
        <f>VLOOKUP(D4099,D13:G4098,4,0)</f>
        <v>2000</v>
      </c>
      <c r="H4099" s="9">
        <f t="shared" si="131"/>
        <v>32</v>
      </c>
      <c r="I4099" t="s">
        <v>179</v>
      </c>
      <c r="J4099" s="33">
        <v>0</v>
      </c>
      <c r="K4099" s="18">
        <f>VLOOKUP(D4099,Ingredients!C:G,5,0)</f>
        <v>1900</v>
      </c>
      <c r="L4099" s="52">
        <f t="shared" si="130"/>
        <v>30.400000000000002</v>
      </c>
    </row>
    <row r="4100" spans="1:12">
      <c r="A4100" t="s">
        <v>1028</v>
      </c>
      <c r="B4100" t="s">
        <v>346</v>
      </c>
      <c r="C4100" t="s">
        <v>352</v>
      </c>
      <c r="D4100" t="s">
        <v>853</v>
      </c>
      <c r="E4100" s="4">
        <v>0.02</v>
      </c>
      <c r="F4100" s="4" t="s">
        <v>179</v>
      </c>
      <c r="G4100" s="12">
        <f>VLOOKUP(D4100,D14:G4099,4,0)</f>
        <v>30</v>
      </c>
      <c r="H4100" s="9">
        <f t="shared" si="131"/>
        <v>0.6</v>
      </c>
      <c r="I4100" t="s">
        <v>179</v>
      </c>
      <c r="J4100" s="33">
        <v>0</v>
      </c>
      <c r="K4100" s="18">
        <f>VLOOKUP(D4100,Ingredients!C:G,5,0)</f>
        <v>55</v>
      </c>
      <c r="L4100" s="52">
        <f t="shared" si="130"/>
        <v>1.1000000000000001</v>
      </c>
    </row>
    <row r="4101" spans="1:12">
      <c r="A4101" t="s">
        <v>1028</v>
      </c>
      <c r="B4101" t="s">
        <v>346</v>
      </c>
      <c r="C4101" t="s">
        <v>352</v>
      </c>
      <c r="D4101" t="s">
        <v>880</v>
      </c>
      <c r="E4101" s="4">
        <v>8.0000000000000002E-3</v>
      </c>
      <c r="F4101" s="4" t="s">
        <v>179</v>
      </c>
      <c r="G4101" s="12">
        <f>VLOOKUP(D4101,D15:G4100,4,0)</f>
        <v>650</v>
      </c>
      <c r="H4101" s="9">
        <f t="shared" si="131"/>
        <v>5.2</v>
      </c>
      <c r="I4101" t="s">
        <v>179</v>
      </c>
      <c r="J4101" s="33">
        <v>0</v>
      </c>
      <c r="K4101" s="18">
        <f>VLOOKUP(D4101,Ingredients!C:G,5,0)</f>
        <v>520</v>
      </c>
      <c r="L4101" s="52">
        <f t="shared" si="130"/>
        <v>4.16</v>
      </c>
    </row>
    <row r="4102" spans="1:12">
      <c r="A4102" t="s">
        <v>1028</v>
      </c>
      <c r="B4102" t="s">
        <v>346</v>
      </c>
      <c r="C4102" t="s">
        <v>352</v>
      </c>
      <c r="D4102" t="s">
        <v>878</v>
      </c>
      <c r="E4102" s="4">
        <v>8.0000000000000002E-3</v>
      </c>
      <c r="F4102" s="4" t="s">
        <v>179</v>
      </c>
      <c r="G4102" s="12">
        <f>VLOOKUP(D4102,D16:G4101,4,0)</f>
        <v>270</v>
      </c>
      <c r="H4102" s="9">
        <f t="shared" si="131"/>
        <v>2.16</v>
      </c>
      <c r="I4102" t="s">
        <v>179</v>
      </c>
      <c r="J4102" s="33">
        <v>0</v>
      </c>
      <c r="K4102" s="18">
        <f>VLOOKUP(D4102,Ingredients!C:G,5,0)</f>
        <v>1260.55</v>
      </c>
      <c r="L4102" s="52">
        <f t="shared" si="130"/>
        <v>10.0844</v>
      </c>
    </row>
    <row r="4103" spans="1:12">
      <c r="A4103" t="s">
        <v>1028</v>
      </c>
      <c r="B4103" t="s">
        <v>346</v>
      </c>
      <c r="C4103" t="s">
        <v>352</v>
      </c>
      <c r="D4103" s="3" t="s">
        <v>35</v>
      </c>
      <c r="E4103" s="4">
        <v>0.12</v>
      </c>
      <c r="F4103" s="4" t="s">
        <v>252</v>
      </c>
      <c r="G4103" s="12">
        <f>VLOOKUP(D4103,D17:G4102,4,0)</f>
        <v>13</v>
      </c>
      <c r="H4103" s="9">
        <f t="shared" si="131"/>
        <v>1.56</v>
      </c>
      <c r="I4103" t="s">
        <v>179</v>
      </c>
      <c r="J4103" s="33">
        <v>0</v>
      </c>
      <c r="K4103" s="18">
        <f>VLOOKUP(D4103,Ingredients!C:G,5,0)</f>
        <v>15</v>
      </c>
      <c r="L4103" s="52">
        <f t="shared" si="130"/>
        <v>1.7999999999999998</v>
      </c>
    </row>
    <row r="4104" spans="1:12">
      <c r="A4104" s="21" t="s">
        <v>1029</v>
      </c>
      <c r="B4104" t="s">
        <v>349</v>
      </c>
      <c r="C4104" t="s">
        <v>456</v>
      </c>
      <c r="D4104" t="s">
        <v>491</v>
      </c>
      <c r="E4104" s="4">
        <v>1</v>
      </c>
      <c r="F4104" s="4" t="s">
        <v>179</v>
      </c>
      <c r="G4104" s="12">
        <f>VLOOKUP(D4104,D18:G4103,4,0)</f>
        <v>614</v>
      </c>
      <c r="H4104" s="9">
        <f t="shared" si="131"/>
        <v>614</v>
      </c>
      <c r="I4104" t="s">
        <v>179</v>
      </c>
      <c r="J4104" s="33" t="s">
        <v>491</v>
      </c>
      <c r="K4104" s="18">
        <f>VLOOKUP(D4104,Ingredients!C:G,5,0)</f>
        <v>650</v>
      </c>
      <c r="L4104" s="52">
        <f t="shared" ref="L4104:L4110" si="132">K4104*E4104</f>
        <v>650</v>
      </c>
    </row>
    <row r="4105" spans="1:12">
      <c r="A4105" s="21" t="s">
        <v>1029</v>
      </c>
      <c r="B4105" t="s">
        <v>349</v>
      </c>
      <c r="C4105" t="s">
        <v>456</v>
      </c>
      <c r="D4105" s="3" t="s">
        <v>882</v>
      </c>
      <c r="E4105" s="14">
        <v>9.5785440613026813E-3</v>
      </c>
      <c r="F4105" s="4" t="s">
        <v>179</v>
      </c>
      <c r="G4105" s="12">
        <f>VLOOKUP(D4105,D19:G4104,4,0)</f>
        <v>1500</v>
      </c>
      <c r="H4105" s="9">
        <f t="shared" si="131"/>
        <v>14.367816091954023</v>
      </c>
      <c r="I4105" t="s">
        <v>179</v>
      </c>
      <c r="J4105" s="33" t="s">
        <v>491</v>
      </c>
      <c r="K4105" s="18">
        <f>VLOOKUP(D4105,Ingredients!C:G,5,0)</f>
        <v>1450</v>
      </c>
      <c r="L4105" s="52">
        <f t="shared" si="132"/>
        <v>13.888888888888888</v>
      </c>
    </row>
    <row r="4106" spans="1:12">
      <c r="A4106" s="21" t="s">
        <v>1029</v>
      </c>
      <c r="B4106" t="s">
        <v>349</v>
      </c>
      <c r="C4106" t="s">
        <v>456</v>
      </c>
      <c r="D4106" t="s">
        <v>853</v>
      </c>
      <c r="E4106" s="14">
        <v>9.5785440613026813E-3</v>
      </c>
      <c r="F4106" s="4" t="s">
        <v>179</v>
      </c>
      <c r="G4106" s="12">
        <f>VLOOKUP(D4106,D20:G4105,4,0)</f>
        <v>30</v>
      </c>
      <c r="H4106" s="9">
        <f t="shared" si="131"/>
        <v>0.28735632183908044</v>
      </c>
      <c r="I4106" t="s">
        <v>179</v>
      </c>
      <c r="J4106" s="33" t="s">
        <v>491</v>
      </c>
      <c r="K4106" s="18">
        <f>VLOOKUP(D4106,Ingredients!C:G,5,0)</f>
        <v>55</v>
      </c>
      <c r="L4106" s="52">
        <f t="shared" si="132"/>
        <v>0.52681992337164751</v>
      </c>
    </row>
    <row r="4107" spans="1:12">
      <c r="A4107" s="21" t="s">
        <v>1029</v>
      </c>
      <c r="B4107" t="s">
        <v>349</v>
      </c>
      <c r="C4107" t="s">
        <v>456</v>
      </c>
      <c r="D4107" s="3" t="s">
        <v>865</v>
      </c>
      <c r="E4107" s="14">
        <v>0.11494252873563218</v>
      </c>
      <c r="F4107" s="4" t="s">
        <v>179</v>
      </c>
      <c r="G4107" s="12">
        <f>VLOOKUP(D4107,D21:G4106,4,0)</f>
        <v>1400</v>
      </c>
      <c r="H4107" s="9">
        <f t="shared" si="131"/>
        <v>160.91954022988506</v>
      </c>
      <c r="I4107" t="s">
        <v>179</v>
      </c>
      <c r="J4107" s="33" t="s">
        <v>491</v>
      </c>
      <c r="K4107" s="18">
        <f>VLOOKUP(D4107,Ingredients!C:G,5,0)</f>
        <v>1400</v>
      </c>
      <c r="L4107" s="52">
        <f t="shared" si="132"/>
        <v>160.91954022988506</v>
      </c>
    </row>
    <row r="4108" spans="1:12">
      <c r="A4108" s="21" t="s">
        <v>1029</v>
      </c>
      <c r="B4108" t="s">
        <v>349</v>
      </c>
      <c r="C4108" t="s">
        <v>456</v>
      </c>
      <c r="D4108" t="s">
        <v>497</v>
      </c>
      <c r="E4108" s="14">
        <v>9.5785440613026813E-3</v>
      </c>
      <c r="F4108" s="4" t="s">
        <v>179</v>
      </c>
      <c r="G4108" s="12">
        <f>VLOOKUP(D4108,D22:G4107,4,0)</f>
        <v>350</v>
      </c>
      <c r="H4108" s="9">
        <f t="shared" si="131"/>
        <v>3.3524904214559386</v>
      </c>
      <c r="I4108" t="s">
        <v>179</v>
      </c>
      <c r="J4108" s="33" t="s">
        <v>491</v>
      </c>
      <c r="K4108" s="18">
        <f>VLOOKUP(D4108,Ingredients!C:G,5,0)</f>
        <v>400</v>
      </c>
      <c r="L4108" s="52">
        <f t="shared" si="132"/>
        <v>3.8314176245210727</v>
      </c>
    </row>
    <row r="4109" spans="1:12">
      <c r="A4109" s="21" t="s">
        <v>1029</v>
      </c>
      <c r="B4109" t="s">
        <v>349</v>
      </c>
      <c r="C4109" t="s">
        <v>456</v>
      </c>
      <c r="D4109" s="3" t="s">
        <v>16</v>
      </c>
      <c r="E4109" s="14">
        <v>1.1494252873563218E-2</v>
      </c>
      <c r="F4109" s="4" t="s">
        <v>179</v>
      </c>
      <c r="G4109" s="12">
        <f>VLOOKUP(D4109,D23:G4108,4,0)</f>
        <v>270</v>
      </c>
      <c r="H4109" s="9">
        <f t="shared" si="131"/>
        <v>3.103448275862069</v>
      </c>
      <c r="I4109" t="s">
        <v>179</v>
      </c>
      <c r="J4109" s="33" t="s">
        <v>491</v>
      </c>
      <c r="K4109" s="18">
        <f>VLOOKUP(D4109,Ingredients!C:G,5,0)</f>
        <v>310</v>
      </c>
      <c r="L4109" s="52">
        <f t="shared" si="132"/>
        <v>3.5632183908045976</v>
      </c>
    </row>
    <row r="4110" spans="1:12">
      <c r="A4110" s="21" t="s">
        <v>1029</v>
      </c>
      <c r="B4110" t="s">
        <v>349</v>
      </c>
      <c r="C4110" t="s">
        <v>456</v>
      </c>
      <c r="D4110" t="s">
        <v>852</v>
      </c>
      <c r="E4110" s="14">
        <v>2.4904214559386972E-2</v>
      </c>
      <c r="F4110" s="4" t="s">
        <v>190</v>
      </c>
      <c r="G4110" s="12">
        <f>VLOOKUP(D4110,D24:G4109,4,0)</f>
        <v>520.63</v>
      </c>
      <c r="H4110" s="9">
        <f t="shared" si="131"/>
        <v>12.965881226053639</v>
      </c>
      <c r="I4110" t="s">
        <v>179</v>
      </c>
      <c r="J4110" s="33" t="s">
        <v>491</v>
      </c>
      <c r="K4110" s="18">
        <f>VLOOKUP(D4110,Ingredients!C:G,5,0)</f>
        <v>550</v>
      </c>
      <c r="L4110" s="52">
        <f t="shared" si="132"/>
        <v>13.697318007662835</v>
      </c>
    </row>
    <row r="4111" spans="1:12">
      <c r="A4111" s="21" t="s">
        <v>1030</v>
      </c>
      <c r="B4111" t="s">
        <v>349</v>
      </c>
      <c r="C4111" t="s">
        <v>456</v>
      </c>
      <c r="D4111" s="33" t="s">
        <v>491</v>
      </c>
      <c r="E4111" s="4">
        <v>1</v>
      </c>
      <c r="F4111" s="4" t="s">
        <v>176</v>
      </c>
      <c r="G4111" s="12">
        <f>VLOOKUP(D4111,D25:G4110,4,0)</f>
        <v>614</v>
      </c>
      <c r="H4111" s="9">
        <f t="shared" ref="H4111:H4136" si="133">G4111*E4111</f>
        <v>614</v>
      </c>
      <c r="I4111" t="s">
        <v>179</v>
      </c>
      <c r="J4111" s="33" t="s">
        <v>491</v>
      </c>
      <c r="K4111" s="18">
        <f>VLOOKUP(D4111,Ingredients!C:G,5,0)</f>
        <v>650</v>
      </c>
      <c r="L4111" s="52">
        <f t="shared" ref="L4111:L4136" si="134">K4111*E4111</f>
        <v>650</v>
      </c>
    </row>
    <row r="4112" spans="1:12">
      <c r="A4112" s="21" t="s">
        <v>1030</v>
      </c>
      <c r="B4112" t="s">
        <v>349</v>
      </c>
      <c r="C4112" t="s">
        <v>456</v>
      </c>
      <c r="D4112" s="3" t="s">
        <v>859</v>
      </c>
      <c r="E4112" s="4">
        <v>4.0000000000000001E-3</v>
      </c>
      <c r="F4112" s="4" t="s">
        <v>176</v>
      </c>
      <c r="G4112" s="12">
        <f>VLOOKUP(D4112,D26:G4111,4,0)</f>
        <v>650</v>
      </c>
      <c r="H4112" s="9">
        <f t="shared" si="133"/>
        <v>2.6</v>
      </c>
      <c r="I4112" t="s">
        <v>179</v>
      </c>
      <c r="J4112" s="33" t="s">
        <v>491</v>
      </c>
      <c r="K4112" s="18">
        <f>VLOOKUP(D4112,Ingredients!C:G,5,0)</f>
        <v>700</v>
      </c>
      <c r="L4112" s="52">
        <f t="shared" si="134"/>
        <v>2.8000000000000003</v>
      </c>
    </row>
    <row r="4113" spans="1:12">
      <c r="A4113" s="21" t="s">
        <v>1030</v>
      </c>
      <c r="B4113" t="s">
        <v>349</v>
      </c>
      <c r="C4113" t="s">
        <v>456</v>
      </c>
      <c r="D4113" s="3" t="s">
        <v>23</v>
      </c>
      <c r="E4113" s="4">
        <v>8.9999999999999993E-3</v>
      </c>
      <c r="F4113" s="4" t="s">
        <v>176</v>
      </c>
      <c r="G4113" s="12">
        <f>VLOOKUP(D4113,D27:G4112,4,0)</f>
        <v>740</v>
      </c>
      <c r="H4113" s="9">
        <f t="shared" si="133"/>
        <v>6.6599999999999993</v>
      </c>
      <c r="I4113" t="s">
        <v>179</v>
      </c>
      <c r="J4113" s="33" t="s">
        <v>491</v>
      </c>
      <c r="K4113" s="18">
        <f>VLOOKUP(D4113,Ingredients!C:G,5,0)</f>
        <v>780</v>
      </c>
      <c r="L4113" s="52">
        <f t="shared" si="134"/>
        <v>7.02</v>
      </c>
    </row>
    <row r="4114" spans="1:12">
      <c r="A4114" s="21" t="s">
        <v>1030</v>
      </c>
      <c r="B4114" t="s">
        <v>349</v>
      </c>
      <c r="C4114" t="s">
        <v>456</v>
      </c>
      <c r="D4114" s="3" t="s">
        <v>16</v>
      </c>
      <c r="E4114" s="4">
        <v>8.9999999999999993E-3</v>
      </c>
      <c r="F4114" s="4" t="s">
        <v>176</v>
      </c>
      <c r="G4114" s="12">
        <f>VLOOKUP(D4114,D28:G4113,4,0)</f>
        <v>270</v>
      </c>
      <c r="H4114" s="9">
        <f t="shared" si="133"/>
        <v>2.4299999999999997</v>
      </c>
      <c r="I4114" t="s">
        <v>179</v>
      </c>
      <c r="J4114" s="33" t="s">
        <v>491</v>
      </c>
      <c r="K4114" s="18">
        <f>VLOOKUP(D4114,Ingredients!C:G,5,0)</f>
        <v>310</v>
      </c>
      <c r="L4114" s="52">
        <f t="shared" si="134"/>
        <v>2.7899999999999996</v>
      </c>
    </row>
    <row r="4115" spans="1:12">
      <c r="A4115" s="21" t="s">
        <v>1030</v>
      </c>
      <c r="B4115" t="s">
        <v>349</v>
      </c>
      <c r="C4115" t="s">
        <v>456</v>
      </c>
      <c r="D4115" s="3" t="s">
        <v>882</v>
      </c>
      <c r="E4115" s="4">
        <v>7.0000000000000001E-3</v>
      </c>
      <c r="F4115" s="4" t="s">
        <v>176</v>
      </c>
      <c r="G4115" s="12">
        <f>VLOOKUP(D4115,D29:G4114,4,0)</f>
        <v>1500</v>
      </c>
      <c r="H4115" s="9">
        <f t="shared" si="133"/>
        <v>10.5</v>
      </c>
      <c r="I4115" t="s">
        <v>179</v>
      </c>
      <c r="J4115" s="33" t="s">
        <v>491</v>
      </c>
      <c r="K4115" s="18">
        <f>VLOOKUP(D4115,Ingredients!C:G,5,0)</f>
        <v>1450</v>
      </c>
      <c r="L4115" s="52">
        <f t="shared" si="134"/>
        <v>10.15</v>
      </c>
    </row>
    <row r="4116" spans="1:12">
      <c r="A4116" s="21" t="s">
        <v>1030</v>
      </c>
      <c r="B4116" t="s">
        <v>349</v>
      </c>
      <c r="C4116" t="s">
        <v>456</v>
      </c>
      <c r="D4116" s="3" t="s">
        <v>543</v>
      </c>
      <c r="E4116" s="4">
        <v>3.4000000000000002E-2</v>
      </c>
      <c r="F4116" s="4" t="s">
        <v>176</v>
      </c>
      <c r="G4116" s="12">
        <v>2300</v>
      </c>
      <c r="H4116" s="9">
        <f t="shared" si="133"/>
        <v>78.2</v>
      </c>
      <c r="I4116" t="s">
        <v>179</v>
      </c>
      <c r="J4116" s="33" t="s">
        <v>491</v>
      </c>
      <c r="K4116" s="12">
        <v>787</v>
      </c>
      <c r="L4116" s="52">
        <f t="shared" si="134"/>
        <v>26.758000000000003</v>
      </c>
    </row>
    <row r="4117" spans="1:12">
      <c r="A4117" s="21" t="s">
        <v>1030</v>
      </c>
      <c r="B4117" t="s">
        <v>349</v>
      </c>
      <c r="C4117" t="s">
        <v>456</v>
      </c>
      <c r="D4117" s="3" t="s">
        <v>1031</v>
      </c>
      <c r="E4117" s="4">
        <v>3.4000000000000002E-2</v>
      </c>
      <c r="F4117" s="4" t="s">
        <v>190</v>
      </c>
      <c r="G4117" s="12">
        <v>1183.33</v>
      </c>
      <c r="H4117" s="9">
        <f t="shared" si="133"/>
        <v>40.233220000000003</v>
      </c>
      <c r="I4117" t="s">
        <v>179</v>
      </c>
      <c r="J4117" s="33" t="s">
        <v>491</v>
      </c>
      <c r="K4117" s="12">
        <v>1026</v>
      </c>
      <c r="L4117" s="52">
        <f t="shared" si="134"/>
        <v>34.884</v>
      </c>
    </row>
    <row r="4118" spans="1:12">
      <c r="A4118" s="21" t="s">
        <v>1030</v>
      </c>
      <c r="B4118" t="s">
        <v>349</v>
      </c>
      <c r="C4118" t="s">
        <v>456</v>
      </c>
      <c r="D4118" s="3" t="s">
        <v>310</v>
      </c>
      <c r="E4118" s="4">
        <v>2.8000000000000001E-2</v>
      </c>
      <c r="F4118" s="4" t="s">
        <v>190</v>
      </c>
      <c r="G4118" s="12">
        <f>VLOOKUP(D4118,D32:G4117,4,0)</f>
        <v>425</v>
      </c>
      <c r="H4118" s="9">
        <f t="shared" si="133"/>
        <v>11.9</v>
      </c>
      <c r="I4118" t="s">
        <v>179</v>
      </c>
      <c r="J4118" s="33" t="s">
        <v>491</v>
      </c>
      <c r="K4118" s="18">
        <f>VLOOKUP(D4118,Ingredients!C:G,5,0)</f>
        <v>850</v>
      </c>
      <c r="L4118" s="52">
        <f t="shared" si="134"/>
        <v>23.8</v>
      </c>
    </row>
    <row r="4119" spans="1:12">
      <c r="A4119" s="21" t="s">
        <v>1030</v>
      </c>
      <c r="B4119" t="s">
        <v>349</v>
      </c>
      <c r="C4119" t="s">
        <v>456</v>
      </c>
      <c r="D4119" s="3" t="s">
        <v>887</v>
      </c>
      <c r="E4119" s="4">
        <v>1.2E-2</v>
      </c>
      <c r="F4119" s="4" t="s">
        <v>176</v>
      </c>
      <c r="G4119" s="12">
        <f>VLOOKUP(D4119,D33:G4118,4,0)</f>
        <v>1600</v>
      </c>
      <c r="H4119" s="9">
        <f t="shared" si="133"/>
        <v>19.2</v>
      </c>
      <c r="I4119" t="s">
        <v>179</v>
      </c>
      <c r="J4119" s="33" t="s">
        <v>491</v>
      </c>
      <c r="K4119" s="18">
        <f>VLOOKUP(D4119,Ingredients!C:G,5,0)</f>
        <v>1830</v>
      </c>
      <c r="L4119" s="52">
        <f t="shared" si="134"/>
        <v>21.96</v>
      </c>
    </row>
    <row r="4120" spans="1:12">
      <c r="A4120" s="21" t="s">
        <v>1030</v>
      </c>
      <c r="B4120" t="s">
        <v>349</v>
      </c>
      <c r="C4120" t="s">
        <v>456</v>
      </c>
      <c r="D4120" s="3" t="s">
        <v>853</v>
      </c>
      <c r="E4120" s="4">
        <v>2.1999999999999999E-2</v>
      </c>
      <c r="F4120" s="4" t="s">
        <v>176</v>
      </c>
      <c r="G4120" s="12">
        <f>VLOOKUP(D4120,D34:G4119,4,0)</f>
        <v>30</v>
      </c>
      <c r="H4120" s="9">
        <f t="shared" si="133"/>
        <v>0.65999999999999992</v>
      </c>
      <c r="I4120" t="s">
        <v>179</v>
      </c>
      <c r="J4120" s="33" t="s">
        <v>491</v>
      </c>
      <c r="K4120" s="18">
        <f>VLOOKUP(D4120,Ingredients!C:G,5,0)</f>
        <v>55</v>
      </c>
      <c r="L4120" s="52">
        <f t="shared" si="134"/>
        <v>1.21</v>
      </c>
    </row>
    <row r="4121" spans="1:12">
      <c r="A4121" s="21" t="s">
        <v>1030</v>
      </c>
      <c r="B4121" t="s">
        <v>349</v>
      </c>
      <c r="C4121" t="s">
        <v>456</v>
      </c>
      <c r="D4121" s="3" t="s">
        <v>860</v>
      </c>
      <c r="E4121" s="4">
        <v>4.0000000000000001E-3</v>
      </c>
      <c r="F4121" s="4" t="s">
        <v>176</v>
      </c>
      <c r="G4121" s="12">
        <f>VLOOKUP(D4121,D35:G4120,4,0)</f>
        <v>2000</v>
      </c>
      <c r="H4121" s="9">
        <f t="shared" si="133"/>
        <v>8</v>
      </c>
      <c r="I4121" t="s">
        <v>179</v>
      </c>
      <c r="J4121" s="33" t="s">
        <v>491</v>
      </c>
      <c r="K4121" s="18">
        <f>VLOOKUP(D4121,Ingredients!C:G,5,0)</f>
        <v>1900</v>
      </c>
      <c r="L4121" s="52">
        <f t="shared" si="134"/>
        <v>7.6000000000000005</v>
      </c>
    </row>
    <row r="4122" spans="1:12">
      <c r="A4122" s="21" t="s">
        <v>1030</v>
      </c>
      <c r="B4122" t="s">
        <v>349</v>
      </c>
      <c r="C4122" t="s">
        <v>456</v>
      </c>
      <c r="D4122" s="3" t="s">
        <v>865</v>
      </c>
      <c r="E4122" s="4">
        <v>0.2</v>
      </c>
      <c r="F4122" s="4" t="s">
        <v>176</v>
      </c>
      <c r="G4122" s="12">
        <f>VLOOKUP(D4122,D36:G4121,4,0)</f>
        <v>1400</v>
      </c>
      <c r="H4122" s="9">
        <f t="shared" si="133"/>
        <v>280</v>
      </c>
      <c r="I4122" t="s">
        <v>179</v>
      </c>
      <c r="J4122" s="33" t="s">
        <v>491</v>
      </c>
      <c r="K4122" s="18">
        <f>VLOOKUP(D4122,Ingredients!C:G,5,0)</f>
        <v>1400</v>
      </c>
      <c r="L4122" s="52">
        <f t="shared" si="134"/>
        <v>280</v>
      </c>
    </row>
    <row r="4123" spans="1:12">
      <c r="A4123" s="21" t="s">
        <v>1030</v>
      </c>
      <c r="B4123" t="s">
        <v>349</v>
      </c>
      <c r="C4123" t="s">
        <v>456</v>
      </c>
      <c r="D4123" s="3" t="s">
        <v>867</v>
      </c>
      <c r="E4123" s="4">
        <v>7.0000000000000001E-3</v>
      </c>
      <c r="F4123" s="4" t="s">
        <v>176</v>
      </c>
      <c r="G4123" s="12">
        <f>VLOOKUP(D4123,D37:G4122,4,0)</f>
        <v>900</v>
      </c>
      <c r="H4123" s="9">
        <f t="shared" si="133"/>
        <v>6.3</v>
      </c>
      <c r="I4123" t="s">
        <v>179</v>
      </c>
      <c r="J4123" s="33" t="s">
        <v>491</v>
      </c>
      <c r="K4123" s="18">
        <f>VLOOKUP(D4123,Ingredients!C:G,5,0)</f>
        <v>950</v>
      </c>
      <c r="L4123" s="52">
        <f t="shared" si="134"/>
        <v>6.65</v>
      </c>
    </row>
    <row r="4124" spans="1:12">
      <c r="A4124" s="21" t="s">
        <v>1030</v>
      </c>
      <c r="B4124" t="s">
        <v>349</v>
      </c>
      <c r="C4124" t="s">
        <v>456</v>
      </c>
      <c r="D4124" s="3" t="s">
        <v>880</v>
      </c>
      <c r="E4124" s="4">
        <v>3.0000000000000001E-3</v>
      </c>
      <c r="F4124" s="4" t="s">
        <v>176</v>
      </c>
      <c r="G4124" s="12">
        <f>VLOOKUP(D4124,D38:G4123,4,0)</f>
        <v>650</v>
      </c>
      <c r="H4124" s="9">
        <f t="shared" si="133"/>
        <v>1.95</v>
      </c>
      <c r="I4124" t="s">
        <v>179</v>
      </c>
      <c r="J4124" s="33" t="s">
        <v>491</v>
      </c>
      <c r="K4124" s="18">
        <f>VLOOKUP(D4124,Ingredients!C:G,5,0)</f>
        <v>520</v>
      </c>
      <c r="L4124" s="52">
        <f t="shared" si="134"/>
        <v>1.56</v>
      </c>
    </row>
    <row r="4125" spans="1:12">
      <c r="A4125" s="21" t="s">
        <v>1030</v>
      </c>
      <c r="B4125" t="s">
        <v>349</v>
      </c>
      <c r="C4125" t="s">
        <v>456</v>
      </c>
      <c r="D4125" s="3" t="s">
        <v>73</v>
      </c>
      <c r="E4125" s="4">
        <v>0.06</v>
      </c>
      <c r="F4125" s="4" t="s">
        <v>176</v>
      </c>
      <c r="G4125" s="12">
        <f>VLOOKUP(D4125,D39:G4124,4,0)</f>
        <v>305</v>
      </c>
      <c r="H4125" s="9">
        <f t="shared" si="133"/>
        <v>18.3</v>
      </c>
      <c r="I4125" t="s">
        <v>179</v>
      </c>
      <c r="J4125" s="33" t="s">
        <v>491</v>
      </c>
      <c r="K4125" s="18">
        <f>VLOOKUP(D4125,Ingredients!C:G,5,0)</f>
        <v>300</v>
      </c>
      <c r="L4125" s="52">
        <f t="shared" si="134"/>
        <v>18</v>
      </c>
    </row>
    <row r="4126" spans="1:12">
      <c r="A4126" t="s">
        <v>1032</v>
      </c>
      <c r="B4126" t="s">
        <v>349</v>
      </c>
      <c r="C4126" t="s">
        <v>352</v>
      </c>
      <c r="D4126" s="3" t="s">
        <v>855</v>
      </c>
      <c r="E4126" s="10">
        <v>3.3400000000000001E-3</v>
      </c>
      <c r="F4126" s="13" t="s">
        <v>176</v>
      </c>
      <c r="G4126" s="9">
        <v>2400</v>
      </c>
      <c r="H4126" s="9">
        <f t="shared" si="133"/>
        <v>8.016</v>
      </c>
      <c r="I4126" t="s">
        <v>179</v>
      </c>
      <c r="J4126" s="33" t="s">
        <v>514</v>
      </c>
      <c r="K4126" s="18">
        <f>VLOOKUP(D4126,Ingredients!C:G,5,0)</f>
        <v>1600</v>
      </c>
      <c r="L4126" s="52">
        <f t="shared" si="134"/>
        <v>5.3440000000000003</v>
      </c>
    </row>
    <row r="4127" spans="1:12">
      <c r="A4127" t="s">
        <v>1032</v>
      </c>
      <c r="B4127" t="s">
        <v>349</v>
      </c>
      <c r="C4127" t="s">
        <v>352</v>
      </c>
      <c r="D4127" s="3" t="s">
        <v>879</v>
      </c>
      <c r="E4127" s="10">
        <v>3.3400000000000001E-3</v>
      </c>
      <c r="F4127" s="13" t="s">
        <v>176</v>
      </c>
      <c r="G4127" s="9">
        <v>1113.51</v>
      </c>
      <c r="H4127" s="9">
        <f t="shared" si="133"/>
        <v>3.7191234</v>
      </c>
      <c r="I4127" t="s">
        <v>179</v>
      </c>
      <c r="J4127" s="33" t="s">
        <v>514</v>
      </c>
      <c r="K4127" s="18">
        <f>VLOOKUP(D4127,Ingredients!C:G,5,0)</f>
        <v>1066.33</v>
      </c>
      <c r="L4127" s="52">
        <f t="shared" si="134"/>
        <v>3.5615421999999999</v>
      </c>
    </row>
    <row r="4128" spans="1:12">
      <c r="A4128" t="s">
        <v>1032</v>
      </c>
      <c r="B4128" t="s">
        <v>349</v>
      </c>
      <c r="C4128" t="s">
        <v>352</v>
      </c>
      <c r="D4128" s="3" t="s">
        <v>872</v>
      </c>
      <c r="E4128" s="10">
        <v>8.3499999999999998E-3</v>
      </c>
      <c r="F4128" s="13" t="s">
        <v>176</v>
      </c>
      <c r="G4128" s="9">
        <v>2100</v>
      </c>
      <c r="H4128" s="9">
        <f t="shared" si="133"/>
        <v>17.535</v>
      </c>
      <c r="I4128" t="s">
        <v>179</v>
      </c>
      <c r="J4128" s="33" t="s">
        <v>514</v>
      </c>
      <c r="K4128" s="18">
        <f>VLOOKUP(D4128,Ingredients!C:G,5,0)</f>
        <v>2150</v>
      </c>
      <c r="L4128" s="52">
        <f t="shared" si="134"/>
        <v>17.952500000000001</v>
      </c>
    </row>
    <row r="4129" spans="1:12">
      <c r="A4129" t="s">
        <v>1032</v>
      </c>
      <c r="B4129" t="s">
        <v>349</v>
      </c>
      <c r="C4129" t="s">
        <v>352</v>
      </c>
      <c r="D4129" s="3" t="s">
        <v>853</v>
      </c>
      <c r="E4129" s="10">
        <v>1.0019999999999999E-2</v>
      </c>
      <c r="F4129" s="13" t="s">
        <v>176</v>
      </c>
      <c r="G4129" s="9">
        <v>30</v>
      </c>
      <c r="H4129" s="9">
        <f t="shared" si="133"/>
        <v>0.30059999999999998</v>
      </c>
      <c r="I4129" t="s">
        <v>179</v>
      </c>
      <c r="J4129" s="33" t="s">
        <v>514</v>
      </c>
      <c r="K4129" s="18">
        <f>VLOOKUP(D4129,Ingredients!C:G,5,0)</f>
        <v>55</v>
      </c>
      <c r="L4129" s="52">
        <f t="shared" si="134"/>
        <v>0.55109999999999992</v>
      </c>
    </row>
    <row r="4130" spans="1:12">
      <c r="A4130" t="s">
        <v>1032</v>
      </c>
      <c r="B4130" t="s">
        <v>349</v>
      </c>
      <c r="C4130" t="s">
        <v>352</v>
      </c>
      <c r="D4130" s="3" t="s">
        <v>73</v>
      </c>
      <c r="E4130" s="10">
        <v>0.12525</v>
      </c>
      <c r="F4130" s="13" t="s">
        <v>176</v>
      </c>
      <c r="G4130" s="9">
        <v>305</v>
      </c>
      <c r="H4130" s="9">
        <f t="shared" si="133"/>
        <v>38.201250000000002</v>
      </c>
      <c r="I4130" t="s">
        <v>179</v>
      </c>
      <c r="J4130" s="33" t="s">
        <v>514</v>
      </c>
      <c r="K4130" s="18">
        <f>VLOOKUP(D4130,Ingredients!C:G,5,0)</f>
        <v>300</v>
      </c>
      <c r="L4130" s="52">
        <f t="shared" si="134"/>
        <v>37.575000000000003</v>
      </c>
    </row>
    <row r="4131" spans="1:12">
      <c r="A4131" t="s">
        <v>1032</v>
      </c>
      <c r="B4131" t="s">
        <v>349</v>
      </c>
      <c r="C4131" t="s">
        <v>352</v>
      </c>
      <c r="D4131" s="3" t="s">
        <v>851</v>
      </c>
      <c r="E4131" s="10">
        <v>0.1169</v>
      </c>
      <c r="F4131" s="13" t="s">
        <v>176</v>
      </c>
      <c r="G4131" s="9">
        <v>177</v>
      </c>
      <c r="H4131" s="9">
        <f t="shared" si="133"/>
        <v>20.691300000000002</v>
      </c>
      <c r="I4131" t="s">
        <v>179</v>
      </c>
      <c r="J4131" s="33" t="s">
        <v>514</v>
      </c>
      <c r="K4131" s="18">
        <f>VLOOKUP(D4131,Ingredients!C:G,5,0)</f>
        <v>920</v>
      </c>
      <c r="L4131" s="52">
        <f t="shared" si="134"/>
        <v>107.548</v>
      </c>
    </row>
    <row r="4132" spans="1:12">
      <c r="A4132" t="s">
        <v>1032</v>
      </c>
      <c r="B4132" t="s">
        <v>349</v>
      </c>
      <c r="C4132" t="s">
        <v>352</v>
      </c>
      <c r="D4132" s="3" t="s">
        <v>29</v>
      </c>
      <c r="E4132" s="10">
        <v>8.3499999999999998E-3</v>
      </c>
      <c r="F4132" s="13" t="s">
        <v>176</v>
      </c>
      <c r="G4132" s="9">
        <v>60</v>
      </c>
      <c r="H4132" s="9">
        <f t="shared" si="133"/>
        <v>0.501</v>
      </c>
      <c r="I4132" t="s">
        <v>179</v>
      </c>
      <c r="J4132" s="33" t="s">
        <v>514</v>
      </c>
      <c r="K4132" s="18">
        <f>VLOOKUP(D4132,Ingredients!C:G,5,0)</f>
        <v>100</v>
      </c>
      <c r="L4132" s="52">
        <f t="shared" si="134"/>
        <v>0.83499999999999996</v>
      </c>
    </row>
    <row r="4133" spans="1:12">
      <c r="A4133" t="s">
        <v>1032</v>
      </c>
      <c r="B4133" t="s">
        <v>349</v>
      </c>
      <c r="C4133" t="s">
        <v>352</v>
      </c>
      <c r="D4133" s="3" t="s">
        <v>23</v>
      </c>
      <c r="E4133" s="10">
        <v>1.336E-2</v>
      </c>
      <c r="F4133" s="13" t="s">
        <v>176</v>
      </c>
      <c r="G4133" s="9">
        <v>740</v>
      </c>
      <c r="H4133" s="9">
        <f t="shared" si="133"/>
        <v>9.8864000000000001</v>
      </c>
      <c r="I4133" t="s">
        <v>179</v>
      </c>
      <c r="J4133" s="33" t="s">
        <v>514</v>
      </c>
      <c r="K4133" s="18">
        <f>VLOOKUP(D4133,Ingredients!C:G,5,0)</f>
        <v>780</v>
      </c>
      <c r="L4133" s="52">
        <f t="shared" si="134"/>
        <v>10.4208</v>
      </c>
    </row>
    <row r="4134" spans="1:12">
      <c r="A4134" t="s">
        <v>1032</v>
      </c>
      <c r="B4134" t="s">
        <v>349</v>
      </c>
      <c r="C4134" t="s">
        <v>352</v>
      </c>
      <c r="D4134" s="3" t="s">
        <v>16</v>
      </c>
      <c r="E4134" s="10">
        <v>1.336E-2</v>
      </c>
      <c r="F4134" s="13" t="s">
        <v>176</v>
      </c>
      <c r="G4134" s="9">
        <v>270</v>
      </c>
      <c r="H4134" s="9">
        <f t="shared" si="133"/>
        <v>3.6072000000000002</v>
      </c>
      <c r="I4134" t="s">
        <v>179</v>
      </c>
      <c r="J4134" s="33" t="s">
        <v>514</v>
      </c>
      <c r="K4134" s="18">
        <f>VLOOKUP(D4134,Ingredients!C:G,5,0)</f>
        <v>310</v>
      </c>
      <c r="L4134" s="52">
        <f t="shared" si="134"/>
        <v>4.1416000000000004</v>
      </c>
    </row>
    <row r="4135" spans="1:12">
      <c r="A4135" t="s">
        <v>1032</v>
      </c>
      <c r="B4135" t="s">
        <v>349</v>
      </c>
      <c r="C4135" t="s">
        <v>352</v>
      </c>
      <c r="D4135" s="3" t="s">
        <v>852</v>
      </c>
      <c r="E4135" s="10">
        <v>0.16700000000000001</v>
      </c>
      <c r="F4135" s="13" t="s">
        <v>190</v>
      </c>
      <c r="G4135" s="9">
        <v>520.63</v>
      </c>
      <c r="H4135" s="9">
        <f t="shared" si="133"/>
        <v>86.945210000000003</v>
      </c>
      <c r="I4135" t="s">
        <v>179</v>
      </c>
      <c r="J4135" s="33" t="s">
        <v>514</v>
      </c>
      <c r="K4135" s="18">
        <v>550</v>
      </c>
      <c r="L4135" s="52">
        <f t="shared" si="134"/>
        <v>91.850000000000009</v>
      </c>
    </row>
    <row r="4136" spans="1:12">
      <c r="A4136" t="s">
        <v>1032</v>
      </c>
      <c r="B4136" t="s">
        <v>349</v>
      </c>
      <c r="C4136" t="s">
        <v>352</v>
      </c>
      <c r="D4136" s="33" t="s">
        <v>837</v>
      </c>
      <c r="E4136" s="10">
        <v>1.002</v>
      </c>
      <c r="F4136" s="13" t="s">
        <v>176</v>
      </c>
      <c r="G4136" s="9">
        <v>1700</v>
      </c>
      <c r="H4136" s="9">
        <f t="shared" si="133"/>
        <v>1703.4</v>
      </c>
      <c r="I4136" t="s">
        <v>179</v>
      </c>
      <c r="J4136" s="33" t="s">
        <v>514</v>
      </c>
      <c r="K4136" s="18">
        <f>VLOOKUP(D4136,Ingredients!C:G,5,0)</f>
        <v>1800</v>
      </c>
      <c r="L4136" s="52">
        <f t="shared" si="134"/>
        <v>1803.6</v>
      </c>
    </row>
    <row r="4137" spans="1:12">
      <c r="A4137" s="21" t="s">
        <v>1033</v>
      </c>
      <c r="B4137" t="s">
        <v>349</v>
      </c>
      <c r="C4137" t="s">
        <v>456</v>
      </c>
      <c r="D4137" s="3" t="s">
        <v>491</v>
      </c>
      <c r="E4137" s="4">
        <v>0.9</v>
      </c>
      <c r="F4137" s="13" t="s">
        <v>176</v>
      </c>
      <c r="G4137" s="12">
        <f>VLOOKUP(D4137,D51:G4136,4,0)</f>
        <v>614</v>
      </c>
      <c r="H4137" s="9">
        <f t="shared" ref="H4137:H4172" si="135">G4137*E4137</f>
        <v>552.6</v>
      </c>
      <c r="I4137" t="s">
        <v>179</v>
      </c>
      <c r="J4137" s="33" t="s">
        <v>491</v>
      </c>
      <c r="K4137" s="18">
        <f>VLOOKUP(D4137,Ingredients!C:G,5,0)</f>
        <v>650</v>
      </c>
      <c r="L4137" s="52">
        <f t="shared" ref="L4137:L4172" si="136">K4137*E4137</f>
        <v>585</v>
      </c>
    </row>
    <row r="4138" spans="1:12">
      <c r="A4138" s="21" t="s">
        <v>1033</v>
      </c>
      <c r="B4138" t="s">
        <v>349</v>
      </c>
      <c r="C4138" t="s">
        <v>456</v>
      </c>
      <c r="D4138" s="3" t="s">
        <v>73</v>
      </c>
      <c r="E4138" s="4">
        <v>0.05</v>
      </c>
      <c r="F4138" s="13" t="s">
        <v>176</v>
      </c>
      <c r="G4138" s="12">
        <f>VLOOKUP(D4138,D52:G4137,4,0)</f>
        <v>305</v>
      </c>
      <c r="H4138" s="9">
        <f t="shared" si="135"/>
        <v>15.25</v>
      </c>
      <c r="I4138" t="s">
        <v>179</v>
      </c>
      <c r="J4138" s="33" t="s">
        <v>491</v>
      </c>
      <c r="K4138" s="18">
        <f>VLOOKUP(D4138,Ingredients!C:G,5,0)</f>
        <v>300</v>
      </c>
      <c r="L4138" s="52">
        <f t="shared" si="136"/>
        <v>15</v>
      </c>
    </row>
    <row r="4139" spans="1:12">
      <c r="A4139" s="21" t="s">
        <v>1033</v>
      </c>
      <c r="B4139" t="s">
        <v>349</v>
      </c>
      <c r="C4139" t="s">
        <v>456</v>
      </c>
      <c r="D4139" s="3" t="s">
        <v>882</v>
      </c>
      <c r="E4139" s="4">
        <v>8.9999999999999993E-3</v>
      </c>
      <c r="F4139" s="13" t="s">
        <v>176</v>
      </c>
      <c r="G4139" s="12">
        <f>VLOOKUP(D4139,D53:G4138,4,0)</f>
        <v>1500</v>
      </c>
      <c r="H4139" s="9">
        <f t="shared" si="135"/>
        <v>13.499999999999998</v>
      </c>
      <c r="I4139" t="s">
        <v>179</v>
      </c>
      <c r="J4139" s="33" t="s">
        <v>491</v>
      </c>
      <c r="K4139" s="18">
        <f>VLOOKUP(D4139,Ingredients!C:G,5,0)</f>
        <v>1450</v>
      </c>
      <c r="L4139" s="52">
        <f t="shared" si="136"/>
        <v>13.049999999999999</v>
      </c>
    </row>
    <row r="4140" spans="1:12">
      <c r="A4140" s="21" t="s">
        <v>1033</v>
      </c>
      <c r="B4140" t="s">
        <v>349</v>
      </c>
      <c r="C4140" t="s">
        <v>456</v>
      </c>
      <c r="D4140" s="3" t="s">
        <v>853</v>
      </c>
      <c r="E4140" s="4">
        <v>8.9999999999999993E-3</v>
      </c>
      <c r="F4140" s="13" t="s">
        <v>176</v>
      </c>
      <c r="G4140" s="12">
        <f>VLOOKUP(D4140,D54:G4139,4,0)</f>
        <v>30</v>
      </c>
      <c r="H4140" s="9">
        <f t="shared" si="135"/>
        <v>0.26999999999999996</v>
      </c>
      <c r="I4140" t="s">
        <v>179</v>
      </c>
      <c r="J4140" s="33" t="s">
        <v>491</v>
      </c>
      <c r="K4140" s="18">
        <f>VLOOKUP(D4140,Ingredients!C:G,5,0)</f>
        <v>55</v>
      </c>
      <c r="L4140" s="52">
        <f t="shared" si="136"/>
        <v>0.49499999999999994</v>
      </c>
    </row>
    <row r="4141" spans="1:12">
      <c r="A4141" s="21" t="s">
        <v>1033</v>
      </c>
      <c r="B4141" t="s">
        <v>349</v>
      </c>
      <c r="C4141" t="s">
        <v>456</v>
      </c>
      <c r="D4141" s="3" t="s">
        <v>1034</v>
      </c>
      <c r="E4141" s="4">
        <v>7.0000000000000001E-3</v>
      </c>
      <c r="F4141" s="13" t="s">
        <v>176</v>
      </c>
      <c r="G4141" s="12">
        <f>90/0.05</f>
        <v>1800</v>
      </c>
      <c r="H4141" s="9">
        <f t="shared" si="135"/>
        <v>12.6</v>
      </c>
      <c r="I4141" t="s">
        <v>179</v>
      </c>
      <c r="J4141" s="33" t="s">
        <v>491</v>
      </c>
      <c r="K4141" s="18">
        <f>VLOOKUP(D4141,Ingredients!C:G,5,0)</f>
        <v>1800</v>
      </c>
      <c r="L4141" s="52">
        <f t="shared" si="136"/>
        <v>12.6</v>
      </c>
    </row>
    <row r="4142" spans="1:12">
      <c r="A4142" s="21" t="s">
        <v>1033</v>
      </c>
      <c r="B4142" t="s">
        <v>349</v>
      </c>
      <c r="C4142" t="s">
        <v>456</v>
      </c>
      <c r="D4142" s="3" t="s">
        <v>323</v>
      </c>
      <c r="E4142" s="4">
        <v>4.0000000000000001E-3</v>
      </c>
      <c r="F4142" s="13" t="s">
        <v>176</v>
      </c>
      <c r="G4142" s="9">
        <v>5000</v>
      </c>
      <c r="H4142" s="9">
        <f t="shared" si="135"/>
        <v>20</v>
      </c>
      <c r="I4142" t="s">
        <v>179</v>
      </c>
      <c r="J4142" s="33" t="s">
        <v>491</v>
      </c>
      <c r="K4142" s="18">
        <f>VLOOKUP(D4142,Ingredients!C:G,5,0)</f>
        <v>5000</v>
      </c>
      <c r="L4142" s="52">
        <f t="shared" si="136"/>
        <v>20</v>
      </c>
    </row>
    <row r="4143" spans="1:12">
      <c r="A4143" s="21" t="s">
        <v>1033</v>
      </c>
      <c r="B4143" t="s">
        <v>349</v>
      </c>
      <c r="C4143" t="s">
        <v>456</v>
      </c>
      <c r="D4143" s="3" t="s">
        <v>497</v>
      </c>
      <c r="E4143" s="4">
        <v>0.02</v>
      </c>
      <c r="F4143" s="13" t="s">
        <v>176</v>
      </c>
      <c r="G4143" s="12">
        <f>VLOOKUP(D4143,D57:G4142,4,0)</f>
        <v>350</v>
      </c>
      <c r="H4143" s="9">
        <f t="shared" si="135"/>
        <v>7</v>
      </c>
      <c r="I4143" t="s">
        <v>179</v>
      </c>
      <c r="J4143" s="33" t="s">
        <v>491</v>
      </c>
      <c r="K4143" s="18">
        <f>VLOOKUP(D4143,Ingredients!C:G,5,0)</f>
        <v>400</v>
      </c>
      <c r="L4143" s="52">
        <f t="shared" si="136"/>
        <v>8</v>
      </c>
    </row>
    <row r="4144" spans="1:12">
      <c r="A4144" s="21" t="s">
        <v>1033</v>
      </c>
      <c r="B4144" t="s">
        <v>349</v>
      </c>
      <c r="C4144" t="s">
        <v>456</v>
      </c>
      <c r="D4144" s="3" t="s">
        <v>865</v>
      </c>
      <c r="E4144" s="4">
        <v>3.5000000000000003E-2</v>
      </c>
      <c r="F4144" s="13" t="s">
        <v>176</v>
      </c>
      <c r="G4144" s="12">
        <f>VLOOKUP(D4144,D58:G4143,4,0)</f>
        <v>1400</v>
      </c>
      <c r="H4144" s="9">
        <f t="shared" si="135"/>
        <v>49.000000000000007</v>
      </c>
      <c r="I4144" t="s">
        <v>179</v>
      </c>
      <c r="J4144" s="33" t="s">
        <v>491</v>
      </c>
      <c r="K4144" s="18">
        <f>VLOOKUP(D4144,Ingredients!C:G,5,0)</f>
        <v>1400</v>
      </c>
      <c r="L4144" s="52">
        <f t="shared" si="136"/>
        <v>49.000000000000007</v>
      </c>
    </row>
    <row r="4145" spans="1:12">
      <c r="A4145" s="21" t="s">
        <v>1033</v>
      </c>
      <c r="B4145" t="s">
        <v>349</v>
      </c>
      <c r="C4145" t="s">
        <v>456</v>
      </c>
      <c r="D4145" s="3" t="s">
        <v>24</v>
      </c>
      <c r="E4145" s="4">
        <v>0.15</v>
      </c>
      <c r="F4145" s="13" t="s">
        <v>176</v>
      </c>
      <c r="G4145" s="12">
        <f>VLOOKUP(D4145,D59:G4144,4,0)</f>
        <v>55</v>
      </c>
      <c r="H4145" s="9">
        <f t="shared" si="135"/>
        <v>8.25</v>
      </c>
      <c r="I4145" t="s">
        <v>179</v>
      </c>
      <c r="J4145" s="33" t="s">
        <v>491</v>
      </c>
      <c r="K4145" s="18">
        <f>VLOOKUP(D4145,Ingredients!C:G,5,0)</f>
        <v>80</v>
      </c>
      <c r="L4145" s="52">
        <f t="shared" si="136"/>
        <v>12</v>
      </c>
    </row>
    <row r="4146" spans="1:12">
      <c r="A4146" s="21" t="s">
        <v>1033</v>
      </c>
      <c r="B4146" t="s">
        <v>349</v>
      </c>
      <c r="C4146" t="s">
        <v>456</v>
      </c>
      <c r="D4146" s="3" t="s">
        <v>16</v>
      </c>
      <c r="E4146" s="4">
        <v>5.0000000000000001E-3</v>
      </c>
      <c r="F4146" s="13" t="s">
        <v>176</v>
      </c>
      <c r="G4146" s="12">
        <f>VLOOKUP(D4146,D60:G4145,4,0)</f>
        <v>270</v>
      </c>
      <c r="H4146" s="9">
        <f t="shared" si="135"/>
        <v>1.35</v>
      </c>
      <c r="I4146" t="s">
        <v>179</v>
      </c>
      <c r="J4146" s="33" t="s">
        <v>491</v>
      </c>
      <c r="K4146" s="18">
        <f>VLOOKUP(D4146,Ingredients!C:G,5,0)</f>
        <v>310</v>
      </c>
      <c r="L4146" s="52">
        <f t="shared" si="136"/>
        <v>1.55</v>
      </c>
    </row>
    <row r="4147" spans="1:12">
      <c r="A4147" s="21" t="s">
        <v>1033</v>
      </c>
      <c r="B4147" t="s">
        <v>349</v>
      </c>
      <c r="C4147" t="s">
        <v>456</v>
      </c>
      <c r="D4147" s="3" t="s">
        <v>310</v>
      </c>
      <c r="E4147" s="4">
        <v>0.03</v>
      </c>
      <c r="F4147" s="13" t="s">
        <v>176</v>
      </c>
      <c r="G4147" s="12">
        <f>VLOOKUP(D4147,D61:G4146,4,0)</f>
        <v>425</v>
      </c>
      <c r="H4147" s="9">
        <f t="shared" si="135"/>
        <v>12.75</v>
      </c>
      <c r="I4147" t="s">
        <v>179</v>
      </c>
      <c r="J4147" s="33" t="s">
        <v>491</v>
      </c>
      <c r="K4147" s="18">
        <f>VLOOKUP(D4147,Ingredients!C:G,5,0)</f>
        <v>850</v>
      </c>
      <c r="L4147" s="52">
        <f t="shared" si="136"/>
        <v>25.5</v>
      </c>
    </row>
    <row r="4148" spans="1:12">
      <c r="A4148" s="21" t="s">
        <v>1033</v>
      </c>
      <c r="B4148" t="s">
        <v>349</v>
      </c>
      <c r="C4148" t="s">
        <v>456</v>
      </c>
      <c r="D4148" s="3" t="s">
        <v>852</v>
      </c>
      <c r="E4148" s="4">
        <v>0.02</v>
      </c>
      <c r="F4148" s="4" t="s">
        <v>190</v>
      </c>
      <c r="G4148" s="12">
        <f>VLOOKUP(D4148,D62:G4147,4,0)</f>
        <v>520.63</v>
      </c>
      <c r="H4148" s="9">
        <f t="shared" si="135"/>
        <v>10.412599999999999</v>
      </c>
      <c r="I4148" t="s">
        <v>179</v>
      </c>
      <c r="J4148" s="33" t="s">
        <v>491</v>
      </c>
      <c r="K4148" s="18">
        <f>VLOOKUP(D4148,Ingredients!C:G,5,0)</f>
        <v>550</v>
      </c>
      <c r="L4148" s="52">
        <f t="shared" si="136"/>
        <v>11</v>
      </c>
    </row>
    <row r="4149" spans="1:12">
      <c r="A4149" t="s">
        <v>1035</v>
      </c>
      <c r="B4149" t="s">
        <v>349</v>
      </c>
      <c r="C4149" t="s">
        <v>353</v>
      </c>
      <c r="D4149" s="33" t="s">
        <v>837</v>
      </c>
      <c r="E4149" s="4">
        <v>1</v>
      </c>
      <c r="F4149" s="4" t="s">
        <v>176</v>
      </c>
      <c r="G4149" s="9">
        <v>1700</v>
      </c>
      <c r="H4149" s="9">
        <f t="shared" si="135"/>
        <v>1700</v>
      </c>
      <c r="I4149" t="s">
        <v>179</v>
      </c>
      <c r="J4149" s="33" t="s">
        <v>491</v>
      </c>
      <c r="K4149" s="18">
        <f>VLOOKUP(D4149,Ingredients!C:G,5,0)</f>
        <v>1800</v>
      </c>
      <c r="L4149" s="52">
        <f t="shared" si="136"/>
        <v>1800</v>
      </c>
    </row>
    <row r="4150" spans="1:12">
      <c r="A4150" t="s">
        <v>1035</v>
      </c>
      <c r="B4150" t="s">
        <v>349</v>
      </c>
      <c r="C4150" t="s">
        <v>353</v>
      </c>
      <c r="D4150" s="3" t="s">
        <v>24</v>
      </c>
      <c r="E4150" s="4">
        <v>8.8333333333333333E-2</v>
      </c>
      <c r="F4150" s="4" t="s">
        <v>176</v>
      </c>
      <c r="G4150" s="9">
        <v>55</v>
      </c>
      <c r="H4150" s="9">
        <f t="shared" si="135"/>
        <v>4.8583333333333334</v>
      </c>
      <c r="I4150" t="s">
        <v>179</v>
      </c>
      <c r="J4150" s="33" t="s">
        <v>491</v>
      </c>
      <c r="K4150" s="18">
        <f>VLOOKUP(D4150,Ingredients!C:G,5,0)</f>
        <v>80</v>
      </c>
      <c r="L4150" s="52">
        <f t="shared" si="136"/>
        <v>7.0666666666666664</v>
      </c>
    </row>
    <row r="4151" spans="1:12">
      <c r="A4151" t="s">
        <v>1035</v>
      </c>
      <c r="B4151" t="s">
        <v>349</v>
      </c>
      <c r="C4151" t="s">
        <v>353</v>
      </c>
      <c r="D4151" s="3" t="s">
        <v>23</v>
      </c>
      <c r="E4151" s="4">
        <v>2.5000000000000001E-2</v>
      </c>
      <c r="F4151" s="4" t="s">
        <v>176</v>
      </c>
      <c r="G4151" s="9">
        <v>740</v>
      </c>
      <c r="H4151" s="9">
        <f t="shared" si="135"/>
        <v>18.5</v>
      </c>
      <c r="I4151" t="s">
        <v>179</v>
      </c>
      <c r="J4151" s="33" t="s">
        <v>491</v>
      </c>
      <c r="K4151" s="18">
        <f>VLOOKUP(D4151,Ingredients!C:G,5,0)</f>
        <v>780</v>
      </c>
      <c r="L4151" s="52">
        <f t="shared" si="136"/>
        <v>19.5</v>
      </c>
    </row>
    <row r="4152" spans="1:12">
      <c r="A4152" t="s">
        <v>1035</v>
      </c>
      <c r="B4152" t="s">
        <v>349</v>
      </c>
      <c r="C4152" t="s">
        <v>353</v>
      </c>
      <c r="D4152" s="3" t="s">
        <v>16</v>
      </c>
      <c r="E4152" s="4">
        <v>2.5000000000000001E-2</v>
      </c>
      <c r="F4152" s="4" t="s">
        <v>176</v>
      </c>
      <c r="G4152" s="9">
        <v>270</v>
      </c>
      <c r="H4152" s="9">
        <f t="shared" si="135"/>
        <v>6.75</v>
      </c>
      <c r="I4152" t="s">
        <v>179</v>
      </c>
      <c r="J4152" s="33" t="s">
        <v>491</v>
      </c>
      <c r="K4152" s="18">
        <f>VLOOKUP(D4152,Ingredients!C:G,5,0)</f>
        <v>310</v>
      </c>
      <c r="L4152" s="52">
        <f t="shared" si="136"/>
        <v>7.75</v>
      </c>
    </row>
    <row r="4153" spans="1:12">
      <c r="A4153" t="s">
        <v>1035</v>
      </c>
      <c r="B4153" t="s">
        <v>349</v>
      </c>
      <c r="C4153" t="s">
        <v>353</v>
      </c>
      <c r="D4153" s="3" t="s">
        <v>882</v>
      </c>
      <c r="E4153" s="4">
        <v>1.3333333333333334E-2</v>
      </c>
      <c r="F4153" s="4" t="s">
        <v>176</v>
      </c>
      <c r="G4153" s="9">
        <v>1500</v>
      </c>
      <c r="H4153" s="9">
        <f t="shared" si="135"/>
        <v>20</v>
      </c>
      <c r="I4153" t="s">
        <v>179</v>
      </c>
      <c r="J4153" s="33" t="s">
        <v>491</v>
      </c>
      <c r="K4153" s="18">
        <f>VLOOKUP(D4153,Ingredients!C:G,5,0)</f>
        <v>1450</v>
      </c>
      <c r="L4153" s="52">
        <f t="shared" si="136"/>
        <v>19.333333333333336</v>
      </c>
    </row>
    <row r="4154" spans="1:12">
      <c r="A4154" t="s">
        <v>1035</v>
      </c>
      <c r="B4154" t="s">
        <v>349</v>
      </c>
      <c r="C4154" t="s">
        <v>353</v>
      </c>
      <c r="D4154" s="3" t="s">
        <v>853</v>
      </c>
      <c r="E4154" s="4">
        <v>2.5000000000000001E-2</v>
      </c>
      <c r="F4154" s="4" t="s">
        <v>176</v>
      </c>
      <c r="G4154" s="9">
        <v>30</v>
      </c>
      <c r="H4154" s="9">
        <f t="shared" si="135"/>
        <v>0.75</v>
      </c>
      <c r="I4154" t="s">
        <v>179</v>
      </c>
      <c r="J4154" s="33" t="s">
        <v>491</v>
      </c>
      <c r="K4154" s="18">
        <f>VLOOKUP(D4154,Ingredients!C:G,5,0)</f>
        <v>55</v>
      </c>
      <c r="L4154" s="52">
        <f t="shared" si="136"/>
        <v>1.375</v>
      </c>
    </row>
    <row r="4155" spans="1:12">
      <c r="A4155" t="s">
        <v>1035</v>
      </c>
      <c r="B4155" t="s">
        <v>349</v>
      </c>
      <c r="C4155" t="s">
        <v>353</v>
      </c>
      <c r="D4155" s="3" t="s">
        <v>73</v>
      </c>
      <c r="E4155" s="4">
        <v>0.4</v>
      </c>
      <c r="F4155" s="4" t="s">
        <v>176</v>
      </c>
      <c r="G4155" s="9">
        <v>305</v>
      </c>
      <c r="H4155" s="9">
        <f t="shared" si="135"/>
        <v>122</v>
      </c>
      <c r="I4155" t="s">
        <v>179</v>
      </c>
      <c r="J4155" s="33" t="s">
        <v>491</v>
      </c>
      <c r="K4155" s="18">
        <f>VLOOKUP(D4155,Ingredients!C:G,5,0)</f>
        <v>300</v>
      </c>
      <c r="L4155" s="52">
        <f t="shared" si="136"/>
        <v>120</v>
      </c>
    </row>
    <row r="4156" spans="1:12">
      <c r="A4156" t="s">
        <v>1035</v>
      </c>
      <c r="B4156" t="s">
        <v>349</v>
      </c>
      <c r="C4156" t="s">
        <v>353</v>
      </c>
      <c r="D4156" s="3" t="s">
        <v>29</v>
      </c>
      <c r="E4156" s="4">
        <v>0.1</v>
      </c>
      <c r="F4156" s="4" t="s">
        <v>176</v>
      </c>
      <c r="G4156" s="9">
        <v>60</v>
      </c>
      <c r="H4156" s="9">
        <f t="shared" si="135"/>
        <v>6</v>
      </c>
      <c r="I4156" t="s">
        <v>179</v>
      </c>
      <c r="J4156" s="33" t="s">
        <v>491</v>
      </c>
      <c r="K4156" s="18">
        <f>VLOOKUP(D4156,Ingredients!C:G,5,0)</f>
        <v>100</v>
      </c>
      <c r="L4156" s="52">
        <f t="shared" si="136"/>
        <v>10</v>
      </c>
    </row>
    <row r="4157" spans="1:12">
      <c r="A4157" t="s">
        <v>1035</v>
      </c>
      <c r="B4157" t="s">
        <v>349</v>
      </c>
      <c r="C4157" t="s">
        <v>353</v>
      </c>
      <c r="D4157" s="3" t="s">
        <v>913</v>
      </c>
      <c r="E4157" s="4">
        <v>0.4</v>
      </c>
      <c r="F4157" s="4" t="s">
        <v>176</v>
      </c>
      <c r="G4157" s="9">
        <v>229.16666666666666</v>
      </c>
      <c r="H4157" s="9">
        <f t="shared" si="135"/>
        <v>91.666666666666671</v>
      </c>
      <c r="I4157" t="s">
        <v>179</v>
      </c>
      <c r="J4157" s="33" t="s">
        <v>491</v>
      </c>
      <c r="K4157" s="18">
        <f>VLOOKUP(D4157,Ingredients!C:F,3,0)</f>
        <v>343.75</v>
      </c>
      <c r="L4157" s="52">
        <f t="shared" si="136"/>
        <v>137.5</v>
      </c>
    </row>
    <row r="4158" spans="1:12">
      <c r="A4158" t="s">
        <v>1035</v>
      </c>
      <c r="B4158" t="s">
        <v>349</v>
      </c>
      <c r="C4158" t="s">
        <v>353</v>
      </c>
      <c r="D4158" s="3" t="s">
        <v>884</v>
      </c>
      <c r="E4158" s="4">
        <v>1</v>
      </c>
      <c r="F4158" s="4" t="s">
        <v>176</v>
      </c>
      <c r="G4158" s="9">
        <v>344</v>
      </c>
      <c r="H4158" s="9">
        <f t="shared" si="135"/>
        <v>344</v>
      </c>
      <c r="I4158" t="s">
        <v>179</v>
      </c>
      <c r="J4158" s="33" t="s">
        <v>491</v>
      </c>
      <c r="K4158" s="18">
        <f>VLOOKUP(D4158,Ingredients!C:G,5,0)</f>
        <v>344</v>
      </c>
      <c r="L4158" s="52">
        <f t="shared" si="136"/>
        <v>344</v>
      </c>
    </row>
    <row r="4159" spans="1:12">
      <c r="A4159" t="s">
        <v>1035</v>
      </c>
      <c r="B4159" t="s">
        <v>349</v>
      </c>
      <c r="C4159" t="s">
        <v>353</v>
      </c>
      <c r="D4159" s="3" t="s">
        <v>853</v>
      </c>
      <c r="E4159" s="4">
        <v>0.05</v>
      </c>
      <c r="F4159" s="4" t="s">
        <v>176</v>
      </c>
      <c r="G4159" s="9">
        <v>30</v>
      </c>
      <c r="H4159" s="9">
        <f t="shared" si="135"/>
        <v>1.5</v>
      </c>
      <c r="I4159" t="s">
        <v>179</v>
      </c>
      <c r="J4159" s="33" t="s">
        <v>491</v>
      </c>
      <c r="K4159" s="18">
        <f>VLOOKUP(D4159,Ingredients!C:G,5,0)</f>
        <v>55</v>
      </c>
      <c r="L4159" s="52">
        <f t="shared" si="136"/>
        <v>2.75</v>
      </c>
    </row>
    <row r="4160" spans="1:12">
      <c r="A4160" t="s">
        <v>1035</v>
      </c>
      <c r="B4160" t="s">
        <v>349</v>
      </c>
      <c r="C4160" t="s">
        <v>353</v>
      </c>
      <c r="D4160" s="3" t="s">
        <v>7</v>
      </c>
      <c r="E4160" s="4">
        <v>1.6666666666666667</v>
      </c>
      <c r="F4160" s="4" t="s">
        <v>252</v>
      </c>
      <c r="G4160" s="9">
        <v>8</v>
      </c>
      <c r="H4160" s="9">
        <f t="shared" si="135"/>
        <v>13.333333333333334</v>
      </c>
      <c r="I4160" t="s">
        <v>179</v>
      </c>
      <c r="J4160" s="33" t="s">
        <v>491</v>
      </c>
      <c r="K4160" s="18">
        <f>VLOOKUP(D4160,Ingredients!C:G,5,0)</f>
        <v>6</v>
      </c>
      <c r="L4160" s="52">
        <f t="shared" si="136"/>
        <v>10</v>
      </c>
    </row>
    <row r="4161" spans="1:12">
      <c r="A4161" t="s">
        <v>1035</v>
      </c>
      <c r="B4161" t="s">
        <v>349</v>
      </c>
      <c r="C4161" t="s">
        <v>353</v>
      </c>
      <c r="D4161" s="3" t="s">
        <v>572</v>
      </c>
      <c r="E4161" s="4">
        <v>1.6666666666666666E-2</v>
      </c>
      <c r="F4161" s="4" t="s">
        <v>176</v>
      </c>
      <c r="G4161" s="9">
        <v>1200</v>
      </c>
      <c r="H4161" s="9">
        <f t="shared" si="135"/>
        <v>20</v>
      </c>
      <c r="I4161" t="s">
        <v>179</v>
      </c>
      <c r="J4161" s="33" t="s">
        <v>491</v>
      </c>
      <c r="K4161" s="18">
        <f>VLOOKUP(D4161,Ingredients!C:G,5,0)</f>
        <v>1200</v>
      </c>
      <c r="L4161" s="52">
        <f t="shared" si="136"/>
        <v>20</v>
      </c>
    </row>
    <row r="4162" spans="1:12">
      <c r="A4162" t="s">
        <v>1036</v>
      </c>
      <c r="B4162" t="s">
        <v>349</v>
      </c>
      <c r="C4162" t="s">
        <v>352</v>
      </c>
      <c r="D4162" s="3" t="s">
        <v>837</v>
      </c>
      <c r="E4162" s="10">
        <v>1</v>
      </c>
      <c r="F4162" s="7" t="s">
        <v>176</v>
      </c>
      <c r="G4162" s="9">
        <v>1700</v>
      </c>
      <c r="H4162" s="9">
        <f t="shared" si="135"/>
        <v>1700</v>
      </c>
      <c r="I4162" t="s">
        <v>179</v>
      </c>
      <c r="J4162" s="33" t="s">
        <v>514</v>
      </c>
      <c r="K4162" s="18">
        <f>VLOOKUP(D4162,Ingredients!C:G,5,0)</f>
        <v>1800</v>
      </c>
      <c r="L4162" s="52">
        <f t="shared" si="136"/>
        <v>1800</v>
      </c>
    </row>
    <row r="4163" spans="1:12">
      <c r="A4163" t="s">
        <v>1036</v>
      </c>
      <c r="B4163" t="s">
        <v>349</v>
      </c>
      <c r="C4163" t="s">
        <v>352</v>
      </c>
      <c r="D4163" s="3" t="s">
        <v>852</v>
      </c>
      <c r="E4163" s="10">
        <v>0.1</v>
      </c>
      <c r="F4163" s="7" t="s">
        <v>176</v>
      </c>
      <c r="G4163" s="9">
        <v>520.63</v>
      </c>
      <c r="H4163" s="9">
        <f t="shared" si="135"/>
        <v>52.063000000000002</v>
      </c>
      <c r="I4163" t="s">
        <v>179</v>
      </c>
      <c r="J4163" s="33" t="s">
        <v>514</v>
      </c>
      <c r="K4163" s="18">
        <v>550</v>
      </c>
      <c r="L4163" s="52">
        <f t="shared" si="136"/>
        <v>55</v>
      </c>
    </row>
    <row r="4164" spans="1:12">
      <c r="A4164" t="s">
        <v>1036</v>
      </c>
      <c r="B4164" t="s">
        <v>349</v>
      </c>
      <c r="C4164" t="s">
        <v>352</v>
      </c>
      <c r="D4164" s="3" t="s">
        <v>24</v>
      </c>
      <c r="E4164" s="10">
        <v>0.1</v>
      </c>
      <c r="F4164" s="7" t="s">
        <v>176</v>
      </c>
      <c r="G4164" s="9">
        <v>55</v>
      </c>
      <c r="H4164" s="9">
        <f t="shared" si="135"/>
        <v>5.5</v>
      </c>
      <c r="I4164" t="s">
        <v>179</v>
      </c>
      <c r="J4164" s="33" t="s">
        <v>514</v>
      </c>
      <c r="K4164" s="18">
        <f>VLOOKUP(D4164,Ingredients!C:G,5,0)</f>
        <v>80</v>
      </c>
      <c r="L4164" s="52">
        <f t="shared" si="136"/>
        <v>8</v>
      </c>
    </row>
    <row r="4165" spans="1:12">
      <c r="A4165" t="s">
        <v>1036</v>
      </c>
      <c r="B4165" t="s">
        <v>349</v>
      </c>
      <c r="C4165" t="s">
        <v>352</v>
      </c>
      <c r="D4165" s="3" t="s">
        <v>28</v>
      </c>
      <c r="E4165" s="10">
        <v>0.2</v>
      </c>
      <c r="F4165" s="7" t="s">
        <v>176</v>
      </c>
      <c r="G4165" s="9">
        <v>85</v>
      </c>
      <c r="H4165" s="9">
        <f t="shared" si="135"/>
        <v>17</v>
      </c>
      <c r="I4165" t="s">
        <v>179</v>
      </c>
      <c r="J4165" s="33" t="s">
        <v>514</v>
      </c>
      <c r="K4165" s="18">
        <f>VLOOKUP(D4165,Ingredients!C:G,5,0)</f>
        <v>70</v>
      </c>
      <c r="L4165" s="52">
        <f t="shared" si="136"/>
        <v>14</v>
      </c>
    </row>
    <row r="4166" spans="1:12">
      <c r="A4166" t="s">
        <v>1036</v>
      </c>
      <c r="B4166" t="s">
        <v>349</v>
      </c>
      <c r="C4166" t="s">
        <v>352</v>
      </c>
      <c r="D4166" s="3" t="s">
        <v>853</v>
      </c>
      <c r="E4166" s="10">
        <v>1.0000000000000002E-2</v>
      </c>
      <c r="F4166" s="7" t="s">
        <v>176</v>
      </c>
      <c r="G4166" s="9">
        <v>30</v>
      </c>
      <c r="H4166" s="9">
        <f t="shared" si="135"/>
        <v>0.30000000000000004</v>
      </c>
      <c r="I4166" t="s">
        <v>179</v>
      </c>
      <c r="J4166" s="33" t="s">
        <v>514</v>
      </c>
      <c r="K4166" s="18">
        <f>VLOOKUP(D4166,Ingredients!C:G,5,0)</f>
        <v>55</v>
      </c>
      <c r="L4166" s="52">
        <f t="shared" si="136"/>
        <v>0.55000000000000016</v>
      </c>
    </row>
    <row r="4167" spans="1:12">
      <c r="A4167" t="s">
        <v>1036</v>
      </c>
      <c r="B4167" t="s">
        <v>349</v>
      </c>
      <c r="C4167" t="s">
        <v>352</v>
      </c>
      <c r="D4167" s="3" t="s">
        <v>867</v>
      </c>
      <c r="E4167" s="10">
        <v>8.0000000000000002E-3</v>
      </c>
      <c r="F4167" s="7" t="s">
        <v>176</v>
      </c>
      <c r="G4167" s="9">
        <v>900</v>
      </c>
      <c r="H4167" s="9">
        <f t="shared" si="135"/>
        <v>7.2</v>
      </c>
      <c r="I4167" t="s">
        <v>179</v>
      </c>
      <c r="J4167" s="33" t="s">
        <v>514</v>
      </c>
      <c r="K4167" s="18">
        <f>VLOOKUP(D4167,Ingredients!C:G,5,0)</f>
        <v>950</v>
      </c>
      <c r="L4167" s="52">
        <f t="shared" si="136"/>
        <v>7.6000000000000005</v>
      </c>
    </row>
    <row r="4168" spans="1:12">
      <c r="A4168" t="s">
        <v>1036</v>
      </c>
      <c r="B4168" t="s">
        <v>349</v>
      </c>
      <c r="C4168" t="s">
        <v>352</v>
      </c>
      <c r="D4168" s="3" t="s">
        <v>849</v>
      </c>
      <c r="E4168" s="10">
        <v>4.0000000000000001E-3</v>
      </c>
      <c r="F4168" s="7" t="s">
        <v>176</v>
      </c>
      <c r="G4168" s="9">
        <v>1000</v>
      </c>
      <c r="H4168" s="9">
        <f t="shared" si="135"/>
        <v>4</v>
      </c>
      <c r="I4168" t="s">
        <v>179</v>
      </c>
      <c r="J4168" s="33" t="s">
        <v>514</v>
      </c>
      <c r="K4168" s="18">
        <f>VLOOKUP(D4168,Ingredients!C:G,5,0)</f>
        <v>950</v>
      </c>
      <c r="L4168" s="52">
        <f t="shared" si="136"/>
        <v>3.8000000000000003</v>
      </c>
    </row>
    <row r="4169" spans="1:12">
      <c r="A4169" t="s">
        <v>1036</v>
      </c>
      <c r="B4169" t="s">
        <v>349</v>
      </c>
      <c r="C4169" t="s">
        <v>352</v>
      </c>
      <c r="D4169" s="3" t="s">
        <v>895</v>
      </c>
      <c r="E4169" s="10">
        <v>1.0000000000000002E-2</v>
      </c>
      <c r="F4169" s="7" t="s">
        <v>176</v>
      </c>
      <c r="G4169" s="9">
        <v>400</v>
      </c>
      <c r="H4169" s="9">
        <f t="shared" si="135"/>
        <v>4.0000000000000009</v>
      </c>
      <c r="I4169" t="s">
        <v>179</v>
      </c>
      <c r="J4169" s="33" t="s">
        <v>514</v>
      </c>
      <c r="K4169" s="18">
        <f>VLOOKUP(D4169,Ingredients!C:G,5,0)</f>
        <v>400</v>
      </c>
      <c r="L4169" s="52">
        <f t="shared" si="136"/>
        <v>4.0000000000000009</v>
      </c>
    </row>
    <row r="4170" spans="1:12">
      <c r="A4170" t="s">
        <v>1036</v>
      </c>
      <c r="B4170" t="s">
        <v>349</v>
      </c>
      <c r="C4170" t="s">
        <v>352</v>
      </c>
      <c r="D4170" s="3" t="s">
        <v>887</v>
      </c>
      <c r="E4170" s="10">
        <v>1.0000000000000002E-2</v>
      </c>
      <c r="F4170" s="7" t="s">
        <v>176</v>
      </c>
      <c r="G4170" s="9">
        <v>1600</v>
      </c>
      <c r="H4170" s="9">
        <f t="shared" si="135"/>
        <v>16.000000000000004</v>
      </c>
      <c r="I4170" t="s">
        <v>179</v>
      </c>
      <c r="J4170" s="33" t="s">
        <v>514</v>
      </c>
      <c r="K4170" s="18">
        <f>VLOOKUP(D4170,Ingredients!C:G,5,0)</f>
        <v>1830</v>
      </c>
      <c r="L4170" s="52">
        <f t="shared" si="136"/>
        <v>18.300000000000004</v>
      </c>
    </row>
    <row r="4171" spans="1:12">
      <c r="A4171" t="s">
        <v>1036</v>
      </c>
      <c r="B4171" t="s">
        <v>349</v>
      </c>
      <c r="C4171" t="s">
        <v>352</v>
      </c>
      <c r="D4171" s="3" t="s">
        <v>880</v>
      </c>
      <c r="E4171" s="10">
        <v>8.0000000000000002E-3</v>
      </c>
      <c r="F4171" s="7" t="s">
        <v>176</v>
      </c>
      <c r="G4171" s="9">
        <v>650</v>
      </c>
      <c r="H4171" s="9">
        <f t="shared" si="135"/>
        <v>5.2</v>
      </c>
      <c r="I4171" t="s">
        <v>179</v>
      </c>
      <c r="J4171" s="33" t="s">
        <v>514</v>
      </c>
      <c r="K4171" s="18">
        <f>VLOOKUP(D4171,Ingredients!C:G,5,0)</f>
        <v>520</v>
      </c>
      <c r="L4171" s="52">
        <f t="shared" si="136"/>
        <v>4.16</v>
      </c>
    </row>
    <row r="4172" spans="1:12">
      <c r="A4172" t="s">
        <v>1036</v>
      </c>
      <c r="B4172" t="s">
        <v>349</v>
      </c>
      <c r="C4172" t="s">
        <v>352</v>
      </c>
      <c r="D4172" s="3" t="s">
        <v>169</v>
      </c>
      <c r="E4172" s="10">
        <v>0.5</v>
      </c>
      <c r="F4172" s="7" t="s">
        <v>176</v>
      </c>
      <c r="G4172" s="12">
        <f>VLOOKUP(D4172,D86:G4171,4,0)</f>
        <v>200</v>
      </c>
      <c r="H4172" s="9">
        <f t="shared" si="135"/>
        <v>100</v>
      </c>
      <c r="I4172" t="s">
        <v>179</v>
      </c>
      <c r="J4172" s="33" t="s">
        <v>514</v>
      </c>
      <c r="K4172" s="18">
        <f>VLOOKUP(D4172,Ingredients!C:G,5,0)</f>
        <v>200</v>
      </c>
      <c r="L4172" s="52">
        <f t="shared" si="136"/>
        <v>100</v>
      </c>
    </row>
    <row r="4173" spans="1:12">
      <c r="A4173" t="s">
        <v>1037</v>
      </c>
      <c r="B4173" t="s">
        <v>349</v>
      </c>
      <c r="C4173" t="s">
        <v>352</v>
      </c>
      <c r="D4173" s="3" t="s">
        <v>837</v>
      </c>
      <c r="E4173" s="10">
        <v>1</v>
      </c>
      <c r="F4173" s="7" t="s">
        <v>176</v>
      </c>
      <c r="G4173" s="9">
        <v>1700</v>
      </c>
      <c r="H4173" s="9">
        <f t="shared" ref="H4173" si="137">G4173*E4173</f>
        <v>1700</v>
      </c>
      <c r="I4173" t="s">
        <v>179</v>
      </c>
      <c r="J4173" s="33" t="s">
        <v>514</v>
      </c>
      <c r="K4173" s="18">
        <f>VLOOKUP(D4173,Ingredients!C:G,5,0)</f>
        <v>1800</v>
      </c>
      <c r="L4173" s="52">
        <f t="shared" ref="L4173" si="138">K4173*E4173</f>
        <v>1800</v>
      </c>
    </row>
    <row r="4174" spans="1:12">
      <c r="A4174" t="s">
        <v>1037</v>
      </c>
      <c r="B4174" t="s">
        <v>349</v>
      </c>
      <c r="C4174" t="s">
        <v>352</v>
      </c>
      <c r="D4174" s="3" t="s">
        <v>852</v>
      </c>
      <c r="E4174" s="10">
        <v>0.1</v>
      </c>
      <c r="F4174" s="7" t="s">
        <v>176</v>
      </c>
      <c r="G4174" s="9">
        <v>520.63</v>
      </c>
      <c r="H4174" s="9">
        <f t="shared" ref="H4174:H4183" si="139">G4174*E4174</f>
        <v>52.063000000000002</v>
      </c>
      <c r="I4174" t="s">
        <v>179</v>
      </c>
      <c r="J4174" s="33" t="s">
        <v>514</v>
      </c>
      <c r="K4174" s="18">
        <v>550</v>
      </c>
      <c r="L4174" s="52">
        <f t="shared" ref="L4174:L4183" si="140">K4174*E4174</f>
        <v>55</v>
      </c>
    </row>
    <row r="4175" spans="1:12">
      <c r="A4175" t="s">
        <v>1037</v>
      </c>
      <c r="B4175" t="s">
        <v>349</v>
      </c>
      <c r="C4175" t="s">
        <v>352</v>
      </c>
      <c r="D4175" s="3" t="s">
        <v>24</v>
      </c>
      <c r="E4175" s="10">
        <v>0.1</v>
      </c>
      <c r="F4175" s="7" t="s">
        <v>176</v>
      </c>
      <c r="G4175" s="9">
        <v>55</v>
      </c>
      <c r="H4175" s="9">
        <f t="shared" si="139"/>
        <v>5.5</v>
      </c>
      <c r="I4175" t="s">
        <v>179</v>
      </c>
      <c r="J4175" s="33" t="s">
        <v>514</v>
      </c>
      <c r="K4175" s="18">
        <f>VLOOKUP(D4175,Ingredients!C:G,5,0)</f>
        <v>80</v>
      </c>
      <c r="L4175" s="52">
        <f t="shared" si="140"/>
        <v>8</v>
      </c>
    </row>
    <row r="4176" spans="1:12">
      <c r="A4176" t="s">
        <v>1037</v>
      </c>
      <c r="B4176" t="s">
        <v>349</v>
      </c>
      <c r="C4176" t="s">
        <v>352</v>
      </c>
      <c r="D4176" s="3" t="s">
        <v>28</v>
      </c>
      <c r="E4176" s="10">
        <v>0.2</v>
      </c>
      <c r="F4176" s="7" t="s">
        <v>176</v>
      </c>
      <c r="G4176" s="9">
        <v>85</v>
      </c>
      <c r="H4176" s="9">
        <f t="shared" si="139"/>
        <v>17</v>
      </c>
      <c r="I4176" t="s">
        <v>179</v>
      </c>
      <c r="J4176" s="33" t="s">
        <v>514</v>
      </c>
      <c r="K4176" s="18">
        <f>VLOOKUP(D4176,Ingredients!C:G,5,0)</f>
        <v>70</v>
      </c>
      <c r="L4176" s="52">
        <f t="shared" si="140"/>
        <v>14</v>
      </c>
    </row>
    <row r="4177" spans="1:12">
      <c r="A4177" t="s">
        <v>1037</v>
      </c>
      <c r="B4177" t="s">
        <v>349</v>
      </c>
      <c r="C4177" t="s">
        <v>352</v>
      </c>
      <c r="D4177" s="3" t="s">
        <v>853</v>
      </c>
      <c r="E4177" s="10">
        <v>1.0000000000000002E-2</v>
      </c>
      <c r="F4177" s="7" t="s">
        <v>176</v>
      </c>
      <c r="G4177" s="9">
        <v>30</v>
      </c>
      <c r="H4177" s="9">
        <f t="shared" si="139"/>
        <v>0.30000000000000004</v>
      </c>
      <c r="I4177" t="s">
        <v>179</v>
      </c>
      <c r="J4177" s="33" t="s">
        <v>514</v>
      </c>
      <c r="K4177" s="18">
        <f>VLOOKUP(D4177,Ingredients!C:G,5,0)</f>
        <v>55</v>
      </c>
      <c r="L4177" s="52">
        <f t="shared" si="140"/>
        <v>0.55000000000000016</v>
      </c>
    </row>
    <row r="4178" spans="1:12">
      <c r="A4178" t="s">
        <v>1037</v>
      </c>
      <c r="B4178" t="s">
        <v>349</v>
      </c>
      <c r="C4178" t="s">
        <v>352</v>
      </c>
      <c r="D4178" s="3" t="s">
        <v>867</v>
      </c>
      <c r="E4178" s="10">
        <v>8.0000000000000002E-3</v>
      </c>
      <c r="F4178" s="7" t="s">
        <v>176</v>
      </c>
      <c r="G4178" s="9">
        <v>900</v>
      </c>
      <c r="H4178" s="9">
        <f t="shared" si="139"/>
        <v>7.2</v>
      </c>
      <c r="I4178" t="s">
        <v>179</v>
      </c>
      <c r="J4178" s="33" t="s">
        <v>514</v>
      </c>
      <c r="K4178" s="18">
        <f>VLOOKUP(D4178,Ingredients!C:G,5,0)</f>
        <v>950</v>
      </c>
      <c r="L4178" s="52">
        <f t="shared" si="140"/>
        <v>7.6000000000000005</v>
      </c>
    </row>
    <row r="4179" spans="1:12">
      <c r="A4179" t="s">
        <v>1037</v>
      </c>
      <c r="B4179" t="s">
        <v>349</v>
      </c>
      <c r="C4179" t="s">
        <v>352</v>
      </c>
      <c r="D4179" s="3" t="s">
        <v>849</v>
      </c>
      <c r="E4179" s="10">
        <v>4.0000000000000001E-3</v>
      </c>
      <c r="F4179" s="7" t="s">
        <v>176</v>
      </c>
      <c r="G4179" s="9">
        <v>1000</v>
      </c>
      <c r="H4179" s="9">
        <f t="shared" si="139"/>
        <v>4</v>
      </c>
      <c r="I4179" t="s">
        <v>179</v>
      </c>
      <c r="J4179" s="33" t="s">
        <v>514</v>
      </c>
      <c r="K4179" s="18">
        <f>VLOOKUP(D4179,Ingredients!C:G,5,0)</f>
        <v>950</v>
      </c>
      <c r="L4179" s="52">
        <f t="shared" si="140"/>
        <v>3.8000000000000003</v>
      </c>
    </row>
    <row r="4180" spans="1:12">
      <c r="A4180" t="s">
        <v>1037</v>
      </c>
      <c r="B4180" t="s">
        <v>349</v>
      </c>
      <c r="C4180" t="s">
        <v>352</v>
      </c>
      <c r="D4180" s="3" t="s">
        <v>895</v>
      </c>
      <c r="E4180" s="10">
        <v>1.0000000000000002E-2</v>
      </c>
      <c r="F4180" s="7" t="s">
        <v>176</v>
      </c>
      <c r="G4180" s="9">
        <v>400</v>
      </c>
      <c r="H4180" s="9">
        <f t="shared" si="139"/>
        <v>4.0000000000000009</v>
      </c>
      <c r="I4180" t="s">
        <v>179</v>
      </c>
      <c r="J4180" s="33" t="s">
        <v>514</v>
      </c>
      <c r="K4180" s="18">
        <f>VLOOKUP(D4180,Ingredients!C:G,5,0)</f>
        <v>400</v>
      </c>
      <c r="L4180" s="52">
        <f t="shared" si="140"/>
        <v>4.0000000000000009</v>
      </c>
    </row>
    <row r="4181" spans="1:12">
      <c r="A4181" t="s">
        <v>1037</v>
      </c>
      <c r="B4181" t="s">
        <v>349</v>
      </c>
      <c r="C4181" t="s">
        <v>352</v>
      </c>
      <c r="D4181" s="3" t="s">
        <v>887</v>
      </c>
      <c r="E4181" s="10">
        <v>1.0000000000000002E-2</v>
      </c>
      <c r="F4181" s="7" t="s">
        <v>176</v>
      </c>
      <c r="G4181" s="9">
        <v>1600</v>
      </c>
      <c r="H4181" s="9">
        <f t="shared" si="139"/>
        <v>16.000000000000004</v>
      </c>
      <c r="I4181" t="s">
        <v>179</v>
      </c>
      <c r="J4181" s="33" t="s">
        <v>514</v>
      </c>
      <c r="K4181" s="18">
        <f>VLOOKUP(D4181,Ingredients!C:G,5,0)</f>
        <v>1830</v>
      </c>
      <c r="L4181" s="52">
        <f t="shared" si="140"/>
        <v>18.300000000000004</v>
      </c>
    </row>
    <row r="4182" spans="1:12">
      <c r="A4182" t="s">
        <v>1037</v>
      </c>
      <c r="B4182" t="s">
        <v>349</v>
      </c>
      <c r="C4182" t="s">
        <v>352</v>
      </c>
      <c r="D4182" s="3" t="s">
        <v>880</v>
      </c>
      <c r="E4182" s="10">
        <v>8.0000000000000002E-3</v>
      </c>
      <c r="F4182" s="7" t="s">
        <v>176</v>
      </c>
      <c r="G4182" s="9">
        <v>650</v>
      </c>
      <c r="H4182" s="9">
        <f t="shared" si="139"/>
        <v>5.2</v>
      </c>
      <c r="I4182" t="s">
        <v>179</v>
      </c>
      <c r="J4182" s="33" t="s">
        <v>514</v>
      </c>
      <c r="K4182" s="18">
        <f>VLOOKUP(D4182,Ingredients!C:G,5,0)</f>
        <v>520</v>
      </c>
      <c r="L4182" s="52">
        <f t="shared" si="140"/>
        <v>4.16</v>
      </c>
    </row>
    <row r="4183" spans="1:12">
      <c r="A4183" t="s">
        <v>1037</v>
      </c>
      <c r="B4183" t="s">
        <v>349</v>
      </c>
      <c r="C4183" t="s">
        <v>352</v>
      </c>
      <c r="D4183" s="3" t="s">
        <v>377</v>
      </c>
      <c r="E4183" s="10">
        <v>0.5</v>
      </c>
      <c r="F4183" s="7" t="s">
        <v>176</v>
      </c>
      <c r="G4183" s="12">
        <f>VLOOKUP(D4183,D97:G4182,4,0)</f>
        <v>40</v>
      </c>
      <c r="H4183" s="9">
        <f t="shared" si="139"/>
        <v>20</v>
      </c>
      <c r="I4183" t="s">
        <v>179</v>
      </c>
      <c r="J4183" s="33" t="s">
        <v>514</v>
      </c>
      <c r="K4183" s="18">
        <f>VLOOKUP(D4183,Ingredients!C:G,5,0)</f>
        <v>50</v>
      </c>
      <c r="L4183" s="52">
        <f t="shared" si="140"/>
        <v>25</v>
      </c>
    </row>
    <row r="4184" spans="1:12">
      <c r="A4184" s="21" t="s">
        <v>1038</v>
      </c>
      <c r="B4184" t="s">
        <v>349</v>
      </c>
      <c r="C4184" t="s">
        <v>456</v>
      </c>
      <c r="D4184" s="3" t="s">
        <v>831</v>
      </c>
      <c r="E4184" s="4">
        <v>1</v>
      </c>
      <c r="F4184" s="7" t="s">
        <v>176</v>
      </c>
      <c r="G4184" s="12">
        <f>VLOOKUP(D4184,D98:G4183,4,0)</f>
        <v>908</v>
      </c>
      <c r="H4184" s="9">
        <f t="shared" ref="H4184:H4199" si="141">G4184*E4184</f>
        <v>908</v>
      </c>
      <c r="I4184" t="s">
        <v>179</v>
      </c>
      <c r="J4184" s="33" t="s">
        <v>489</v>
      </c>
      <c r="K4184" s="18">
        <f>VLOOKUP(D4184,Ingredients!C:G,5,0)</f>
        <v>908</v>
      </c>
      <c r="L4184" s="52">
        <f t="shared" ref="L4184:L4199" si="142">K4184*E4184</f>
        <v>908</v>
      </c>
    </row>
    <row r="4185" spans="1:12">
      <c r="A4185" s="21" t="s">
        <v>1038</v>
      </c>
      <c r="B4185" t="s">
        <v>349</v>
      </c>
      <c r="C4185" t="s">
        <v>456</v>
      </c>
      <c r="D4185" s="3" t="s">
        <v>16</v>
      </c>
      <c r="E4185" s="4">
        <v>1.4999999999999999E-2</v>
      </c>
      <c r="F4185" s="7" t="s">
        <v>176</v>
      </c>
      <c r="G4185" s="12">
        <f>VLOOKUP(D4185,D99:G4184,4,0)</f>
        <v>270</v>
      </c>
      <c r="H4185" s="9">
        <f t="shared" si="141"/>
        <v>4.05</v>
      </c>
      <c r="I4185" t="s">
        <v>179</v>
      </c>
      <c r="J4185" s="33" t="s">
        <v>489</v>
      </c>
      <c r="K4185" s="18">
        <f>VLOOKUP(D4185,Ingredients!C:G,5,0)</f>
        <v>310</v>
      </c>
      <c r="L4185" s="52">
        <f t="shared" si="142"/>
        <v>4.6499999999999995</v>
      </c>
    </row>
    <row r="4186" spans="1:12">
      <c r="A4186" s="21" t="s">
        <v>1038</v>
      </c>
      <c r="B4186" t="s">
        <v>349</v>
      </c>
      <c r="C4186" t="s">
        <v>456</v>
      </c>
      <c r="D4186" s="3" t="s">
        <v>853</v>
      </c>
      <c r="E4186" s="4">
        <v>0.01</v>
      </c>
      <c r="F4186" s="7" t="s">
        <v>176</v>
      </c>
      <c r="G4186" s="12">
        <f>VLOOKUP(D4186,D100:G4185,4,0)</f>
        <v>30</v>
      </c>
      <c r="H4186" s="9">
        <f t="shared" si="141"/>
        <v>0.3</v>
      </c>
      <c r="I4186" t="s">
        <v>179</v>
      </c>
      <c r="J4186" s="33" t="s">
        <v>489</v>
      </c>
      <c r="K4186" s="18">
        <f>VLOOKUP(D4186,Ingredients!C:G,5,0)</f>
        <v>55</v>
      </c>
      <c r="L4186" s="52">
        <f t="shared" si="142"/>
        <v>0.55000000000000004</v>
      </c>
    </row>
    <row r="4187" spans="1:12">
      <c r="A4187" s="21" t="s">
        <v>1038</v>
      </c>
      <c r="B4187" t="s">
        <v>349</v>
      </c>
      <c r="C4187" t="s">
        <v>456</v>
      </c>
      <c r="D4187" s="3" t="s">
        <v>882</v>
      </c>
      <c r="E4187" s="4">
        <v>8.0000000000000002E-3</v>
      </c>
      <c r="F4187" s="7" t="s">
        <v>176</v>
      </c>
      <c r="G4187" s="12">
        <f>VLOOKUP(D4187,D101:G4186,4,0)</f>
        <v>1500</v>
      </c>
      <c r="H4187" s="9">
        <f t="shared" si="141"/>
        <v>12</v>
      </c>
      <c r="I4187" t="s">
        <v>179</v>
      </c>
      <c r="J4187" s="33" t="s">
        <v>489</v>
      </c>
      <c r="K4187" s="18">
        <f>VLOOKUP(D4187,Ingredients!C:G,5,0)</f>
        <v>1450</v>
      </c>
      <c r="L4187" s="52">
        <f t="shared" si="142"/>
        <v>11.6</v>
      </c>
    </row>
    <row r="4188" spans="1:12">
      <c r="A4188" s="21" t="s">
        <v>1038</v>
      </c>
      <c r="B4188" t="s">
        <v>349</v>
      </c>
      <c r="C4188" t="s">
        <v>456</v>
      </c>
      <c r="D4188" s="3" t="s">
        <v>1031</v>
      </c>
      <c r="E4188" s="4">
        <v>1.7000000000000001E-2</v>
      </c>
      <c r="F4188" s="7" t="s">
        <v>176</v>
      </c>
      <c r="G4188" s="12">
        <f>VLOOKUP(D4188,D102:G4187,4,0)</f>
        <v>1183.33</v>
      </c>
      <c r="H4188" s="9">
        <f t="shared" si="141"/>
        <v>20.116610000000001</v>
      </c>
      <c r="I4188" t="s">
        <v>179</v>
      </c>
      <c r="J4188" s="33" t="s">
        <v>489</v>
      </c>
      <c r="K4188" s="18">
        <f>VLOOKUP(D4188,Ingredients!C:G,5,0)</f>
        <v>1183.33</v>
      </c>
      <c r="L4188" s="52">
        <f t="shared" si="142"/>
        <v>20.116610000000001</v>
      </c>
    </row>
    <row r="4189" spans="1:12">
      <c r="A4189" s="21" t="s">
        <v>1038</v>
      </c>
      <c r="B4189" t="s">
        <v>349</v>
      </c>
      <c r="C4189" t="s">
        <v>456</v>
      </c>
      <c r="D4189" s="3" t="s">
        <v>883</v>
      </c>
      <c r="E4189" s="4">
        <v>1.7000000000000001E-2</v>
      </c>
      <c r="F4189" s="7" t="s">
        <v>176</v>
      </c>
      <c r="G4189" s="12">
        <f>VLOOKUP(D4189,D103:G4188,4,0)</f>
        <v>950</v>
      </c>
      <c r="H4189" s="9">
        <f t="shared" si="141"/>
        <v>16.150000000000002</v>
      </c>
      <c r="I4189" t="s">
        <v>179</v>
      </c>
      <c r="J4189" s="33" t="s">
        <v>489</v>
      </c>
      <c r="K4189" s="18">
        <f>VLOOKUP(D4189,Ingredients!C:G,5,0)</f>
        <v>313</v>
      </c>
      <c r="L4189" s="52">
        <f t="shared" si="142"/>
        <v>5.3210000000000006</v>
      </c>
    </row>
    <row r="4190" spans="1:12">
      <c r="A4190" s="21" t="s">
        <v>1038</v>
      </c>
      <c r="B4190" t="s">
        <v>349</v>
      </c>
      <c r="C4190" t="s">
        <v>456</v>
      </c>
      <c r="D4190" s="3" t="s">
        <v>323</v>
      </c>
      <c r="E4190" s="4">
        <v>8.0000000000000002E-3</v>
      </c>
      <c r="F4190" s="7" t="s">
        <v>176</v>
      </c>
      <c r="G4190" s="9">
        <v>5000</v>
      </c>
      <c r="H4190" s="9">
        <f t="shared" si="141"/>
        <v>40</v>
      </c>
      <c r="I4190" t="s">
        <v>179</v>
      </c>
      <c r="J4190" s="33" t="s">
        <v>489</v>
      </c>
      <c r="K4190" s="18">
        <f>VLOOKUP(D4190,Ingredients!C:G,5,0)</f>
        <v>5000</v>
      </c>
      <c r="L4190" s="52">
        <f t="shared" si="142"/>
        <v>40</v>
      </c>
    </row>
    <row r="4191" spans="1:12">
      <c r="A4191" s="21" t="s">
        <v>1038</v>
      </c>
      <c r="B4191" t="s">
        <v>349</v>
      </c>
      <c r="C4191" t="s">
        <v>456</v>
      </c>
      <c r="D4191" s="3" t="s">
        <v>852</v>
      </c>
      <c r="E4191" s="4">
        <v>2.3E-2</v>
      </c>
      <c r="F4191" s="7" t="s">
        <v>190</v>
      </c>
      <c r="G4191" s="12">
        <f>VLOOKUP(D4191,D105:G4190,4,0)</f>
        <v>520.63</v>
      </c>
      <c r="H4191" s="9">
        <f t="shared" si="141"/>
        <v>11.974489999999999</v>
      </c>
      <c r="I4191" t="s">
        <v>179</v>
      </c>
      <c r="J4191" s="33" t="s">
        <v>489</v>
      </c>
      <c r="K4191" s="18">
        <f>VLOOKUP(D4191,Ingredients!C:G,5,0)</f>
        <v>550</v>
      </c>
      <c r="L4191" s="52">
        <f t="shared" si="142"/>
        <v>12.65</v>
      </c>
    </row>
    <row r="4192" spans="1:12">
      <c r="A4192" s="21" t="s">
        <v>1038</v>
      </c>
      <c r="B4192" t="s">
        <v>349</v>
      </c>
      <c r="C4192" t="s">
        <v>456</v>
      </c>
      <c r="D4192" s="3" t="s">
        <v>834</v>
      </c>
      <c r="E4192" s="4">
        <v>2.1999999999999999E-2</v>
      </c>
      <c r="F4192" s="7" t="s">
        <v>176</v>
      </c>
      <c r="G4192" s="12">
        <f>VLOOKUP(D4192,D106:G4191,4,0)</f>
        <v>515</v>
      </c>
      <c r="H4192" s="9">
        <f t="shared" si="141"/>
        <v>11.33</v>
      </c>
      <c r="I4192" t="s">
        <v>179</v>
      </c>
      <c r="J4192" s="33" t="s">
        <v>489</v>
      </c>
      <c r="K4192" s="18">
        <f>VLOOKUP(D4192,Ingredients!C:G,5,0)</f>
        <v>540</v>
      </c>
      <c r="L4192" s="52">
        <f t="shared" si="142"/>
        <v>11.879999999999999</v>
      </c>
    </row>
    <row r="4193" spans="1:12">
      <c r="A4193" s="21" t="s">
        <v>1038</v>
      </c>
      <c r="B4193" t="s">
        <v>349</v>
      </c>
      <c r="C4193" t="s">
        <v>456</v>
      </c>
      <c r="D4193" s="3" t="s">
        <v>865</v>
      </c>
      <c r="E4193" s="4">
        <v>0.03</v>
      </c>
      <c r="F4193" s="7" t="s">
        <v>176</v>
      </c>
      <c r="G4193" s="12">
        <f>VLOOKUP(D4193,D107:G4192,4,0)</f>
        <v>1400</v>
      </c>
      <c r="H4193" s="9">
        <f t="shared" si="141"/>
        <v>42</v>
      </c>
      <c r="I4193" t="s">
        <v>179</v>
      </c>
      <c r="J4193" s="33" t="s">
        <v>489</v>
      </c>
      <c r="K4193" s="18">
        <f>VLOOKUP(D4193,Ingredients!C:G,5,0)</f>
        <v>1400</v>
      </c>
      <c r="L4193" s="52">
        <f t="shared" si="142"/>
        <v>42</v>
      </c>
    </row>
    <row r="4194" spans="1:12">
      <c r="A4194" s="21" t="s">
        <v>1038</v>
      </c>
      <c r="B4194" t="s">
        <v>349</v>
      </c>
      <c r="C4194" t="s">
        <v>456</v>
      </c>
      <c r="D4194" s="3" t="s">
        <v>853</v>
      </c>
      <c r="E4194" s="4">
        <v>4.0000000000000001E-3</v>
      </c>
      <c r="F4194" s="7" t="s">
        <v>176</v>
      </c>
      <c r="G4194" s="12">
        <f>VLOOKUP(D4194,D108:G4193,4,0)</f>
        <v>30</v>
      </c>
      <c r="H4194" s="9">
        <f t="shared" si="141"/>
        <v>0.12</v>
      </c>
      <c r="I4194" t="s">
        <v>179</v>
      </c>
      <c r="J4194" s="33" t="s">
        <v>489</v>
      </c>
      <c r="K4194" s="18">
        <f>VLOOKUP(D4194,Ingredients!C:G,5,0)</f>
        <v>55</v>
      </c>
      <c r="L4194" s="52">
        <f t="shared" si="142"/>
        <v>0.22</v>
      </c>
    </row>
    <row r="4195" spans="1:12">
      <c r="A4195" s="21" t="s">
        <v>1038</v>
      </c>
      <c r="B4195" t="s">
        <v>349</v>
      </c>
      <c r="C4195" t="s">
        <v>456</v>
      </c>
      <c r="D4195" s="3" t="s">
        <v>944</v>
      </c>
      <c r="E4195" s="4">
        <v>0.28999999999999998</v>
      </c>
      <c r="F4195" s="7" t="s">
        <v>176</v>
      </c>
      <c r="G4195" s="12">
        <f>VLOOKUP(D4195,D109:G4194,4,0)</f>
        <v>1000</v>
      </c>
      <c r="H4195" s="9">
        <f t="shared" si="141"/>
        <v>290</v>
      </c>
      <c r="I4195" t="s">
        <v>179</v>
      </c>
      <c r="J4195" s="33" t="s">
        <v>489</v>
      </c>
      <c r="K4195" s="18">
        <f>VLOOKUP(D4195,Ingredients!C:G,5,0)</f>
        <v>842</v>
      </c>
      <c r="L4195" s="52">
        <f t="shared" si="142"/>
        <v>244.17999999999998</v>
      </c>
    </row>
    <row r="4196" spans="1:12">
      <c r="A4196" s="21" t="s">
        <v>1038</v>
      </c>
      <c r="B4196" t="s">
        <v>349</v>
      </c>
      <c r="C4196" t="s">
        <v>456</v>
      </c>
      <c r="D4196" s="3" t="s">
        <v>323</v>
      </c>
      <c r="E4196" s="4">
        <v>4.0000000000000001E-3</v>
      </c>
      <c r="F4196" s="7" t="s">
        <v>176</v>
      </c>
      <c r="G4196" s="9">
        <v>5000</v>
      </c>
      <c r="H4196" s="9">
        <f t="shared" si="141"/>
        <v>20</v>
      </c>
      <c r="I4196" t="s">
        <v>179</v>
      </c>
      <c r="J4196" s="33" t="s">
        <v>489</v>
      </c>
      <c r="K4196" s="18">
        <f>VLOOKUP(D4196,Ingredients!C:G,5,0)</f>
        <v>5000</v>
      </c>
      <c r="L4196" s="52">
        <f t="shared" si="142"/>
        <v>20</v>
      </c>
    </row>
    <row r="4197" spans="1:12">
      <c r="A4197" s="21" t="s">
        <v>1038</v>
      </c>
      <c r="B4197" t="s">
        <v>349</v>
      </c>
      <c r="C4197" t="s">
        <v>456</v>
      </c>
      <c r="D4197" s="3" t="s">
        <v>874</v>
      </c>
      <c r="E4197" s="4">
        <v>0.02</v>
      </c>
      <c r="F4197" s="7" t="s">
        <v>176</v>
      </c>
      <c r="G4197" s="12">
        <f>VLOOKUP(D4197,D111:G4196,4,0)</f>
        <v>110</v>
      </c>
      <c r="H4197" s="9">
        <f t="shared" si="141"/>
        <v>2.2000000000000002</v>
      </c>
      <c r="I4197" t="s">
        <v>179</v>
      </c>
      <c r="J4197" s="33" t="s">
        <v>489</v>
      </c>
      <c r="K4197" s="18">
        <f>VLOOKUP(D4197,Ingredients!C:G,5,0)</f>
        <v>179</v>
      </c>
      <c r="L4197" s="52">
        <f t="shared" si="142"/>
        <v>3.58</v>
      </c>
    </row>
    <row r="4198" spans="1:12">
      <c r="A4198" s="21" t="s">
        <v>1038</v>
      </c>
      <c r="B4198" t="s">
        <v>349</v>
      </c>
      <c r="C4198" t="s">
        <v>456</v>
      </c>
      <c r="D4198" s="3" t="s">
        <v>835</v>
      </c>
      <c r="E4198" s="4">
        <v>8.9999999999999993E-3</v>
      </c>
      <c r="F4198" s="7" t="s">
        <v>176</v>
      </c>
      <c r="G4198" s="12">
        <f>VLOOKUP(D4198,D112:G4197,4,0)</f>
        <v>389.34</v>
      </c>
      <c r="H4198" s="9">
        <f t="shared" si="141"/>
        <v>3.5040599999999995</v>
      </c>
      <c r="I4198" t="s">
        <v>179</v>
      </c>
      <c r="J4198" s="33" t="s">
        <v>489</v>
      </c>
      <c r="K4198" s="18">
        <f>VLOOKUP(D4198,Ingredients!C:G,5,0)</f>
        <v>394.63</v>
      </c>
      <c r="L4198" s="52">
        <f t="shared" si="142"/>
        <v>3.5516699999999997</v>
      </c>
    </row>
    <row r="4199" spans="1:12">
      <c r="A4199" s="21" t="s">
        <v>1038</v>
      </c>
      <c r="B4199" t="s">
        <v>349</v>
      </c>
      <c r="C4199" t="s">
        <v>456</v>
      </c>
      <c r="D4199" s="3" t="s">
        <v>851</v>
      </c>
      <c r="E4199" s="4">
        <v>0.24</v>
      </c>
      <c r="F4199" s="7" t="s">
        <v>176</v>
      </c>
      <c r="G4199" s="12">
        <f>VLOOKUP(D4199,D113:G4198,4,0)</f>
        <v>177</v>
      </c>
      <c r="H4199" s="9">
        <f t="shared" si="141"/>
        <v>42.48</v>
      </c>
      <c r="I4199" t="s">
        <v>179</v>
      </c>
      <c r="J4199" s="33" t="s">
        <v>489</v>
      </c>
      <c r="K4199" s="18">
        <f>VLOOKUP(D4199,Ingredients!C:G,5,0)</f>
        <v>920</v>
      </c>
      <c r="L4199" s="52">
        <f t="shared" si="142"/>
        <v>220.79999999999998</v>
      </c>
    </row>
    <row r="4200" spans="1:12">
      <c r="A4200" s="21" t="s">
        <v>1039</v>
      </c>
      <c r="B4200" t="s">
        <v>346</v>
      </c>
      <c r="C4200" t="s">
        <v>352</v>
      </c>
      <c r="D4200" s="3" t="s">
        <v>13</v>
      </c>
      <c r="E4200" s="4">
        <v>1</v>
      </c>
      <c r="F4200" s="7" t="s">
        <v>176</v>
      </c>
      <c r="G4200" s="12">
        <v>60</v>
      </c>
      <c r="H4200" s="9">
        <f t="shared" ref="H4200:H4210" si="143">G4200*E4200</f>
        <v>60</v>
      </c>
      <c r="I4200" t="s">
        <v>179</v>
      </c>
      <c r="J4200" s="33">
        <v>0</v>
      </c>
      <c r="K4200" s="18">
        <f>VLOOKUP(D4200,Ingredients!C:G,5,0)</f>
        <v>60</v>
      </c>
      <c r="L4200" s="52">
        <f t="shared" ref="L4200:L4210" si="144">K4200*E4200</f>
        <v>60</v>
      </c>
    </row>
    <row r="4201" spans="1:12">
      <c r="A4201" s="21" t="s">
        <v>1039</v>
      </c>
      <c r="B4201" t="s">
        <v>346</v>
      </c>
      <c r="C4201" t="s">
        <v>352</v>
      </c>
      <c r="D4201" s="3" t="s">
        <v>16</v>
      </c>
      <c r="E4201" s="4">
        <v>0.16800000000000001</v>
      </c>
      <c r="F4201" s="7" t="s">
        <v>176</v>
      </c>
      <c r="G4201" s="12">
        <f>VLOOKUP(D4201,D115:G4200,4,0)</f>
        <v>270</v>
      </c>
      <c r="H4201" s="9">
        <f t="shared" si="143"/>
        <v>45.36</v>
      </c>
      <c r="I4201" t="s">
        <v>179</v>
      </c>
      <c r="J4201" s="33">
        <v>0</v>
      </c>
      <c r="K4201" s="18">
        <f>VLOOKUP(D4201,Ingredients!C:G,5,0)</f>
        <v>310</v>
      </c>
      <c r="L4201" s="52">
        <f t="shared" si="144"/>
        <v>52.080000000000005</v>
      </c>
    </row>
    <row r="4202" spans="1:12">
      <c r="A4202" s="21" t="s">
        <v>1039</v>
      </c>
      <c r="B4202" t="s">
        <v>346</v>
      </c>
      <c r="C4202" t="s">
        <v>352</v>
      </c>
      <c r="D4202" s="3" t="s">
        <v>29</v>
      </c>
      <c r="E4202" s="4">
        <v>4.8000000000000001E-2</v>
      </c>
      <c r="F4202" s="7" t="s">
        <v>176</v>
      </c>
      <c r="G4202" s="12">
        <f>VLOOKUP(D4202,D116:G4201,4,0)</f>
        <v>60</v>
      </c>
      <c r="H4202" s="9">
        <f t="shared" si="143"/>
        <v>2.88</v>
      </c>
      <c r="I4202" t="s">
        <v>179</v>
      </c>
      <c r="J4202" s="33">
        <v>0</v>
      </c>
      <c r="K4202" s="18">
        <f>VLOOKUP(D4202,Ingredients!C:G,5,0)</f>
        <v>100</v>
      </c>
      <c r="L4202" s="52">
        <f t="shared" si="144"/>
        <v>4.8</v>
      </c>
    </row>
    <row r="4203" spans="1:12">
      <c r="A4203" s="21" t="s">
        <v>1039</v>
      </c>
      <c r="B4203" t="s">
        <v>346</v>
      </c>
      <c r="C4203" t="s">
        <v>352</v>
      </c>
      <c r="D4203" s="3" t="s">
        <v>852</v>
      </c>
      <c r="E4203" s="4">
        <v>8.4000000000000005E-2</v>
      </c>
      <c r="F4203" s="7" t="s">
        <v>190</v>
      </c>
      <c r="G4203" s="12">
        <f>VLOOKUP(D4203,D117:G4202,4,0)</f>
        <v>520.63</v>
      </c>
      <c r="H4203" s="9">
        <f t="shared" si="143"/>
        <v>43.73292</v>
      </c>
      <c r="I4203" t="s">
        <v>179</v>
      </c>
      <c r="J4203" s="33">
        <v>0</v>
      </c>
      <c r="K4203" s="18">
        <f>VLOOKUP(D4203,Ingredients!C:G,5,0)</f>
        <v>550</v>
      </c>
      <c r="L4203" s="52">
        <f t="shared" si="144"/>
        <v>46.2</v>
      </c>
    </row>
    <row r="4204" spans="1:12">
      <c r="A4204" s="21" t="s">
        <v>1039</v>
      </c>
      <c r="B4204" t="s">
        <v>346</v>
      </c>
      <c r="C4204" t="s">
        <v>352</v>
      </c>
      <c r="D4204" s="3" t="s">
        <v>24</v>
      </c>
      <c r="E4204" s="4">
        <v>0.3</v>
      </c>
      <c r="F4204" s="7" t="s">
        <v>176</v>
      </c>
      <c r="G4204" s="12">
        <f>VLOOKUP(D4204,D118:G4203,4,0)</f>
        <v>55</v>
      </c>
      <c r="H4204" s="9">
        <f t="shared" si="143"/>
        <v>16.5</v>
      </c>
      <c r="I4204" t="s">
        <v>179</v>
      </c>
      <c r="J4204" s="33">
        <v>0</v>
      </c>
      <c r="K4204" s="18">
        <f>VLOOKUP(D4204,Ingredients!C:G,5,0)</f>
        <v>80</v>
      </c>
      <c r="L4204" s="52">
        <f t="shared" si="144"/>
        <v>24</v>
      </c>
    </row>
    <row r="4205" spans="1:12">
      <c r="A4205" s="21" t="s">
        <v>1039</v>
      </c>
      <c r="B4205" t="s">
        <v>346</v>
      </c>
      <c r="C4205" t="s">
        <v>352</v>
      </c>
      <c r="D4205" s="3" t="s">
        <v>28</v>
      </c>
      <c r="E4205" s="4">
        <v>0.44</v>
      </c>
      <c r="F4205" s="7" t="s">
        <v>176</v>
      </c>
      <c r="G4205" s="12">
        <f>VLOOKUP(D4205,D119:G4204,4,0)</f>
        <v>85</v>
      </c>
      <c r="H4205" s="9">
        <f t="shared" si="143"/>
        <v>37.4</v>
      </c>
      <c r="I4205" t="s">
        <v>179</v>
      </c>
      <c r="J4205" s="33">
        <v>0</v>
      </c>
      <c r="K4205" s="18">
        <f>VLOOKUP(D4205,Ingredients!C:G,5,0)</f>
        <v>70</v>
      </c>
      <c r="L4205" s="52">
        <f t="shared" si="144"/>
        <v>30.8</v>
      </c>
    </row>
    <row r="4206" spans="1:12">
      <c r="A4206" s="21" t="s">
        <v>1039</v>
      </c>
      <c r="B4206" t="s">
        <v>346</v>
      </c>
      <c r="C4206" t="s">
        <v>352</v>
      </c>
      <c r="D4206" s="3" t="s">
        <v>23</v>
      </c>
      <c r="E4206" s="4">
        <v>0.1</v>
      </c>
      <c r="F4206" s="7" t="s">
        <v>176</v>
      </c>
      <c r="G4206" s="12">
        <f>VLOOKUP(D4206,D120:G4205,4,0)</f>
        <v>740</v>
      </c>
      <c r="H4206" s="9">
        <f t="shared" si="143"/>
        <v>74</v>
      </c>
      <c r="I4206" t="s">
        <v>179</v>
      </c>
      <c r="J4206" s="33">
        <v>0</v>
      </c>
      <c r="K4206" s="18">
        <f>VLOOKUP(D4206,Ingredients!C:G,5,0)</f>
        <v>780</v>
      </c>
      <c r="L4206" s="52">
        <f t="shared" si="144"/>
        <v>78</v>
      </c>
    </row>
    <row r="4207" spans="1:12">
      <c r="A4207" s="21" t="s">
        <v>1039</v>
      </c>
      <c r="B4207" t="s">
        <v>346</v>
      </c>
      <c r="C4207" t="s">
        <v>352</v>
      </c>
      <c r="D4207" s="3" t="s">
        <v>867</v>
      </c>
      <c r="E4207" s="4">
        <v>1.4E-2</v>
      </c>
      <c r="F4207" s="7" t="s">
        <v>176</v>
      </c>
      <c r="G4207" s="12">
        <f>VLOOKUP(D4207,D121:G4206,4,0)</f>
        <v>900</v>
      </c>
      <c r="H4207" s="9">
        <f t="shared" si="143"/>
        <v>12.6</v>
      </c>
      <c r="I4207" t="s">
        <v>179</v>
      </c>
      <c r="J4207" s="33">
        <v>0</v>
      </c>
      <c r="K4207" s="18">
        <f>VLOOKUP(D4207,Ingredients!C:G,5,0)</f>
        <v>950</v>
      </c>
      <c r="L4207" s="52">
        <f t="shared" si="144"/>
        <v>13.3</v>
      </c>
    </row>
    <row r="4208" spans="1:12">
      <c r="A4208" s="21" t="s">
        <v>1039</v>
      </c>
      <c r="B4208" t="s">
        <v>346</v>
      </c>
      <c r="C4208" t="s">
        <v>352</v>
      </c>
      <c r="D4208" s="3" t="s">
        <v>860</v>
      </c>
      <c r="E4208" s="4">
        <v>6.0000000000000001E-3</v>
      </c>
      <c r="F4208" s="7" t="s">
        <v>176</v>
      </c>
      <c r="G4208" s="12">
        <f>VLOOKUP(D4208,D122:G4207,4,0)</f>
        <v>2000</v>
      </c>
      <c r="H4208" s="9">
        <f t="shared" si="143"/>
        <v>12</v>
      </c>
      <c r="I4208" t="s">
        <v>179</v>
      </c>
      <c r="J4208" s="33">
        <v>0</v>
      </c>
      <c r="K4208" s="18">
        <f>VLOOKUP(D4208,Ingredients!C:G,5,0)</f>
        <v>1900</v>
      </c>
      <c r="L4208" s="52">
        <f t="shared" si="144"/>
        <v>11.4</v>
      </c>
    </row>
    <row r="4209" spans="1:12">
      <c r="A4209" s="21" t="s">
        <v>1039</v>
      </c>
      <c r="B4209" t="s">
        <v>346</v>
      </c>
      <c r="C4209" t="s">
        <v>352</v>
      </c>
      <c r="D4209" s="3" t="s">
        <v>853</v>
      </c>
      <c r="E4209" s="4">
        <v>0.02</v>
      </c>
      <c r="F4209" s="7" t="s">
        <v>176</v>
      </c>
      <c r="G4209" s="12">
        <f>VLOOKUP(D4209,D123:G4208,4,0)</f>
        <v>30</v>
      </c>
      <c r="H4209" s="9">
        <f t="shared" si="143"/>
        <v>0.6</v>
      </c>
      <c r="I4209" t="s">
        <v>179</v>
      </c>
      <c r="J4209" s="33">
        <v>0</v>
      </c>
      <c r="K4209" s="18">
        <f>VLOOKUP(D4209,Ingredients!C:G,5,0)</f>
        <v>55</v>
      </c>
      <c r="L4209" s="52">
        <f t="shared" si="144"/>
        <v>1.1000000000000001</v>
      </c>
    </row>
    <row r="4210" spans="1:12">
      <c r="A4210" s="21" t="s">
        <v>1039</v>
      </c>
      <c r="B4210" t="s">
        <v>346</v>
      </c>
      <c r="C4210" t="s">
        <v>352</v>
      </c>
      <c r="D4210" s="3" t="s">
        <v>35</v>
      </c>
      <c r="E4210" s="4">
        <v>0.1</v>
      </c>
      <c r="F4210" s="4" t="s">
        <v>252</v>
      </c>
      <c r="G4210" s="12">
        <f>VLOOKUP(D4210,D124:G4209,4,0)</f>
        <v>13</v>
      </c>
      <c r="H4210" s="9">
        <f t="shared" si="143"/>
        <v>1.3</v>
      </c>
      <c r="I4210" t="s">
        <v>179</v>
      </c>
      <c r="J4210" s="33">
        <v>0</v>
      </c>
      <c r="K4210" s="18">
        <f>VLOOKUP(D4210,Ingredients!C:G,5,0)</f>
        <v>15</v>
      </c>
      <c r="L4210" s="52">
        <f t="shared" si="144"/>
        <v>1.5</v>
      </c>
    </row>
    <row r="4211" spans="1:12">
      <c r="A4211" s="71" t="s">
        <v>1040</v>
      </c>
      <c r="B4211" t="s">
        <v>349</v>
      </c>
      <c r="C4211" t="s">
        <v>454</v>
      </c>
      <c r="D4211" s="3" t="s">
        <v>514</v>
      </c>
      <c r="E4211" s="4">
        <v>1</v>
      </c>
      <c r="F4211" s="4" t="s">
        <v>176</v>
      </c>
      <c r="G4211" s="12">
        <f>VLOOKUP(D4211,D125:G4210,4,0)</f>
        <v>1700</v>
      </c>
      <c r="H4211" s="9">
        <f t="shared" ref="H4211" si="145">G4211*E4211</f>
        <v>1700</v>
      </c>
      <c r="I4211" t="s">
        <v>179</v>
      </c>
      <c r="J4211" s="33" t="s">
        <v>514</v>
      </c>
      <c r="K4211" s="18">
        <f>VLOOKUP(D4211,Ingredients!C:G,5,0)</f>
        <v>1800</v>
      </c>
      <c r="L4211" s="52">
        <f t="shared" ref="L4211" si="146">K4211*E4211</f>
        <v>1800</v>
      </c>
    </row>
    <row r="4212" spans="1:12">
      <c r="A4212" s="71" t="s">
        <v>1040</v>
      </c>
      <c r="B4212" t="s">
        <v>349</v>
      </c>
      <c r="C4212" t="s">
        <v>454</v>
      </c>
      <c r="D4212" s="3" t="s">
        <v>852</v>
      </c>
      <c r="E4212" s="4">
        <v>0.06</v>
      </c>
      <c r="F4212" s="4" t="s">
        <v>190</v>
      </c>
      <c r="G4212" s="12">
        <f>VLOOKUP(D4212,D126:G4211,4,0)</f>
        <v>520.63</v>
      </c>
      <c r="H4212" s="9">
        <f t="shared" ref="H4212:H4221" si="147">G4212*E4212</f>
        <v>31.2378</v>
      </c>
      <c r="I4212" t="s">
        <v>179</v>
      </c>
      <c r="J4212" s="33" t="s">
        <v>514</v>
      </c>
      <c r="K4212" s="18">
        <f>VLOOKUP(D4212,Ingredients!C:G,5,0)</f>
        <v>550</v>
      </c>
      <c r="L4212" s="52">
        <f t="shared" ref="L4212:L4221" si="148">K4212*E4212</f>
        <v>33</v>
      </c>
    </row>
    <row r="4213" spans="1:12">
      <c r="A4213" s="71" t="s">
        <v>1040</v>
      </c>
      <c r="B4213" t="s">
        <v>349</v>
      </c>
      <c r="C4213" t="s">
        <v>454</v>
      </c>
      <c r="D4213" s="3" t="s">
        <v>23</v>
      </c>
      <c r="E4213" s="4">
        <v>1.2E-2</v>
      </c>
      <c r="F4213" s="4" t="s">
        <v>176</v>
      </c>
      <c r="G4213" s="12">
        <f>VLOOKUP(D4213,D127:G4212,4,0)</f>
        <v>740</v>
      </c>
      <c r="H4213" s="9">
        <f t="shared" si="147"/>
        <v>8.8800000000000008</v>
      </c>
      <c r="I4213" t="s">
        <v>179</v>
      </c>
      <c r="J4213" s="33" t="s">
        <v>514</v>
      </c>
      <c r="K4213" s="18">
        <f>VLOOKUP(D4213,Ingredients!C:G,5,0)</f>
        <v>780</v>
      </c>
      <c r="L4213" s="52">
        <f t="shared" si="148"/>
        <v>9.36</v>
      </c>
    </row>
    <row r="4214" spans="1:12">
      <c r="A4214" s="71" t="s">
        <v>1040</v>
      </c>
      <c r="B4214" t="s">
        <v>349</v>
      </c>
      <c r="C4214" t="s">
        <v>454</v>
      </c>
      <c r="D4214" s="3" t="s">
        <v>16</v>
      </c>
      <c r="E4214" s="4">
        <v>1.2E-2</v>
      </c>
      <c r="F4214" s="4" t="s">
        <v>176</v>
      </c>
      <c r="G4214" s="12">
        <f>VLOOKUP(D4214,D128:G4213,4,0)</f>
        <v>270</v>
      </c>
      <c r="H4214" s="9">
        <f t="shared" si="147"/>
        <v>3.24</v>
      </c>
      <c r="I4214" t="s">
        <v>179</v>
      </c>
      <c r="J4214" s="33" t="s">
        <v>514</v>
      </c>
      <c r="K4214" s="18">
        <f>VLOOKUP(D4214,Ingredients!C:G,5,0)</f>
        <v>310</v>
      </c>
      <c r="L4214" s="52">
        <f t="shared" si="148"/>
        <v>3.72</v>
      </c>
    </row>
    <row r="4215" spans="1:12">
      <c r="A4215" s="71" t="s">
        <v>1040</v>
      </c>
      <c r="B4215" t="s">
        <v>349</v>
      </c>
      <c r="C4215" t="s">
        <v>454</v>
      </c>
      <c r="D4215" s="3" t="s">
        <v>29</v>
      </c>
      <c r="E4215" s="4">
        <v>1.2999999999999999E-2</v>
      </c>
      <c r="F4215" s="4" t="s">
        <v>176</v>
      </c>
      <c r="G4215" s="12">
        <f>VLOOKUP(D4215,D129:G4214,4,0)</f>
        <v>60</v>
      </c>
      <c r="H4215" s="9">
        <f t="shared" si="147"/>
        <v>0.77999999999999992</v>
      </c>
      <c r="I4215" t="s">
        <v>179</v>
      </c>
      <c r="J4215" s="33" t="s">
        <v>514</v>
      </c>
      <c r="K4215" s="18">
        <f>VLOOKUP(D4215,Ingredients!C:G,5,0)</f>
        <v>100</v>
      </c>
      <c r="L4215" s="52">
        <f t="shared" si="148"/>
        <v>1.3</v>
      </c>
    </row>
    <row r="4216" spans="1:12">
      <c r="A4216" s="71" t="s">
        <v>1040</v>
      </c>
      <c r="B4216" t="s">
        <v>349</v>
      </c>
      <c r="C4216" t="s">
        <v>454</v>
      </c>
      <c r="D4216" s="3" t="s">
        <v>859</v>
      </c>
      <c r="E4216" s="4">
        <v>1.6E-2</v>
      </c>
      <c r="F4216" s="4" t="s">
        <v>176</v>
      </c>
      <c r="G4216" s="12">
        <f>VLOOKUP(D4216,D130:G4215,4,0)</f>
        <v>650</v>
      </c>
      <c r="H4216" s="9">
        <f t="shared" si="147"/>
        <v>10.4</v>
      </c>
      <c r="I4216" t="s">
        <v>179</v>
      </c>
      <c r="J4216" s="33" t="s">
        <v>514</v>
      </c>
      <c r="K4216" s="18">
        <f>VLOOKUP(D4216,Ingredients!C:G,5,0)</f>
        <v>700</v>
      </c>
      <c r="L4216" s="52">
        <f t="shared" si="148"/>
        <v>11.200000000000001</v>
      </c>
    </row>
    <row r="4217" spans="1:12">
      <c r="A4217" s="71" t="s">
        <v>1040</v>
      </c>
      <c r="B4217" t="s">
        <v>349</v>
      </c>
      <c r="C4217" t="s">
        <v>454</v>
      </c>
      <c r="D4217" s="3" t="s">
        <v>310</v>
      </c>
      <c r="E4217" s="4">
        <v>0.115</v>
      </c>
      <c r="F4217" s="4" t="s">
        <v>176</v>
      </c>
      <c r="G4217" s="12">
        <f>VLOOKUP(D4217,D131:G4216,4,0)</f>
        <v>425</v>
      </c>
      <c r="H4217" s="9">
        <f t="shared" si="147"/>
        <v>48.875</v>
      </c>
      <c r="I4217" t="s">
        <v>179</v>
      </c>
      <c r="J4217" s="33" t="s">
        <v>514</v>
      </c>
      <c r="K4217" s="18">
        <f>VLOOKUP(D4217,Ingredients!C:G,5,0)</f>
        <v>850</v>
      </c>
      <c r="L4217" s="52">
        <f t="shared" si="148"/>
        <v>97.75</v>
      </c>
    </row>
    <row r="4218" spans="1:12">
      <c r="A4218" s="71" t="s">
        <v>1040</v>
      </c>
      <c r="B4218" t="s">
        <v>349</v>
      </c>
      <c r="C4218" t="s">
        <v>454</v>
      </c>
      <c r="D4218" s="3" t="s">
        <v>853</v>
      </c>
      <c r="E4218" s="4">
        <v>0.02</v>
      </c>
      <c r="F4218" s="4" t="s">
        <v>176</v>
      </c>
      <c r="G4218" s="12">
        <f>VLOOKUP(D4218,D132:G4217,4,0)</f>
        <v>30</v>
      </c>
      <c r="H4218" s="9">
        <f t="shared" si="147"/>
        <v>0.6</v>
      </c>
      <c r="I4218" t="s">
        <v>179</v>
      </c>
      <c r="J4218" s="33" t="s">
        <v>514</v>
      </c>
      <c r="K4218" s="18">
        <f>VLOOKUP(D4218,Ingredients!C:G,5,0)</f>
        <v>55</v>
      </c>
      <c r="L4218" s="52">
        <f t="shared" si="148"/>
        <v>1.1000000000000001</v>
      </c>
    </row>
    <row r="4219" spans="1:12">
      <c r="A4219" s="71" t="s">
        <v>1040</v>
      </c>
      <c r="B4219" t="s">
        <v>349</v>
      </c>
      <c r="C4219" t="s">
        <v>454</v>
      </c>
      <c r="D4219" s="3" t="s">
        <v>882</v>
      </c>
      <c r="E4219" s="4">
        <v>1.2E-2</v>
      </c>
      <c r="F4219" s="4" t="s">
        <v>176</v>
      </c>
      <c r="G4219" s="12">
        <f>VLOOKUP(D4219,D133:G4218,4,0)</f>
        <v>1500</v>
      </c>
      <c r="H4219" s="9">
        <f t="shared" si="147"/>
        <v>18</v>
      </c>
      <c r="I4219" t="s">
        <v>179</v>
      </c>
      <c r="J4219" s="33" t="s">
        <v>514</v>
      </c>
      <c r="K4219" s="18">
        <f>VLOOKUP(D4219,Ingredients!C:G,5,0)</f>
        <v>1450</v>
      </c>
      <c r="L4219" s="52">
        <f t="shared" si="148"/>
        <v>17.400000000000002</v>
      </c>
    </row>
    <row r="4220" spans="1:12">
      <c r="A4220" s="71" t="s">
        <v>1040</v>
      </c>
      <c r="B4220" t="s">
        <v>349</v>
      </c>
      <c r="C4220" t="s">
        <v>454</v>
      </c>
      <c r="D4220" s="3" t="s">
        <v>29</v>
      </c>
      <c r="E4220" s="4">
        <v>1.4999999999999999E-2</v>
      </c>
      <c r="F4220" s="4" t="s">
        <v>176</v>
      </c>
      <c r="G4220" s="12">
        <f>VLOOKUP(D4220,D134:G4219,4,0)</f>
        <v>60</v>
      </c>
      <c r="H4220" s="9">
        <f t="shared" si="147"/>
        <v>0.89999999999999991</v>
      </c>
      <c r="I4220" t="s">
        <v>179</v>
      </c>
      <c r="J4220" s="33" t="s">
        <v>514</v>
      </c>
      <c r="K4220" s="18">
        <f>VLOOKUP(D4220,Ingredients!C:G,5,0)</f>
        <v>100</v>
      </c>
      <c r="L4220" s="52">
        <f t="shared" si="148"/>
        <v>1.5</v>
      </c>
    </row>
    <row r="4221" spans="1:12">
      <c r="A4221" s="71" t="s">
        <v>1040</v>
      </c>
      <c r="B4221" t="s">
        <v>349</v>
      </c>
      <c r="C4221" t="s">
        <v>454</v>
      </c>
      <c r="D4221" s="3" t="s">
        <v>23</v>
      </c>
      <c r="E4221" s="4">
        <v>1.4999999999999999E-2</v>
      </c>
      <c r="F4221" s="4" t="s">
        <v>176</v>
      </c>
      <c r="G4221" s="12">
        <f>VLOOKUP(D4221,D135:G4220,4,0)</f>
        <v>740</v>
      </c>
      <c r="H4221" s="9">
        <f t="shared" si="147"/>
        <v>11.1</v>
      </c>
      <c r="I4221" t="s">
        <v>179</v>
      </c>
      <c r="J4221" s="33" t="s">
        <v>514</v>
      </c>
      <c r="K4221" s="18">
        <f>VLOOKUP(D4221,Ingredients!C:G,5,0)</f>
        <v>780</v>
      </c>
      <c r="L4221" s="52">
        <f t="shared" si="148"/>
        <v>11.7</v>
      </c>
    </row>
    <row r="4222" spans="1:12">
      <c r="A4222" s="71" t="s">
        <v>1041</v>
      </c>
      <c r="B4222" t="s">
        <v>349</v>
      </c>
      <c r="C4222" t="s">
        <v>454</v>
      </c>
      <c r="D4222" s="3" t="s">
        <v>831</v>
      </c>
      <c r="E4222" s="4">
        <v>0.24</v>
      </c>
      <c r="F4222" s="4" t="s">
        <v>176</v>
      </c>
      <c r="G4222" s="12">
        <f>VLOOKUP(D4222,D136:G4221,4,0)</f>
        <v>908</v>
      </c>
      <c r="H4222" s="9">
        <f t="shared" ref="H4222:H4234" si="149">G4222*E4222</f>
        <v>217.92</v>
      </c>
      <c r="I4222" t="s">
        <v>179</v>
      </c>
      <c r="J4222" s="33" t="s">
        <v>489</v>
      </c>
      <c r="K4222" s="18">
        <f>VLOOKUP(D4222,Ingredients!C:G,5,0)</f>
        <v>908</v>
      </c>
      <c r="L4222" s="52">
        <f t="shared" ref="L4222:L4234" si="150">K4222*E4222</f>
        <v>217.92</v>
      </c>
    </row>
    <row r="4223" spans="1:12">
      <c r="A4223" s="71" t="s">
        <v>1041</v>
      </c>
      <c r="B4223" t="s">
        <v>349</v>
      </c>
      <c r="C4223" t="s">
        <v>454</v>
      </c>
      <c r="D4223" s="3" t="s">
        <v>1042</v>
      </c>
      <c r="E4223" s="4">
        <v>0.125</v>
      </c>
      <c r="F4223" s="4" t="s">
        <v>176</v>
      </c>
      <c r="G4223" s="12">
        <v>1400</v>
      </c>
      <c r="H4223" s="9">
        <f t="shared" si="149"/>
        <v>175</v>
      </c>
      <c r="I4223" t="s">
        <v>179</v>
      </c>
      <c r="J4223" s="33" t="s">
        <v>489</v>
      </c>
      <c r="K4223" s="18">
        <f>VLOOKUP(D4223,Ingredients!C:G,5,0)</f>
        <v>1400</v>
      </c>
      <c r="L4223" s="52">
        <f t="shared" si="150"/>
        <v>175</v>
      </c>
    </row>
    <row r="4224" spans="1:12">
      <c r="A4224" s="71" t="s">
        <v>1041</v>
      </c>
      <c r="B4224" t="s">
        <v>349</v>
      </c>
      <c r="C4224" t="s">
        <v>454</v>
      </c>
      <c r="D4224" s="3" t="s">
        <v>865</v>
      </c>
      <c r="E4224" s="4">
        <v>5.6500000000000002E-2</v>
      </c>
      <c r="F4224" s="4" t="s">
        <v>176</v>
      </c>
      <c r="G4224" s="12">
        <f>VLOOKUP(D4224,D138:G4223,4,0)</f>
        <v>1400</v>
      </c>
      <c r="H4224" s="9">
        <f t="shared" si="149"/>
        <v>79.100000000000009</v>
      </c>
      <c r="I4224" t="s">
        <v>179</v>
      </c>
      <c r="J4224" s="33" t="s">
        <v>489</v>
      </c>
      <c r="K4224" s="18">
        <f>VLOOKUP(D4224,Ingredients!C:G,5,0)</f>
        <v>1400</v>
      </c>
      <c r="L4224" s="52">
        <f t="shared" si="150"/>
        <v>79.100000000000009</v>
      </c>
    </row>
    <row r="4225" spans="1:12">
      <c r="A4225" s="71" t="s">
        <v>1041</v>
      </c>
      <c r="B4225" t="s">
        <v>349</v>
      </c>
      <c r="C4225" t="s">
        <v>454</v>
      </c>
      <c r="D4225" s="3" t="s">
        <v>24</v>
      </c>
      <c r="E4225" s="4">
        <v>7.4999999999999997E-2</v>
      </c>
      <c r="F4225" s="4" t="s">
        <v>176</v>
      </c>
      <c r="G4225" s="12">
        <f>VLOOKUP(D4225,D139:G4224,4,0)</f>
        <v>55</v>
      </c>
      <c r="H4225" s="9">
        <f t="shared" si="149"/>
        <v>4.125</v>
      </c>
      <c r="I4225" t="s">
        <v>179</v>
      </c>
      <c r="J4225" s="33" t="s">
        <v>489</v>
      </c>
      <c r="K4225" s="18">
        <f>VLOOKUP(D4225,Ingredients!C:G,5,0)</f>
        <v>80</v>
      </c>
      <c r="L4225" s="52">
        <f t="shared" si="150"/>
        <v>6</v>
      </c>
    </row>
    <row r="4226" spans="1:12">
      <c r="A4226" s="71" t="s">
        <v>1041</v>
      </c>
      <c r="B4226" t="s">
        <v>349</v>
      </c>
      <c r="C4226" t="s">
        <v>454</v>
      </c>
      <c r="D4226" s="3" t="s">
        <v>16</v>
      </c>
      <c r="E4226" s="4">
        <v>7.0000000000000001E-3</v>
      </c>
      <c r="F4226" s="4" t="s">
        <v>176</v>
      </c>
      <c r="G4226" s="12">
        <f>VLOOKUP(D4226,D140:G4225,4,0)</f>
        <v>270</v>
      </c>
      <c r="H4226" s="9">
        <f t="shared" si="149"/>
        <v>1.8900000000000001</v>
      </c>
      <c r="I4226" t="s">
        <v>179</v>
      </c>
      <c r="J4226" s="33" t="s">
        <v>489</v>
      </c>
      <c r="K4226" s="18">
        <f>VLOOKUP(D4226,Ingredients!C:G,5,0)</f>
        <v>310</v>
      </c>
      <c r="L4226" s="52">
        <f t="shared" si="150"/>
        <v>2.17</v>
      </c>
    </row>
    <row r="4227" spans="1:12">
      <c r="A4227" s="71" t="s">
        <v>1041</v>
      </c>
      <c r="B4227" t="s">
        <v>349</v>
      </c>
      <c r="C4227" t="s">
        <v>454</v>
      </c>
      <c r="D4227" s="3" t="s">
        <v>979</v>
      </c>
      <c r="E4227" s="4">
        <v>0.05</v>
      </c>
      <c r="F4227" s="4" t="s">
        <v>176</v>
      </c>
      <c r="G4227" s="12">
        <f>VLOOKUP(D4227,D141:G4226,4,0)</f>
        <v>153.97999999999999</v>
      </c>
      <c r="H4227" s="9">
        <f t="shared" si="149"/>
        <v>7.6989999999999998</v>
      </c>
      <c r="I4227" t="s">
        <v>179</v>
      </c>
      <c r="J4227" s="33" t="s">
        <v>489</v>
      </c>
      <c r="K4227" s="18">
        <f>VLOOKUP(D4227,Ingredients!C:G,5,0)</f>
        <v>142.13999999999999</v>
      </c>
      <c r="L4227" s="52">
        <f t="shared" si="150"/>
        <v>7.1069999999999993</v>
      </c>
    </row>
    <row r="4228" spans="1:12">
      <c r="A4228" s="71" t="s">
        <v>1041</v>
      </c>
      <c r="B4228" t="s">
        <v>349</v>
      </c>
      <c r="C4228" t="s">
        <v>454</v>
      </c>
      <c r="D4228" s="3" t="s">
        <v>913</v>
      </c>
      <c r="E4228" s="4">
        <v>0.185</v>
      </c>
      <c r="F4228" s="4" t="s">
        <v>190</v>
      </c>
      <c r="G4228" s="12">
        <f>VLOOKUP(D4228,D142:G4227,4,0)</f>
        <v>229.16666666666666</v>
      </c>
      <c r="H4228" s="9">
        <f t="shared" si="149"/>
        <v>42.395833333333329</v>
      </c>
      <c r="I4228" t="s">
        <v>179</v>
      </c>
      <c r="J4228" s="33" t="s">
        <v>489</v>
      </c>
      <c r="K4228" s="18">
        <f>VLOOKUP(D4228,Ingredients!C:G,5,0)</f>
        <v>220.84</v>
      </c>
      <c r="L4228" s="52">
        <f t="shared" si="150"/>
        <v>40.855400000000003</v>
      </c>
    </row>
    <row r="4229" spans="1:12">
      <c r="A4229" s="71" t="s">
        <v>1041</v>
      </c>
      <c r="B4229" t="s">
        <v>349</v>
      </c>
      <c r="C4229" t="s">
        <v>454</v>
      </c>
      <c r="D4229" s="3" t="s">
        <v>853</v>
      </c>
      <c r="E4229" s="4">
        <v>6.0000000000000001E-3</v>
      </c>
      <c r="F4229" s="4" t="s">
        <v>176</v>
      </c>
      <c r="G4229" s="12">
        <f>VLOOKUP(D4229,D143:G4228,4,0)</f>
        <v>30</v>
      </c>
      <c r="H4229" s="9">
        <f t="shared" si="149"/>
        <v>0.18</v>
      </c>
      <c r="I4229" t="s">
        <v>179</v>
      </c>
      <c r="J4229" s="33" t="s">
        <v>489</v>
      </c>
      <c r="K4229" s="18">
        <f>VLOOKUP(D4229,Ingredients!C:G,5,0)</f>
        <v>55</v>
      </c>
      <c r="L4229" s="52">
        <f t="shared" si="150"/>
        <v>0.33</v>
      </c>
    </row>
    <row r="4230" spans="1:12">
      <c r="A4230" s="71" t="s">
        <v>1041</v>
      </c>
      <c r="B4230" t="s">
        <v>349</v>
      </c>
      <c r="C4230" t="s">
        <v>454</v>
      </c>
      <c r="D4230" s="3" t="s">
        <v>899</v>
      </c>
      <c r="E4230" s="4">
        <v>0.45</v>
      </c>
      <c r="F4230" s="4" t="s">
        <v>176</v>
      </c>
      <c r="G4230" s="12">
        <f>VLOOKUP(D4230,D144:G4229,4,0)</f>
        <v>1511.98</v>
      </c>
      <c r="H4230" s="9">
        <f t="shared" si="149"/>
        <v>680.39100000000008</v>
      </c>
      <c r="I4230" t="s">
        <v>179</v>
      </c>
      <c r="J4230" s="33" t="s">
        <v>489</v>
      </c>
      <c r="K4230" s="18">
        <f>VLOOKUP(D4230,Ingredients!C:G,5,0)</f>
        <v>1511.98</v>
      </c>
      <c r="L4230" s="52">
        <f t="shared" si="150"/>
        <v>680.39100000000008</v>
      </c>
    </row>
    <row r="4231" spans="1:12">
      <c r="A4231" s="71" t="s">
        <v>1041</v>
      </c>
      <c r="B4231" t="s">
        <v>349</v>
      </c>
      <c r="C4231" t="s">
        <v>454</v>
      </c>
      <c r="D4231" s="3" t="s">
        <v>871</v>
      </c>
      <c r="E4231" s="4">
        <v>0.33750000000000002</v>
      </c>
      <c r="F4231" s="4" t="s">
        <v>176</v>
      </c>
      <c r="G4231" s="12">
        <f>VLOOKUP(D4231,D145:G4230,4,0)</f>
        <v>612.03499999999997</v>
      </c>
      <c r="H4231" s="9">
        <f t="shared" si="149"/>
        <v>206.5618125</v>
      </c>
      <c r="I4231" t="s">
        <v>179</v>
      </c>
      <c r="J4231" s="33" t="s">
        <v>489</v>
      </c>
      <c r="K4231" s="18">
        <f>VLOOKUP(D4231,Ingredients!C:G,5,0)</f>
        <v>1224.73</v>
      </c>
      <c r="L4231" s="52">
        <f t="shared" si="150"/>
        <v>413.34637500000002</v>
      </c>
    </row>
    <row r="4232" spans="1:12">
      <c r="A4232" s="71" t="s">
        <v>1041</v>
      </c>
      <c r="B4232" t="s">
        <v>349</v>
      </c>
      <c r="C4232" t="s">
        <v>454</v>
      </c>
      <c r="D4232" s="3" t="s">
        <v>323</v>
      </c>
      <c r="E4232" s="4">
        <v>1.5E-3</v>
      </c>
      <c r="F4232" s="4" t="s">
        <v>176</v>
      </c>
      <c r="G4232" s="12">
        <f>VLOOKUP(D4232,D146:G4231,4,0)</f>
        <v>5000</v>
      </c>
      <c r="H4232" s="9">
        <f t="shared" si="149"/>
        <v>7.5</v>
      </c>
      <c r="I4232" t="s">
        <v>179</v>
      </c>
      <c r="J4232" s="33" t="s">
        <v>489</v>
      </c>
      <c r="K4232" s="18">
        <f>VLOOKUP(D4232,Ingredients!C:G,5,0)</f>
        <v>5000</v>
      </c>
      <c r="L4232" s="52">
        <f t="shared" si="150"/>
        <v>7.5</v>
      </c>
    </row>
    <row r="4233" spans="1:12">
      <c r="A4233" s="71" t="s">
        <v>1041</v>
      </c>
      <c r="B4233" t="s">
        <v>349</v>
      </c>
      <c r="C4233" t="s">
        <v>454</v>
      </c>
      <c r="D4233" s="3" t="s">
        <v>882</v>
      </c>
      <c r="E4233" s="4">
        <v>1.5E-3</v>
      </c>
      <c r="F4233" s="4" t="s">
        <v>176</v>
      </c>
      <c r="G4233" s="12">
        <f>VLOOKUP(D4233,D147:G4232,4,0)</f>
        <v>1500</v>
      </c>
      <c r="H4233" s="9">
        <f t="shared" si="149"/>
        <v>2.25</v>
      </c>
      <c r="I4233" t="s">
        <v>179</v>
      </c>
      <c r="J4233" s="33" t="s">
        <v>489</v>
      </c>
      <c r="K4233" s="18">
        <f>VLOOKUP(D4233,Ingredients!C:G,5,0)</f>
        <v>1450</v>
      </c>
      <c r="L4233" s="52">
        <f t="shared" si="150"/>
        <v>2.1750000000000003</v>
      </c>
    </row>
    <row r="4234" spans="1:12">
      <c r="A4234" s="71" t="s">
        <v>1041</v>
      </c>
      <c r="B4234" t="s">
        <v>349</v>
      </c>
      <c r="C4234" t="s">
        <v>454</v>
      </c>
      <c r="D4234" s="3" t="s">
        <v>497</v>
      </c>
      <c r="E4234" s="4">
        <v>6.0000000000000001E-3</v>
      </c>
      <c r="F4234" s="4" t="s">
        <v>176</v>
      </c>
      <c r="G4234" s="12">
        <f>VLOOKUP(D4234,D148:G4233,4,0)</f>
        <v>350</v>
      </c>
      <c r="H4234" s="9">
        <f t="shared" si="149"/>
        <v>2.1</v>
      </c>
      <c r="I4234" t="s">
        <v>179</v>
      </c>
      <c r="J4234" s="33" t="s">
        <v>489</v>
      </c>
      <c r="K4234" s="18">
        <f>VLOOKUP(D4234,Ingredients!C:G,5,0)</f>
        <v>400</v>
      </c>
      <c r="L4234" s="52">
        <f t="shared" si="150"/>
        <v>2.4</v>
      </c>
    </row>
    <row r="4235" spans="1:12">
      <c r="A4235" s="21" t="s">
        <v>1043</v>
      </c>
      <c r="B4235" t="s">
        <v>349</v>
      </c>
      <c r="C4235" t="s">
        <v>454</v>
      </c>
      <c r="D4235" s="3" t="s">
        <v>837</v>
      </c>
      <c r="E4235" s="4">
        <v>1</v>
      </c>
      <c r="F4235" s="4" t="s">
        <v>176</v>
      </c>
      <c r="G4235" s="12">
        <f>VLOOKUP(D4235,D149:G4234,4,0)</f>
        <v>1700</v>
      </c>
      <c r="H4235" s="9">
        <f t="shared" ref="H4235:H4249" si="151">G4235*E4235</f>
        <v>1700</v>
      </c>
      <c r="I4235" t="s">
        <v>179</v>
      </c>
      <c r="J4235" s="33" t="s">
        <v>514</v>
      </c>
      <c r="K4235" s="18">
        <f>VLOOKUP(D4235,Ingredients!C:G,5,0)</f>
        <v>1800</v>
      </c>
      <c r="L4235" s="52">
        <f t="shared" ref="L4235:L4284" si="152">K4235*E4235</f>
        <v>1800</v>
      </c>
    </row>
    <row r="4236" spans="1:12">
      <c r="A4236" s="21" t="s">
        <v>1043</v>
      </c>
      <c r="B4236" t="s">
        <v>349</v>
      </c>
      <c r="C4236" t="s">
        <v>454</v>
      </c>
      <c r="D4236" s="3" t="s">
        <v>23</v>
      </c>
      <c r="E4236" s="4">
        <v>1.2E-2</v>
      </c>
      <c r="F4236" s="4" t="s">
        <v>176</v>
      </c>
      <c r="G4236" s="12">
        <f>VLOOKUP(D4236,D150:G4235,4,0)</f>
        <v>740</v>
      </c>
      <c r="H4236" s="9">
        <f t="shared" si="151"/>
        <v>8.8800000000000008</v>
      </c>
      <c r="I4236" t="s">
        <v>179</v>
      </c>
      <c r="J4236" s="33" t="s">
        <v>514</v>
      </c>
      <c r="K4236" s="18">
        <f>VLOOKUP(D4236,Ingredients!C:G,5,0)</f>
        <v>780</v>
      </c>
      <c r="L4236" s="52">
        <f t="shared" si="152"/>
        <v>9.36</v>
      </c>
    </row>
    <row r="4237" spans="1:12">
      <c r="A4237" s="21" t="s">
        <v>1043</v>
      </c>
      <c r="B4237" t="s">
        <v>349</v>
      </c>
      <c r="C4237" t="s">
        <v>454</v>
      </c>
      <c r="D4237" s="3" t="s">
        <v>16</v>
      </c>
      <c r="E4237" s="4">
        <v>1.2E-2</v>
      </c>
      <c r="F4237" s="4" t="s">
        <v>176</v>
      </c>
      <c r="G4237" s="12">
        <f>VLOOKUP(D4237,D151:G4236,4,0)</f>
        <v>270</v>
      </c>
      <c r="H4237" s="9">
        <f t="shared" si="151"/>
        <v>3.24</v>
      </c>
      <c r="I4237" t="s">
        <v>179</v>
      </c>
      <c r="J4237" s="33" t="s">
        <v>514</v>
      </c>
      <c r="K4237" s="18">
        <f>VLOOKUP(D4237,Ingredients!C:G,5,0)</f>
        <v>310</v>
      </c>
      <c r="L4237" s="52">
        <f t="shared" si="152"/>
        <v>3.72</v>
      </c>
    </row>
    <row r="4238" spans="1:12">
      <c r="A4238" s="21" t="s">
        <v>1043</v>
      </c>
      <c r="B4238" t="s">
        <v>349</v>
      </c>
      <c r="C4238" t="s">
        <v>454</v>
      </c>
      <c r="D4238" s="3" t="s">
        <v>35</v>
      </c>
      <c r="E4238" s="4">
        <v>0.5</v>
      </c>
      <c r="F4238" s="4" t="s">
        <v>176</v>
      </c>
      <c r="G4238" s="12">
        <f>VLOOKUP(D4238,D152:G4237,4,0)</f>
        <v>13</v>
      </c>
      <c r="H4238" s="9">
        <f t="shared" si="151"/>
        <v>6.5</v>
      </c>
      <c r="I4238" t="s">
        <v>179</v>
      </c>
      <c r="J4238" s="33" t="s">
        <v>514</v>
      </c>
      <c r="K4238" s="18">
        <f>VLOOKUP(D4238,Ingredients!C:G,5,0)</f>
        <v>15</v>
      </c>
      <c r="L4238" s="52">
        <f t="shared" si="152"/>
        <v>7.5</v>
      </c>
    </row>
    <row r="4239" spans="1:12">
      <c r="A4239" s="21" t="s">
        <v>1043</v>
      </c>
      <c r="B4239" t="s">
        <v>349</v>
      </c>
      <c r="C4239" t="s">
        <v>454</v>
      </c>
      <c r="D4239" s="3" t="s">
        <v>859</v>
      </c>
      <c r="E4239" s="4">
        <v>1.4999999999999999E-2</v>
      </c>
      <c r="F4239" s="4" t="s">
        <v>176</v>
      </c>
      <c r="G4239" s="12">
        <f>VLOOKUP(D4239,D153:G4238,4,0)</f>
        <v>650</v>
      </c>
      <c r="H4239" s="9">
        <f t="shared" si="151"/>
        <v>9.75</v>
      </c>
      <c r="I4239" t="s">
        <v>179</v>
      </c>
      <c r="J4239" s="33" t="s">
        <v>514</v>
      </c>
      <c r="K4239" s="18">
        <f>VLOOKUP(D4239,Ingredients!C:G,5,0)</f>
        <v>700</v>
      </c>
      <c r="L4239" s="52">
        <f t="shared" si="152"/>
        <v>10.5</v>
      </c>
    </row>
    <row r="4240" spans="1:12">
      <c r="A4240" s="21" t="s">
        <v>1043</v>
      </c>
      <c r="B4240" t="s">
        <v>349</v>
      </c>
      <c r="C4240" t="s">
        <v>454</v>
      </c>
      <c r="D4240" s="3" t="s">
        <v>73</v>
      </c>
      <c r="E4240" s="4">
        <v>0.25</v>
      </c>
      <c r="F4240" s="4" t="s">
        <v>176</v>
      </c>
      <c r="G4240" s="12">
        <f>VLOOKUP(D4240,D154:G4239,4,0)</f>
        <v>305</v>
      </c>
      <c r="H4240" s="9">
        <f t="shared" si="151"/>
        <v>76.25</v>
      </c>
      <c r="I4240" t="s">
        <v>179</v>
      </c>
      <c r="J4240" s="33" t="s">
        <v>514</v>
      </c>
      <c r="K4240" s="18">
        <f>VLOOKUP(D4240,Ingredients!C:G,5,0)</f>
        <v>300</v>
      </c>
      <c r="L4240" s="52">
        <f t="shared" si="152"/>
        <v>75</v>
      </c>
    </row>
    <row r="4241" spans="1:12">
      <c r="A4241" s="21" t="s">
        <v>1043</v>
      </c>
      <c r="B4241" t="s">
        <v>349</v>
      </c>
      <c r="C4241" t="s">
        <v>454</v>
      </c>
      <c r="D4241" s="3" t="s">
        <v>860</v>
      </c>
      <c r="E4241" s="4">
        <v>7.0000000000000001E-3</v>
      </c>
      <c r="F4241" s="4" t="s">
        <v>176</v>
      </c>
      <c r="G4241" s="12">
        <f>VLOOKUP(D4241,D155:G4240,4,0)</f>
        <v>2000</v>
      </c>
      <c r="H4241" s="9">
        <f t="shared" si="151"/>
        <v>14</v>
      </c>
      <c r="I4241" t="s">
        <v>179</v>
      </c>
      <c r="J4241" s="33" t="s">
        <v>514</v>
      </c>
      <c r="K4241" s="18">
        <f>VLOOKUP(D4241,Ingredients!C:G,5,0)</f>
        <v>1900</v>
      </c>
      <c r="L4241" s="52">
        <f t="shared" si="152"/>
        <v>13.3</v>
      </c>
    </row>
    <row r="4242" spans="1:12">
      <c r="A4242" s="21" t="s">
        <v>1043</v>
      </c>
      <c r="B4242" t="s">
        <v>349</v>
      </c>
      <c r="C4242" t="s">
        <v>454</v>
      </c>
      <c r="D4242" s="3" t="s">
        <v>887</v>
      </c>
      <c r="E4242" s="4">
        <v>7.0000000000000001E-3</v>
      </c>
      <c r="F4242" s="4" t="s">
        <v>176</v>
      </c>
      <c r="G4242" s="12">
        <f>VLOOKUP(D4242,D156:G4241,4,0)</f>
        <v>1600</v>
      </c>
      <c r="H4242" s="9">
        <f t="shared" si="151"/>
        <v>11.200000000000001</v>
      </c>
      <c r="I4242" t="s">
        <v>179</v>
      </c>
      <c r="J4242" s="33" t="s">
        <v>514</v>
      </c>
      <c r="K4242" s="18">
        <f>VLOOKUP(D4242,Ingredients!C:G,5,0)</f>
        <v>1830</v>
      </c>
      <c r="L4242" s="52">
        <f t="shared" si="152"/>
        <v>12.81</v>
      </c>
    </row>
    <row r="4243" spans="1:12">
      <c r="A4243" s="21" t="s">
        <v>1043</v>
      </c>
      <c r="B4243" t="s">
        <v>349</v>
      </c>
      <c r="C4243" t="s">
        <v>454</v>
      </c>
      <c r="D4243" s="3" t="s">
        <v>923</v>
      </c>
      <c r="E4243" s="4">
        <v>7.0000000000000001E-3</v>
      </c>
      <c r="F4243" s="4" t="s">
        <v>176</v>
      </c>
      <c r="G4243" s="12">
        <f>VLOOKUP(D4243,D157:G4242,4,0)</f>
        <v>100</v>
      </c>
      <c r="H4243" s="9">
        <f t="shared" si="151"/>
        <v>0.70000000000000007</v>
      </c>
      <c r="I4243" t="s">
        <v>179</v>
      </c>
      <c r="J4243" s="33" t="s">
        <v>514</v>
      </c>
      <c r="K4243" s="18">
        <f>VLOOKUP(D4243,Ingredients!C:G,5,0)</f>
        <v>1000</v>
      </c>
      <c r="L4243" s="52">
        <f t="shared" si="152"/>
        <v>7</v>
      </c>
    </row>
    <row r="4244" spans="1:12">
      <c r="A4244" s="21" t="s">
        <v>1043</v>
      </c>
      <c r="B4244" t="s">
        <v>349</v>
      </c>
      <c r="C4244" t="s">
        <v>454</v>
      </c>
      <c r="D4244" s="3" t="s">
        <v>31</v>
      </c>
      <c r="E4244" s="4">
        <v>7.0000000000000001E-3</v>
      </c>
      <c r="F4244" s="4" t="s">
        <v>176</v>
      </c>
      <c r="G4244" s="12">
        <f>VLOOKUP(D4244,D158:G4243,4,0)</f>
        <v>200</v>
      </c>
      <c r="H4244" s="9">
        <f t="shared" si="151"/>
        <v>1.4000000000000001</v>
      </c>
      <c r="I4244" t="s">
        <v>179</v>
      </c>
      <c r="J4244" s="33" t="s">
        <v>514</v>
      </c>
      <c r="K4244" s="18">
        <f>VLOOKUP(D4244,Ingredients!C:G,5,0)</f>
        <v>350</v>
      </c>
      <c r="L4244" s="52">
        <f t="shared" si="152"/>
        <v>2.4500000000000002</v>
      </c>
    </row>
    <row r="4245" spans="1:12">
      <c r="A4245" s="21" t="s">
        <v>1043</v>
      </c>
      <c r="B4245" t="s">
        <v>349</v>
      </c>
      <c r="C4245" t="s">
        <v>454</v>
      </c>
      <c r="D4245" s="3" t="s">
        <v>880</v>
      </c>
      <c r="E4245" s="4">
        <v>7.0000000000000001E-3</v>
      </c>
      <c r="F4245" s="4" t="s">
        <v>176</v>
      </c>
      <c r="G4245" s="12">
        <f>VLOOKUP(D4245,D159:G4244,4,0)</f>
        <v>650</v>
      </c>
      <c r="H4245" s="9">
        <f t="shared" si="151"/>
        <v>4.55</v>
      </c>
      <c r="I4245" t="s">
        <v>179</v>
      </c>
      <c r="J4245" s="33" t="s">
        <v>514</v>
      </c>
      <c r="K4245" s="18">
        <f>VLOOKUP(D4245,Ingredients!C:G,5,0)</f>
        <v>520</v>
      </c>
      <c r="L4245" s="52">
        <f t="shared" si="152"/>
        <v>3.64</v>
      </c>
    </row>
    <row r="4246" spans="1:12">
      <c r="A4246" s="21" t="s">
        <v>1043</v>
      </c>
      <c r="B4246" t="s">
        <v>349</v>
      </c>
      <c r="C4246" t="s">
        <v>454</v>
      </c>
      <c r="D4246" s="3" t="s">
        <v>849</v>
      </c>
      <c r="E4246" s="4">
        <v>7.0000000000000001E-3</v>
      </c>
      <c r="F4246" s="4" t="s">
        <v>176</v>
      </c>
      <c r="G4246" s="12">
        <f>VLOOKUP(D4246,D160:G4245,4,0)</f>
        <v>1000</v>
      </c>
      <c r="H4246" s="9">
        <f t="shared" si="151"/>
        <v>7</v>
      </c>
      <c r="I4246" t="s">
        <v>179</v>
      </c>
      <c r="J4246" s="33" t="s">
        <v>514</v>
      </c>
      <c r="K4246" s="18">
        <f>VLOOKUP(D4246,Ingredients!C:G,5,0)</f>
        <v>950</v>
      </c>
      <c r="L4246" s="52">
        <f t="shared" si="152"/>
        <v>6.65</v>
      </c>
    </row>
    <row r="4247" spans="1:12">
      <c r="A4247" s="21" t="s">
        <v>1043</v>
      </c>
      <c r="B4247" t="s">
        <v>349</v>
      </c>
      <c r="C4247" t="s">
        <v>454</v>
      </c>
      <c r="D4247" s="3" t="s">
        <v>853</v>
      </c>
      <c r="E4247" s="4">
        <v>0.02</v>
      </c>
      <c r="F4247" s="4" t="s">
        <v>176</v>
      </c>
      <c r="G4247" s="12">
        <f>VLOOKUP(D4247,D161:G4246,4,0)</f>
        <v>30</v>
      </c>
      <c r="H4247" s="9">
        <f t="shared" si="151"/>
        <v>0.6</v>
      </c>
      <c r="I4247" t="s">
        <v>179</v>
      </c>
      <c r="J4247" s="33" t="s">
        <v>514</v>
      </c>
      <c r="K4247" s="18">
        <f>VLOOKUP(D4247,Ingredients!C:G,5,0)</f>
        <v>55</v>
      </c>
      <c r="L4247" s="52">
        <f t="shared" si="152"/>
        <v>1.1000000000000001</v>
      </c>
    </row>
    <row r="4248" spans="1:12">
      <c r="A4248" s="21" t="s">
        <v>1043</v>
      </c>
      <c r="B4248" t="s">
        <v>349</v>
      </c>
      <c r="C4248" t="s">
        <v>454</v>
      </c>
      <c r="D4248" s="3" t="s">
        <v>852</v>
      </c>
      <c r="E4248" s="4">
        <v>0.12</v>
      </c>
      <c r="F4248" s="4" t="s">
        <v>190</v>
      </c>
      <c r="G4248" s="12">
        <f>VLOOKUP(D4248,D162:G4247,4,0)</f>
        <v>520.63</v>
      </c>
      <c r="H4248" s="9">
        <f t="shared" si="151"/>
        <v>62.4756</v>
      </c>
      <c r="I4248" t="s">
        <v>179</v>
      </c>
      <c r="J4248" s="33" t="s">
        <v>514</v>
      </c>
      <c r="K4248" s="18">
        <f>VLOOKUP(D4248,Ingredients!C:G,5,0)</f>
        <v>550</v>
      </c>
      <c r="L4248" s="52">
        <f t="shared" si="152"/>
        <v>66</v>
      </c>
    </row>
    <row r="4249" spans="1:12">
      <c r="A4249" s="21" t="s">
        <v>1043</v>
      </c>
      <c r="B4249" t="s">
        <v>349</v>
      </c>
      <c r="C4249" t="s">
        <v>454</v>
      </c>
      <c r="D4249" s="3" t="s">
        <v>874</v>
      </c>
      <c r="E4249" s="4">
        <v>0.04</v>
      </c>
      <c r="F4249" s="4" t="s">
        <v>190</v>
      </c>
      <c r="G4249" s="12">
        <f>VLOOKUP(D4249,D163:G4248,4,0)</f>
        <v>110</v>
      </c>
      <c r="H4249" s="9">
        <f t="shared" si="151"/>
        <v>4.4000000000000004</v>
      </c>
      <c r="I4249" t="s">
        <v>179</v>
      </c>
      <c r="J4249" s="33" t="s">
        <v>514</v>
      </c>
      <c r="K4249" s="18">
        <f>VLOOKUP(D4249,Ingredients!C:G,5,0)</f>
        <v>179</v>
      </c>
      <c r="L4249" s="52">
        <f t="shared" si="152"/>
        <v>7.16</v>
      </c>
    </row>
    <row r="4250" spans="1:12">
      <c r="A4250" s="71" t="s">
        <v>1044</v>
      </c>
      <c r="B4250" t="s">
        <v>349</v>
      </c>
      <c r="C4250" t="s">
        <v>454</v>
      </c>
      <c r="D4250" s="3" t="s">
        <v>831</v>
      </c>
      <c r="E4250" s="4">
        <v>0.9</v>
      </c>
      <c r="F4250" s="4" t="s">
        <v>176</v>
      </c>
      <c r="G4250" s="12">
        <f>VLOOKUP(D4250,D164:G4249,4,0)</f>
        <v>908</v>
      </c>
      <c r="H4250" s="9">
        <f t="shared" ref="H4250:H4284" si="153">G4250*E4250</f>
        <v>817.2</v>
      </c>
      <c r="I4250" t="s">
        <v>179</v>
      </c>
      <c r="J4250" s="33" t="s">
        <v>489</v>
      </c>
      <c r="K4250" s="18">
        <f>VLOOKUP(D4250,Ingredients!C:G,5,0)</f>
        <v>908</v>
      </c>
      <c r="L4250" s="52">
        <f t="shared" si="152"/>
        <v>817.2</v>
      </c>
    </row>
    <row r="4251" spans="1:12">
      <c r="A4251" s="71" t="s">
        <v>1044</v>
      </c>
      <c r="B4251" t="s">
        <v>349</v>
      </c>
      <c r="C4251" t="s">
        <v>454</v>
      </c>
      <c r="D4251" s="3" t="s">
        <v>852</v>
      </c>
      <c r="E4251" s="4">
        <v>0.06</v>
      </c>
      <c r="F4251" s="4" t="s">
        <v>190</v>
      </c>
      <c r="G4251" s="12">
        <f>VLOOKUP(D4251,D165:G4250,4,0)</f>
        <v>520.63</v>
      </c>
      <c r="H4251" s="9">
        <f t="shared" si="153"/>
        <v>31.2378</v>
      </c>
      <c r="I4251" t="s">
        <v>179</v>
      </c>
      <c r="J4251" s="33" t="s">
        <v>489</v>
      </c>
      <c r="K4251" s="18">
        <f>VLOOKUP(D4251,Ingredients!C:G,5,0)</f>
        <v>550</v>
      </c>
      <c r="L4251" s="52">
        <f t="shared" si="152"/>
        <v>33</v>
      </c>
    </row>
    <row r="4252" spans="1:12">
      <c r="A4252" s="71" t="s">
        <v>1044</v>
      </c>
      <c r="B4252" t="s">
        <v>349</v>
      </c>
      <c r="C4252" t="s">
        <v>454</v>
      </c>
      <c r="D4252" s="3" t="s">
        <v>865</v>
      </c>
      <c r="E4252" s="4">
        <v>2.8000000000000001E-2</v>
      </c>
      <c r="F4252" s="4" t="s">
        <v>176</v>
      </c>
      <c r="G4252" s="12">
        <f>VLOOKUP(D4252,D166:G4251,4,0)</f>
        <v>1400</v>
      </c>
      <c r="H4252" s="9">
        <f t="shared" si="153"/>
        <v>39.200000000000003</v>
      </c>
      <c r="I4252" t="s">
        <v>179</v>
      </c>
      <c r="J4252" s="33" t="s">
        <v>489</v>
      </c>
      <c r="K4252" s="18">
        <f>VLOOKUP(D4252,Ingredients!C:G,5,0)</f>
        <v>1400</v>
      </c>
      <c r="L4252" s="52">
        <f t="shared" si="152"/>
        <v>39.200000000000003</v>
      </c>
    </row>
    <row r="4253" spans="1:12">
      <c r="A4253" s="71" t="s">
        <v>1044</v>
      </c>
      <c r="B4253" t="s">
        <v>349</v>
      </c>
      <c r="C4253" t="s">
        <v>454</v>
      </c>
      <c r="D4253" s="3" t="s">
        <v>1046</v>
      </c>
      <c r="E4253" s="4">
        <v>0.125</v>
      </c>
      <c r="F4253" s="4" t="s">
        <v>176</v>
      </c>
      <c r="G4253" s="12">
        <v>1170</v>
      </c>
      <c r="H4253" s="9">
        <f t="shared" si="153"/>
        <v>146.25</v>
      </c>
      <c r="I4253" t="s">
        <v>179</v>
      </c>
      <c r="J4253" s="33" t="s">
        <v>489</v>
      </c>
      <c r="K4253" s="18">
        <f>VLOOKUP(D4253,Ingredients!C:G,5,0)</f>
        <v>1170</v>
      </c>
      <c r="L4253" s="52">
        <f t="shared" si="152"/>
        <v>146.25</v>
      </c>
    </row>
    <row r="4254" spans="1:12">
      <c r="A4254" s="71" t="s">
        <v>1044</v>
      </c>
      <c r="B4254" t="s">
        <v>349</v>
      </c>
      <c r="C4254" t="s">
        <v>454</v>
      </c>
      <c r="D4254" s="3" t="s">
        <v>15</v>
      </c>
      <c r="E4254" s="4">
        <v>0.108</v>
      </c>
      <c r="F4254" s="4" t="s">
        <v>176</v>
      </c>
      <c r="G4254" s="12">
        <f>VLOOKUP(D4254,D168:G4253,4,0)</f>
        <v>130</v>
      </c>
      <c r="H4254" s="9">
        <f t="shared" si="153"/>
        <v>14.04</v>
      </c>
      <c r="I4254" t="s">
        <v>179</v>
      </c>
      <c r="J4254" s="33" t="s">
        <v>489</v>
      </c>
      <c r="K4254" s="18">
        <f>VLOOKUP(D4254,Ingredients!C:G,5,0)</f>
        <v>90</v>
      </c>
      <c r="L4254" s="52">
        <f t="shared" si="152"/>
        <v>9.7200000000000006</v>
      </c>
    </row>
    <row r="4255" spans="1:12">
      <c r="A4255" s="71" t="s">
        <v>1044</v>
      </c>
      <c r="B4255" t="s">
        <v>349</v>
      </c>
      <c r="C4255" t="s">
        <v>454</v>
      </c>
      <c r="D4255" s="3" t="s">
        <v>944</v>
      </c>
      <c r="E4255" s="4">
        <v>0.125</v>
      </c>
      <c r="F4255" s="4" t="s">
        <v>176</v>
      </c>
      <c r="G4255" s="70">
        <v>842</v>
      </c>
      <c r="H4255" s="9">
        <f t="shared" si="153"/>
        <v>105.25</v>
      </c>
      <c r="I4255" t="s">
        <v>179</v>
      </c>
      <c r="J4255" s="33" t="s">
        <v>489</v>
      </c>
      <c r="K4255" s="18">
        <f>VLOOKUP(D4255,Ingredients!C:G,5,0)</f>
        <v>842</v>
      </c>
      <c r="L4255" s="52">
        <f t="shared" si="152"/>
        <v>105.25</v>
      </c>
    </row>
    <row r="4256" spans="1:12">
      <c r="A4256" s="71" t="s">
        <v>1044</v>
      </c>
      <c r="B4256" t="s">
        <v>349</v>
      </c>
      <c r="C4256" t="s">
        <v>454</v>
      </c>
      <c r="D4256" s="3" t="s">
        <v>95</v>
      </c>
      <c r="E4256" s="4">
        <v>3.5999999999999997E-2</v>
      </c>
      <c r="F4256" s="4" t="s">
        <v>176</v>
      </c>
      <c r="G4256" s="12">
        <f>VLOOKUP(D4256,D170:G4255,4,0)</f>
        <v>140</v>
      </c>
      <c r="H4256" s="9">
        <f t="shared" si="153"/>
        <v>5.04</v>
      </c>
      <c r="I4256" t="s">
        <v>179</v>
      </c>
      <c r="J4256" s="33" t="s">
        <v>489</v>
      </c>
      <c r="K4256" s="18">
        <f>VLOOKUP(D4256,Ingredients!C:G,5,0)</f>
        <v>90</v>
      </c>
      <c r="L4256" s="52">
        <f t="shared" si="152"/>
        <v>3.2399999999999998</v>
      </c>
    </row>
    <row r="4257" spans="1:12">
      <c r="A4257" s="71" t="s">
        <v>1044</v>
      </c>
      <c r="B4257" t="s">
        <v>349</v>
      </c>
      <c r="C4257" t="s">
        <v>454</v>
      </c>
      <c r="D4257" s="3" t="s">
        <v>16</v>
      </c>
      <c r="E4257" s="4">
        <v>0.112</v>
      </c>
      <c r="F4257" s="4" t="s">
        <v>176</v>
      </c>
      <c r="G4257" s="12">
        <f>VLOOKUP(D4257,D171:G4256,4,0)</f>
        <v>270</v>
      </c>
      <c r="H4257" s="9">
        <f t="shared" si="153"/>
        <v>30.240000000000002</v>
      </c>
      <c r="I4257" t="s">
        <v>179</v>
      </c>
      <c r="J4257" s="33" t="s">
        <v>489</v>
      </c>
      <c r="K4257" s="18">
        <f>VLOOKUP(D4257,Ingredients!C:G,5,0)</f>
        <v>310</v>
      </c>
      <c r="L4257" s="52">
        <f t="shared" si="152"/>
        <v>34.72</v>
      </c>
    </row>
    <row r="4258" spans="1:12">
      <c r="A4258" s="71" t="s">
        <v>1044</v>
      </c>
      <c r="B4258" t="s">
        <v>349</v>
      </c>
      <c r="C4258" t="s">
        <v>454</v>
      </c>
      <c r="D4258" s="3" t="s">
        <v>23</v>
      </c>
      <c r="E4258" s="4">
        <v>1.7999999999999999E-2</v>
      </c>
      <c r="F4258" s="4" t="s">
        <v>176</v>
      </c>
      <c r="G4258" s="12">
        <f>VLOOKUP(D4258,D172:G4257,4,0)</f>
        <v>740</v>
      </c>
      <c r="H4258" s="9">
        <f t="shared" si="153"/>
        <v>13.319999999999999</v>
      </c>
      <c r="I4258" t="s">
        <v>179</v>
      </c>
      <c r="J4258" s="33" t="s">
        <v>489</v>
      </c>
      <c r="K4258" s="18">
        <f>VLOOKUP(D4258,Ingredients!C:G,5,0)</f>
        <v>780</v>
      </c>
      <c r="L4258" s="52">
        <f t="shared" si="152"/>
        <v>14.04</v>
      </c>
    </row>
    <row r="4259" spans="1:12">
      <c r="A4259" s="71" t="s">
        <v>1044</v>
      </c>
      <c r="B4259" t="s">
        <v>349</v>
      </c>
      <c r="C4259" t="s">
        <v>454</v>
      </c>
      <c r="D4259" s="3" t="s">
        <v>24</v>
      </c>
      <c r="E4259" s="4">
        <v>0.15</v>
      </c>
      <c r="F4259" s="4" t="s">
        <v>176</v>
      </c>
      <c r="G4259" s="12">
        <f>VLOOKUP(D4259,D173:G4258,4,0)</f>
        <v>55</v>
      </c>
      <c r="H4259" s="9">
        <f t="shared" si="153"/>
        <v>8.25</v>
      </c>
      <c r="I4259" t="s">
        <v>179</v>
      </c>
      <c r="J4259" s="33" t="s">
        <v>489</v>
      </c>
      <c r="K4259" s="18">
        <f>VLOOKUP(D4259,Ingredients!C:G,5,0)</f>
        <v>80</v>
      </c>
      <c r="L4259" s="52">
        <f t="shared" si="152"/>
        <v>12</v>
      </c>
    </row>
    <row r="4260" spans="1:12">
      <c r="A4260" s="71" t="s">
        <v>1044</v>
      </c>
      <c r="B4260" t="s">
        <v>349</v>
      </c>
      <c r="C4260" t="s">
        <v>454</v>
      </c>
      <c r="D4260" s="3" t="s">
        <v>883</v>
      </c>
      <c r="E4260" s="4">
        <v>0.46</v>
      </c>
      <c r="F4260" s="4" t="s">
        <v>176</v>
      </c>
      <c r="G4260" s="12">
        <v>313</v>
      </c>
      <c r="H4260" s="9">
        <f t="shared" si="153"/>
        <v>143.98000000000002</v>
      </c>
      <c r="I4260" t="s">
        <v>179</v>
      </c>
      <c r="J4260" s="33" t="s">
        <v>489</v>
      </c>
      <c r="K4260" s="18">
        <f>VLOOKUP(D4260,Ingredients!C:G,5,0)</f>
        <v>313</v>
      </c>
      <c r="L4260" s="52">
        <f t="shared" si="152"/>
        <v>143.98000000000002</v>
      </c>
    </row>
    <row r="4261" spans="1:12">
      <c r="A4261" s="71" t="s">
        <v>1044</v>
      </c>
      <c r="B4261" t="s">
        <v>349</v>
      </c>
      <c r="C4261" t="s">
        <v>454</v>
      </c>
      <c r="D4261" s="3" t="s">
        <v>939</v>
      </c>
      <c r="E4261" s="4">
        <v>0.05</v>
      </c>
      <c r="F4261" s="4" t="s">
        <v>176</v>
      </c>
      <c r="G4261" s="12">
        <v>1250</v>
      </c>
      <c r="H4261" s="9">
        <f t="shared" si="153"/>
        <v>62.5</v>
      </c>
      <c r="I4261" t="s">
        <v>179</v>
      </c>
      <c r="J4261" s="33" t="s">
        <v>489</v>
      </c>
      <c r="K4261" s="18">
        <f>VLOOKUP(D4261,Ingredients!C:G,5,0)</f>
        <v>1500</v>
      </c>
      <c r="L4261" s="52">
        <f t="shared" si="152"/>
        <v>75</v>
      </c>
    </row>
    <row r="4262" spans="1:12">
      <c r="A4262" t="s">
        <v>1049</v>
      </c>
      <c r="B4262" t="s">
        <v>349</v>
      </c>
      <c r="C4262" t="s">
        <v>352</v>
      </c>
      <c r="D4262" s="3" t="s">
        <v>836</v>
      </c>
      <c r="E4262" s="11">
        <v>1</v>
      </c>
      <c r="F4262" s="13" t="s">
        <v>176</v>
      </c>
      <c r="G4262" s="12">
        <v>1958</v>
      </c>
      <c r="H4262" s="9">
        <f t="shared" si="153"/>
        <v>1958</v>
      </c>
      <c r="I4262" t="s">
        <v>179</v>
      </c>
      <c r="J4262" s="33" t="s">
        <v>504</v>
      </c>
      <c r="K4262" s="18">
        <f>VLOOKUP(D4262,Ingredients!C:G,5,0)</f>
        <v>2200</v>
      </c>
      <c r="L4262" s="52">
        <f t="shared" si="152"/>
        <v>2200</v>
      </c>
    </row>
    <row r="4263" spans="1:12">
      <c r="A4263" t="s">
        <v>1049</v>
      </c>
      <c r="B4263" t="s">
        <v>349</v>
      </c>
      <c r="C4263" t="s">
        <v>352</v>
      </c>
      <c r="D4263" s="3" t="s">
        <v>922</v>
      </c>
      <c r="E4263" s="14">
        <v>0.5</v>
      </c>
      <c r="F4263" s="4" t="s">
        <v>176</v>
      </c>
      <c r="G4263" s="12">
        <v>300</v>
      </c>
      <c r="H4263" s="9">
        <f t="shared" si="153"/>
        <v>150</v>
      </c>
      <c r="I4263" t="s">
        <v>179</v>
      </c>
      <c r="J4263" s="33" t="s">
        <v>504</v>
      </c>
      <c r="K4263" s="18">
        <f>VLOOKUP(D4263,Ingredients!C:G,5,0)</f>
        <v>315</v>
      </c>
      <c r="L4263" s="52">
        <f t="shared" si="152"/>
        <v>157.5</v>
      </c>
    </row>
    <row r="4264" spans="1:12">
      <c r="A4264" t="s">
        <v>1049</v>
      </c>
      <c r="B4264" t="s">
        <v>349</v>
      </c>
      <c r="C4264" t="s">
        <v>352</v>
      </c>
      <c r="D4264" s="3" t="s">
        <v>852</v>
      </c>
      <c r="E4264" s="14">
        <v>0.1</v>
      </c>
      <c r="F4264" s="4" t="s">
        <v>176</v>
      </c>
      <c r="G4264" s="9">
        <v>520.63</v>
      </c>
      <c r="H4264" s="9">
        <f t="shared" si="153"/>
        <v>52.063000000000002</v>
      </c>
      <c r="I4264" t="s">
        <v>179</v>
      </c>
      <c r="J4264" s="33" t="s">
        <v>504</v>
      </c>
      <c r="K4264" s="18">
        <v>550</v>
      </c>
      <c r="L4264" s="52">
        <f t="shared" si="152"/>
        <v>55</v>
      </c>
    </row>
    <row r="4265" spans="1:12">
      <c r="A4265" t="s">
        <v>1049</v>
      </c>
      <c r="B4265" t="s">
        <v>349</v>
      </c>
      <c r="C4265" t="s">
        <v>352</v>
      </c>
      <c r="D4265" s="3" t="s">
        <v>864</v>
      </c>
      <c r="E4265" s="14">
        <v>1.4999999999999999E-2</v>
      </c>
      <c r="F4265" s="4" t="s">
        <v>179</v>
      </c>
      <c r="G4265" s="9">
        <v>1400</v>
      </c>
      <c r="H4265" s="9">
        <f t="shared" si="153"/>
        <v>21</v>
      </c>
      <c r="I4265" t="s">
        <v>179</v>
      </c>
      <c r="J4265" s="33" t="s">
        <v>504</v>
      </c>
      <c r="K4265" s="18">
        <f>VLOOKUP(D4265,Ingredients!C:G,5,0)</f>
        <v>1400</v>
      </c>
      <c r="L4265" s="52">
        <f t="shared" si="152"/>
        <v>21</v>
      </c>
    </row>
    <row r="4266" spans="1:12">
      <c r="A4266" t="s">
        <v>1049</v>
      </c>
      <c r="B4266" t="s">
        <v>349</v>
      </c>
      <c r="C4266" t="s">
        <v>352</v>
      </c>
      <c r="D4266" s="3" t="s">
        <v>853</v>
      </c>
      <c r="E4266" s="14">
        <v>0.03</v>
      </c>
      <c r="F4266" s="4" t="s">
        <v>179</v>
      </c>
      <c r="G4266" s="9">
        <v>30</v>
      </c>
      <c r="H4266" s="9">
        <f t="shared" si="153"/>
        <v>0.89999999999999991</v>
      </c>
      <c r="I4266" t="s">
        <v>179</v>
      </c>
      <c r="J4266" s="33" t="s">
        <v>504</v>
      </c>
      <c r="K4266" s="18">
        <f>VLOOKUP(D4266,Ingredients!C:G,5,0)</f>
        <v>55</v>
      </c>
      <c r="L4266" s="52">
        <f t="shared" si="152"/>
        <v>1.65</v>
      </c>
    </row>
    <row r="4267" spans="1:12">
      <c r="A4267" t="s">
        <v>1049</v>
      </c>
      <c r="B4267" t="s">
        <v>349</v>
      </c>
      <c r="C4267" t="s">
        <v>352</v>
      </c>
      <c r="D4267" s="3" t="s">
        <v>879</v>
      </c>
      <c r="E4267" s="14">
        <v>0.03</v>
      </c>
      <c r="F4267" s="4" t="s">
        <v>179</v>
      </c>
      <c r="G4267" s="9">
        <v>1113.51</v>
      </c>
      <c r="H4267" s="9">
        <f t="shared" si="153"/>
        <v>33.405299999999997</v>
      </c>
      <c r="I4267" t="s">
        <v>179</v>
      </c>
      <c r="J4267" s="33" t="s">
        <v>504</v>
      </c>
      <c r="K4267" s="18">
        <f>VLOOKUP(D4267,Ingredients!C:G,5,0)</f>
        <v>1066.33</v>
      </c>
      <c r="L4267" s="52">
        <f t="shared" si="152"/>
        <v>31.989899999999995</v>
      </c>
    </row>
    <row r="4268" spans="1:12">
      <c r="A4268" t="s">
        <v>1049</v>
      </c>
      <c r="B4268" t="s">
        <v>349</v>
      </c>
      <c r="C4268" t="s">
        <v>352</v>
      </c>
      <c r="D4268" s="3" t="s">
        <v>855</v>
      </c>
      <c r="E4268" s="14">
        <v>1.2E-2</v>
      </c>
      <c r="F4268" s="4" t="s">
        <v>179</v>
      </c>
      <c r="G4268" s="9">
        <v>2400</v>
      </c>
      <c r="H4268" s="9">
        <f t="shared" si="153"/>
        <v>28.8</v>
      </c>
      <c r="I4268" t="s">
        <v>179</v>
      </c>
      <c r="J4268" s="33" t="s">
        <v>504</v>
      </c>
      <c r="K4268" s="18">
        <f>VLOOKUP(D4268,Ingredients!C:G,5,0)</f>
        <v>1600</v>
      </c>
      <c r="L4268" s="52">
        <f t="shared" si="152"/>
        <v>19.2</v>
      </c>
    </row>
    <row r="4269" spans="1:12">
      <c r="A4269" t="s">
        <v>1049</v>
      </c>
      <c r="B4269" t="s">
        <v>349</v>
      </c>
      <c r="C4269" t="s">
        <v>352</v>
      </c>
      <c r="D4269" s="3" t="s">
        <v>880</v>
      </c>
      <c r="E4269" s="14">
        <v>3.3333333333333335E-3</v>
      </c>
      <c r="F4269" s="4" t="s">
        <v>179</v>
      </c>
      <c r="G4269" s="9">
        <v>650</v>
      </c>
      <c r="H4269" s="9">
        <f t="shared" si="153"/>
        <v>2.166666666666667</v>
      </c>
      <c r="I4269" t="s">
        <v>179</v>
      </c>
      <c r="J4269" s="33" t="s">
        <v>504</v>
      </c>
      <c r="K4269" s="18">
        <f>VLOOKUP(D4269,Ingredients!C:G,5,0)</f>
        <v>520</v>
      </c>
      <c r="L4269" s="52">
        <f t="shared" si="152"/>
        <v>1.7333333333333334</v>
      </c>
    </row>
    <row r="4270" spans="1:12">
      <c r="A4270" t="s">
        <v>1049</v>
      </c>
      <c r="B4270" t="s">
        <v>349</v>
      </c>
      <c r="C4270" t="s">
        <v>352</v>
      </c>
      <c r="D4270" s="3" t="s">
        <v>23</v>
      </c>
      <c r="E4270" s="14">
        <v>1.4999999999999999E-2</v>
      </c>
      <c r="F4270" s="4" t="s">
        <v>179</v>
      </c>
      <c r="G4270" s="9">
        <v>740</v>
      </c>
      <c r="H4270" s="9">
        <f t="shared" si="153"/>
        <v>11.1</v>
      </c>
      <c r="I4270" t="s">
        <v>179</v>
      </c>
      <c r="J4270" s="33" t="s">
        <v>504</v>
      </c>
      <c r="K4270" s="18">
        <f>VLOOKUP(D4270,Ingredients!C:G,5,0)</f>
        <v>780</v>
      </c>
      <c r="L4270" s="52">
        <f t="shared" si="152"/>
        <v>11.7</v>
      </c>
    </row>
    <row r="4271" spans="1:12">
      <c r="A4271" t="s">
        <v>1049</v>
      </c>
      <c r="B4271" t="s">
        <v>349</v>
      </c>
      <c r="C4271" t="s">
        <v>352</v>
      </c>
      <c r="D4271" s="3" t="s">
        <v>16</v>
      </c>
      <c r="E4271" s="14">
        <v>1.4999999999999999E-2</v>
      </c>
      <c r="F4271" s="4" t="s">
        <v>179</v>
      </c>
      <c r="G4271" s="9">
        <v>270</v>
      </c>
      <c r="H4271" s="9">
        <f t="shared" si="153"/>
        <v>4.05</v>
      </c>
      <c r="I4271" t="s">
        <v>179</v>
      </c>
      <c r="J4271" s="33" t="s">
        <v>504</v>
      </c>
      <c r="K4271" s="18">
        <f>VLOOKUP(D4271,Ingredients!C:G,5,0)</f>
        <v>310</v>
      </c>
      <c r="L4271" s="52">
        <f t="shared" si="152"/>
        <v>4.6499999999999995</v>
      </c>
    </row>
    <row r="4272" spans="1:12">
      <c r="A4272" t="s">
        <v>1049</v>
      </c>
      <c r="B4272" t="s">
        <v>349</v>
      </c>
      <c r="C4272" t="s">
        <v>352</v>
      </c>
      <c r="D4272" s="3" t="s">
        <v>24</v>
      </c>
      <c r="E4272" s="14">
        <v>0.18</v>
      </c>
      <c r="F4272" s="4" t="s">
        <v>176</v>
      </c>
      <c r="G4272" s="9">
        <v>55</v>
      </c>
      <c r="H4272" s="9">
        <f t="shared" si="153"/>
        <v>9.9</v>
      </c>
      <c r="I4272" t="s">
        <v>179</v>
      </c>
      <c r="J4272" s="33" t="s">
        <v>504</v>
      </c>
      <c r="K4272" s="18">
        <f>VLOOKUP(D4272,Ingredients!C:G,5,0)</f>
        <v>80</v>
      </c>
      <c r="L4272" s="52">
        <f t="shared" si="152"/>
        <v>14.399999999999999</v>
      </c>
    </row>
    <row r="4273" spans="1:12">
      <c r="A4273" t="s">
        <v>1049</v>
      </c>
      <c r="B4273" t="s">
        <v>349</v>
      </c>
      <c r="C4273" t="s">
        <v>352</v>
      </c>
      <c r="D4273" s="3" t="s">
        <v>895</v>
      </c>
      <c r="E4273" s="14">
        <v>0.03</v>
      </c>
      <c r="F4273" s="4" t="s">
        <v>176</v>
      </c>
      <c r="G4273" s="9">
        <v>400</v>
      </c>
      <c r="H4273" s="9">
        <f t="shared" si="153"/>
        <v>12</v>
      </c>
      <c r="I4273" t="s">
        <v>179</v>
      </c>
      <c r="J4273" s="33" t="s">
        <v>504</v>
      </c>
      <c r="K4273" s="18">
        <f>VLOOKUP(D4273,Ingredients!C:G,5,0)</f>
        <v>400</v>
      </c>
      <c r="L4273" s="52">
        <f t="shared" si="152"/>
        <v>12</v>
      </c>
    </row>
    <row r="4274" spans="1:12">
      <c r="A4274" s="71" t="s">
        <v>1051</v>
      </c>
      <c r="B4274" t="s">
        <v>349</v>
      </c>
      <c r="C4274" t="s">
        <v>454</v>
      </c>
      <c r="D4274" s="3" t="s">
        <v>831</v>
      </c>
      <c r="E4274" s="4">
        <v>1</v>
      </c>
      <c r="F4274" s="4" t="s">
        <v>176</v>
      </c>
      <c r="G4274" s="12">
        <f>VLOOKUP(D4274,D188:G4273,4,0)</f>
        <v>908</v>
      </c>
      <c r="H4274" s="9">
        <f t="shared" si="153"/>
        <v>908</v>
      </c>
      <c r="I4274" t="s">
        <v>179</v>
      </c>
      <c r="J4274" s="33" t="s">
        <v>489</v>
      </c>
      <c r="K4274" s="18">
        <f>VLOOKUP(D4274,Ingredients!C:G,5,0)</f>
        <v>908</v>
      </c>
      <c r="L4274" s="52">
        <f t="shared" si="152"/>
        <v>908</v>
      </c>
    </row>
    <row r="4275" spans="1:12">
      <c r="A4275" s="71" t="s">
        <v>1051</v>
      </c>
      <c r="B4275" t="s">
        <v>349</v>
      </c>
      <c r="C4275" t="s">
        <v>454</v>
      </c>
      <c r="D4275" s="3" t="s">
        <v>852</v>
      </c>
      <c r="E4275" s="4">
        <v>0.06</v>
      </c>
      <c r="F4275" s="4" t="s">
        <v>190</v>
      </c>
      <c r="G4275" s="12">
        <f>VLOOKUP(D4275,D189:G4274,4,0)</f>
        <v>520.63</v>
      </c>
      <c r="H4275" s="9">
        <f t="shared" si="153"/>
        <v>31.2378</v>
      </c>
      <c r="I4275" t="s">
        <v>179</v>
      </c>
      <c r="J4275" s="33" t="s">
        <v>489</v>
      </c>
      <c r="K4275" s="18">
        <f>VLOOKUP(D4275,Ingredients!C:G,5,0)</f>
        <v>550</v>
      </c>
      <c r="L4275" s="52">
        <f t="shared" si="152"/>
        <v>33</v>
      </c>
    </row>
    <row r="4276" spans="1:12">
      <c r="A4276" s="71" t="s">
        <v>1051</v>
      </c>
      <c r="B4276" t="s">
        <v>349</v>
      </c>
      <c r="C4276" t="s">
        <v>454</v>
      </c>
      <c r="D4276" s="3" t="s">
        <v>23</v>
      </c>
      <c r="E4276" s="4">
        <v>1.2E-2</v>
      </c>
      <c r="F4276" s="4" t="s">
        <v>176</v>
      </c>
      <c r="G4276" s="12">
        <f>VLOOKUP(D4276,D190:G4275,4,0)</f>
        <v>740</v>
      </c>
      <c r="H4276" s="9">
        <f t="shared" si="153"/>
        <v>8.8800000000000008</v>
      </c>
      <c r="I4276" t="s">
        <v>179</v>
      </c>
      <c r="J4276" s="33" t="s">
        <v>489</v>
      </c>
      <c r="K4276" s="18">
        <f>VLOOKUP(D4276,Ingredients!C:G,5,0)</f>
        <v>780</v>
      </c>
      <c r="L4276" s="52">
        <f t="shared" si="152"/>
        <v>9.36</v>
      </c>
    </row>
    <row r="4277" spans="1:12">
      <c r="A4277" s="71" t="s">
        <v>1051</v>
      </c>
      <c r="B4277" t="s">
        <v>349</v>
      </c>
      <c r="C4277" t="s">
        <v>454</v>
      </c>
      <c r="D4277" s="3" t="s">
        <v>16</v>
      </c>
      <c r="E4277" s="4">
        <v>1.2E-2</v>
      </c>
      <c r="F4277" s="4" t="s">
        <v>176</v>
      </c>
      <c r="G4277" s="12">
        <f>VLOOKUP(D4277,D191:G4276,4,0)</f>
        <v>270</v>
      </c>
      <c r="H4277" s="9">
        <f t="shared" si="153"/>
        <v>3.24</v>
      </c>
      <c r="I4277" t="s">
        <v>179</v>
      </c>
      <c r="J4277" s="33" t="s">
        <v>489</v>
      </c>
      <c r="K4277" s="18">
        <f>VLOOKUP(D4277,Ingredients!C:G,5,0)</f>
        <v>310</v>
      </c>
      <c r="L4277" s="52">
        <f t="shared" si="152"/>
        <v>3.72</v>
      </c>
    </row>
    <row r="4278" spans="1:12">
      <c r="A4278" s="71" t="s">
        <v>1051</v>
      </c>
      <c r="B4278" t="s">
        <v>349</v>
      </c>
      <c r="C4278" t="s">
        <v>454</v>
      </c>
      <c r="D4278" s="3" t="s">
        <v>29</v>
      </c>
      <c r="E4278" s="4">
        <v>1.2999999999999999E-2</v>
      </c>
      <c r="F4278" s="4" t="s">
        <v>176</v>
      </c>
      <c r="G4278" s="12">
        <f>VLOOKUP(D4278,D192:G4277,4,0)</f>
        <v>60</v>
      </c>
      <c r="H4278" s="9">
        <f t="shared" si="153"/>
        <v>0.77999999999999992</v>
      </c>
      <c r="I4278" t="s">
        <v>179</v>
      </c>
      <c r="J4278" s="33" t="s">
        <v>489</v>
      </c>
      <c r="K4278" s="18">
        <f>VLOOKUP(D4278,Ingredients!C:G,5,0)</f>
        <v>100</v>
      </c>
      <c r="L4278" s="52">
        <f t="shared" si="152"/>
        <v>1.3</v>
      </c>
    </row>
    <row r="4279" spans="1:12">
      <c r="A4279" s="71" t="s">
        <v>1051</v>
      </c>
      <c r="B4279" t="s">
        <v>349</v>
      </c>
      <c r="C4279" t="s">
        <v>454</v>
      </c>
      <c r="D4279" s="3" t="s">
        <v>859</v>
      </c>
      <c r="E4279" s="4">
        <v>1.6E-2</v>
      </c>
      <c r="F4279" s="4" t="s">
        <v>176</v>
      </c>
      <c r="G4279" s="12">
        <f>VLOOKUP(D4279,D193:G4278,4,0)</f>
        <v>650</v>
      </c>
      <c r="H4279" s="9">
        <f t="shared" si="153"/>
        <v>10.4</v>
      </c>
      <c r="I4279" t="s">
        <v>179</v>
      </c>
      <c r="J4279" s="33" t="s">
        <v>489</v>
      </c>
      <c r="K4279" s="18">
        <f>VLOOKUP(D4279,Ingredients!C:G,5,0)</f>
        <v>700</v>
      </c>
      <c r="L4279" s="52">
        <f t="shared" si="152"/>
        <v>11.200000000000001</v>
      </c>
    </row>
    <row r="4280" spans="1:12">
      <c r="A4280" s="71" t="s">
        <v>1051</v>
      </c>
      <c r="B4280" t="s">
        <v>349</v>
      </c>
      <c r="C4280" t="s">
        <v>454</v>
      </c>
      <c r="D4280" s="3" t="s">
        <v>310</v>
      </c>
      <c r="E4280" s="4">
        <v>0.115</v>
      </c>
      <c r="F4280" s="4" t="s">
        <v>176</v>
      </c>
      <c r="G4280" s="12">
        <f>VLOOKUP(D4280,D194:G4279,4,0)</f>
        <v>425</v>
      </c>
      <c r="H4280" s="9">
        <f t="shared" si="153"/>
        <v>48.875</v>
      </c>
      <c r="I4280" t="s">
        <v>179</v>
      </c>
      <c r="J4280" s="33" t="s">
        <v>489</v>
      </c>
      <c r="K4280" s="18">
        <f>VLOOKUP(D4280,Ingredients!C:G,5,0)</f>
        <v>850</v>
      </c>
      <c r="L4280" s="52">
        <f t="shared" si="152"/>
        <v>97.75</v>
      </c>
    </row>
    <row r="4281" spans="1:12">
      <c r="A4281" s="71" t="s">
        <v>1051</v>
      </c>
      <c r="B4281" t="s">
        <v>349</v>
      </c>
      <c r="C4281" t="s">
        <v>454</v>
      </c>
      <c r="D4281" s="3" t="s">
        <v>853</v>
      </c>
      <c r="E4281" s="4">
        <v>0.02</v>
      </c>
      <c r="F4281" s="4" t="s">
        <v>176</v>
      </c>
      <c r="G4281" s="12">
        <f>VLOOKUP(D4281,D195:G4280,4,0)</f>
        <v>30</v>
      </c>
      <c r="H4281" s="9">
        <f t="shared" si="153"/>
        <v>0.6</v>
      </c>
      <c r="I4281" t="s">
        <v>179</v>
      </c>
      <c r="J4281" s="33" t="s">
        <v>489</v>
      </c>
      <c r="K4281" s="18">
        <f>VLOOKUP(D4281,Ingredients!C:G,5,0)</f>
        <v>55</v>
      </c>
      <c r="L4281" s="52">
        <f t="shared" si="152"/>
        <v>1.1000000000000001</v>
      </c>
    </row>
    <row r="4282" spans="1:12">
      <c r="A4282" s="71" t="s">
        <v>1051</v>
      </c>
      <c r="B4282" t="s">
        <v>349</v>
      </c>
      <c r="C4282" t="s">
        <v>454</v>
      </c>
      <c r="D4282" s="3" t="s">
        <v>882</v>
      </c>
      <c r="E4282" s="4">
        <v>1.2E-2</v>
      </c>
      <c r="F4282" s="4" t="s">
        <v>176</v>
      </c>
      <c r="G4282" s="12">
        <f>VLOOKUP(D4282,D196:G4281,4,0)</f>
        <v>1500</v>
      </c>
      <c r="H4282" s="9">
        <f t="shared" si="153"/>
        <v>18</v>
      </c>
      <c r="I4282" t="s">
        <v>179</v>
      </c>
      <c r="J4282" s="33" t="s">
        <v>489</v>
      </c>
      <c r="K4282" s="18">
        <f>VLOOKUP(D4282,Ingredients!C:G,5,0)</f>
        <v>1450</v>
      </c>
      <c r="L4282" s="52">
        <f t="shared" si="152"/>
        <v>17.400000000000002</v>
      </c>
    </row>
    <row r="4283" spans="1:12">
      <c r="A4283" s="71" t="s">
        <v>1051</v>
      </c>
      <c r="B4283" t="s">
        <v>349</v>
      </c>
      <c r="C4283" t="s">
        <v>454</v>
      </c>
      <c r="D4283" s="3" t="s">
        <v>29</v>
      </c>
      <c r="E4283" s="4">
        <v>1.4999999999999999E-2</v>
      </c>
      <c r="F4283" s="4" t="s">
        <v>176</v>
      </c>
      <c r="G4283" s="12">
        <f>VLOOKUP(D4283,D197:G4282,4,0)</f>
        <v>60</v>
      </c>
      <c r="H4283" s="9">
        <f t="shared" si="153"/>
        <v>0.89999999999999991</v>
      </c>
      <c r="I4283" t="s">
        <v>179</v>
      </c>
      <c r="J4283" s="33" t="s">
        <v>489</v>
      </c>
      <c r="K4283" s="18">
        <f>VLOOKUP(D4283,Ingredients!C:G,5,0)</f>
        <v>100</v>
      </c>
      <c r="L4283" s="52">
        <f t="shared" si="152"/>
        <v>1.5</v>
      </c>
    </row>
    <row r="4284" spans="1:12">
      <c r="A4284" s="71" t="s">
        <v>1051</v>
      </c>
      <c r="B4284" t="s">
        <v>349</v>
      </c>
      <c r="C4284" t="s">
        <v>454</v>
      </c>
      <c r="D4284" s="3" t="s">
        <v>23</v>
      </c>
      <c r="E4284" s="4">
        <v>1.4999999999999999E-2</v>
      </c>
      <c r="F4284" s="4" t="s">
        <v>176</v>
      </c>
      <c r="G4284" s="12">
        <f>VLOOKUP(D4284,D198:G4283,4,0)</f>
        <v>740</v>
      </c>
      <c r="H4284" s="9">
        <f t="shared" si="153"/>
        <v>11.1</v>
      </c>
      <c r="I4284" t="s">
        <v>179</v>
      </c>
      <c r="J4284" s="33" t="s">
        <v>489</v>
      </c>
      <c r="K4284" s="18">
        <f>VLOOKUP(D4284,Ingredients!C:G,5,0)</f>
        <v>780</v>
      </c>
      <c r="L4284" s="52">
        <f t="shared" si="152"/>
        <v>11.7</v>
      </c>
    </row>
    <row r="4285" spans="1:12">
      <c r="A4285" s="71" t="s">
        <v>1052</v>
      </c>
      <c r="B4285" t="s">
        <v>349</v>
      </c>
      <c r="C4285" t="s">
        <v>352</v>
      </c>
      <c r="D4285" s="3" t="s">
        <v>514</v>
      </c>
      <c r="E4285" s="4">
        <v>1</v>
      </c>
      <c r="F4285" s="4" t="s">
        <v>176</v>
      </c>
      <c r="G4285" s="12">
        <f>VLOOKUP(D4285,D199:G4284,4,0)</f>
        <v>1700</v>
      </c>
      <c r="H4285" s="9">
        <f t="shared" ref="H4285:H4304" si="154">G4285*E4285</f>
        <v>1700</v>
      </c>
      <c r="I4285" t="s">
        <v>179</v>
      </c>
      <c r="J4285" s="33" t="s">
        <v>514</v>
      </c>
      <c r="K4285" s="18">
        <f>VLOOKUP(D4285,Ingredients!C:G,5,0)</f>
        <v>1800</v>
      </c>
      <c r="L4285" s="52">
        <f t="shared" ref="L4285:L4304" si="155">K4285*E4285</f>
        <v>1800</v>
      </c>
    </row>
    <row r="4286" spans="1:12">
      <c r="A4286" s="71" t="s">
        <v>1052</v>
      </c>
      <c r="B4286" t="s">
        <v>349</v>
      </c>
      <c r="C4286" t="s">
        <v>352</v>
      </c>
      <c r="D4286" s="3" t="s">
        <v>861</v>
      </c>
      <c r="E4286" s="4">
        <v>7.4999999999999997E-2</v>
      </c>
      <c r="F4286" s="4" t="s">
        <v>176</v>
      </c>
      <c r="G4286" s="12">
        <f>VLOOKUP(D4286,D200:G4285,4,0)</f>
        <v>500</v>
      </c>
      <c r="H4286" s="9">
        <f t="shared" si="154"/>
        <v>37.5</v>
      </c>
      <c r="I4286" t="s">
        <v>179</v>
      </c>
      <c r="J4286" s="33" t="s">
        <v>514</v>
      </c>
      <c r="K4286" s="18">
        <f>VLOOKUP(D4286,Ingredients!C:G,5,0)</f>
        <v>500</v>
      </c>
      <c r="L4286" s="52">
        <f t="shared" si="155"/>
        <v>37.5</v>
      </c>
    </row>
    <row r="4287" spans="1:12">
      <c r="A4287" s="71" t="s">
        <v>1052</v>
      </c>
      <c r="B4287" t="s">
        <v>349</v>
      </c>
      <c r="C4287" t="s">
        <v>352</v>
      </c>
      <c r="D4287" s="3" t="s">
        <v>853</v>
      </c>
      <c r="E4287" s="4">
        <v>1.0999999999999999E-2</v>
      </c>
      <c r="F4287" s="4" t="s">
        <v>176</v>
      </c>
      <c r="G4287" s="12">
        <f>VLOOKUP(D4287,D201:G4286,4,0)</f>
        <v>30</v>
      </c>
      <c r="H4287" s="9">
        <f t="shared" si="154"/>
        <v>0.32999999999999996</v>
      </c>
      <c r="I4287" t="s">
        <v>179</v>
      </c>
      <c r="J4287" s="33" t="s">
        <v>514</v>
      </c>
      <c r="K4287" s="18">
        <f>VLOOKUP(D4287,Ingredients!C:G,5,0)</f>
        <v>55</v>
      </c>
      <c r="L4287" s="52">
        <f t="shared" si="155"/>
        <v>0.60499999999999998</v>
      </c>
    </row>
    <row r="4288" spans="1:12">
      <c r="A4288" s="71" t="s">
        <v>1052</v>
      </c>
      <c r="B4288" t="s">
        <v>349</v>
      </c>
      <c r="C4288" t="s">
        <v>352</v>
      </c>
      <c r="D4288" s="3" t="s">
        <v>928</v>
      </c>
      <c r="E4288" s="4">
        <v>5.0000000000000001E-3</v>
      </c>
      <c r="F4288" s="4" t="s">
        <v>176</v>
      </c>
      <c r="G4288" s="12">
        <f>VLOOKUP(D4288,D202:G4287,4,0)</f>
        <v>850</v>
      </c>
      <c r="H4288" s="9">
        <f t="shared" si="154"/>
        <v>4.25</v>
      </c>
      <c r="I4288" t="s">
        <v>179</v>
      </c>
      <c r="J4288" s="33" t="s">
        <v>514</v>
      </c>
      <c r="K4288" s="18">
        <f>VLOOKUP(D4288,Ingredients!C:G,5,0)</f>
        <v>900</v>
      </c>
      <c r="L4288" s="52">
        <f t="shared" si="155"/>
        <v>4.5</v>
      </c>
    </row>
    <row r="4289" spans="1:12">
      <c r="A4289" s="71" t="s">
        <v>1052</v>
      </c>
      <c r="B4289" t="s">
        <v>349</v>
      </c>
      <c r="C4289" t="s">
        <v>352</v>
      </c>
      <c r="D4289" s="3" t="s">
        <v>864</v>
      </c>
      <c r="E4289" s="4">
        <v>6.0000000000000001E-3</v>
      </c>
      <c r="F4289" s="4" t="s">
        <v>176</v>
      </c>
      <c r="G4289" s="12">
        <f>VLOOKUP(D4289,D203:G4288,4,0)</f>
        <v>1400</v>
      </c>
      <c r="H4289" s="9">
        <f t="shared" si="154"/>
        <v>8.4</v>
      </c>
      <c r="I4289" t="s">
        <v>179</v>
      </c>
      <c r="J4289" s="33" t="s">
        <v>514</v>
      </c>
      <c r="K4289" s="18">
        <f>VLOOKUP(D4289,Ingredients!C:G,5,0)</f>
        <v>1400</v>
      </c>
      <c r="L4289" s="52">
        <f t="shared" si="155"/>
        <v>8.4</v>
      </c>
    </row>
    <row r="4290" spans="1:12">
      <c r="A4290" s="71" t="s">
        <v>1052</v>
      </c>
      <c r="B4290" t="s">
        <v>349</v>
      </c>
      <c r="C4290" t="s">
        <v>352</v>
      </c>
      <c r="D4290" s="3" t="s">
        <v>28</v>
      </c>
      <c r="E4290" s="4">
        <v>0.11</v>
      </c>
      <c r="F4290" s="4" t="s">
        <v>176</v>
      </c>
      <c r="G4290" s="12">
        <f>VLOOKUP(D4290,D204:G4289,4,0)</f>
        <v>85</v>
      </c>
      <c r="H4290" s="9">
        <f t="shared" si="154"/>
        <v>9.35</v>
      </c>
      <c r="I4290" t="s">
        <v>179</v>
      </c>
      <c r="J4290" s="33" t="s">
        <v>514</v>
      </c>
      <c r="K4290" s="18">
        <f>VLOOKUP(D4290,Ingredients!C:G,5,0)</f>
        <v>70</v>
      </c>
      <c r="L4290" s="52">
        <f t="shared" si="155"/>
        <v>7.7</v>
      </c>
    </row>
    <row r="4291" spans="1:12">
      <c r="A4291" s="71" t="s">
        <v>1052</v>
      </c>
      <c r="B4291" t="s">
        <v>349</v>
      </c>
      <c r="C4291" t="s">
        <v>352</v>
      </c>
      <c r="D4291" s="3" t="s">
        <v>24</v>
      </c>
      <c r="E4291" s="4">
        <v>7.4999999999999997E-2</v>
      </c>
      <c r="F4291" s="4" t="s">
        <v>176</v>
      </c>
      <c r="G4291" s="12">
        <f>VLOOKUP(D4291,D205:G4290,4,0)</f>
        <v>55</v>
      </c>
      <c r="H4291" s="9">
        <f t="shared" si="154"/>
        <v>4.125</v>
      </c>
      <c r="I4291" t="s">
        <v>179</v>
      </c>
      <c r="J4291" s="33" t="s">
        <v>514</v>
      </c>
      <c r="K4291" s="18">
        <f>VLOOKUP(D4291,Ingredients!C:G,5,0)</f>
        <v>80</v>
      </c>
      <c r="L4291" s="52">
        <f t="shared" si="155"/>
        <v>6</v>
      </c>
    </row>
    <row r="4292" spans="1:12">
      <c r="A4292" s="71" t="s">
        <v>1052</v>
      </c>
      <c r="B4292" t="s">
        <v>349</v>
      </c>
      <c r="C4292" t="s">
        <v>352</v>
      </c>
      <c r="D4292" s="3" t="s">
        <v>23</v>
      </c>
      <c r="E4292" s="4">
        <v>1.2E-2</v>
      </c>
      <c r="F4292" s="4" t="s">
        <v>176</v>
      </c>
      <c r="G4292" s="12">
        <f>VLOOKUP(D4292,D206:G4291,4,0)</f>
        <v>740</v>
      </c>
      <c r="H4292" s="9">
        <f t="shared" si="154"/>
        <v>8.8800000000000008</v>
      </c>
      <c r="I4292" t="s">
        <v>179</v>
      </c>
      <c r="J4292" s="33" t="s">
        <v>514</v>
      </c>
      <c r="K4292" s="18">
        <f>VLOOKUP(D4292,Ingredients!C:G,5,0)</f>
        <v>780</v>
      </c>
      <c r="L4292" s="52">
        <f t="shared" si="155"/>
        <v>9.36</v>
      </c>
    </row>
    <row r="4293" spans="1:12">
      <c r="A4293" s="71" t="s">
        <v>1052</v>
      </c>
      <c r="B4293" t="s">
        <v>349</v>
      </c>
      <c r="C4293" t="s">
        <v>352</v>
      </c>
      <c r="D4293" s="3" t="s">
        <v>29</v>
      </c>
      <c r="E4293" s="4">
        <v>1.4999999999999999E-2</v>
      </c>
      <c r="F4293" s="4" t="s">
        <v>176</v>
      </c>
      <c r="G4293" s="12">
        <f>VLOOKUP(D4293,D207:G4292,4,0)</f>
        <v>60</v>
      </c>
      <c r="H4293" s="9">
        <f t="shared" si="154"/>
        <v>0.89999999999999991</v>
      </c>
      <c r="I4293" t="s">
        <v>179</v>
      </c>
      <c r="J4293" s="33" t="s">
        <v>514</v>
      </c>
      <c r="K4293" s="18">
        <f>VLOOKUP(D4293,Ingredients!C:G,5,0)</f>
        <v>100</v>
      </c>
      <c r="L4293" s="52">
        <f t="shared" si="155"/>
        <v>1.5</v>
      </c>
    </row>
    <row r="4294" spans="1:12">
      <c r="A4294" t="s">
        <v>1053</v>
      </c>
      <c r="B4294" t="s">
        <v>349</v>
      </c>
      <c r="C4294" t="s">
        <v>352</v>
      </c>
      <c r="D4294" s="3" t="s">
        <v>836</v>
      </c>
      <c r="E4294" s="11">
        <v>1</v>
      </c>
      <c r="F4294" s="7" t="s">
        <v>179</v>
      </c>
      <c r="G4294" s="9">
        <v>1958</v>
      </c>
      <c r="H4294" s="9">
        <f t="shared" si="154"/>
        <v>1958</v>
      </c>
      <c r="I4294" t="s">
        <v>179</v>
      </c>
      <c r="J4294" s="33" t="s">
        <v>504</v>
      </c>
      <c r="K4294" s="18">
        <f>VLOOKUP(D4294,Ingredients!C:G,5,0)</f>
        <v>2200</v>
      </c>
      <c r="L4294" s="52">
        <f t="shared" si="155"/>
        <v>2200</v>
      </c>
    </row>
    <row r="4295" spans="1:12">
      <c r="A4295" t="s">
        <v>1053</v>
      </c>
      <c r="B4295" t="s">
        <v>349</v>
      </c>
      <c r="C4295" t="s">
        <v>352</v>
      </c>
      <c r="D4295" s="3" t="s">
        <v>852</v>
      </c>
      <c r="E4295" s="11">
        <v>0.15</v>
      </c>
      <c r="F4295" s="7" t="s">
        <v>179</v>
      </c>
      <c r="G4295" s="9">
        <v>520.63</v>
      </c>
      <c r="H4295" s="9">
        <f t="shared" si="154"/>
        <v>78.094499999999996</v>
      </c>
      <c r="I4295" t="s">
        <v>179</v>
      </c>
      <c r="J4295" s="33" t="s">
        <v>504</v>
      </c>
      <c r="K4295" s="18">
        <v>550</v>
      </c>
      <c r="L4295" s="52">
        <f t="shared" si="155"/>
        <v>82.5</v>
      </c>
    </row>
    <row r="4296" spans="1:12">
      <c r="A4296" t="s">
        <v>1053</v>
      </c>
      <c r="B4296" t="s">
        <v>349</v>
      </c>
      <c r="C4296" t="s">
        <v>352</v>
      </c>
      <c r="D4296" s="3" t="s">
        <v>24</v>
      </c>
      <c r="E4296" s="11">
        <v>0.2</v>
      </c>
      <c r="F4296" s="7" t="s">
        <v>179</v>
      </c>
      <c r="G4296" s="9">
        <v>55</v>
      </c>
      <c r="H4296" s="9">
        <f t="shared" si="154"/>
        <v>11</v>
      </c>
      <c r="I4296" t="s">
        <v>179</v>
      </c>
      <c r="J4296" s="33" t="s">
        <v>504</v>
      </c>
      <c r="K4296" s="18">
        <f>VLOOKUP(D4296,Ingredients!C:G,5,0)</f>
        <v>80</v>
      </c>
      <c r="L4296" s="52">
        <f t="shared" si="155"/>
        <v>16</v>
      </c>
    </row>
    <row r="4297" spans="1:12">
      <c r="A4297" t="s">
        <v>1053</v>
      </c>
      <c r="B4297" t="s">
        <v>349</v>
      </c>
      <c r="C4297" t="s">
        <v>352</v>
      </c>
      <c r="D4297" s="3" t="s">
        <v>23</v>
      </c>
      <c r="E4297" s="11">
        <v>0.03</v>
      </c>
      <c r="F4297" s="7" t="s">
        <v>179</v>
      </c>
      <c r="G4297" s="9">
        <v>740</v>
      </c>
      <c r="H4297" s="9">
        <f t="shared" si="154"/>
        <v>22.2</v>
      </c>
      <c r="I4297" t="s">
        <v>179</v>
      </c>
      <c r="J4297" s="33" t="s">
        <v>504</v>
      </c>
      <c r="K4297" s="18">
        <f>VLOOKUP(D4297,Ingredients!C:G,5,0)</f>
        <v>780</v>
      </c>
      <c r="L4297" s="52">
        <f t="shared" si="155"/>
        <v>23.4</v>
      </c>
    </row>
    <row r="4298" spans="1:12">
      <c r="A4298" t="s">
        <v>1053</v>
      </c>
      <c r="B4298" t="s">
        <v>349</v>
      </c>
      <c r="C4298" t="s">
        <v>352</v>
      </c>
      <c r="D4298" s="3" t="s">
        <v>16</v>
      </c>
      <c r="E4298" s="11">
        <v>0.03</v>
      </c>
      <c r="F4298" s="7" t="s">
        <v>179</v>
      </c>
      <c r="G4298" s="9">
        <v>270</v>
      </c>
      <c r="H4298" s="9">
        <f t="shared" si="154"/>
        <v>8.1</v>
      </c>
      <c r="I4298" t="s">
        <v>179</v>
      </c>
      <c r="J4298" s="33" t="s">
        <v>504</v>
      </c>
      <c r="K4298" s="18">
        <f>VLOOKUP(D4298,Ingredients!C:G,5,0)</f>
        <v>310</v>
      </c>
      <c r="L4298" s="52">
        <f t="shared" si="155"/>
        <v>9.2999999999999989</v>
      </c>
    </row>
    <row r="4299" spans="1:12">
      <c r="A4299" t="s">
        <v>1053</v>
      </c>
      <c r="B4299" t="s">
        <v>349</v>
      </c>
      <c r="C4299" t="s">
        <v>352</v>
      </c>
      <c r="D4299" s="3" t="s">
        <v>853</v>
      </c>
      <c r="E4299" s="11">
        <v>0.05</v>
      </c>
      <c r="F4299" s="7" t="s">
        <v>179</v>
      </c>
      <c r="G4299" s="9">
        <v>30</v>
      </c>
      <c r="H4299" s="9">
        <f t="shared" si="154"/>
        <v>1.5</v>
      </c>
      <c r="I4299" t="s">
        <v>179</v>
      </c>
      <c r="J4299" s="33" t="s">
        <v>504</v>
      </c>
      <c r="K4299" s="18">
        <f>VLOOKUP(D4299,Ingredients!C:G,5,0)</f>
        <v>55</v>
      </c>
      <c r="L4299" s="52">
        <f t="shared" si="155"/>
        <v>2.75</v>
      </c>
    </row>
    <row r="4300" spans="1:12">
      <c r="A4300" t="s">
        <v>1053</v>
      </c>
      <c r="B4300" t="s">
        <v>349</v>
      </c>
      <c r="C4300" t="s">
        <v>352</v>
      </c>
      <c r="D4300" s="3" t="s">
        <v>856</v>
      </c>
      <c r="E4300" s="11">
        <v>0.05</v>
      </c>
      <c r="F4300" s="7" t="s">
        <v>179</v>
      </c>
      <c r="G4300" s="9">
        <v>850</v>
      </c>
      <c r="H4300" s="9">
        <f t="shared" si="154"/>
        <v>42.5</v>
      </c>
      <c r="I4300" t="s">
        <v>179</v>
      </c>
      <c r="J4300" s="33" t="s">
        <v>504</v>
      </c>
      <c r="K4300" s="18">
        <f>VLOOKUP(D4300,Ingredients!C:G,5,0)</f>
        <v>980</v>
      </c>
      <c r="L4300" s="52">
        <f t="shared" si="155"/>
        <v>49</v>
      </c>
    </row>
    <row r="4301" spans="1:12">
      <c r="A4301" t="s">
        <v>1053</v>
      </c>
      <c r="B4301" t="s">
        <v>349</v>
      </c>
      <c r="C4301" t="s">
        <v>352</v>
      </c>
      <c r="D4301" s="3" t="s">
        <v>880</v>
      </c>
      <c r="E4301" s="11">
        <v>0.03</v>
      </c>
      <c r="F4301" s="7" t="s">
        <v>179</v>
      </c>
      <c r="G4301" s="9">
        <v>650</v>
      </c>
      <c r="H4301" s="9">
        <f t="shared" si="154"/>
        <v>19.5</v>
      </c>
      <c r="I4301" t="s">
        <v>179</v>
      </c>
      <c r="J4301" s="33" t="s">
        <v>504</v>
      </c>
      <c r="K4301" s="18">
        <f>VLOOKUP(D4301,Ingredients!C:G,5,0)</f>
        <v>520</v>
      </c>
      <c r="L4301" s="52">
        <f t="shared" si="155"/>
        <v>15.6</v>
      </c>
    </row>
    <row r="4302" spans="1:12">
      <c r="A4302" t="s">
        <v>1053</v>
      </c>
      <c r="B4302" t="s">
        <v>349</v>
      </c>
      <c r="C4302" t="s">
        <v>352</v>
      </c>
      <c r="D4302" s="3" t="s">
        <v>855</v>
      </c>
      <c r="E4302" s="11">
        <v>0.03</v>
      </c>
      <c r="F4302" s="7" t="s">
        <v>179</v>
      </c>
      <c r="G4302" s="9">
        <v>2400</v>
      </c>
      <c r="H4302" s="9">
        <f t="shared" si="154"/>
        <v>72</v>
      </c>
      <c r="I4302" t="s">
        <v>179</v>
      </c>
      <c r="J4302" s="33" t="s">
        <v>504</v>
      </c>
      <c r="K4302" s="18">
        <f>VLOOKUP(D4302,Ingredients!C:G,5,0)</f>
        <v>1600</v>
      </c>
      <c r="L4302" s="52">
        <f t="shared" si="155"/>
        <v>48</v>
      </c>
    </row>
    <row r="4303" spans="1:12">
      <c r="A4303" t="s">
        <v>1053</v>
      </c>
      <c r="B4303" t="s">
        <v>349</v>
      </c>
      <c r="C4303" t="s">
        <v>352</v>
      </c>
      <c r="D4303" s="3" t="s">
        <v>895</v>
      </c>
      <c r="E4303" s="11">
        <v>1.2E-2</v>
      </c>
      <c r="F4303" s="7" t="s">
        <v>179</v>
      </c>
      <c r="G4303" s="9">
        <v>400</v>
      </c>
      <c r="H4303" s="9">
        <f t="shared" si="154"/>
        <v>4.8</v>
      </c>
      <c r="I4303" t="s">
        <v>179</v>
      </c>
      <c r="J4303" s="33" t="s">
        <v>504</v>
      </c>
      <c r="K4303" s="18">
        <f>VLOOKUP(D4303,Ingredients!C:G,5,0)</f>
        <v>400</v>
      </c>
      <c r="L4303" s="52">
        <f t="shared" si="155"/>
        <v>4.8</v>
      </c>
    </row>
    <row r="4304" spans="1:12">
      <c r="A4304" t="s">
        <v>1053</v>
      </c>
      <c r="B4304" t="s">
        <v>349</v>
      </c>
      <c r="C4304" t="s">
        <v>352</v>
      </c>
      <c r="D4304" s="3" t="s">
        <v>28</v>
      </c>
      <c r="E4304" s="11">
        <v>0.3</v>
      </c>
      <c r="F4304" s="7" t="s">
        <v>179</v>
      </c>
      <c r="G4304" s="9">
        <v>85</v>
      </c>
      <c r="H4304" s="9">
        <f t="shared" si="154"/>
        <v>25.5</v>
      </c>
      <c r="I4304" t="s">
        <v>179</v>
      </c>
      <c r="J4304" s="33" t="s">
        <v>504</v>
      </c>
      <c r="K4304" s="18">
        <f>VLOOKUP(D4304,Ingredients!C:G,5,0)</f>
        <v>70</v>
      </c>
      <c r="L4304" s="52">
        <f t="shared" si="155"/>
        <v>21</v>
      </c>
    </row>
    <row r="4305" spans="1:12">
      <c r="A4305" t="s">
        <v>1054</v>
      </c>
      <c r="B4305" t="s">
        <v>349</v>
      </c>
      <c r="C4305" t="s">
        <v>454</v>
      </c>
      <c r="D4305" s="3" t="s">
        <v>491</v>
      </c>
      <c r="E4305" s="4">
        <v>1</v>
      </c>
      <c r="F4305" s="7" t="s">
        <v>179</v>
      </c>
      <c r="G4305" s="12">
        <f>VLOOKUP(D4305,D219:G4304,4,0)</f>
        <v>614</v>
      </c>
      <c r="H4305" s="9">
        <f t="shared" ref="H4305:H4318" si="156">G4305*E4305</f>
        <v>614</v>
      </c>
      <c r="I4305" t="s">
        <v>179</v>
      </c>
      <c r="J4305" s="33" t="s">
        <v>491</v>
      </c>
      <c r="K4305" s="18">
        <f>VLOOKUP(D4305,Ingredients!C:G,5,0)</f>
        <v>650</v>
      </c>
      <c r="L4305" s="52">
        <f t="shared" ref="L4305:L4318" si="157">K4305*E4305</f>
        <v>650</v>
      </c>
    </row>
    <row r="4306" spans="1:12">
      <c r="A4306" t="s">
        <v>1054</v>
      </c>
      <c r="B4306" t="s">
        <v>349</v>
      </c>
      <c r="C4306" t="s">
        <v>454</v>
      </c>
      <c r="D4306" s="3" t="s">
        <v>16</v>
      </c>
      <c r="E4306" s="4">
        <v>1.6E-2</v>
      </c>
      <c r="F4306" s="7" t="s">
        <v>179</v>
      </c>
      <c r="G4306" s="12">
        <f>VLOOKUP(D4306,D220:G4305,4,0)</f>
        <v>270</v>
      </c>
      <c r="H4306" s="9">
        <f t="shared" si="156"/>
        <v>4.32</v>
      </c>
      <c r="I4306" t="s">
        <v>179</v>
      </c>
      <c r="J4306" s="33" t="s">
        <v>491</v>
      </c>
      <c r="K4306" s="18">
        <f>VLOOKUP(D4306,Ingredients!C:G,5,0)</f>
        <v>310</v>
      </c>
      <c r="L4306" s="52">
        <f t="shared" si="157"/>
        <v>4.96</v>
      </c>
    </row>
    <row r="4307" spans="1:12">
      <c r="A4307" t="s">
        <v>1054</v>
      </c>
      <c r="B4307" t="s">
        <v>349</v>
      </c>
      <c r="C4307" t="s">
        <v>454</v>
      </c>
      <c r="D4307" s="3" t="s">
        <v>23</v>
      </c>
      <c r="E4307" s="4">
        <v>0.03</v>
      </c>
      <c r="F4307" s="7" t="s">
        <v>179</v>
      </c>
      <c r="G4307" s="12">
        <f>VLOOKUP(D4307,D221:G4306,4,0)</f>
        <v>740</v>
      </c>
      <c r="H4307" s="9">
        <f t="shared" si="156"/>
        <v>22.2</v>
      </c>
      <c r="I4307" t="s">
        <v>179</v>
      </c>
      <c r="J4307" s="33" t="s">
        <v>491</v>
      </c>
      <c r="K4307" s="18">
        <f>VLOOKUP(D4307,Ingredients!C:G,5,0)</f>
        <v>780</v>
      </c>
      <c r="L4307" s="52">
        <f t="shared" si="157"/>
        <v>23.4</v>
      </c>
    </row>
    <row r="4308" spans="1:12">
      <c r="A4308" t="s">
        <v>1054</v>
      </c>
      <c r="B4308" t="s">
        <v>349</v>
      </c>
      <c r="C4308" t="s">
        <v>454</v>
      </c>
      <c r="D4308" s="3" t="s">
        <v>882</v>
      </c>
      <c r="E4308" s="4">
        <v>1.4E-2</v>
      </c>
      <c r="F4308" s="7" t="s">
        <v>179</v>
      </c>
      <c r="G4308" s="12">
        <f>VLOOKUP(D4308,D222:G4307,4,0)</f>
        <v>1500</v>
      </c>
      <c r="H4308" s="9">
        <f t="shared" si="156"/>
        <v>21</v>
      </c>
      <c r="I4308" t="s">
        <v>179</v>
      </c>
      <c r="J4308" s="33" t="s">
        <v>491</v>
      </c>
      <c r="K4308" s="18">
        <f>VLOOKUP(D4308,Ingredients!C:G,5,0)</f>
        <v>1450</v>
      </c>
      <c r="L4308" s="52">
        <f t="shared" si="157"/>
        <v>20.3</v>
      </c>
    </row>
    <row r="4309" spans="1:12">
      <c r="A4309" t="s">
        <v>1054</v>
      </c>
      <c r="B4309" t="s">
        <v>349</v>
      </c>
      <c r="C4309" t="s">
        <v>454</v>
      </c>
      <c r="D4309" s="3" t="s">
        <v>887</v>
      </c>
      <c r="E4309" s="4">
        <v>2.4E-2</v>
      </c>
      <c r="F4309" s="7" t="s">
        <v>179</v>
      </c>
      <c r="G4309" s="12">
        <f>VLOOKUP(D4309,D223:G4308,4,0)</f>
        <v>1600</v>
      </c>
      <c r="H4309" s="9">
        <f t="shared" si="156"/>
        <v>38.4</v>
      </c>
      <c r="I4309" t="s">
        <v>179</v>
      </c>
      <c r="J4309" s="33" t="s">
        <v>491</v>
      </c>
      <c r="K4309" s="18">
        <f>VLOOKUP(D4309,Ingredients!C:G,5,0)</f>
        <v>1830</v>
      </c>
      <c r="L4309" s="52">
        <f t="shared" si="157"/>
        <v>43.92</v>
      </c>
    </row>
    <row r="4310" spans="1:12">
      <c r="A4310" t="s">
        <v>1054</v>
      </c>
      <c r="B4310" t="s">
        <v>349</v>
      </c>
      <c r="C4310" t="s">
        <v>454</v>
      </c>
      <c r="D4310" s="3" t="s">
        <v>923</v>
      </c>
      <c r="E4310" s="4">
        <v>1.4E-2</v>
      </c>
      <c r="F4310" s="7" t="s">
        <v>179</v>
      </c>
      <c r="G4310" s="12">
        <f>VLOOKUP(D4310,D224:G4309,4,0)</f>
        <v>100</v>
      </c>
      <c r="H4310" s="9">
        <f t="shared" si="156"/>
        <v>1.4000000000000001</v>
      </c>
      <c r="I4310" t="s">
        <v>179</v>
      </c>
      <c r="J4310" s="33" t="s">
        <v>491</v>
      </c>
      <c r="K4310" s="18">
        <f>VLOOKUP(D4310,Ingredients!C:G,5,0)</f>
        <v>1000</v>
      </c>
      <c r="L4310" s="52">
        <f t="shared" si="157"/>
        <v>14</v>
      </c>
    </row>
    <row r="4311" spans="1:12">
      <c r="A4311" t="s">
        <v>1054</v>
      </c>
      <c r="B4311" t="s">
        <v>349</v>
      </c>
      <c r="C4311" t="s">
        <v>454</v>
      </c>
      <c r="D4311" s="3" t="s">
        <v>867</v>
      </c>
      <c r="E4311" s="4">
        <v>7.0000000000000001E-3</v>
      </c>
      <c r="F4311" s="7" t="s">
        <v>179</v>
      </c>
      <c r="G4311" s="12">
        <f>VLOOKUP(D4311,D225:G4310,4,0)</f>
        <v>900</v>
      </c>
      <c r="H4311" s="9">
        <f t="shared" si="156"/>
        <v>6.3</v>
      </c>
      <c r="I4311" t="s">
        <v>179</v>
      </c>
      <c r="J4311" s="33" t="s">
        <v>491</v>
      </c>
      <c r="K4311" s="18">
        <f>VLOOKUP(D4311,Ingredients!C:G,5,0)</f>
        <v>950</v>
      </c>
      <c r="L4311" s="52">
        <f t="shared" si="157"/>
        <v>6.65</v>
      </c>
    </row>
    <row r="4312" spans="1:12">
      <c r="A4312" t="s">
        <v>1054</v>
      </c>
      <c r="B4312" t="s">
        <v>349</v>
      </c>
      <c r="C4312" t="s">
        <v>454</v>
      </c>
      <c r="D4312" s="3" t="s">
        <v>853</v>
      </c>
      <c r="E4312" s="4">
        <v>6.0000000000000001E-3</v>
      </c>
      <c r="F4312" s="7" t="s">
        <v>179</v>
      </c>
      <c r="G4312" s="12">
        <f>VLOOKUP(D4312,D226:G4311,4,0)</f>
        <v>30</v>
      </c>
      <c r="H4312" s="9">
        <f t="shared" si="156"/>
        <v>0.18</v>
      </c>
      <c r="I4312" t="s">
        <v>179</v>
      </c>
      <c r="J4312" s="33" t="s">
        <v>491</v>
      </c>
      <c r="K4312" s="18">
        <f>VLOOKUP(D4312,Ingredients!C:G,5,0)</f>
        <v>55</v>
      </c>
      <c r="L4312" s="52">
        <f t="shared" si="157"/>
        <v>0.33</v>
      </c>
    </row>
    <row r="4313" spans="1:12">
      <c r="A4313" t="s">
        <v>1054</v>
      </c>
      <c r="B4313" t="s">
        <v>349</v>
      </c>
      <c r="C4313" t="s">
        <v>454</v>
      </c>
      <c r="D4313" s="3" t="s">
        <v>35</v>
      </c>
      <c r="E4313" s="4">
        <v>0.05</v>
      </c>
      <c r="F4313" s="7" t="s">
        <v>252</v>
      </c>
      <c r="G4313" s="12">
        <f>VLOOKUP(D4313,D227:G4312,4,0)</f>
        <v>13</v>
      </c>
      <c r="H4313" s="9">
        <f t="shared" si="156"/>
        <v>0.65</v>
      </c>
      <c r="I4313" t="s">
        <v>179</v>
      </c>
      <c r="J4313" s="33" t="s">
        <v>491</v>
      </c>
      <c r="K4313" s="18">
        <f>VLOOKUP(D4313,Ingredients!C:G,5,0)</f>
        <v>15</v>
      </c>
      <c r="L4313" s="52">
        <f t="shared" si="157"/>
        <v>0.75</v>
      </c>
    </row>
    <row r="4314" spans="1:12">
      <c r="A4314" t="s">
        <v>1054</v>
      </c>
      <c r="B4314" t="s">
        <v>349</v>
      </c>
      <c r="C4314" t="s">
        <v>454</v>
      </c>
      <c r="D4314" s="3" t="s">
        <v>852</v>
      </c>
      <c r="E4314" s="4">
        <v>0.11</v>
      </c>
      <c r="F4314" s="7" t="s">
        <v>190</v>
      </c>
      <c r="G4314" s="12">
        <f>VLOOKUP(D4314,D228:G4313,4,0)</f>
        <v>520.63</v>
      </c>
      <c r="H4314" s="9">
        <f t="shared" si="156"/>
        <v>57.269300000000001</v>
      </c>
      <c r="I4314" t="s">
        <v>179</v>
      </c>
      <c r="J4314" s="33" t="s">
        <v>491</v>
      </c>
      <c r="K4314" s="18">
        <f>VLOOKUP(D4314,Ingredients!C:G,5,0)</f>
        <v>550</v>
      </c>
      <c r="L4314" s="52">
        <f t="shared" si="157"/>
        <v>60.5</v>
      </c>
    </row>
    <row r="4315" spans="1:12">
      <c r="A4315" t="s">
        <v>1054</v>
      </c>
      <c r="B4315" t="s">
        <v>349</v>
      </c>
      <c r="C4315" t="s">
        <v>454</v>
      </c>
      <c r="D4315" s="3" t="s">
        <v>29</v>
      </c>
      <c r="E4315" s="4">
        <v>3.5000000000000003E-2</v>
      </c>
      <c r="F4315" s="7" t="s">
        <v>179</v>
      </c>
      <c r="G4315" s="12">
        <f>VLOOKUP(D4315,D229:G4314,4,0)</f>
        <v>60</v>
      </c>
      <c r="H4315" s="9">
        <f t="shared" si="156"/>
        <v>2.1</v>
      </c>
      <c r="I4315" t="s">
        <v>179</v>
      </c>
      <c r="J4315" s="33" t="s">
        <v>491</v>
      </c>
      <c r="K4315" s="18">
        <f>VLOOKUP(D4315,Ingredients!C:G,5,0)</f>
        <v>100</v>
      </c>
      <c r="L4315" s="52">
        <f t="shared" si="157"/>
        <v>3.5000000000000004</v>
      </c>
    </row>
    <row r="4316" spans="1:12">
      <c r="A4316" t="s">
        <v>1054</v>
      </c>
      <c r="B4316" t="s">
        <v>349</v>
      </c>
      <c r="C4316" t="s">
        <v>454</v>
      </c>
      <c r="D4316" s="3" t="s">
        <v>841</v>
      </c>
      <c r="E4316" s="4">
        <v>4.0000000000000001E-3</v>
      </c>
      <c r="F4316" s="7" t="s">
        <v>179</v>
      </c>
      <c r="G4316" s="12">
        <f>VLOOKUP(D4316,D230:G4315,4,0)</f>
        <v>50</v>
      </c>
      <c r="H4316" s="9">
        <f t="shared" si="156"/>
        <v>0.2</v>
      </c>
      <c r="I4316" t="s">
        <v>179</v>
      </c>
      <c r="J4316" s="33" t="s">
        <v>491</v>
      </c>
      <c r="K4316" s="18">
        <f>VLOOKUP(D4316,Ingredients!C:G,5,0)</f>
        <v>50</v>
      </c>
      <c r="L4316" s="52">
        <f t="shared" si="157"/>
        <v>0.2</v>
      </c>
    </row>
    <row r="4317" spans="1:12">
      <c r="A4317" t="s">
        <v>1054</v>
      </c>
      <c r="B4317" t="s">
        <v>349</v>
      </c>
      <c r="C4317" t="s">
        <v>454</v>
      </c>
      <c r="D4317" s="3" t="s">
        <v>849</v>
      </c>
      <c r="E4317" s="4">
        <v>7.0000000000000001E-3</v>
      </c>
      <c r="F4317" s="7" t="s">
        <v>179</v>
      </c>
      <c r="G4317" s="12">
        <f>VLOOKUP(D4317,D231:G4316,4,0)</f>
        <v>1000</v>
      </c>
      <c r="H4317" s="9">
        <f t="shared" si="156"/>
        <v>7</v>
      </c>
      <c r="I4317" t="s">
        <v>179</v>
      </c>
      <c r="J4317" s="33" t="s">
        <v>491</v>
      </c>
      <c r="K4317" s="18">
        <f>VLOOKUP(D4317,Ingredients!C:G,5,0)</f>
        <v>950</v>
      </c>
      <c r="L4317" s="52">
        <f t="shared" si="157"/>
        <v>6.65</v>
      </c>
    </row>
    <row r="4318" spans="1:12">
      <c r="A4318" t="s">
        <v>1054</v>
      </c>
      <c r="B4318" t="s">
        <v>349</v>
      </c>
      <c r="C4318" t="s">
        <v>454</v>
      </c>
      <c r="D4318" s="3" t="s">
        <v>24</v>
      </c>
      <c r="E4318" s="4">
        <v>0.15</v>
      </c>
      <c r="F4318" s="7" t="s">
        <v>179</v>
      </c>
      <c r="G4318" s="12">
        <f>VLOOKUP(D4318,D232:G4317,4,0)</f>
        <v>55</v>
      </c>
      <c r="H4318" s="9">
        <f t="shared" si="156"/>
        <v>8.25</v>
      </c>
      <c r="I4318" t="s">
        <v>179</v>
      </c>
      <c r="J4318" s="33" t="s">
        <v>491</v>
      </c>
      <c r="K4318" s="18">
        <f>VLOOKUP(D4318,Ingredients!C:G,5,0)</f>
        <v>80</v>
      </c>
      <c r="L4318" s="52">
        <f t="shared" si="157"/>
        <v>12</v>
      </c>
    </row>
    <row r="4319" spans="1:12">
      <c r="A4319" t="s">
        <v>1055</v>
      </c>
      <c r="B4319" t="s">
        <v>349</v>
      </c>
      <c r="C4319" t="s">
        <v>454</v>
      </c>
      <c r="D4319" s="3" t="s">
        <v>831</v>
      </c>
      <c r="E4319" s="4">
        <v>1</v>
      </c>
      <c r="F4319" s="7" t="s">
        <v>179</v>
      </c>
      <c r="G4319" s="12">
        <f>VLOOKUP(D4319,D233:G4318,4,0)</f>
        <v>908</v>
      </c>
      <c r="H4319" s="9">
        <f t="shared" ref="H4319:H4328" si="158">G4319*E4319</f>
        <v>908</v>
      </c>
      <c r="I4319" t="s">
        <v>179</v>
      </c>
      <c r="J4319" s="33" t="s">
        <v>489</v>
      </c>
      <c r="K4319" s="18">
        <f>VLOOKUP(D4319,Ingredients!C:G,5,0)</f>
        <v>908</v>
      </c>
      <c r="L4319" s="52">
        <f t="shared" ref="L4319:L4328" si="159">K4319*E4319</f>
        <v>908</v>
      </c>
    </row>
    <row r="4320" spans="1:12">
      <c r="A4320" t="s">
        <v>1055</v>
      </c>
      <c r="B4320" t="s">
        <v>349</v>
      </c>
      <c r="C4320" t="s">
        <v>454</v>
      </c>
      <c r="D4320" s="3" t="s">
        <v>95</v>
      </c>
      <c r="E4320" s="4">
        <v>0.17777777777777776</v>
      </c>
      <c r="F4320" s="7" t="s">
        <v>179</v>
      </c>
      <c r="G4320" s="12">
        <f>VLOOKUP(D4320,D234:G4319,4,0)</f>
        <v>140</v>
      </c>
      <c r="H4320" s="9">
        <f t="shared" si="158"/>
        <v>24.888888888888886</v>
      </c>
      <c r="I4320" t="s">
        <v>179</v>
      </c>
      <c r="J4320" s="33" t="s">
        <v>489</v>
      </c>
      <c r="K4320" s="18">
        <f>VLOOKUP(D4320,Ingredients!C:G,5,0)</f>
        <v>90</v>
      </c>
      <c r="L4320" s="52">
        <f t="shared" si="159"/>
        <v>15.999999999999998</v>
      </c>
    </row>
    <row r="4321" spans="1:12">
      <c r="A4321" t="s">
        <v>1055</v>
      </c>
      <c r="B4321" t="s">
        <v>349</v>
      </c>
      <c r="C4321" t="s">
        <v>454</v>
      </c>
      <c r="D4321" s="3" t="s">
        <v>24</v>
      </c>
      <c r="E4321" s="4">
        <v>0.22222222222222221</v>
      </c>
      <c r="F4321" s="7" t="s">
        <v>179</v>
      </c>
      <c r="G4321" s="12">
        <f>VLOOKUP(D4321,D235:G4320,4,0)</f>
        <v>55</v>
      </c>
      <c r="H4321" s="9">
        <f t="shared" si="158"/>
        <v>12.222222222222221</v>
      </c>
      <c r="I4321" t="s">
        <v>179</v>
      </c>
      <c r="J4321" s="33" t="s">
        <v>489</v>
      </c>
      <c r="K4321" s="18">
        <f>VLOOKUP(D4321,Ingredients!C:G,5,0)</f>
        <v>80</v>
      </c>
      <c r="L4321" s="52">
        <f t="shared" si="159"/>
        <v>17.777777777777779</v>
      </c>
    </row>
    <row r="4322" spans="1:12">
      <c r="A4322" t="s">
        <v>1055</v>
      </c>
      <c r="B4322" t="s">
        <v>349</v>
      </c>
      <c r="C4322" t="s">
        <v>454</v>
      </c>
      <c r="D4322" s="3" t="s">
        <v>887</v>
      </c>
      <c r="E4322" s="4">
        <v>4.4444444444444444E-3</v>
      </c>
      <c r="F4322" s="7" t="s">
        <v>179</v>
      </c>
      <c r="G4322" s="12">
        <f>VLOOKUP(D4322,D236:G4321,4,0)</f>
        <v>1600</v>
      </c>
      <c r="H4322" s="9">
        <f t="shared" si="158"/>
        <v>7.1111111111111107</v>
      </c>
      <c r="I4322" t="s">
        <v>179</v>
      </c>
      <c r="J4322" s="33" t="s">
        <v>489</v>
      </c>
      <c r="K4322" s="18">
        <f>VLOOKUP(D4322,Ingredients!C:G,5,0)</f>
        <v>1830</v>
      </c>
      <c r="L4322" s="52">
        <f t="shared" si="159"/>
        <v>8.1333333333333329</v>
      </c>
    </row>
    <row r="4323" spans="1:12">
      <c r="A4323" t="s">
        <v>1055</v>
      </c>
      <c r="B4323" t="s">
        <v>349</v>
      </c>
      <c r="C4323" t="s">
        <v>454</v>
      </c>
      <c r="D4323" s="3" t="s">
        <v>50</v>
      </c>
      <c r="E4323" s="4">
        <v>5.9259259259259255E-2</v>
      </c>
      <c r="F4323" s="7" t="s">
        <v>179</v>
      </c>
      <c r="G4323" s="12">
        <f>VLOOKUP(D4323,D237:G4322,4,0)</f>
        <v>120</v>
      </c>
      <c r="H4323" s="9">
        <f t="shared" si="158"/>
        <v>7.1111111111111107</v>
      </c>
      <c r="I4323" t="s">
        <v>179</v>
      </c>
      <c r="J4323" s="33" t="s">
        <v>489</v>
      </c>
      <c r="K4323" s="18">
        <f>VLOOKUP(D4323,Ingredients!C:G,5,0)</f>
        <v>120</v>
      </c>
      <c r="L4323" s="52">
        <f t="shared" si="159"/>
        <v>7.1111111111111107</v>
      </c>
    </row>
    <row r="4324" spans="1:12">
      <c r="A4324" t="s">
        <v>1055</v>
      </c>
      <c r="B4324" t="s">
        <v>349</v>
      </c>
      <c r="C4324" t="s">
        <v>454</v>
      </c>
      <c r="D4324" s="3" t="s">
        <v>852</v>
      </c>
      <c r="E4324" s="4">
        <v>3.4074074074074069E-2</v>
      </c>
      <c r="F4324" s="7" t="s">
        <v>179</v>
      </c>
      <c r="G4324" s="12">
        <f>VLOOKUP(D4324,D238:G4323,4,0)</f>
        <v>520.63</v>
      </c>
      <c r="H4324" s="9">
        <f t="shared" si="158"/>
        <v>17.739985185185184</v>
      </c>
      <c r="I4324" t="s">
        <v>179</v>
      </c>
      <c r="J4324" s="33" t="s">
        <v>489</v>
      </c>
      <c r="K4324" s="18">
        <f>VLOOKUP(D4324,Ingredients!C:G,5,0)</f>
        <v>550</v>
      </c>
      <c r="L4324" s="52">
        <f t="shared" si="159"/>
        <v>18.740740740740737</v>
      </c>
    </row>
    <row r="4325" spans="1:12">
      <c r="A4325" t="s">
        <v>1055</v>
      </c>
      <c r="B4325" t="s">
        <v>349</v>
      </c>
      <c r="C4325" t="s">
        <v>454</v>
      </c>
      <c r="D4325" s="3" t="s">
        <v>1056</v>
      </c>
      <c r="E4325" s="4">
        <v>6</v>
      </c>
      <c r="F4325" s="7" t="s">
        <v>253</v>
      </c>
      <c r="G4325" s="12">
        <v>20</v>
      </c>
      <c r="H4325" s="9">
        <f t="shared" si="158"/>
        <v>120</v>
      </c>
      <c r="I4325" t="s">
        <v>179</v>
      </c>
      <c r="J4325" s="33" t="s">
        <v>489</v>
      </c>
      <c r="K4325" s="18">
        <f>VLOOKUP(D4325,Ingredients!C:G,5,0)</f>
        <v>20</v>
      </c>
      <c r="L4325" s="52">
        <f t="shared" si="159"/>
        <v>120</v>
      </c>
    </row>
    <row r="4326" spans="1:12">
      <c r="A4326" t="s">
        <v>1055</v>
      </c>
      <c r="B4326" t="s">
        <v>349</v>
      </c>
      <c r="C4326" t="s">
        <v>454</v>
      </c>
      <c r="D4326" s="3" t="s">
        <v>73</v>
      </c>
      <c r="E4326" s="4">
        <v>0.22222222222222221</v>
      </c>
      <c r="F4326" s="7" t="s">
        <v>179</v>
      </c>
      <c r="G4326" s="12">
        <f>VLOOKUP(D4326,D240:G4325,4,0)</f>
        <v>305</v>
      </c>
      <c r="H4326" s="9">
        <f t="shared" si="158"/>
        <v>67.777777777777771</v>
      </c>
      <c r="I4326" t="s">
        <v>179</v>
      </c>
      <c r="J4326" s="33" t="s">
        <v>489</v>
      </c>
      <c r="K4326" s="18">
        <f>VLOOKUP(D4326,Ingredients!C:G,5,0)</f>
        <v>300</v>
      </c>
      <c r="L4326" s="52">
        <f t="shared" si="159"/>
        <v>66.666666666666657</v>
      </c>
    </row>
    <row r="4327" spans="1:12">
      <c r="A4327" t="s">
        <v>1055</v>
      </c>
      <c r="B4327" t="s">
        <v>349</v>
      </c>
      <c r="C4327" t="s">
        <v>454</v>
      </c>
      <c r="D4327" s="3" t="s">
        <v>871</v>
      </c>
      <c r="E4327" s="4">
        <v>7.407407407407407E-2</v>
      </c>
      <c r="F4327" s="7" t="s">
        <v>179</v>
      </c>
      <c r="G4327" s="12">
        <f>VLOOKUP(D4327,D241:G4326,4,0)</f>
        <v>612.03499999999997</v>
      </c>
      <c r="H4327" s="9">
        <f t="shared" si="158"/>
        <v>45.33592592592592</v>
      </c>
      <c r="I4327" t="s">
        <v>179</v>
      </c>
      <c r="J4327" s="33" t="s">
        <v>489</v>
      </c>
      <c r="K4327" s="18">
        <f>VLOOKUP(D4327,Ingredients!C:G,5,0)</f>
        <v>1224.73</v>
      </c>
      <c r="L4327" s="52">
        <f t="shared" si="159"/>
        <v>90.720740740740737</v>
      </c>
    </row>
    <row r="4328" spans="1:12">
      <c r="A4328" t="s">
        <v>1055</v>
      </c>
      <c r="B4328" t="s">
        <v>349</v>
      </c>
      <c r="C4328" t="s">
        <v>454</v>
      </c>
      <c r="D4328" s="3" t="s">
        <v>853</v>
      </c>
      <c r="E4328" s="4">
        <v>2.222222222222222E-2</v>
      </c>
      <c r="F4328" s="7" t="s">
        <v>179</v>
      </c>
      <c r="G4328" s="12">
        <f>VLOOKUP(D4328,D242:G4327,4,0)</f>
        <v>30</v>
      </c>
      <c r="H4328" s="9">
        <f t="shared" si="158"/>
        <v>0.66666666666666663</v>
      </c>
      <c r="I4328" t="s">
        <v>179</v>
      </c>
      <c r="J4328" s="33" t="s">
        <v>489</v>
      </c>
      <c r="K4328" s="18">
        <f>VLOOKUP(D4328,Ingredients!C:G,5,0)</f>
        <v>55</v>
      </c>
      <c r="L4328" s="52">
        <f t="shared" si="159"/>
        <v>1.2222222222222221</v>
      </c>
    </row>
    <row r="4329" spans="1:12">
      <c r="A4329" t="s">
        <v>1057</v>
      </c>
      <c r="B4329" t="s">
        <v>362</v>
      </c>
      <c r="C4329" t="s">
        <v>354</v>
      </c>
      <c r="D4329" s="3" t="s">
        <v>946</v>
      </c>
      <c r="E4329" s="4">
        <v>0.38</v>
      </c>
      <c r="F4329" s="7" t="s">
        <v>179</v>
      </c>
      <c r="G4329" s="12">
        <f>VLOOKUP(D4329,D243:G4328,4,0)</f>
        <v>525</v>
      </c>
      <c r="H4329" s="9">
        <f t="shared" ref="H4329:H4338" si="160">G4329*E4329</f>
        <v>199.5</v>
      </c>
      <c r="I4329" t="s">
        <v>179</v>
      </c>
      <c r="J4329" s="33">
        <v>0</v>
      </c>
      <c r="K4329" s="18">
        <f>VLOOKUP(D4329,Ingredients!C:G,5,0)</f>
        <v>430</v>
      </c>
      <c r="L4329" s="52">
        <f t="shared" ref="L4329:L4338" si="161">K4329*E4329</f>
        <v>163.4</v>
      </c>
    </row>
    <row r="4330" spans="1:12">
      <c r="A4330" t="s">
        <v>1057</v>
      </c>
      <c r="B4330" t="s">
        <v>362</v>
      </c>
      <c r="C4330" t="s">
        <v>354</v>
      </c>
      <c r="D4330" s="3" t="s">
        <v>922</v>
      </c>
      <c r="E4330" s="4">
        <v>0.38</v>
      </c>
      <c r="F4330" s="7" t="s">
        <v>179</v>
      </c>
      <c r="G4330" s="12">
        <f>VLOOKUP(D4330,D244:G4329,4,0)</f>
        <v>300</v>
      </c>
      <c r="H4330" s="9">
        <f t="shared" si="160"/>
        <v>114</v>
      </c>
      <c r="I4330" t="s">
        <v>179</v>
      </c>
      <c r="J4330" s="33">
        <v>0</v>
      </c>
      <c r="K4330" s="18">
        <f>VLOOKUP(D4330,Ingredients!C:G,5,0)</f>
        <v>315</v>
      </c>
      <c r="L4330" s="52">
        <f t="shared" si="161"/>
        <v>119.7</v>
      </c>
    </row>
    <row r="4331" spans="1:12">
      <c r="A4331" t="s">
        <v>1057</v>
      </c>
      <c r="B4331" t="s">
        <v>362</v>
      </c>
      <c r="C4331" t="s">
        <v>354</v>
      </c>
      <c r="D4331" s="3" t="s">
        <v>14</v>
      </c>
      <c r="E4331" s="4">
        <v>0.2</v>
      </c>
      <c r="F4331" s="7" t="s">
        <v>179</v>
      </c>
      <c r="G4331" s="12">
        <f>VLOOKUP(D4331,D245:G4330,4,0)</f>
        <v>120</v>
      </c>
      <c r="H4331" s="9">
        <f t="shared" si="160"/>
        <v>24</v>
      </c>
      <c r="I4331" t="s">
        <v>179</v>
      </c>
      <c r="J4331" s="33">
        <v>0</v>
      </c>
      <c r="K4331" s="18">
        <f>VLOOKUP(D4331,Ingredients!C:G,5,0)</f>
        <v>60</v>
      </c>
      <c r="L4331" s="52">
        <f t="shared" si="161"/>
        <v>12</v>
      </c>
    </row>
    <row r="4332" spans="1:12">
      <c r="A4332" t="s">
        <v>1057</v>
      </c>
      <c r="B4332" t="s">
        <v>362</v>
      </c>
      <c r="C4332" t="s">
        <v>354</v>
      </c>
      <c r="D4332" s="3" t="s">
        <v>24</v>
      </c>
      <c r="E4332" s="4">
        <v>7.4999999999999997E-2</v>
      </c>
      <c r="F4332" s="7" t="s">
        <v>179</v>
      </c>
      <c r="G4332" s="12">
        <f>VLOOKUP(D4332,D246:G4331,4,0)</f>
        <v>55</v>
      </c>
      <c r="H4332" s="9">
        <f t="shared" si="160"/>
        <v>4.125</v>
      </c>
      <c r="I4332" t="s">
        <v>179</v>
      </c>
      <c r="J4332" s="33">
        <v>0</v>
      </c>
      <c r="K4332" s="18">
        <f>VLOOKUP(D4332,Ingredients!C:G,5,0)</f>
        <v>80</v>
      </c>
      <c r="L4332" s="52">
        <f t="shared" si="161"/>
        <v>6</v>
      </c>
    </row>
    <row r="4333" spans="1:12">
      <c r="A4333" t="s">
        <v>1057</v>
      </c>
      <c r="B4333" t="s">
        <v>362</v>
      </c>
      <c r="C4333" t="s">
        <v>354</v>
      </c>
      <c r="D4333" s="3" t="s">
        <v>35</v>
      </c>
      <c r="E4333" s="4">
        <v>1</v>
      </c>
      <c r="F4333" s="4" t="s">
        <v>252</v>
      </c>
      <c r="G4333" s="12">
        <f>VLOOKUP(D4333,D247:G4332,4,0)</f>
        <v>13</v>
      </c>
      <c r="H4333" s="9">
        <f t="shared" si="160"/>
        <v>13</v>
      </c>
      <c r="I4333" t="s">
        <v>179</v>
      </c>
      <c r="J4333" s="33">
        <v>0</v>
      </c>
      <c r="K4333" s="18">
        <f>VLOOKUP(D4333,Ingredients!C:G,5,0)</f>
        <v>15</v>
      </c>
      <c r="L4333" s="52">
        <f t="shared" si="161"/>
        <v>15</v>
      </c>
    </row>
    <row r="4334" spans="1:12">
      <c r="A4334" t="s">
        <v>1057</v>
      </c>
      <c r="B4334" t="s">
        <v>362</v>
      </c>
      <c r="C4334" t="s">
        <v>354</v>
      </c>
      <c r="D4334" s="3" t="s">
        <v>50</v>
      </c>
      <c r="E4334" s="4">
        <v>7.0000000000000007E-2</v>
      </c>
      <c r="F4334" s="4" t="s">
        <v>176</v>
      </c>
      <c r="G4334" s="12">
        <f>VLOOKUP(D4334,D248:G4333,4,0)</f>
        <v>120</v>
      </c>
      <c r="H4334" s="9">
        <f t="shared" si="160"/>
        <v>8.4</v>
      </c>
      <c r="I4334" t="s">
        <v>179</v>
      </c>
      <c r="J4334" s="33">
        <v>0</v>
      </c>
      <c r="K4334" s="18">
        <f>VLOOKUP(D4334,Ingredients!C:G,5,0)</f>
        <v>120</v>
      </c>
      <c r="L4334" s="52">
        <f t="shared" si="161"/>
        <v>8.4</v>
      </c>
    </row>
    <row r="4335" spans="1:12">
      <c r="A4335" t="s">
        <v>1057</v>
      </c>
      <c r="B4335" t="s">
        <v>362</v>
      </c>
      <c r="C4335" t="s">
        <v>354</v>
      </c>
      <c r="D4335" s="3" t="s">
        <v>16</v>
      </c>
      <c r="E4335" s="4">
        <v>2.4E-2</v>
      </c>
      <c r="F4335" s="4" t="s">
        <v>176</v>
      </c>
      <c r="G4335" s="12">
        <f>VLOOKUP(D4335,D249:G4334,4,0)</f>
        <v>270</v>
      </c>
      <c r="H4335" s="9">
        <f t="shared" si="160"/>
        <v>6.48</v>
      </c>
      <c r="I4335" t="s">
        <v>179</v>
      </c>
      <c r="J4335" s="33">
        <v>0</v>
      </c>
      <c r="K4335" s="18">
        <f>VLOOKUP(D4335,Ingredients!C:G,5,0)</f>
        <v>310</v>
      </c>
      <c r="L4335" s="52">
        <f t="shared" si="161"/>
        <v>7.44</v>
      </c>
    </row>
    <row r="4336" spans="1:12">
      <c r="A4336" t="s">
        <v>1057</v>
      </c>
      <c r="B4336" t="s">
        <v>362</v>
      </c>
      <c r="C4336" t="s">
        <v>354</v>
      </c>
      <c r="D4336" s="3" t="s">
        <v>10</v>
      </c>
      <c r="E4336" s="4">
        <v>1.6E-2</v>
      </c>
      <c r="F4336" s="4" t="s">
        <v>176</v>
      </c>
      <c r="G4336" s="12">
        <f>VLOOKUP(D4336,D250:G4335,4,0)</f>
        <v>149</v>
      </c>
      <c r="H4336" s="9">
        <f t="shared" si="160"/>
        <v>2.3839999999999999</v>
      </c>
      <c r="I4336" t="s">
        <v>179</v>
      </c>
      <c r="J4336" s="33">
        <v>0</v>
      </c>
      <c r="K4336" s="18">
        <f>VLOOKUP(D4336,Ingredients!C:G,5,0)</f>
        <v>123</v>
      </c>
      <c r="L4336" s="52">
        <f t="shared" si="161"/>
        <v>1.968</v>
      </c>
    </row>
    <row r="4337" spans="1:12">
      <c r="A4337" t="s">
        <v>1057</v>
      </c>
      <c r="B4337" t="s">
        <v>362</v>
      </c>
      <c r="C4337" t="s">
        <v>354</v>
      </c>
      <c r="D4337" s="3" t="s">
        <v>853</v>
      </c>
      <c r="E4337" s="4">
        <v>3.0000000000000001E-3</v>
      </c>
      <c r="F4337" s="4" t="s">
        <v>176</v>
      </c>
      <c r="G4337" s="12">
        <f>VLOOKUP(D4337,D251:G4336,4,0)</f>
        <v>30</v>
      </c>
      <c r="H4337" s="9">
        <f t="shared" si="160"/>
        <v>0.09</v>
      </c>
      <c r="I4337" t="s">
        <v>179</v>
      </c>
      <c r="J4337" s="33">
        <v>0</v>
      </c>
      <c r="K4337" s="18">
        <f>VLOOKUP(D4337,Ingredients!C:G,5,0)</f>
        <v>55</v>
      </c>
      <c r="L4337" s="52">
        <f t="shared" si="161"/>
        <v>0.16500000000000001</v>
      </c>
    </row>
    <row r="4338" spans="1:12">
      <c r="A4338" t="s">
        <v>1057</v>
      </c>
      <c r="B4338" t="s">
        <v>362</v>
      </c>
      <c r="C4338" t="s">
        <v>354</v>
      </c>
      <c r="D4338" s="3" t="s">
        <v>882</v>
      </c>
      <c r="E4338" s="4">
        <v>3.0000000000000001E-3</v>
      </c>
      <c r="F4338" s="4" t="s">
        <v>176</v>
      </c>
      <c r="G4338" s="12">
        <f>VLOOKUP(D4338,D252:G4337,4,0)</f>
        <v>1500</v>
      </c>
      <c r="H4338" s="9">
        <f t="shared" si="160"/>
        <v>4.5</v>
      </c>
      <c r="I4338" t="s">
        <v>179</v>
      </c>
      <c r="J4338" s="33">
        <v>0</v>
      </c>
      <c r="K4338" s="18">
        <f>VLOOKUP(D4338,Ingredients!C:G,5,0)</f>
        <v>1450</v>
      </c>
      <c r="L4338" s="52">
        <f t="shared" si="161"/>
        <v>4.3500000000000005</v>
      </c>
    </row>
    <row r="4339" spans="1:12">
      <c r="A4339" t="s">
        <v>1058</v>
      </c>
      <c r="B4339" t="s">
        <v>346</v>
      </c>
      <c r="C4339" t="s">
        <v>454</v>
      </c>
      <c r="D4339" s="3" t="s">
        <v>171</v>
      </c>
      <c r="E4339" s="14">
        <v>1</v>
      </c>
      <c r="F4339" s="4" t="s">
        <v>176</v>
      </c>
      <c r="G4339" s="12">
        <f>VLOOKUP(D4339,D253:G4338,4,0)</f>
        <v>65</v>
      </c>
      <c r="H4339" s="9">
        <f t="shared" ref="H4339:H4345" si="162">G4339*E4339</f>
        <v>65</v>
      </c>
      <c r="I4339" t="s">
        <v>179</v>
      </c>
      <c r="J4339" s="33">
        <v>0</v>
      </c>
      <c r="K4339" s="18">
        <f>VLOOKUP(D4339,Ingredients!C:G,5,0)</f>
        <v>80</v>
      </c>
      <c r="L4339" s="52">
        <f t="shared" ref="L4339:L4344" si="163">K4339*E4339</f>
        <v>80</v>
      </c>
    </row>
    <row r="4340" spans="1:12">
      <c r="A4340" t="s">
        <v>1058</v>
      </c>
      <c r="B4340" t="s">
        <v>346</v>
      </c>
      <c r="C4340" t="s">
        <v>454</v>
      </c>
      <c r="D4340" s="3" t="s">
        <v>16</v>
      </c>
      <c r="E4340" s="14">
        <v>4.6666666666666669E-2</v>
      </c>
      <c r="F4340" s="4" t="s">
        <v>176</v>
      </c>
      <c r="G4340" s="12">
        <f>VLOOKUP(D4340,D254:G4339,4,0)</f>
        <v>270</v>
      </c>
      <c r="H4340" s="9">
        <f t="shared" si="162"/>
        <v>12.600000000000001</v>
      </c>
      <c r="I4340" t="s">
        <v>179</v>
      </c>
      <c r="J4340" s="33">
        <v>0</v>
      </c>
      <c r="K4340" s="18">
        <f>VLOOKUP(D4340,Ingredients!C:G,5,0)</f>
        <v>310</v>
      </c>
      <c r="L4340" s="52">
        <f t="shared" si="163"/>
        <v>14.466666666666667</v>
      </c>
    </row>
    <row r="4341" spans="1:12">
      <c r="A4341" t="s">
        <v>1058</v>
      </c>
      <c r="B4341" t="s">
        <v>346</v>
      </c>
      <c r="C4341" t="s">
        <v>454</v>
      </c>
      <c r="D4341" s="3" t="s">
        <v>913</v>
      </c>
      <c r="E4341" s="14">
        <v>0.26666666666666666</v>
      </c>
      <c r="F4341" s="4" t="s">
        <v>190</v>
      </c>
      <c r="G4341" s="12">
        <f>VLOOKUP(D4341,D255:G4340,4,0)</f>
        <v>229.16666666666666</v>
      </c>
      <c r="H4341" s="9">
        <f t="shared" si="162"/>
        <v>61.111111111111107</v>
      </c>
      <c r="I4341" t="s">
        <v>179</v>
      </c>
      <c r="J4341" s="33">
        <v>0</v>
      </c>
      <c r="K4341" s="18">
        <f>VLOOKUP(D4341,Ingredients!C:G,5,0)</f>
        <v>220.84</v>
      </c>
      <c r="L4341" s="52">
        <f t="shared" si="163"/>
        <v>58.890666666666668</v>
      </c>
    </row>
    <row r="4342" spans="1:12">
      <c r="A4342" t="s">
        <v>1058</v>
      </c>
      <c r="B4342" t="s">
        <v>346</v>
      </c>
      <c r="C4342" t="s">
        <v>454</v>
      </c>
      <c r="D4342" s="3" t="s">
        <v>865</v>
      </c>
      <c r="E4342" s="14">
        <v>3.3333333333333333E-2</v>
      </c>
      <c r="F4342" s="4" t="s">
        <v>176</v>
      </c>
      <c r="G4342" s="12">
        <f>VLOOKUP(D4342,D256:G4341,4,0)</f>
        <v>1400</v>
      </c>
      <c r="H4342" s="9">
        <f t="shared" si="162"/>
        <v>46.666666666666664</v>
      </c>
      <c r="I4342" t="s">
        <v>179</v>
      </c>
      <c r="J4342" s="33">
        <v>0</v>
      </c>
      <c r="K4342" s="18">
        <f>VLOOKUP(D4342,Ingredients!C:G,5,0)</f>
        <v>1400</v>
      </c>
      <c r="L4342" s="52">
        <f t="shared" si="163"/>
        <v>46.666666666666664</v>
      </c>
    </row>
    <row r="4343" spans="1:12">
      <c r="A4343" t="s">
        <v>1058</v>
      </c>
      <c r="B4343" t="s">
        <v>346</v>
      </c>
      <c r="C4343" t="s">
        <v>454</v>
      </c>
      <c r="D4343" s="3" t="s">
        <v>853</v>
      </c>
      <c r="E4343" s="14">
        <v>4.4444444444444444E-3</v>
      </c>
      <c r="F4343" s="4" t="s">
        <v>176</v>
      </c>
      <c r="G4343" s="12">
        <f>VLOOKUP(D4343,D257:G4342,4,0)</f>
        <v>30</v>
      </c>
      <c r="H4343" s="9">
        <f t="shared" si="162"/>
        <v>0.13333333333333333</v>
      </c>
      <c r="I4343" t="s">
        <v>179</v>
      </c>
      <c r="J4343" s="33">
        <v>0</v>
      </c>
      <c r="K4343" s="18">
        <f>VLOOKUP(D4343,Ingredients!C:G,5,0)</f>
        <v>55</v>
      </c>
      <c r="L4343" s="52">
        <f t="shared" si="163"/>
        <v>0.24444444444444444</v>
      </c>
    </row>
    <row r="4344" spans="1:12">
      <c r="A4344" t="s">
        <v>1058</v>
      </c>
      <c r="B4344" t="s">
        <v>346</v>
      </c>
      <c r="C4344" t="s">
        <v>454</v>
      </c>
      <c r="D4344" s="3" t="s">
        <v>882</v>
      </c>
      <c r="E4344" s="14">
        <v>4.4444444444444444E-3</v>
      </c>
      <c r="F4344" s="4" t="s">
        <v>176</v>
      </c>
      <c r="G4344" s="12">
        <f>VLOOKUP(D4344,D258:G4343,4,0)</f>
        <v>1500</v>
      </c>
      <c r="H4344" s="9">
        <f t="shared" si="162"/>
        <v>6.666666666666667</v>
      </c>
      <c r="I4344" t="s">
        <v>179</v>
      </c>
      <c r="J4344" s="33">
        <v>0</v>
      </c>
      <c r="K4344" s="18">
        <f>VLOOKUP(D4344,Ingredients!C:G,5,0)</f>
        <v>1450</v>
      </c>
      <c r="L4344" s="52">
        <f t="shared" si="163"/>
        <v>6.4444444444444446</v>
      </c>
    </row>
    <row r="4345" spans="1:12">
      <c r="A4345" t="s">
        <v>473</v>
      </c>
      <c r="B4345" t="s">
        <v>356</v>
      </c>
      <c r="C4345" t="s">
        <v>356</v>
      </c>
      <c r="D4345" s="3" t="s">
        <v>473</v>
      </c>
      <c r="E4345" s="4">
        <v>1</v>
      </c>
      <c r="F4345" s="4" t="s">
        <v>176</v>
      </c>
      <c r="G4345" s="12">
        <v>1900</v>
      </c>
      <c r="H4345" s="9">
        <f t="shared" si="162"/>
        <v>1900</v>
      </c>
      <c r="I4345" t="s">
        <v>179</v>
      </c>
      <c r="J4345" s="33">
        <v>0</v>
      </c>
      <c r="K4345" s="18">
        <f>VLOOKUP(D4345,Ingredients!C:G,5,0)</f>
        <v>1900</v>
      </c>
      <c r="L4345" s="52">
        <f t="shared" ref="L4345" si="164">K4345*E4345</f>
        <v>1900</v>
      </c>
    </row>
    <row r="4346" spans="1:12">
      <c r="A4346" t="s">
        <v>1059</v>
      </c>
      <c r="B4346" t="s">
        <v>349</v>
      </c>
      <c r="C4346" t="s">
        <v>984</v>
      </c>
      <c r="D4346" s="3" t="s">
        <v>831</v>
      </c>
      <c r="E4346" s="4">
        <v>0.125</v>
      </c>
      <c r="F4346" s="4" t="s">
        <v>176</v>
      </c>
      <c r="G4346" s="12">
        <f>VLOOKUP(D4346,D260:G4345,4,0)</f>
        <v>908</v>
      </c>
      <c r="H4346" s="9">
        <f t="shared" ref="H4346:H4366" si="165">G4346*E4346</f>
        <v>113.5</v>
      </c>
      <c r="I4346" t="s">
        <v>253</v>
      </c>
      <c r="J4346" s="33" t="s">
        <v>489</v>
      </c>
      <c r="K4346" s="18">
        <f>VLOOKUP(D4346,Ingredients!C:G,5,0)</f>
        <v>908</v>
      </c>
      <c r="L4346" s="52">
        <f t="shared" ref="L4346:L4366" si="166">K4346*E4346</f>
        <v>113.5</v>
      </c>
    </row>
    <row r="4347" spans="1:12">
      <c r="A4347" t="s">
        <v>1059</v>
      </c>
      <c r="B4347" t="s">
        <v>349</v>
      </c>
      <c r="C4347" t="s">
        <v>984</v>
      </c>
      <c r="D4347" s="3" t="s">
        <v>853</v>
      </c>
      <c r="E4347" s="4">
        <v>1E-3</v>
      </c>
      <c r="F4347" s="4" t="s">
        <v>176</v>
      </c>
      <c r="G4347" s="12">
        <f>VLOOKUP(D4347,D261:G4346,4,0)</f>
        <v>30</v>
      </c>
      <c r="H4347" s="9">
        <f t="shared" si="165"/>
        <v>0.03</v>
      </c>
      <c r="I4347" t="s">
        <v>253</v>
      </c>
      <c r="J4347" s="33" t="s">
        <v>489</v>
      </c>
      <c r="K4347" s="18">
        <f>VLOOKUP(D4347,Ingredients!C:G,5,0)</f>
        <v>55</v>
      </c>
      <c r="L4347" s="52">
        <f t="shared" si="166"/>
        <v>5.5E-2</v>
      </c>
    </row>
    <row r="4348" spans="1:12">
      <c r="A4348" t="s">
        <v>1059</v>
      </c>
      <c r="B4348" t="s">
        <v>349</v>
      </c>
      <c r="C4348" t="s">
        <v>984</v>
      </c>
      <c r="D4348" s="3" t="s">
        <v>867</v>
      </c>
      <c r="E4348" s="4">
        <v>5.0000000000000001E-4</v>
      </c>
      <c r="F4348" s="4" t="s">
        <v>176</v>
      </c>
      <c r="G4348" s="12">
        <f>VLOOKUP(D4348,D262:G4347,4,0)</f>
        <v>900</v>
      </c>
      <c r="H4348" s="9">
        <f t="shared" si="165"/>
        <v>0.45</v>
      </c>
      <c r="I4348" t="s">
        <v>253</v>
      </c>
      <c r="J4348" s="33" t="s">
        <v>489</v>
      </c>
      <c r="K4348" s="18">
        <f>VLOOKUP(D4348,Ingredients!C:G,5,0)</f>
        <v>950</v>
      </c>
      <c r="L4348" s="52">
        <f t="shared" si="166"/>
        <v>0.47500000000000003</v>
      </c>
    </row>
    <row r="4349" spans="1:12">
      <c r="A4349" t="s">
        <v>1059</v>
      </c>
      <c r="B4349" t="s">
        <v>349</v>
      </c>
      <c r="C4349" t="s">
        <v>984</v>
      </c>
      <c r="D4349" s="3" t="s">
        <v>23</v>
      </c>
      <c r="E4349" s="4">
        <v>8.7500000000000002E-4</v>
      </c>
      <c r="F4349" s="4" t="s">
        <v>176</v>
      </c>
      <c r="G4349" s="12">
        <f>VLOOKUP(D4349,D263:G4348,4,0)</f>
        <v>740</v>
      </c>
      <c r="H4349" s="9">
        <f t="shared" si="165"/>
        <v>0.64749999999999996</v>
      </c>
      <c r="I4349" t="s">
        <v>253</v>
      </c>
      <c r="J4349" s="33" t="s">
        <v>489</v>
      </c>
      <c r="K4349" s="18">
        <f>VLOOKUP(D4349,Ingredients!C:G,5,0)</f>
        <v>780</v>
      </c>
      <c r="L4349" s="52">
        <f t="shared" si="166"/>
        <v>0.6825</v>
      </c>
    </row>
    <row r="4350" spans="1:12">
      <c r="A4350" t="s">
        <v>1059</v>
      </c>
      <c r="B4350" t="s">
        <v>349</v>
      </c>
      <c r="C4350" t="s">
        <v>984</v>
      </c>
      <c r="D4350" s="3" t="s">
        <v>16</v>
      </c>
      <c r="E4350" s="4">
        <v>8.7500000000000002E-4</v>
      </c>
      <c r="F4350" s="4" t="s">
        <v>176</v>
      </c>
      <c r="G4350" s="12">
        <f>VLOOKUP(D4350,D264:G4349,4,0)</f>
        <v>270</v>
      </c>
      <c r="H4350" s="9">
        <f t="shared" si="165"/>
        <v>0.23625000000000002</v>
      </c>
      <c r="I4350" t="s">
        <v>253</v>
      </c>
      <c r="J4350" s="33" t="s">
        <v>489</v>
      </c>
      <c r="K4350" s="18">
        <f>VLOOKUP(D4350,Ingredients!C:G,5,0)</f>
        <v>310</v>
      </c>
      <c r="L4350" s="52">
        <f t="shared" si="166"/>
        <v>0.27124999999999999</v>
      </c>
    </row>
    <row r="4351" spans="1:12">
      <c r="A4351" t="s">
        <v>1059</v>
      </c>
      <c r="B4351" t="s">
        <v>349</v>
      </c>
      <c r="C4351" t="s">
        <v>984</v>
      </c>
      <c r="D4351" s="3" t="s">
        <v>874</v>
      </c>
      <c r="E4351" s="4">
        <v>1.75E-3</v>
      </c>
      <c r="F4351" s="4" t="s">
        <v>176</v>
      </c>
      <c r="G4351" s="12">
        <f>VLOOKUP(D4351,D265:G4350,4,0)</f>
        <v>110</v>
      </c>
      <c r="H4351" s="9">
        <f t="shared" si="165"/>
        <v>0.1925</v>
      </c>
      <c r="I4351" t="s">
        <v>253</v>
      </c>
      <c r="J4351" s="33" t="s">
        <v>489</v>
      </c>
      <c r="K4351" s="18">
        <f>VLOOKUP(D4351,Ingredients!C:G,5,0)</f>
        <v>179</v>
      </c>
      <c r="L4351" s="52">
        <f t="shared" si="166"/>
        <v>0.31325000000000003</v>
      </c>
    </row>
    <row r="4352" spans="1:12">
      <c r="A4352" t="s">
        <v>1059</v>
      </c>
      <c r="B4352" t="s">
        <v>349</v>
      </c>
      <c r="C4352" t="s">
        <v>984</v>
      </c>
      <c r="D4352" s="3" t="s">
        <v>834</v>
      </c>
      <c r="E4352" s="4">
        <v>1E-3</v>
      </c>
      <c r="F4352" s="4" t="s">
        <v>176</v>
      </c>
      <c r="G4352" s="12">
        <f>VLOOKUP(D4352,D266:G4351,4,0)</f>
        <v>515</v>
      </c>
      <c r="H4352" s="9">
        <f t="shared" si="165"/>
        <v>0.51500000000000001</v>
      </c>
      <c r="I4352" t="s">
        <v>253</v>
      </c>
      <c r="J4352" s="33" t="s">
        <v>489</v>
      </c>
      <c r="K4352" s="18">
        <f>VLOOKUP(D4352,Ingredients!C:G,5,0)</f>
        <v>540</v>
      </c>
      <c r="L4352" s="52">
        <f t="shared" si="166"/>
        <v>0.54</v>
      </c>
    </row>
    <row r="4353" spans="1:12">
      <c r="A4353" t="s">
        <v>1059</v>
      </c>
      <c r="B4353" t="s">
        <v>349</v>
      </c>
      <c r="C4353" t="s">
        <v>984</v>
      </c>
      <c r="D4353" s="3" t="s">
        <v>882</v>
      </c>
      <c r="E4353" s="4">
        <v>8.7500000000000002E-4</v>
      </c>
      <c r="F4353" s="4" t="s">
        <v>176</v>
      </c>
      <c r="G4353" s="12">
        <f>VLOOKUP(D4353,D267:G4352,4,0)</f>
        <v>1500</v>
      </c>
      <c r="H4353" s="9">
        <f t="shared" si="165"/>
        <v>1.3125</v>
      </c>
      <c r="I4353" t="s">
        <v>253</v>
      </c>
      <c r="J4353" s="33" t="s">
        <v>489</v>
      </c>
      <c r="K4353" s="18">
        <f>VLOOKUP(D4353,Ingredients!C:G,5,0)</f>
        <v>1450</v>
      </c>
      <c r="L4353" s="52">
        <f t="shared" si="166"/>
        <v>1.26875</v>
      </c>
    </row>
    <row r="4354" spans="1:12">
      <c r="A4354" t="s">
        <v>1059</v>
      </c>
      <c r="B4354" t="s">
        <v>349</v>
      </c>
      <c r="C4354" t="s">
        <v>984</v>
      </c>
      <c r="D4354" s="3" t="s">
        <v>913</v>
      </c>
      <c r="E4354" s="4">
        <v>3.125E-2</v>
      </c>
      <c r="F4354" s="4" t="s">
        <v>176</v>
      </c>
      <c r="G4354" s="12">
        <f>VLOOKUP(D4354,D268:G4353,4,0)</f>
        <v>229.16666666666666</v>
      </c>
      <c r="H4354" s="9">
        <f t="shared" si="165"/>
        <v>7.161458333333333</v>
      </c>
      <c r="I4354" t="s">
        <v>253</v>
      </c>
      <c r="J4354" s="33" t="s">
        <v>489</v>
      </c>
      <c r="K4354" s="18">
        <f>VLOOKUP(D4354,Ingredients!C:G,5,0)</f>
        <v>220.84</v>
      </c>
      <c r="L4354" s="52">
        <f t="shared" si="166"/>
        <v>6.9012500000000001</v>
      </c>
    </row>
    <row r="4355" spans="1:12">
      <c r="A4355" t="s">
        <v>1059</v>
      </c>
      <c r="B4355" t="s">
        <v>349</v>
      </c>
      <c r="C4355" t="s">
        <v>984</v>
      </c>
      <c r="D4355" s="3" t="s">
        <v>903</v>
      </c>
      <c r="E4355" s="4">
        <v>1.175E-2</v>
      </c>
      <c r="F4355" s="4" t="s">
        <v>176</v>
      </c>
      <c r="G4355" s="12">
        <f>VLOOKUP(D4355,D269:G4354,4,0)</f>
        <v>153.97999999999999</v>
      </c>
      <c r="H4355" s="9">
        <f t="shared" si="165"/>
        <v>1.8092649999999999</v>
      </c>
      <c r="I4355" t="s">
        <v>253</v>
      </c>
      <c r="J4355" s="33" t="s">
        <v>489</v>
      </c>
      <c r="K4355" s="18">
        <f>VLOOKUP(D4355,Ingredients!C:G,5,0)</f>
        <v>152</v>
      </c>
      <c r="L4355" s="52">
        <f t="shared" si="166"/>
        <v>1.786</v>
      </c>
    </row>
    <row r="4356" spans="1:12">
      <c r="A4356" t="s">
        <v>1059</v>
      </c>
      <c r="B4356" t="s">
        <v>349</v>
      </c>
      <c r="C4356" t="s">
        <v>984</v>
      </c>
      <c r="D4356" s="3" t="s">
        <v>835</v>
      </c>
      <c r="E4356" s="4">
        <v>1.175E-2</v>
      </c>
      <c r="F4356" s="4" t="s">
        <v>176</v>
      </c>
      <c r="G4356" s="12">
        <f>VLOOKUP(D4356,D270:G4355,4,0)</f>
        <v>389.34</v>
      </c>
      <c r="H4356" s="9">
        <f t="shared" si="165"/>
        <v>4.5747450000000001</v>
      </c>
      <c r="I4356" t="s">
        <v>253</v>
      </c>
      <c r="J4356" s="33" t="s">
        <v>489</v>
      </c>
      <c r="K4356" s="18">
        <f>VLOOKUP(D4356,Ingredients!C:G,5,0)</f>
        <v>394.63</v>
      </c>
      <c r="L4356" s="52">
        <f t="shared" si="166"/>
        <v>4.6369024999999997</v>
      </c>
    </row>
    <row r="4357" spans="1:12">
      <c r="A4357" t="s">
        <v>1059</v>
      </c>
      <c r="B4357" t="s">
        <v>349</v>
      </c>
      <c r="C4357" t="s">
        <v>984</v>
      </c>
      <c r="D4357" s="3" t="s">
        <v>961</v>
      </c>
      <c r="E4357" s="4">
        <v>1E-3</v>
      </c>
      <c r="F4357" s="4" t="s">
        <v>176</v>
      </c>
      <c r="G4357" s="12">
        <f>VLOOKUP(D4357,D271:G4356,4,0)</f>
        <v>1100</v>
      </c>
      <c r="H4357" s="9">
        <f t="shared" si="165"/>
        <v>1.1000000000000001</v>
      </c>
      <c r="I4357" t="s">
        <v>253</v>
      </c>
      <c r="J4357" s="33" t="s">
        <v>489</v>
      </c>
      <c r="K4357" s="18">
        <f>VLOOKUP(D4357,Ingredients!C:G,5,0)</f>
        <v>1100</v>
      </c>
      <c r="L4357" s="52">
        <f t="shared" si="166"/>
        <v>1.1000000000000001</v>
      </c>
    </row>
    <row r="4358" spans="1:12">
      <c r="A4358" t="s">
        <v>1059</v>
      </c>
      <c r="B4358" t="s">
        <v>349</v>
      </c>
      <c r="C4358" t="s">
        <v>984</v>
      </c>
      <c r="D4358" s="3" t="s">
        <v>867</v>
      </c>
      <c r="E4358" s="4">
        <v>1E-3</v>
      </c>
      <c r="F4358" s="4" t="s">
        <v>176</v>
      </c>
      <c r="G4358" s="12">
        <f>VLOOKUP(D4358,D272:G4357,4,0)</f>
        <v>900</v>
      </c>
      <c r="H4358" s="9">
        <f t="shared" si="165"/>
        <v>0.9</v>
      </c>
      <c r="I4358" t="s">
        <v>253</v>
      </c>
      <c r="J4358" s="33" t="s">
        <v>489</v>
      </c>
      <c r="K4358" s="18">
        <f>VLOOKUP(D4358,Ingredients!C:G,5,0)</f>
        <v>950</v>
      </c>
      <c r="L4358" s="52">
        <f t="shared" si="166"/>
        <v>0.95000000000000007</v>
      </c>
    </row>
    <row r="4359" spans="1:12">
      <c r="A4359" t="s">
        <v>1059</v>
      </c>
      <c r="B4359" t="s">
        <v>349</v>
      </c>
      <c r="C4359" t="s">
        <v>984</v>
      </c>
      <c r="D4359" s="3" t="s">
        <v>853</v>
      </c>
      <c r="E4359" s="4">
        <v>1E-3</v>
      </c>
      <c r="F4359" s="4" t="s">
        <v>176</v>
      </c>
      <c r="G4359" s="12">
        <f>VLOOKUP(D4359,D273:G4358,4,0)</f>
        <v>30</v>
      </c>
      <c r="H4359" s="9">
        <f t="shared" si="165"/>
        <v>0.03</v>
      </c>
      <c r="I4359" t="s">
        <v>253</v>
      </c>
      <c r="J4359" s="33" t="s">
        <v>489</v>
      </c>
      <c r="K4359" s="18">
        <f>VLOOKUP(D4359,Ingredients!C:G,5,0)</f>
        <v>55</v>
      </c>
      <c r="L4359" s="52">
        <f t="shared" si="166"/>
        <v>5.5E-2</v>
      </c>
    </row>
    <row r="4360" spans="1:12">
      <c r="A4360" t="s">
        <v>1059</v>
      </c>
      <c r="B4360" t="s">
        <v>349</v>
      </c>
      <c r="C4360" t="s">
        <v>984</v>
      </c>
      <c r="D4360" s="3" t="s">
        <v>24</v>
      </c>
      <c r="E4360" s="4">
        <v>3.7499999999999999E-2</v>
      </c>
      <c r="F4360" s="4" t="s">
        <v>176</v>
      </c>
      <c r="G4360" s="12">
        <f>VLOOKUP(D4360,D274:G4359,4,0)</f>
        <v>55</v>
      </c>
      <c r="H4360" s="9">
        <f t="shared" si="165"/>
        <v>2.0625</v>
      </c>
      <c r="I4360" t="s">
        <v>253</v>
      </c>
      <c r="J4360" s="33" t="s">
        <v>489</v>
      </c>
      <c r="K4360" s="18">
        <f>VLOOKUP(D4360,Ingredients!C:G,5,0)</f>
        <v>80</v>
      </c>
      <c r="L4360" s="52">
        <f t="shared" si="166"/>
        <v>3</v>
      </c>
    </row>
    <row r="4361" spans="1:12">
      <c r="A4361" t="s">
        <v>1059</v>
      </c>
      <c r="B4361" t="s">
        <v>349</v>
      </c>
      <c r="C4361" t="s">
        <v>984</v>
      </c>
      <c r="D4361" s="3" t="s">
        <v>262</v>
      </c>
      <c r="E4361" s="4">
        <v>2.5000000000000001E-2</v>
      </c>
      <c r="F4361" s="4" t="s">
        <v>176</v>
      </c>
      <c r="G4361" s="12">
        <f>VLOOKUP(D4361,D275:G4360,4,0)</f>
        <v>300</v>
      </c>
      <c r="H4361" s="9">
        <f t="shared" si="165"/>
        <v>7.5</v>
      </c>
      <c r="I4361" t="s">
        <v>253</v>
      </c>
      <c r="J4361" s="33" t="s">
        <v>489</v>
      </c>
      <c r="K4361" s="18">
        <f>VLOOKUP(D4361,Ingredients!C:G,5,0)</f>
        <v>100</v>
      </c>
      <c r="L4361" s="52">
        <f t="shared" si="166"/>
        <v>2.5</v>
      </c>
    </row>
    <row r="4362" spans="1:12">
      <c r="A4362" t="s">
        <v>1059</v>
      </c>
      <c r="B4362" t="s">
        <v>349</v>
      </c>
      <c r="C4362" t="s">
        <v>984</v>
      </c>
      <c r="D4362" s="3" t="s">
        <v>852</v>
      </c>
      <c r="E4362" s="4">
        <v>1.8749999999999999E-2</v>
      </c>
      <c r="F4362" s="4" t="s">
        <v>190</v>
      </c>
      <c r="G4362" s="12">
        <f>VLOOKUP(D4362,D276:G4361,4,0)</f>
        <v>520.63</v>
      </c>
      <c r="H4362" s="9">
        <f t="shared" si="165"/>
        <v>9.7618124999999996</v>
      </c>
      <c r="I4362" t="s">
        <v>253</v>
      </c>
      <c r="J4362" s="33" t="s">
        <v>489</v>
      </c>
      <c r="K4362" s="18">
        <f>VLOOKUP(D4362,Ingredients!C:G,5,0)</f>
        <v>550</v>
      </c>
      <c r="L4362" s="52">
        <f t="shared" si="166"/>
        <v>10.3125</v>
      </c>
    </row>
    <row r="4363" spans="1:12">
      <c r="A4363" t="s">
        <v>1059</v>
      </c>
      <c r="B4363" t="s">
        <v>349</v>
      </c>
      <c r="C4363" t="s">
        <v>984</v>
      </c>
      <c r="D4363" s="3" t="s">
        <v>903</v>
      </c>
      <c r="E4363" s="11">
        <v>9.0909090909090912E-2</v>
      </c>
      <c r="F4363" s="7" t="s">
        <v>179</v>
      </c>
      <c r="G4363" s="9">
        <v>153.97999999999999</v>
      </c>
      <c r="H4363" s="9">
        <f t="shared" si="165"/>
        <v>13.998181818181818</v>
      </c>
      <c r="I4363" t="s">
        <v>253</v>
      </c>
      <c r="J4363" s="33" t="s">
        <v>489</v>
      </c>
      <c r="K4363" s="18">
        <f>VLOOKUP(D4363,Ingredients!C:G,5,0)</f>
        <v>152</v>
      </c>
      <c r="L4363" s="52">
        <f t="shared" si="166"/>
        <v>13.818181818181818</v>
      </c>
    </row>
    <row r="4364" spans="1:12">
      <c r="A4364" t="s">
        <v>1059</v>
      </c>
      <c r="B4364" t="s">
        <v>349</v>
      </c>
      <c r="C4364" t="s">
        <v>984</v>
      </c>
      <c r="D4364" s="3" t="s">
        <v>853</v>
      </c>
      <c r="E4364" s="11">
        <v>4.5454545454545455E-4</v>
      </c>
      <c r="F4364" s="7" t="s">
        <v>179</v>
      </c>
      <c r="G4364" s="9">
        <v>30</v>
      </c>
      <c r="H4364" s="9">
        <f t="shared" si="165"/>
        <v>1.3636363636363636E-2</v>
      </c>
      <c r="I4364" t="s">
        <v>253</v>
      </c>
      <c r="J4364" s="33" t="s">
        <v>489</v>
      </c>
      <c r="K4364" s="18">
        <f>VLOOKUP(D4364,Ingredients!C:G,5,0)</f>
        <v>55</v>
      </c>
      <c r="L4364" s="52">
        <f t="shared" si="166"/>
        <v>2.5000000000000001E-2</v>
      </c>
    </row>
    <row r="4365" spans="1:12">
      <c r="A4365" t="s">
        <v>1059</v>
      </c>
      <c r="B4365" t="s">
        <v>349</v>
      </c>
      <c r="C4365" t="s">
        <v>984</v>
      </c>
      <c r="D4365" s="3" t="s">
        <v>852</v>
      </c>
      <c r="E4365" s="11">
        <v>0.08</v>
      </c>
      <c r="F4365" s="7" t="s">
        <v>179</v>
      </c>
      <c r="G4365" s="9">
        <v>520.63</v>
      </c>
      <c r="H4365" s="9">
        <f t="shared" si="165"/>
        <v>41.650399999999998</v>
      </c>
      <c r="I4365" t="s">
        <v>253</v>
      </c>
      <c r="J4365" s="33" t="s">
        <v>489</v>
      </c>
      <c r="K4365" s="18">
        <v>550</v>
      </c>
      <c r="L4365" s="52">
        <f t="shared" si="166"/>
        <v>44</v>
      </c>
    </row>
    <row r="4366" spans="1:12">
      <c r="A4366" t="s">
        <v>1059</v>
      </c>
      <c r="B4366" t="s">
        <v>349</v>
      </c>
      <c r="C4366" t="s">
        <v>984</v>
      </c>
      <c r="D4366" s="3" t="s">
        <v>866</v>
      </c>
      <c r="E4366" s="11">
        <v>4.5454545454545455E-4</v>
      </c>
      <c r="F4366" s="7" t="s">
        <v>179</v>
      </c>
      <c r="G4366" s="9">
        <v>153.97999999999999</v>
      </c>
      <c r="H4366" s="9">
        <f t="shared" si="165"/>
        <v>6.999090909090909E-2</v>
      </c>
      <c r="I4366" t="s">
        <v>253</v>
      </c>
      <c r="J4366" s="33" t="s">
        <v>489</v>
      </c>
      <c r="K4366" s="18">
        <f>VLOOKUP(D4366,Ingredients!C:G,5,0)</f>
        <v>142.13999999999999</v>
      </c>
      <c r="L4366" s="52">
        <f t="shared" si="166"/>
        <v>6.4609090909090908E-2</v>
      </c>
    </row>
    <row r="4367" spans="1:12">
      <c r="A4367" t="s">
        <v>1060</v>
      </c>
      <c r="B4367" t="s">
        <v>362</v>
      </c>
      <c r="C4367" t="s">
        <v>354</v>
      </c>
      <c r="D4367" s="3" t="s">
        <v>1061</v>
      </c>
      <c r="E4367" s="4">
        <v>0.92</v>
      </c>
      <c r="F4367" s="7" t="s">
        <v>179</v>
      </c>
      <c r="G4367" s="12">
        <f>190/0.4</f>
        <v>475</v>
      </c>
      <c r="H4367" s="9">
        <f t="shared" ref="H4367:H4376" si="167">G4367*E4367</f>
        <v>437</v>
      </c>
      <c r="I4367" t="s">
        <v>253</v>
      </c>
      <c r="J4367" s="33">
        <v>0</v>
      </c>
      <c r="K4367" s="18">
        <f>VLOOKUP(D4367,Ingredients!C:G,5,0)</f>
        <v>475</v>
      </c>
      <c r="L4367" s="52">
        <f t="shared" ref="L4367:L4376" si="168">K4367*E4367</f>
        <v>437</v>
      </c>
    </row>
    <row r="4368" spans="1:12">
      <c r="A4368" t="s">
        <v>1060</v>
      </c>
      <c r="B4368" t="s">
        <v>362</v>
      </c>
      <c r="C4368" t="s">
        <v>354</v>
      </c>
      <c r="D4368" s="3" t="s">
        <v>888</v>
      </c>
      <c r="E4368" s="4">
        <v>0.23</v>
      </c>
      <c r="F4368" s="7" t="s">
        <v>179</v>
      </c>
      <c r="G4368" s="12">
        <f t="shared" ref="G4367:G4376" si="169">VLOOKUP(D4368,D282:G4367,4,0)</f>
        <v>580</v>
      </c>
      <c r="H4368" s="9">
        <f t="shared" si="167"/>
        <v>133.4</v>
      </c>
      <c r="I4368" t="s">
        <v>253</v>
      </c>
      <c r="J4368" s="33">
        <v>0</v>
      </c>
      <c r="K4368" s="18">
        <f>VLOOKUP(D4368,Ingredients!C:G,5,0)</f>
        <v>580</v>
      </c>
      <c r="L4368" s="52">
        <f t="shared" si="168"/>
        <v>133.4</v>
      </c>
    </row>
    <row r="4369" spans="1:12">
      <c r="A4369" t="s">
        <v>1060</v>
      </c>
      <c r="B4369" t="s">
        <v>362</v>
      </c>
      <c r="C4369" t="s">
        <v>354</v>
      </c>
      <c r="D4369" s="3" t="s">
        <v>10</v>
      </c>
      <c r="E4369" s="4">
        <f>0.2*0.67</f>
        <v>0.13400000000000001</v>
      </c>
      <c r="F4369" s="7" t="s">
        <v>179</v>
      </c>
      <c r="G4369" s="12">
        <f t="shared" si="169"/>
        <v>149</v>
      </c>
      <c r="H4369" s="9">
        <f t="shared" si="167"/>
        <v>19.966000000000001</v>
      </c>
      <c r="I4369" t="s">
        <v>253</v>
      </c>
      <c r="J4369" s="33">
        <v>0</v>
      </c>
      <c r="K4369" s="18">
        <f>VLOOKUP(D4369,Ingredients!C:G,5,0)</f>
        <v>123</v>
      </c>
      <c r="L4369" s="52">
        <f t="shared" si="168"/>
        <v>16.481999999999999</v>
      </c>
    </row>
    <row r="4370" spans="1:12">
      <c r="A4370" t="s">
        <v>1060</v>
      </c>
      <c r="B4370" t="s">
        <v>362</v>
      </c>
      <c r="C4370" t="s">
        <v>354</v>
      </c>
      <c r="D4370" s="3" t="s">
        <v>874</v>
      </c>
      <c r="E4370" s="4">
        <v>0.06</v>
      </c>
      <c r="F4370" s="7" t="s">
        <v>179</v>
      </c>
      <c r="G4370" s="12">
        <f t="shared" si="169"/>
        <v>110</v>
      </c>
      <c r="H4370" s="9">
        <f t="shared" si="167"/>
        <v>6.6</v>
      </c>
      <c r="I4370" t="s">
        <v>253</v>
      </c>
      <c r="J4370" s="33">
        <v>0</v>
      </c>
      <c r="K4370" s="18">
        <f>VLOOKUP(D4370,Ingredients!C:G,5,0)</f>
        <v>179</v>
      </c>
      <c r="L4370" s="52">
        <f t="shared" si="168"/>
        <v>10.74</v>
      </c>
    </row>
    <row r="4371" spans="1:12">
      <c r="A4371" t="s">
        <v>1060</v>
      </c>
      <c r="B4371" t="s">
        <v>362</v>
      </c>
      <c r="C4371" t="s">
        <v>354</v>
      </c>
      <c r="D4371" s="3" t="s">
        <v>834</v>
      </c>
      <c r="E4371" s="4">
        <v>0.03</v>
      </c>
      <c r="F4371" s="7" t="s">
        <v>179</v>
      </c>
      <c r="G4371" s="12">
        <f t="shared" si="169"/>
        <v>515</v>
      </c>
      <c r="H4371" s="9">
        <f t="shared" si="167"/>
        <v>15.45</v>
      </c>
      <c r="I4371" t="s">
        <v>253</v>
      </c>
      <c r="J4371" s="33">
        <v>0</v>
      </c>
      <c r="K4371" s="18">
        <f>VLOOKUP(D4371,Ingredients!C:G,5,0)</f>
        <v>540</v>
      </c>
      <c r="L4371" s="52">
        <f t="shared" si="168"/>
        <v>16.2</v>
      </c>
    </row>
    <row r="4372" spans="1:12">
      <c r="A4372" t="s">
        <v>1060</v>
      </c>
      <c r="B4372" t="s">
        <v>362</v>
      </c>
      <c r="C4372" t="s">
        <v>354</v>
      </c>
      <c r="D4372" s="3" t="s">
        <v>853</v>
      </c>
      <c r="E4372" s="4">
        <v>1.6E-2</v>
      </c>
      <c r="F4372" s="7" t="s">
        <v>179</v>
      </c>
      <c r="G4372" s="12">
        <f t="shared" si="169"/>
        <v>30</v>
      </c>
      <c r="H4372" s="9">
        <f t="shared" si="167"/>
        <v>0.48</v>
      </c>
      <c r="I4372" t="s">
        <v>253</v>
      </c>
      <c r="J4372" s="33">
        <v>0</v>
      </c>
      <c r="K4372" s="18">
        <f>VLOOKUP(D4372,Ingredients!C:G,5,0)</f>
        <v>55</v>
      </c>
      <c r="L4372" s="52">
        <f t="shared" si="168"/>
        <v>0.88</v>
      </c>
    </row>
    <row r="4373" spans="1:12">
      <c r="A4373" t="s">
        <v>1060</v>
      </c>
      <c r="B4373" t="s">
        <v>362</v>
      </c>
      <c r="C4373" t="s">
        <v>354</v>
      </c>
      <c r="D4373" s="3" t="s">
        <v>882</v>
      </c>
      <c r="E4373" s="4">
        <v>5.0000000000000001E-3</v>
      </c>
      <c r="F4373" s="7" t="s">
        <v>179</v>
      </c>
      <c r="G4373" s="12">
        <f t="shared" si="169"/>
        <v>1500</v>
      </c>
      <c r="H4373" s="9">
        <f t="shared" si="167"/>
        <v>7.5</v>
      </c>
      <c r="I4373" t="s">
        <v>253</v>
      </c>
      <c r="J4373" s="33">
        <v>0</v>
      </c>
      <c r="K4373" s="18">
        <f>VLOOKUP(D4373,Ingredients!C:G,5,0)</f>
        <v>1450</v>
      </c>
      <c r="L4373" s="52">
        <f t="shared" si="168"/>
        <v>7.25</v>
      </c>
    </row>
    <row r="4374" spans="1:12">
      <c r="A4374" t="s">
        <v>1060</v>
      </c>
      <c r="B4374" t="s">
        <v>362</v>
      </c>
      <c r="C4374" t="s">
        <v>354</v>
      </c>
      <c r="D4374" s="3" t="s">
        <v>24</v>
      </c>
      <c r="E4374" s="4">
        <v>0.17</v>
      </c>
      <c r="F4374" s="7" t="s">
        <v>179</v>
      </c>
      <c r="G4374" s="12">
        <f t="shared" si="169"/>
        <v>55</v>
      </c>
      <c r="H4374" s="9">
        <f t="shared" si="167"/>
        <v>9.3500000000000014</v>
      </c>
      <c r="I4374" t="s">
        <v>253</v>
      </c>
      <c r="J4374" s="33">
        <v>0</v>
      </c>
      <c r="K4374" s="18">
        <f>VLOOKUP(D4374,Ingredients!C:G,5,0)</f>
        <v>80</v>
      </c>
      <c r="L4374" s="52">
        <f t="shared" si="168"/>
        <v>13.600000000000001</v>
      </c>
    </row>
    <row r="4375" spans="1:12">
      <c r="A4375" t="s">
        <v>1060</v>
      </c>
      <c r="B4375" t="s">
        <v>362</v>
      </c>
      <c r="C4375" t="s">
        <v>354</v>
      </c>
      <c r="D4375" s="3" t="s">
        <v>95</v>
      </c>
      <c r="E4375" s="4">
        <v>0.12</v>
      </c>
      <c r="F4375" s="7" t="s">
        <v>179</v>
      </c>
      <c r="G4375" s="12">
        <f t="shared" si="169"/>
        <v>140</v>
      </c>
      <c r="H4375" s="9">
        <f t="shared" si="167"/>
        <v>16.8</v>
      </c>
      <c r="I4375" t="s">
        <v>253</v>
      </c>
      <c r="J4375" s="33">
        <v>0</v>
      </c>
      <c r="K4375" s="18">
        <f>VLOOKUP(D4375,Ingredients!C:G,5,0)</f>
        <v>90</v>
      </c>
      <c r="L4375" s="52">
        <f t="shared" si="168"/>
        <v>10.799999999999999</v>
      </c>
    </row>
    <row r="4376" spans="1:12">
      <c r="A4376" t="s">
        <v>1060</v>
      </c>
      <c r="B4376" t="s">
        <v>362</v>
      </c>
      <c r="C4376" t="s">
        <v>354</v>
      </c>
      <c r="D4376" s="3" t="s">
        <v>867</v>
      </c>
      <c r="E4376" s="4">
        <v>1.4E-2</v>
      </c>
      <c r="F4376" s="7" t="s">
        <v>179</v>
      </c>
      <c r="G4376" s="12">
        <f t="shared" si="169"/>
        <v>900</v>
      </c>
      <c r="H4376" s="9">
        <f t="shared" si="167"/>
        <v>12.6</v>
      </c>
      <c r="I4376" t="s">
        <v>253</v>
      </c>
      <c r="J4376" s="33">
        <v>0</v>
      </c>
      <c r="K4376" s="18">
        <f>VLOOKUP(D4376,Ingredients!C:G,5,0)</f>
        <v>950</v>
      </c>
      <c r="L4376" s="52">
        <f t="shared" si="168"/>
        <v>13.3</v>
      </c>
    </row>
    <row r="4377" spans="1:12">
      <c r="A4377" t="s">
        <v>1062</v>
      </c>
      <c r="B4377" t="s">
        <v>349</v>
      </c>
      <c r="C4377" t="s">
        <v>984</v>
      </c>
      <c r="D4377" s="3" t="s">
        <v>831</v>
      </c>
      <c r="E4377" s="4">
        <v>6.25E-2</v>
      </c>
      <c r="F4377" s="7" t="s">
        <v>179</v>
      </c>
      <c r="G4377" s="12">
        <f t="shared" ref="G4377:G4388" si="170">VLOOKUP(D4377,D291:G4376,4,0)</f>
        <v>908</v>
      </c>
      <c r="H4377" s="9">
        <f t="shared" ref="H4377:H4388" si="171">G4377*E4377</f>
        <v>56.75</v>
      </c>
      <c r="I4377" t="s">
        <v>253</v>
      </c>
      <c r="J4377" s="33" t="s">
        <v>489</v>
      </c>
      <c r="K4377" s="18">
        <f>VLOOKUP(D4377,Ingredients!C:G,5,0)</f>
        <v>908</v>
      </c>
      <c r="L4377" s="52">
        <f t="shared" ref="L4377:L4388" si="172">K4377*E4377</f>
        <v>56.75</v>
      </c>
    </row>
    <row r="4378" spans="1:12">
      <c r="A4378" t="s">
        <v>1062</v>
      </c>
      <c r="B4378" t="s">
        <v>349</v>
      </c>
      <c r="C4378" t="s">
        <v>984</v>
      </c>
      <c r="D4378" s="3" t="s">
        <v>900</v>
      </c>
      <c r="E4378" s="4">
        <v>0.02</v>
      </c>
      <c r="F4378" s="7" t="s">
        <v>179</v>
      </c>
      <c r="G4378" s="12">
        <f t="shared" si="170"/>
        <v>440</v>
      </c>
      <c r="H4378" s="9">
        <f t="shared" si="171"/>
        <v>8.8000000000000007</v>
      </c>
      <c r="I4378" t="s">
        <v>253</v>
      </c>
      <c r="J4378" s="33" t="s">
        <v>489</v>
      </c>
      <c r="K4378" s="18">
        <f>VLOOKUP(D4378,Ingredients!C:G,5,0)</f>
        <v>440</v>
      </c>
      <c r="L4378" s="52">
        <f t="shared" si="172"/>
        <v>8.8000000000000007</v>
      </c>
    </row>
    <row r="4379" spans="1:12">
      <c r="A4379" t="s">
        <v>1062</v>
      </c>
      <c r="B4379" t="s">
        <v>349</v>
      </c>
      <c r="C4379" t="s">
        <v>984</v>
      </c>
      <c r="D4379" s="3" t="s">
        <v>16</v>
      </c>
      <c r="E4379" s="4">
        <v>1E-3</v>
      </c>
      <c r="F4379" s="7" t="s">
        <v>179</v>
      </c>
      <c r="G4379" s="12">
        <f t="shared" si="170"/>
        <v>270</v>
      </c>
      <c r="H4379" s="9">
        <f t="shared" si="171"/>
        <v>0.27</v>
      </c>
      <c r="I4379" t="s">
        <v>253</v>
      </c>
      <c r="J4379" s="33" t="s">
        <v>489</v>
      </c>
      <c r="K4379" s="18">
        <f>VLOOKUP(D4379,Ingredients!C:G,5,0)</f>
        <v>310</v>
      </c>
      <c r="L4379" s="52">
        <f t="shared" si="172"/>
        <v>0.31</v>
      </c>
    </row>
    <row r="4380" spans="1:12">
      <c r="A4380" t="s">
        <v>1062</v>
      </c>
      <c r="B4380" t="s">
        <v>349</v>
      </c>
      <c r="C4380" t="s">
        <v>984</v>
      </c>
      <c r="D4380" s="3" t="s">
        <v>24</v>
      </c>
      <c r="E4380" s="4">
        <v>7.4999999999999997E-3</v>
      </c>
      <c r="F4380" s="7" t="s">
        <v>179</v>
      </c>
      <c r="G4380" s="12">
        <f t="shared" si="170"/>
        <v>55</v>
      </c>
      <c r="H4380" s="9">
        <f t="shared" si="171"/>
        <v>0.41249999999999998</v>
      </c>
      <c r="I4380" t="s">
        <v>253</v>
      </c>
      <c r="J4380" s="33" t="s">
        <v>489</v>
      </c>
      <c r="K4380" s="18">
        <f>VLOOKUP(D4380,Ingredients!C:G,5,0)</f>
        <v>80</v>
      </c>
      <c r="L4380" s="52">
        <f t="shared" si="172"/>
        <v>0.6</v>
      </c>
    </row>
    <row r="4381" spans="1:12">
      <c r="A4381" t="s">
        <v>1062</v>
      </c>
      <c r="B4381" t="s">
        <v>349</v>
      </c>
      <c r="C4381" t="s">
        <v>984</v>
      </c>
      <c r="D4381" s="3" t="s">
        <v>853</v>
      </c>
      <c r="E4381" s="4">
        <v>7.5000000000000002E-4</v>
      </c>
      <c r="F4381" s="7" t="s">
        <v>179</v>
      </c>
      <c r="G4381" s="12">
        <f t="shared" si="170"/>
        <v>30</v>
      </c>
      <c r="H4381" s="9">
        <f t="shared" si="171"/>
        <v>2.2499999999999999E-2</v>
      </c>
      <c r="I4381" t="s">
        <v>253</v>
      </c>
      <c r="J4381" s="33" t="s">
        <v>489</v>
      </c>
      <c r="K4381" s="18">
        <f>VLOOKUP(D4381,Ingredients!C:G,5,0)</f>
        <v>55</v>
      </c>
      <c r="L4381" s="52">
        <f t="shared" si="172"/>
        <v>4.1250000000000002E-2</v>
      </c>
    </row>
    <row r="4382" spans="1:12">
      <c r="A4382" t="s">
        <v>1062</v>
      </c>
      <c r="B4382" t="s">
        <v>349</v>
      </c>
      <c r="C4382" t="s">
        <v>984</v>
      </c>
      <c r="D4382" s="3" t="s">
        <v>882</v>
      </c>
      <c r="E4382" s="4">
        <v>7.5000000000000002E-4</v>
      </c>
      <c r="F4382" s="7" t="s">
        <v>179</v>
      </c>
      <c r="G4382" s="12">
        <f t="shared" si="170"/>
        <v>1500</v>
      </c>
      <c r="H4382" s="9">
        <f t="shared" si="171"/>
        <v>1.125</v>
      </c>
      <c r="I4382" t="s">
        <v>253</v>
      </c>
      <c r="J4382" s="33" t="s">
        <v>489</v>
      </c>
      <c r="K4382" s="18">
        <f>VLOOKUP(D4382,Ingredients!C:G,5,0)</f>
        <v>1450</v>
      </c>
      <c r="L4382" s="52">
        <f t="shared" si="172"/>
        <v>1.0875000000000001</v>
      </c>
    </row>
    <row r="4383" spans="1:12">
      <c r="A4383" t="s">
        <v>1062</v>
      </c>
      <c r="B4383" t="s">
        <v>349</v>
      </c>
      <c r="C4383" t="s">
        <v>984</v>
      </c>
      <c r="D4383" s="3" t="s">
        <v>50</v>
      </c>
      <c r="E4383" s="4">
        <v>5.0000000000000001E-4</v>
      </c>
      <c r="F4383" s="7" t="s">
        <v>179</v>
      </c>
      <c r="G4383" s="12">
        <f t="shared" si="170"/>
        <v>120</v>
      </c>
      <c r="H4383" s="9">
        <f t="shared" si="171"/>
        <v>0.06</v>
      </c>
      <c r="I4383" t="s">
        <v>253</v>
      </c>
      <c r="J4383" s="33" t="s">
        <v>489</v>
      </c>
      <c r="K4383" s="18">
        <f>VLOOKUP(D4383,Ingredients!C:G,5,0)</f>
        <v>120</v>
      </c>
      <c r="L4383" s="52">
        <f t="shared" si="172"/>
        <v>0.06</v>
      </c>
    </row>
    <row r="4384" spans="1:12">
      <c r="A4384" t="s">
        <v>1062</v>
      </c>
      <c r="B4384" t="s">
        <v>349</v>
      </c>
      <c r="C4384" t="s">
        <v>984</v>
      </c>
      <c r="D4384" s="3" t="s">
        <v>852</v>
      </c>
      <c r="E4384" s="4">
        <v>1.4999999999999999E-2</v>
      </c>
      <c r="F4384" s="7" t="s">
        <v>190</v>
      </c>
      <c r="G4384" s="12">
        <f t="shared" si="170"/>
        <v>520.63</v>
      </c>
      <c r="H4384" s="9">
        <f t="shared" si="171"/>
        <v>7.80945</v>
      </c>
      <c r="I4384" t="s">
        <v>253</v>
      </c>
      <c r="J4384" s="33" t="s">
        <v>489</v>
      </c>
      <c r="K4384" s="18">
        <f>VLOOKUP(D4384,Ingredients!C:G,5,0)</f>
        <v>550</v>
      </c>
      <c r="L4384" s="52">
        <f t="shared" si="172"/>
        <v>8.25</v>
      </c>
    </row>
    <row r="4385" spans="1:12">
      <c r="A4385" t="s">
        <v>1062</v>
      </c>
      <c r="B4385" t="s">
        <v>349</v>
      </c>
      <c r="C4385" t="s">
        <v>984</v>
      </c>
      <c r="D4385" s="3" t="s">
        <v>966</v>
      </c>
      <c r="E4385" s="4">
        <v>1</v>
      </c>
      <c r="F4385" s="7" t="s">
        <v>253</v>
      </c>
      <c r="G4385" s="12">
        <f t="shared" si="170"/>
        <v>17</v>
      </c>
      <c r="H4385" s="9">
        <f t="shared" si="171"/>
        <v>17</v>
      </c>
      <c r="I4385" t="s">
        <v>253</v>
      </c>
      <c r="J4385" s="33" t="s">
        <v>489</v>
      </c>
      <c r="K4385" s="18">
        <f>VLOOKUP(D4385,Ingredients!C:G,5,0)</f>
        <v>17</v>
      </c>
      <c r="L4385" s="52">
        <f t="shared" si="172"/>
        <v>17</v>
      </c>
    </row>
    <row r="4386" spans="1:12">
      <c r="A4386" t="s">
        <v>1062</v>
      </c>
      <c r="B4386" t="s">
        <v>349</v>
      </c>
      <c r="C4386" t="s">
        <v>984</v>
      </c>
      <c r="D4386" s="3" t="s">
        <v>28</v>
      </c>
      <c r="E4386" s="4">
        <v>0.03</v>
      </c>
      <c r="F4386" s="7" t="s">
        <v>179</v>
      </c>
      <c r="G4386" s="12">
        <f t="shared" si="170"/>
        <v>85</v>
      </c>
      <c r="H4386" s="9">
        <f t="shared" si="171"/>
        <v>2.5499999999999998</v>
      </c>
      <c r="I4386" t="s">
        <v>253</v>
      </c>
      <c r="J4386" s="33" t="s">
        <v>489</v>
      </c>
      <c r="K4386" s="18">
        <f>VLOOKUP(D4386,Ingredients!C:G,5,0)</f>
        <v>70</v>
      </c>
      <c r="L4386" s="52">
        <f t="shared" si="172"/>
        <v>2.1</v>
      </c>
    </row>
    <row r="4387" spans="1:12">
      <c r="A4387" t="s">
        <v>1062</v>
      </c>
      <c r="B4387" t="s">
        <v>349</v>
      </c>
      <c r="C4387" t="s">
        <v>984</v>
      </c>
      <c r="D4387" s="3" t="s">
        <v>262</v>
      </c>
      <c r="E4387" s="4">
        <v>3.7499999999999999E-2</v>
      </c>
      <c r="F4387" s="7" t="s">
        <v>179</v>
      </c>
      <c r="G4387" s="12">
        <f t="shared" si="170"/>
        <v>300</v>
      </c>
      <c r="H4387" s="9">
        <f t="shared" si="171"/>
        <v>11.25</v>
      </c>
      <c r="I4387" t="s">
        <v>253</v>
      </c>
      <c r="J4387" s="33" t="s">
        <v>489</v>
      </c>
      <c r="K4387" s="18">
        <f>VLOOKUP(D4387,Ingredients!C:G,5,0)</f>
        <v>100</v>
      </c>
      <c r="L4387" s="52">
        <f t="shared" si="172"/>
        <v>3.75</v>
      </c>
    </row>
    <row r="4388" spans="1:12">
      <c r="A4388" t="s">
        <v>1062</v>
      </c>
      <c r="B4388" t="s">
        <v>349</v>
      </c>
      <c r="C4388" t="s">
        <v>984</v>
      </c>
      <c r="D4388" s="3" t="s">
        <v>888</v>
      </c>
      <c r="E4388" s="4">
        <v>0.02</v>
      </c>
      <c r="F4388" s="7" t="s">
        <v>179</v>
      </c>
      <c r="G4388" s="12">
        <f t="shared" si="170"/>
        <v>580</v>
      </c>
      <c r="H4388" s="9">
        <f t="shared" si="171"/>
        <v>11.6</v>
      </c>
      <c r="I4388" t="s">
        <v>253</v>
      </c>
      <c r="J4388" s="33" t="s">
        <v>489</v>
      </c>
      <c r="K4388" s="18">
        <f>VLOOKUP(D4388,Ingredients!C:G,5,0)</f>
        <v>580</v>
      </c>
      <c r="L4388" s="52">
        <f t="shared" si="172"/>
        <v>11.6</v>
      </c>
    </row>
    <row r="4389" spans="1:12">
      <c r="A4389" t="s">
        <v>1062</v>
      </c>
      <c r="B4389" t="s">
        <v>349</v>
      </c>
      <c r="C4389" t="s">
        <v>984</v>
      </c>
      <c r="D4389" s="3" t="s">
        <v>863</v>
      </c>
      <c r="E4389" s="4">
        <v>0.02</v>
      </c>
      <c r="F4389" s="7" t="s">
        <v>179</v>
      </c>
      <c r="G4389" s="12">
        <f t="shared" ref="G4389:G4444" si="173">VLOOKUP(D4389,D303:G4388,4,0)</f>
        <v>675</v>
      </c>
      <c r="H4389" s="9">
        <f t="shared" ref="H4389:H4444" si="174">G4389*E4389</f>
        <v>13.5</v>
      </c>
      <c r="I4389" t="s">
        <v>253</v>
      </c>
      <c r="J4389" s="33" t="s">
        <v>489</v>
      </c>
      <c r="K4389" s="18">
        <f>VLOOKUP(D4389,Ingredients!C:G,5,0)</f>
        <v>675</v>
      </c>
      <c r="L4389" s="52">
        <f t="shared" ref="L4389" si="175">K4389*E4389</f>
        <v>13.5</v>
      </c>
    </row>
    <row r="4390" spans="1:12">
      <c r="A4390" t="s">
        <v>1066</v>
      </c>
      <c r="B4390" t="s">
        <v>349</v>
      </c>
      <c r="C4390" t="s">
        <v>984</v>
      </c>
      <c r="D4390" t="s">
        <v>1063</v>
      </c>
      <c r="E4390" s="4">
        <v>0.11099999999999999</v>
      </c>
      <c r="F4390" s="4" t="s">
        <v>179</v>
      </c>
      <c r="G4390" s="12">
        <v>864.86</v>
      </c>
      <c r="H4390" s="9">
        <f t="shared" si="174"/>
        <v>95.999459999999985</v>
      </c>
      <c r="I4390" t="s">
        <v>253</v>
      </c>
      <c r="J4390" s="33" t="s">
        <v>489</v>
      </c>
      <c r="K4390" s="18">
        <f>VLOOKUP(D4390,Ingredients!C:G,5,0)</f>
        <v>864.86</v>
      </c>
      <c r="L4390" s="52">
        <f t="shared" ref="L4390:L4399" si="176">K4390*E4390</f>
        <v>95.999459999999985</v>
      </c>
    </row>
    <row r="4391" spans="1:12">
      <c r="A4391" t="s">
        <v>1066</v>
      </c>
      <c r="B4391" t="s">
        <v>349</v>
      </c>
      <c r="C4391" t="s">
        <v>984</v>
      </c>
      <c r="D4391" t="s">
        <v>979</v>
      </c>
      <c r="E4391" s="4">
        <v>0.4</v>
      </c>
      <c r="F4391" s="4" t="s">
        <v>179</v>
      </c>
      <c r="G4391" s="12">
        <f t="shared" si="173"/>
        <v>153.97999999999999</v>
      </c>
      <c r="H4391" s="9">
        <f t="shared" si="174"/>
        <v>61.591999999999999</v>
      </c>
      <c r="I4391" t="s">
        <v>253</v>
      </c>
      <c r="J4391" s="33" t="s">
        <v>489</v>
      </c>
      <c r="K4391" s="18">
        <f>VLOOKUP(D4391,Ingredients!C:G,5,0)</f>
        <v>142.13999999999999</v>
      </c>
      <c r="L4391" s="52">
        <f t="shared" si="176"/>
        <v>56.855999999999995</v>
      </c>
    </row>
    <row r="4392" spans="1:12">
      <c r="A4392" t="s">
        <v>1066</v>
      </c>
      <c r="B4392" t="s">
        <v>349</v>
      </c>
      <c r="C4392" t="s">
        <v>984</v>
      </c>
      <c r="D4392" t="s">
        <v>899</v>
      </c>
      <c r="E4392" s="4">
        <v>0.1</v>
      </c>
      <c r="F4392" s="4" t="s">
        <v>179</v>
      </c>
      <c r="G4392" s="12">
        <f t="shared" si="173"/>
        <v>1511.98</v>
      </c>
      <c r="H4392" s="9">
        <f t="shared" si="174"/>
        <v>151.19800000000001</v>
      </c>
      <c r="I4392" t="s">
        <v>253</v>
      </c>
      <c r="J4392" s="33" t="s">
        <v>489</v>
      </c>
      <c r="K4392" s="18">
        <f>VLOOKUP(D4392,Ingredients!C:G,5,0)</f>
        <v>1511.98</v>
      </c>
      <c r="L4392" s="52">
        <f t="shared" si="176"/>
        <v>151.19800000000001</v>
      </c>
    </row>
    <row r="4393" spans="1:12">
      <c r="A4393" t="s">
        <v>1066</v>
      </c>
      <c r="B4393" t="s">
        <v>349</v>
      </c>
      <c r="C4393" t="s">
        <v>984</v>
      </c>
      <c r="D4393" t="s">
        <v>871</v>
      </c>
      <c r="E4393" s="4">
        <v>0.1</v>
      </c>
      <c r="F4393" s="4" t="s">
        <v>179</v>
      </c>
      <c r="G4393" s="12">
        <f t="shared" si="173"/>
        <v>612.03499999999997</v>
      </c>
      <c r="H4393" s="9">
        <f t="shared" si="174"/>
        <v>61.203499999999998</v>
      </c>
      <c r="I4393" t="s">
        <v>253</v>
      </c>
      <c r="J4393" s="33" t="s">
        <v>489</v>
      </c>
      <c r="K4393" s="18">
        <f>VLOOKUP(D4393,Ingredients!C:G,5,0)</f>
        <v>1224.73</v>
      </c>
      <c r="L4393" s="52">
        <f t="shared" si="176"/>
        <v>122.47300000000001</v>
      </c>
    </row>
    <row r="4394" spans="1:12">
      <c r="A4394" t="s">
        <v>1066</v>
      </c>
      <c r="B4394" t="s">
        <v>349</v>
      </c>
      <c r="C4394" t="s">
        <v>984</v>
      </c>
      <c r="D4394" t="s">
        <v>1065</v>
      </c>
      <c r="E4394" s="4">
        <v>3.7999999999999999E-2</v>
      </c>
      <c r="F4394" s="4" t="s">
        <v>179</v>
      </c>
      <c r="G4394" s="12">
        <f t="shared" si="173"/>
        <v>1750</v>
      </c>
      <c r="H4394" s="9">
        <f t="shared" si="174"/>
        <v>66.5</v>
      </c>
      <c r="I4394" t="s">
        <v>253</v>
      </c>
      <c r="J4394" s="33" t="s">
        <v>489</v>
      </c>
      <c r="K4394" s="18">
        <f>VLOOKUP(D4394,Ingredients!C:G,5,0)</f>
        <v>776</v>
      </c>
      <c r="L4394" s="52">
        <f t="shared" si="176"/>
        <v>29.488</v>
      </c>
    </row>
    <row r="4395" spans="1:12">
      <c r="A4395" t="s">
        <v>1066</v>
      </c>
      <c r="B4395" t="s">
        <v>349</v>
      </c>
      <c r="C4395" t="s">
        <v>984</v>
      </c>
      <c r="D4395" t="s">
        <v>889</v>
      </c>
      <c r="E4395" s="4">
        <v>4.4999999999999998E-2</v>
      </c>
      <c r="F4395" s="4" t="s">
        <v>179</v>
      </c>
      <c r="G4395" s="12">
        <f t="shared" si="173"/>
        <v>1648.3235294117644</v>
      </c>
      <c r="H4395" s="9">
        <f t="shared" si="174"/>
        <v>74.174558823529395</v>
      </c>
      <c r="I4395" t="s">
        <v>253</v>
      </c>
      <c r="J4395" s="33" t="s">
        <v>489</v>
      </c>
      <c r="K4395" s="18">
        <f>VLOOKUP(D4395,Ingredients!C:G,5,0)</f>
        <v>2350</v>
      </c>
      <c r="L4395" s="52">
        <f t="shared" si="176"/>
        <v>105.75</v>
      </c>
    </row>
    <row r="4396" spans="1:12">
      <c r="A4396" t="s">
        <v>1066</v>
      </c>
      <c r="B4396" t="s">
        <v>349</v>
      </c>
      <c r="C4396" t="s">
        <v>984</v>
      </c>
      <c r="D4396" t="s">
        <v>95</v>
      </c>
      <c r="E4396" s="4">
        <v>4.3999999999999997E-2</v>
      </c>
      <c r="F4396" s="4" t="s">
        <v>179</v>
      </c>
      <c r="G4396" s="12">
        <f t="shared" si="173"/>
        <v>140</v>
      </c>
      <c r="H4396" s="9">
        <f t="shared" si="174"/>
        <v>6.1599999999999993</v>
      </c>
      <c r="I4396" t="s">
        <v>253</v>
      </c>
      <c r="J4396" s="33" t="s">
        <v>489</v>
      </c>
      <c r="K4396" s="18">
        <f>VLOOKUP(D4396,Ingredients!C:G,5,0)</f>
        <v>90</v>
      </c>
      <c r="L4396" s="52">
        <f t="shared" si="176"/>
        <v>3.96</v>
      </c>
    </row>
    <row r="4397" spans="1:12">
      <c r="A4397" t="s">
        <v>1066</v>
      </c>
      <c r="B4397" t="s">
        <v>349</v>
      </c>
      <c r="C4397" t="s">
        <v>984</v>
      </c>
      <c r="D4397" t="s">
        <v>24</v>
      </c>
      <c r="E4397" s="4">
        <v>4.4999999999999998E-2</v>
      </c>
      <c r="F4397" s="4" t="s">
        <v>179</v>
      </c>
      <c r="G4397" s="12">
        <f t="shared" si="173"/>
        <v>55</v>
      </c>
      <c r="H4397" s="9">
        <f t="shared" si="174"/>
        <v>2.4750000000000001</v>
      </c>
      <c r="I4397" t="s">
        <v>253</v>
      </c>
      <c r="J4397" s="33" t="s">
        <v>489</v>
      </c>
      <c r="K4397" s="18">
        <f>VLOOKUP(D4397,Ingredients!C:G,5,0)</f>
        <v>80</v>
      </c>
      <c r="L4397" s="52">
        <f t="shared" si="176"/>
        <v>3.5999999999999996</v>
      </c>
    </row>
    <row r="4398" spans="1:12">
      <c r="A4398" t="s">
        <v>1066</v>
      </c>
      <c r="B4398" t="s">
        <v>349</v>
      </c>
      <c r="C4398" t="s">
        <v>984</v>
      </c>
      <c r="D4398" t="s">
        <v>831</v>
      </c>
      <c r="E4398" s="4">
        <v>0.2</v>
      </c>
      <c r="F4398" s="4" t="s">
        <v>179</v>
      </c>
      <c r="G4398" s="12">
        <f t="shared" si="173"/>
        <v>908</v>
      </c>
      <c r="H4398" s="9">
        <f t="shared" si="174"/>
        <v>181.60000000000002</v>
      </c>
      <c r="I4398" t="s">
        <v>253</v>
      </c>
      <c r="J4398" s="33" t="s">
        <v>489</v>
      </c>
      <c r="K4398" s="18">
        <f>VLOOKUP(D4398,Ingredients!C:G,5,0)</f>
        <v>908</v>
      </c>
      <c r="L4398" s="52">
        <f t="shared" si="176"/>
        <v>181.60000000000002</v>
      </c>
    </row>
    <row r="4399" spans="1:12">
      <c r="A4399" t="s">
        <v>1066</v>
      </c>
      <c r="B4399" t="s">
        <v>349</v>
      </c>
      <c r="C4399" t="s">
        <v>984</v>
      </c>
      <c r="D4399" t="s">
        <v>1064</v>
      </c>
      <c r="E4399" s="4">
        <v>1</v>
      </c>
      <c r="F4399" s="4" t="s">
        <v>253</v>
      </c>
      <c r="G4399" s="12">
        <v>52.5</v>
      </c>
      <c r="H4399" s="9">
        <f t="shared" si="174"/>
        <v>52.5</v>
      </c>
      <c r="I4399" t="s">
        <v>253</v>
      </c>
      <c r="J4399" s="33" t="s">
        <v>489</v>
      </c>
      <c r="K4399" s="18">
        <f>VLOOKUP(D4399,Ingredients!C:G,5,0)</f>
        <v>52.5</v>
      </c>
      <c r="L4399" s="52">
        <f t="shared" si="176"/>
        <v>52.5</v>
      </c>
    </row>
    <row r="4400" spans="1:12">
      <c r="A4400" t="s">
        <v>1067</v>
      </c>
      <c r="B4400" t="s">
        <v>349</v>
      </c>
      <c r="C4400" t="s">
        <v>984</v>
      </c>
      <c r="D4400" t="s">
        <v>831</v>
      </c>
      <c r="E4400" s="4">
        <v>0.08</v>
      </c>
      <c r="F4400" s="4" t="s">
        <v>179</v>
      </c>
      <c r="G4400" s="12">
        <f t="shared" si="173"/>
        <v>908</v>
      </c>
      <c r="H4400" s="9">
        <f t="shared" si="174"/>
        <v>72.64</v>
      </c>
      <c r="I4400" t="s">
        <v>253</v>
      </c>
      <c r="J4400" s="33" t="s">
        <v>489</v>
      </c>
      <c r="K4400" s="18">
        <f>VLOOKUP(D4400,Ingredients!C:G,5,0)</f>
        <v>908</v>
      </c>
      <c r="L4400" s="52">
        <f t="shared" ref="L4400:L4410" si="177">K4400*E4400</f>
        <v>72.64</v>
      </c>
    </row>
    <row r="4401" spans="1:12">
      <c r="A4401" t="s">
        <v>1067</v>
      </c>
      <c r="B4401" t="s">
        <v>349</v>
      </c>
      <c r="C4401" t="s">
        <v>984</v>
      </c>
      <c r="D4401" s="3" t="s">
        <v>959</v>
      </c>
      <c r="E4401" s="4">
        <v>3</v>
      </c>
      <c r="F4401" s="4" t="s">
        <v>253</v>
      </c>
      <c r="G4401" s="12">
        <f t="shared" si="173"/>
        <v>7.4204166666666653</v>
      </c>
      <c r="H4401" s="9">
        <f t="shared" si="174"/>
        <v>22.261249999999997</v>
      </c>
      <c r="I4401" t="s">
        <v>253</v>
      </c>
      <c r="J4401" s="33" t="s">
        <v>489</v>
      </c>
      <c r="K4401" s="18">
        <f>VLOOKUP(D4401,Ingredients!C:G,5,0)</f>
        <v>7.4204166666666653</v>
      </c>
      <c r="L4401" s="52">
        <f t="shared" si="177"/>
        <v>22.261249999999997</v>
      </c>
    </row>
    <row r="4402" spans="1:12">
      <c r="A4402" t="s">
        <v>1067</v>
      </c>
      <c r="B4402" t="s">
        <v>349</v>
      </c>
      <c r="C4402" t="s">
        <v>984</v>
      </c>
      <c r="D4402" t="s">
        <v>14</v>
      </c>
      <c r="E4402" s="4">
        <v>0.06</v>
      </c>
      <c r="F4402" s="4" t="s">
        <v>179</v>
      </c>
      <c r="G4402" s="12">
        <f t="shared" si="173"/>
        <v>120</v>
      </c>
      <c r="H4402" s="9">
        <f t="shared" si="174"/>
        <v>7.1999999999999993</v>
      </c>
      <c r="I4402" t="s">
        <v>253</v>
      </c>
      <c r="J4402" s="33" t="s">
        <v>489</v>
      </c>
      <c r="K4402" s="18">
        <f>VLOOKUP(D4402,Ingredients!C:G,5,0)</f>
        <v>60</v>
      </c>
      <c r="L4402" s="52">
        <f t="shared" si="177"/>
        <v>3.5999999999999996</v>
      </c>
    </row>
    <row r="4403" spans="1:12">
      <c r="A4403" t="s">
        <v>1067</v>
      </c>
      <c r="B4403" t="s">
        <v>349</v>
      </c>
      <c r="C4403" t="s">
        <v>984</v>
      </c>
      <c r="D4403" t="s">
        <v>854</v>
      </c>
      <c r="E4403" s="4">
        <v>1</v>
      </c>
      <c r="F4403" s="4" t="s">
        <v>179</v>
      </c>
      <c r="G4403" s="12">
        <f t="shared" si="173"/>
        <v>24.64</v>
      </c>
      <c r="H4403" s="9">
        <f t="shared" si="174"/>
        <v>24.64</v>
      </c>
      <c r="I4403" t="s">
        <v>253</v>
      </c>
      <c r="J4403" s="33" t="s">
        <v>489</v>
      </c>
      <c r="K4403" s="18">
        <f>VLOOKUP(D4403,Ingredients!C:G,5,0)</f>
        <v>20.059999999999999</v>
      </c>
      <c r="L4403" s="52">
        <f t="shared" si="177"/>
        <v>20.059999999999999</v>
      </c>
    </row>
    <row r="4404" spans="1:12">
      <c r="A4404" t="s">
        <v>1067</v>
      </c>
      <c r="B4404" t="s">
        <v>349</v>
      </c>
      <c r="C4404" t="s">
        <v>984</v>
      </c>
      <c r="D4404" t="s">
        <v>262</v>
      </c>
      <c r="E4404" s="4">
        <v>4.4999999999999998E-2</v>
      </c>
      <c r="F4404" s="4" t="s">
        <v>179</v>
      </c>
      <c r="G4404" s="12">
        <f t="shared" si="173"/>
        <v>300</v>
      </c>
      <c r="H4404" s="9">
        <f t="shared" si="174"/>
        <v>13.5</v>
      </c>
      <c r="I4404" t="s">
        <v>253</v>
      </c>
      <c r="J4404" s="33" t="s">
        <v>489</v>
      </c>
      <c r="K4404" s="18">
        <f>VLOOKUP(D4404,Ingredients!C:G,5,0)</f>
        <v>100</v>
      </c>
      <c r="L4404" s="52">
        <f t="shared" si="177"/>
        <v>4.5</v>
      </c>
    </row>
    <row r="4405" spans="1:12">
      <c r="A4405" t="s">
        <v>1067</v>
      </c>
      <c r="B4405" t="s">
        <v>349</v>
      </c>
      <c r="C4405" t="s">
        <v>984</v>
      </c>
      <c r="D4405" t="s">
        <v>852</v>
      </c>
      <c r="E4405" s="4">
        <v>0.03</v>
      </c>
      <c r="F4405" s="4" t="s">
        <v>190</v>
      </c>
      <c r="G4405" s="12">
        <f t="shared" si="173"/>
        <v>520.63</v>
      </c>
      <c r="H4405" s="9">
        <f t="shared" si="174"/>
        <v>15.6189</v>
      </c>
      <c r="I4405" t="s">
        <v>253</v>
      </c>
      <c r="J4405" s="33" t="s">
        <v>489</v>
      </c>
      <c r="K4405" s="18">
        <f>VLOOKUP(D4405,Ingredients!C:G,5,0)</f>
        <v>550</v>
      </c>
      <c r="L4405" s="52">
        <f t="shared" si="177"/>
        <v>16.5</v>
      </c>
    </row>
    <row r="4406" spans="1:12">
      <c r="A4406" t="s">
        <v>1067</v>
      </c>
      <c r="B4406" t="s">
        <v>349</v>
      </c>
      <c r="C4406" t="s">
        <v>984</v>
      </c>
      <c r="D4406" t="s">
        <v>863</v>
      </c>
      <c r="E4406" s="4">
        <v>5.5E-2</v>
      </c>
      <c r="F4406" s="4" t="s">
        <v>179</v>
      </c>
      <c r="G4406" s="12">
        <f t="shared" si="173"/>
        <v>675</v>
      </c>
      <c r="H4406" s="9">
        <f t="shared" si="174"/>
        <v>37.125</v>
      </c>
      <c r="I4406" t="s">
        <v>253</v>
      </c>
      <c r="J4406" s="33" t="s">
        <v>489</v>
      </c>
      <c r="K4406" s="18">
        <f>VLOOKUP(D4406,Ingredients!C:G,5,0)</f>
        <v>675</v>
      </c>
      <c r="L4406" s="52">
        <f t="shared" si="177"/>
        <v>37.125</v>
      </c>
    </row>
    <row r="4407" spans="1:12">
      <c r="A4407" t="s">
        <v>1067</v>
      </c>
      <c r="B4407" t="s">
        <v>349</v>
      </c>
      <c r="C4407" t="s">
        <v>984</v>
      </c>
      <c r="D4407" t="s">
        <v>839</v>
      </c>
      <c r="E4407" s="4">
        <v>4.0000000000000001E-3</v>
      </c>
      <c r="F4407" s="4" t="s">
        <v>179</v>
      </c>
      <c r="G4407" s="12">
        <f t="shared" si="173"/>
        <v>1100</v>
      </c>
      <c r="H4407" s="9">
        <f t="shared" si="174"/>
        <v>4.4000000000000004</v>
      </c>
      <c r="I4407" t="s">
        <v>253</v>
      </c>
      <c r="J4407" s="33" t="s">
        <v>489</v>
      </c>
      <c r="K4407" s="18">
        <f>VLOOKUP(D4407,Ingredients!C:G,5,0)</f>
        <v>1100</v>
      </c>
      <c r="L4407" s="52">
        <f t="shared" si="177"/>
        <v>4.4000000000000004</v>
      </c>
    </row>
    <row r="4408" spans="1:12">
      <c r="A4408" t="s">
        <v>1067</v>
      </c>
      <c r="B4408" t="s">
        <v>349</v>
      </c>
      <c r="C4408" t="s">
        <v>984</v>
      </c>
      <c r="D4408" t="s">
        <v>882</v>
      </c>
      <c r="E4408" s="4">
        <v>2E-3</v>
      </c>
      <c r="F4408" s="4" t="s">
        <v>179</v>
      </c>
      <c r="G4408" s="12">
        <f t="shared" si="173"/>
        <v>1500</v>
      </c>
      <c r="H4408" s="9">
        <f t="shared" si="174"/>
        <v>3</v>
      </c>
      <c r="I4408" t="s">
        <v>253</v>
      </c>
      <c r="J4408" s="33" t="s">
        <v>489</v>
      </c>
      <c r="K4408" s="18">
        <f>VLOOKUP(D4408,Ingredients!C:G,5,0)</f>
        <v>1450</v>
      </c>
      <c r="L4408" s="52">
        <f t="shared" si="177"/>
        <v>2.9</v>
      </c>
    </row>
    <row r="4409" spans="1:12">
      <c r="A4409" t="s">
        <v>1067</v>
      </c>
      <c r="B4409" t="s">
        <v>349</v>
      </c>
      <c r="C4409" t="s">
        <v>984</v>
      </c>
      <c r="D4409" t="s">
        <v>923</v>
      </c>
      <c r="E4409" s="4">
        <v>3.5000000000000001E-3</v>
      </c>
      <c r="F4409" s="4" t="s">
        <v>179</v>
      </c>
      <c r="G4409" s="12">
        <f t="shared" si="173"/>
        <v>100</v>
      </c>
      <c r="H4409" s="9">
        <f t="shared" si="174"/>
        <v>0.35000000000000003</v>
      </c>
      <c r="I4409" t="s">
        <v>253</v>
      </c>
      <c r="J4409" s="33" t="s">
        <v>489</v>
      </c>
      <c r="K4409" s="18">
        <f>VLOOKUP(D4409,Ingredients!C:G,5,0)</f>
        <v>1000</v>
      </c>
      <c r="L4409" s="52">
        <f t="shared" si="177"/>
        <v>3.5</v>
      </c>
    </row>
    <row r="4410" spans="1:12">
      <c r="A4410" t="s">
        <v>1067</v>
      </c>
      <c r="B4410" t="s">
        <v>349</v>
      </c>
      <c r="C4410" t="s">
        <v>984</v>
      </c>
      <c r="D4410" t="s">
        <v>853</v>
      </c>
      <c r="E4410" s="4">
        <v>3.5000000000000001E-3</v>
      </c>
      <c r="F4410" s="4" t="s">
        <v>179</v>
      </c>
      <c r="G4410" s="12">
        <f t="shared" si="173"/>
        <v>30</v>
      </c>
      <c r="H4410" s="9">
        <f t="shared" si="174"/>
        <v>0.105</v>
      </c>
      <c r="I4410" t="s">
        <v>253</v>
      </c>
      <c r="J4410" s="33" t="s">
        <v>489</v>
      </c>
      <c r="K4410" s="18">
        <f>VLOOKUP(D4410,Ingredients!C:G,5,0)</f>
        <v>55</v>
      </c>
      <c r="L4410" s="52">
        <f t="shared" si="177"/>
        <v>0.1925</v>
      </c>
    </row>
    <row r="4411" spans="1:12">
      <c r="A4411" t="s">
        <v>1068</v>
      </c>
      <c r="B4411" t="s">
        <v>358</v>
      </c>
      <c r="C4411" t="s">
        <v>1069</v>
      </c>
      <c r="D4411" t="s">
        <v>913</v>
      </c>
      <c r="E4411" s="4">
        <v>0.25</v>
      </c>
      <c r="F4411" s="4" t="s">
        <v>190</v>
      </c>
      <c r="G4411" s="12">
        <f t="shared" si="173"/>
        <v>229.16666666666666</v>
      </c>
      <c r="H4411" s="9">
        <f t="shared" si="174"/>
        <v>57.291666666666664</v>
      </c>
      <c r="I4411" t="s">
        <v>485</v>
      </c>
      <c r="J4411" s="33" t="s">
        <v>489</v>
      </c>
      <c r="K4411" s="18">
        <f>VLOOKUP(D4411,Ingredients!C:G,5,0)</f>
        <v>220.84</v>
      </c>
      <c r="L4411" s="52">
        <f t="shared" ref="L4411:L4414" si="178">K4411*E4411</f>
        <v>55.21</v>
      </c>
    </row>
    <row r="4412" spans="1:12">
      <c r="A4412" t="s">
        <v>1068</v>
      </c>
      <c r="B4412" t="s">
        <v>358</v>
      </c>
      <c r="C4412" t="s">
        <v>1069</v>
      </c>
      <c r="D4412" s="3" t="s">
        <v>952</v>
      </c>
      <c r="E4412" s="4">
        <v>0.01</v>
      </c>
      <c r="F4412" s="4" t="s">
        <v>179</v>
      </c>
      <c r="G4412">
        <v>9600</v>
      </c>
      <c r="H4412" s="9">
        <f t="shared" si="174"/>
        <v>96</v>
      </c>
      <c r="I4412" t="s">
        <v>485</v>
      </c>
      <c r="J4412" s="33" t="s">
        <v>489</v>
      </c>
      <c r="K4412" s="18">
        <f>VLOOKUP(D4412,Ingredients!C:G,5,0)</f>
        <v>9600</v>
      </c>
      <c r="L4412" s="52">
        <f t="shared" si="178"/>
        <v>96</v>
      </c>
    </row>
    <row r="4413" spans="1:12">
      <c r="A4413" t="s">
        <v>1068</v>
      </c>
      <c r="B4413" t="s">
        <v>358</v>
      </c>
      <c r="C4413" t="s">
        <v>1069</v>
      </c>
      <c r="D4413" t="s">
        <v>10</v>
      </c>
      <c r="E4413" s="4">
        <v>2.5000000000000001E-2</v>
      </c>
      <c r="F4413" s="4" t="s">
        <v>179</v>
      </c>
      <c r="G4413" s="12">
        <f t="shared" si="173"/>
        <v>149</v>
      </c>
      <c r="H4413" s="9">
        <f t="shared" si="174"/>
        <v>3.7250000000000001</v>
      </c>
      <c r="I4413" t="s">
        <v>485</v>
      </c>
      <c r="J4413" s="33" t="s">
        <v>489</v>
      </c>
      <c r="K4413" s="18">
        <f>VLOOKUP(D4413,Ingredients!C:G,5,0)</f>
        <v>123</v>
      </c>
      <c r="L4413" s="52">
        <f t="shared" si="178"/>
        <v>3.0750000000000002</v>
      </c>
    </row>
    <row r="4414" spans="1:12">
      <c r="A4414" t="s">
        <v>1068</v>
      </c>
      <c r="B4414" t="s">
        <v>358</v>
      </c>
      <c r="C4414" t="s">
        <v>1069</v>
      </c>
      <c r="D4414" t="s">
        <v>669</v>
      </c>
      <c r="E4414" s="4">
        <v>7.4999999999999997E-2</v>
      </c>
      <c r="F4414" s="4" t="s">
        <v>190</v>
      </c>
      <c r="G4414" s="12">
        <f t="shared" si="173"/>
        <v>400</v>
      </c>
      <c r="H4414" s="9">
        <f t="shared" si="174"/>
        <v>30</v>
      </c>
      <c r="I4414" t="s">
        <v>485</v>
      </c>
      <c r="J4414" s="33" t="s">
        <v>489</v>
      </c>
      <c r="K4414" s="18">
        <f>VLOOKUP(D4414,Ingredients!C:G,5,0)</f>
        <v>400</v>
      </c>
      <c r="L4414" s="52">
        <f t="shared" si="178"/>
        <v>30</v>
      </c>
    </row>
    <row r="4415" spans="1:12">
      <c r="A4415" t="s">
        <v>1070</v>
      </c>
      <c r="B4415" t="s">
        <v>355</v>
      </c>
      <c r="C4415" t="s">
        <v>986</v>
      </c>
      <c r="D4415" t="s">
        <v>831</v>
      </c>
      <c r="E4415" s="4">
        <v>3.5000000000000003E-2</v>
      </c>
      <c r="F4415" s="4" t="s">
        <v>179</v>
      </c>
      <c r="G4415" s="12">
        <f t="shared" si="173"/>
        <v>908</v>
      </c>
      <c r="H4415" s="9">
        <f t="shared" si="174"/>
        <v>31.780000000000005</v>
      </c>
      <c r="I4415" t="s">
        <v>253</v>
      </c>
      <c r="J4415" s="33" t="s">
        <v>489</v>
      </c>
      <c r="K4415" s="18">
        <f>VLOOKUP(D4415,Ingredients!C:G,5,0)</f>
        <v>908</v>
      </c>
      <c r="L4415" s="52">
        <f t="shared" ref="L4415:L4430" si="179">K4415*E4415</f>
        <v>31.780000000000005</v>
      </c>
    </row>
    <row r="4416" spans="1:12">
      <c r="A4416" t="s">
        <v>1070</v>
      </c>
      <c r="B4416" t="s">
        <v>355</v>
      </c>
      <c r="C4416" t="s">
        <v>986</v>
      </c>
      <c r="D4416" t="s">
        <v>852</v>
      </c>
      <c r="E4416" s="4">
        <v>7.4999999999999997E-3</v>
      </c>
      <c r="F4416" s="4" t="s">
        <v>190</v>
      </c>
      <c r="G4416" s="12">
        <f t="shared" si="173"/>
        <v>520.63</v>
      </c>
      <c r="H4416" s="9">
        <f t="shared" si="174"/>
        <v>3.904725</v>
      </c>
      <c r="I4416" t="s">
        <v>253</v>
      </c>
      <c r="J4416" s="33" t="s">
        <v>489</v>
      </c>
      <c r="K4416" s="18">
        <f>VLOOKUP(D4416,Ingredients!C:G,5,0)</f>
        <v>550</v>
      </c>
      <c r="L4416" s="52">
        <f t="shared" si="179"/>
        <v>4.125</v>
      </c>
    </row>
    <row r="4417" spans="1:12">
      <c r="A4417" t="s">
        <v>1070</v>
      </c>
      <c r="B4417" t="s">
        <v>355</v>
      </c>
      <c r="C4417" t="s">
        <v>986</v>
      </c>
      <c r="D4417" t="s">
        <v>23</v>
      </c>
      <c r="E4417" s="4">
        <v>1.25E-3</v>
      </c>
      <c r="F4417" s="4" t="s">
        <v>179</v>
      </c>
      <c r="G4417" s="12">
        <f t="shared" si="173"/>
        <v>740</v>
      </c>
      <c r="H4417" s="9">
        <f t="shared" si="174"/>
        <v>0.92500000000000004</v>
      </c>
      <c r="I4417" t="s">
        <v>253</v>
      </c>
      <c r="J4417" s="33" t="s">
        <v>489</v>
      </c>
      <c r="K4417" s="18">
        <f>VLOOKUP(D4417,Ingredients!C:G,5,0)</f>
        <v>780</v>
      </c>
      <c r="L4417" s="52">
        <f t="shared" si="179"/>
        <v>0.97499999999999998</v>
      </c>
    </row>
    <row r="4418" spans="1:12">
      <c r="A4418" t="s">
        <v>1070</v>
      </c>
      <c r="B4418" t="s">
        <v>355</v>
      </c>
      <c r="C4418" t="s">
        <v>986</v>
      </c>
      <c r="D4418" t="s">
        <v>16</v>
      </c>
      <c r="E4418" s="4">
        <v>1.25E-3</v>
      </c>
      <c r="F4418" s="4" t="s">
        <v>179</v>
      </c>
      <c r="G4418" s="12">
        <f t="shared" si="173"/>
        <v>270</v>
      </c>
      <c r="H4418" s="9">
        <f t="shared" si="174"/>
        <v>0.33750000000000002</v>
      </c>
      <c r="I4418" t="s">
        <v>253</v>
      </c>
      <c r="J4418" s="33" t="s">
        <v>489</v>
      </c>
      <c r="K4418" s="18">
        <f>VLOOKUP(D4418,Ingredients!C:G,5,0)</f>
        <v>310</v>
      </c>
      <c r="L4418" s="52">
        <f t="shared" si="179"/>
        <v>0.38750000000000001</v>
      </c>
    </row>
    <row r="4419" spans="1:12">
      <c r="A4419" t="s">
        <v>1070</v>
      </c>
      <c r="B4419" t="s">
        <v>355</v>
      </c>
      <c r="C4419" t="s">
        <v>986</v>
      </c>
      <c r="D4419" t="s">
        <v>29</v>
      </c>
      <c r="E4419" s="4">
        <v>2.2499999999999998E-3</v>
      </c>
      <c r="F4419" s="4" t="s">
        <v>179</v>
      </c>
      <c r="G4419" s="12">
        <f t="shared" si="173"/>
        <v>60</v>
      </c>
      <c r="H4419" s="9">
        <f t="shared" si="174"/>
        <v>0.13499999999999998</v>
      </c>
      <c r="I4419" t="s">
        <v>253</v>
      </c>
      <c r="J4419" s="33" t="s">
        <v>489</v>
      </c>
      <c r="K4419" s="18">
        <f>VLOOKUP(D4419,Ingredients!C:G,5,0)</f>
        <v>100</v>
      </c>
      <c r="L4419" s="52">
        <f t="shared" si="179"/>
        <v>0.22499999999999998</v>
      </c>
    </row>
    <row r="4420" spans="1:12">
      <c r="A4420" t="s">
        <v>1070</v>
      </c>
      <c r="B4420" t="s">
        <v>355</v>
      </c>
      <c r="C4420" t="s">
        <v>986</v>
      </c>
      <c r="D4420" t="s">
        <v>853</v>
      </c>
      <c r="E4420" s="4">
        <v>5.0000000000000001E-3</v>
      </c>
      <c r="F4420" s="4" t="s">
        <v>179</v>
      </c>
      <c r="G4420" s="12">
        <f t="shared" si="173"/>
        <v>30</v>
      </c>
      <c r="H4420" s="9">
        <f t="shared" si="174"/>
        <v>0.15</v>
      </c>
      <c r="I4420" t="s">
        <v>253</v>
      </c>
      <c r="J4420" s="33" t="s">
        <v>489</v>
      </c>
      <c r="K4420" s="18">
        <f>VLOOKUP(D4420,Ingredients!C:G,5,0)</f>
        <v>55</v>
      </c>
      <c r="L4420" s="52">
        <f t="shared" si="179"/>
        <v>0.27500000000000002</v>
      </c>
    </row>
    <row r="4421" spans="1:12">
      <c r="A4421" t="s">
        <v>1070</v>
      </c>
      <c r="B4421" t="s">
        <v>355</v>
      </c>
      <c r="C4421" t="s">
        <v>986</v>
      </c>
      <c r="D4421" t="s">
        <v>872</v>
      </c>
      <c r="E4421" s="4">
        <v>2E-3</v>
      </c>
      <c r="F4421" s="4" t="s">
        <v>179</v>
      </c>
      <c r="G4421" s="12">
        <f t="shared" si="173"/>
        <v>2100</v>
      </c>
      <c r="H4421" s="9">
        <f t="shared" si="174"/>
        <v>4.2</v>
      </c>
      <c r="I4421" t="s">
        <v>253</v>
      </c>
      <c r="J4421" s="33" t="s">
        <v>489</v>
      </c>
      <c r="K4421" s="18">
        <f>VLOOKUP(D4421,Ingredients!C:G,5,0)</f>
        <v>2150</v>
      </c>
      <c r="L4421" s="52">
        <f t="shared" si="179"/>
        <v>4.3</v>
      </c>
    </row>
    <row r="4422" spans="1:12">
      <c r="A4422" t="s">
        <v>1070</v>
      </c>
      <c r="B4422" t="s">
        <v>355</v>
      </c>
      <c r="C4422" t="s">
        <v>986</v>
      </c>
      <c r="D4422" t="s">
        <v>879</v>
      </c>
      <c r="E4422" s="4">
        <v>2E-3</v>
      </c>
      <c r="F4422" s="4" t="s">
        <v>179</v>
      </c>
      <c r="G4422" s="12">
        <f t="shared" si="173"/>
        <v>1113.51</v>
      </c>
      <c r="H4422" s="9">
        <f t="shared" si="174"/>
        <v>2.22702</v>
      </c>
      <c r="I4422" t="s">
        <v>253</v>
      </c>
      <c r="J4422" s="33" t="s">
        <v>489</v>
      </c>
      <c r="K4422" s="18">
        <f>VLOOKUP(D4422,Ingredients!C:G,5,0)</f>
        <v>1066.33</v>
      </c>
      <c r="L4422" s="52">
        <f t="shared" si="179"/>
        <v>2.13266</v>
      </c>
    </row>
    <row r="4423" spans="1:12">
      <c r="A4423" t="s">
        <v>1070</v>
      </c>
      <c r="B4423" t="s">
        <v>355</v>
      </c>
      <c r="C4423" t="s">
        <v>986</v>
      </c>
      <c r="D4423" t="s">
        <v>855</v>
      </c>
      <c r="E4423" s="4">
        <v>2E-3</v>
      </c>
      <c r="F4423" s="4" t="s">
        <v>179</v>
      </c>
      <c r="G4423" s="12">
        <f t="shared" si="173"/>
        <v>2400</v>
      </c>
      <c r="H4423" s="9">
        <f t="shared" si="174"/>
        <v>4.8</v>
      </c>
      <c r="I4423" t="s">
        <v>253</v>
      </c>
      <c r="J4423" s="33" t="s">
        <v>489</v>
      </c>
      <c r="K4423" s="18">
        <f>VLOOKUP(D4423,Ingredients!C:G,5,0)</f>
        <v>1600</v>
      </c>
      <c r="L4423" s="52">
        <f t="shared" si="179"/>
        <v>3.2</v>
      </c>
    </row>
    <row r="4424" spans="1:12">
      <c r="A4424" t="s">
        <v>1070</v>
      </c>
      <c r="B4424" t="s">
        <v>355</v>
      </c>
      <c r="C4424" t="s">
        <v>986</v>
      </c>
      <c r="D4424" t="s">
        <v>860</v>
      </c>
      <c r="E4424" s="4">
        <v>1E-3</v>
      </c>
      <c r="F4424" s="4" t="s">
        <v>179</v>
      </c>
      <c r="G4424" s="12">
        <f t="shared" si="173"/>
        <v>2000</v>
      </c>
      <c r="H4424" s="9">
        <f t="shared" si="174"/>
        <v>2</v>
      </c>
      <c r="I4424" t="s">
        <v>253</v>
      </c>
      <c r="J4424" s="33" t="s">
        <v>489</v>
      </c>
      <c r="K4424" s="18">
        <f>VLOOKUP(D4424,Ingredients!C:G,5,0)</f>
        <v>1900</v>
      </c>
      <c r="L4424" s="52">
        <f t="shared" si="179"/>
        <v>1.9000000000000001</v>
      </c>
    </row>
    <row r="4425" spans="1:12">
      <c r="A4425" t="s">
        <v>1070</v>
      </c>
      <c r="B4425" t="s">
        <v>355</v>
      </c>
      <c r="C4425" t="s">
        <v>986</v>
      </c>
      <c r="D4425" s="3" t="s">
        <v>96</v>
      </c>
      <c r="E4425" s="4">
        <v>1.4999999999999999E-2</v>
      </c>
      <c r="F4425" s="4" t="s">
        <v>179</v>
      </c>
      <c r="G4425" s="12">
        <f t="shared" si="173"/>
        <v>160</v>
      </c>
      <c r="H4425" s="9">
        <f t="shared" si="174"/>
        <v>2.4</v>
      </c>
      <c r="I4425" t="s">
        <v>253</v>
      </c>
      <c r="J4425" s="33" t="s">
        <v>489</v>
      </c>
      <c r="K4425" s="18">
        <f>VLOOKUP(D4425,Ingredients!C:G,5,0)</f>
        <v>120</v>
      </c>
      <c r="L4425" s="52">
        <f t="shared" si="179"/>
        <v>1.7999999999999998</v>
      </c>
    </row>
    <row r="4426" spans="1:12">
      <c r="A4426" t="s">
        <v>1070</v>
      </c>
      <c r="B4426" t="s">
        <v>355</v>
      </c>
      <c r="C4426" t="s">
        <v>986</v>
      </c>
      <c r="D4426" t="s">
        <v>35</v>
      </c>
      <c r="E4426" s="4">
        <v>0.05</v>
      </c>
      <c r="F4426" s="4" t="s">
        <v>252</v>
      </c>
      <c r="G4426" s="12">
        <f t="shared" si="173"/>
        <v>13</v>
      </c>
      <c r="H4426" s="9">
        <f t="shared" si="174"/>
        <v>0.65</v>
      </c>
      <c r="I4426" t="s">
        <v>253</v>
      </c>
      <c r="J4426" s="33" t="s">
        <v>489</v>
      </c>
      <c r="K4426" s="18">
        <f>VLOOKUP(D4426,Ingredients!C:G,5,0)</f>
        <v>15</v>
      </c>
      <c r="L4426" s="52">
        <f t="shared" si="179"/>
        <v>0.75</v>
      </c>
    </row>
    <row r="4427" spans="1:12">
      <c r="A4427" t="s">
        <v>1070</v>
      </c>
      <c r="B4427" t="s">
        <v>355</v>
      </c>
      <c r="C4427" t="s">
        <v>986</v>
      </c>
      <c r="D4427" t="s">
        <v>854</v>
      </c>
      <c r="E4427" s="4">
        <v>0.25</v>
      </c>
      <c r="F4427" s="4" t="s">
        <v>253</v>
      </c>
      <c r="G4427" s="12">
        <f t="shared" si="173"/>
        <v>24.64</v>
      </c>
      <c r="H4427" s="9">
        <f t="shared" si="174"/>
        <v>6.16</v>
      </c>
      <c r="I4427" t="s">
        <v>253</v>
      </c>
      <c r="J4427" s="33" t="s">
        <v>489</v>
      </c>
      <c r="K4427" s="18">
        <f>VLOOKUP(D4427,Ingredients!C:G,5,0)</f>
        <v>20.059999999999999</v>
      </c>
      <c r="L4427" s="52">
        <f t="shared" si="179"/>
        <v>5.0149999999999997</v>
      </c>
    </row>
    <row r="4428" spans="1:12">
      <c r="A4428" t="s">
        <v>1070</v>
      </c>
      <c r="B4428" t="s">
        <v>355</v>
      </c>
      <c r="C4428" t="s">
        <v>986</v>
      </c>
      <c r="D4428" t="s">
        <v>903</v>
      </c>
      <c r="E4428" s="4">
        <v>0.125</v>
      </c>
      <c r="F4428" s="4" t="s">
        <v>179</v>
      </c>
      <c r="G4428" s="12">
        <f t="shared" si="173"/>
        <v>153.97999999999999</v>
      </c>
      <c r="H4428" s="9">
        <f t="shared" si="174"/>
        <v>19.247499999999999</v>
      </c>
      <c r="I4428" t="s">
        <v>253</v>
      </c>
      <c r="J4428" s="33" t="s">
        <v>489</v>
      </c>
      <c r="K4428" s="18">
        <f>VLOOKUP(D4428,Ingredients!C:G,5,0)</f>
        <v>152</v>
      </c>
      <c r="L4428" s="52">
        <f t="shared" si="179"/>
        <v>19</v>
      </c>
    </row>
    <row r="4429" spans="1:12">
      <c r="A4429" t="s">
        <v>1070</v>
      </c>
      <c r="B4429" t="s">
        <v>355</v>
      </c>
      <c r="C4429" t="s">
        <v>986</v>
      </c>
      <c r="D4429" t="s">
        <v>853</v>
      </c>
      <c r="E4429" s="4">
        <v>1.25E-3</v>
      </c>
      <c r="F4429" s="4" t="s">
        <v>179</v>
      </c>
      <c r="G4429" s="12">
        <f t="shared" si="173"/>
        <v>30</v>
      </c>
      <c r="H4429" s="9">
        <f t="shared" si="174"/>
        <v>3.7499999999999999E-2</v>
      </c>
      <c r="I4429" t="s">
        <v>253</v>
      </c>
      <c r="J4429" s="33" t="s">
        <v>489</v>
      </c>
      <c r="K4429" s="18">
        <f>VLOOKUP(D4429,Ingredients!C:G,5,0)</f>
        <v>55</v>
      </c>
      <c r="L4429" s="52">
        <f t="shared" si="179"/>
        <v>6.8750000000000006E-2</v>
      </c>
    </row>
    <row r="4430" spans="1:12">
      <c r="A4430" t="s">
        <v>1070</v>
      </c>
      <c r="B4430" t="s">
        <v>355</v>
      </c>
      <c r="C4430" t="s">
        <v>986</v>
      </c>
      <c r="D4430" t="s">
        <v>852</v>
      </c>
      <c r="E4430" s="4">
        <v>3.7499999999999999E-2</v>
      </c>
      <c r="F4430" s="4" t="s">
        <v>190</v>
      </c>
      <c r="G4430" s="12">
        <f t="shared" si="173"/>
        <v>520.63</v>
      </c>
      <c r="H4430" s="9">
        <f t="shared" si="174"/>
        <v>19.523624999999999</v>
      </c>
      <c r="I4430" t="s">
        <v>253</v>
      </c>
      <c r="J4430" s="33" t="s">
        <v>489</v>
      </c>
      <c r="K4430" s="18">
        <f>VLOOKUP(D4430,Ingredients!C:G,5,0)</f>
        <v>550</v>
      </c>
      <c r="L4430" s="52">
        <f t="shared" si="179"/>
        <v>20.625</v>
      </c>
    </row>
    <row r="4431" spans="1:12">
      <c r="A4431" t="s">
        <v>619</v>
      </c>
      <c r="B4431" t="s">
        <v>355</v>
      </c>
      <c r="C4431" t="s">
        <v>619</v>
      </c>
      <c r="D4431" t="s">
        <v>966</v>
      </c>
      <c r="E4431" s="4">
        <v>1</v>
      </c>
      <c r="F4431" s="4" t="s">
        <v>253</v>
      </c>
      <c r="G4431" s="12">
        <f t="shared" si="173"/>
        <v>17</v>
      </c>
      <c r="H4431" s="9">
        <f t="shared" si="174"/>
        <v>17</v>
      </c>
      <c r="I4431" t="s">
        <v>253</v>
      </c>
      <c r="J4431" s="33">
        <v>0</v>
      </c>
      <c r="K4431" s="18">
        <f>VLOOKUP(D4431,Ingredients!C:G,5,0)</f>
        <v>17</v>
      </c>
      <c r="L4431" s="52">
        <f t="shared" ref="L4431" si="180">K4431*E4431</f>
        <v>17</v>
      </c>
    </row>
    <row r="4432" spans="1:12">
      <c r="A4432" t="s">
        <v>1071</v>
      </c>
      <c r="B4432" t="s">
        <v>348</v>
      </c>
      <c r="C4432" t="s">
        <v>354</v>
      </c>
      <c r="D4432" t="s">
        <v>171</v>
      </c>
      <c r="E4432" s="14">
        <v>1.6666666666666666E-2</v>
      </c>
      <c r="F4432" s="4" t="s">
        <v>179</v>
      </c>
      <c r="G4432" s="12">
        <f t="shared" si="173"/>
        <v>65</v>
      </c>
      <c r="H4432" s="9">
        <f t="shared" si="174"/>
        <v>1.0833333333333333</v>
      </c>
      <c r="I4432" t="s">
        <v>253</v>
      </c>
      <c r="J4432" s="33">
        <v>0</v>
      </c>
      <c r="K4432" s="18">
        <f>VLOOKUP(D4432,Ingredients!C:G,5,0)</f>
        <v>80</v>
      </c>
      <c r="L4432" s="52">
        <f t="shared" ref="L4432:L4444" si="181">K4432*E4432</f>
        <v>1.3333333333333333</v>
      </c>
    </row>
    <row r="4433" spans="1:12">
      <c r="A4433" t="s">
        <v>1071</v>
      </c>
      <c r="B4433" t="s">
        <v>348</v>
      </c>
      <c r="C4433" t="s">
        <v>354</v>
      </c>
      <c r="D4433" t="s">
        <v>24</v>
      </c>
      <c r="E4433" s="14">
        <v>5.0000000000000001E-3</v>
      </c>
      <c r="F4433" s="4" t="s">
        <v>179</v>
      </c>
      <c r="G4433" s="12">
        <f t="shared" si="173"/>
        <v>55</v>
      </c>
      <c r="H4433" s="9">
        <f t="shared" si="174"/>
        <v>0.27500000000000002</v>
      </c>
      <c r="I4433" t="s">
        <v>253</v>
      </c>
      <c r="J4433" s="33">
        <v>0</v>
      </c>
      <c r="K4433" s="18">
        <f>VLOOKUP(D4433,Ingredients!C:G,5,0)</f>
        <v>80</v>
      </c>
      <c r="L4433" s="52">
        <f t="shared" si="181"/>
        <v>0.4</v>
      </c>
    </row>
    <row r="4434" spans="1:12">
      <c r="A4434" t="s">
        <v>1071</v>
      </c>
      <c r="B4434" t="s">
        <v>348</v>
      </c>
      <c r="C4434" t="s">
        <v>354</v>
      </c>
      <c r="D4434" t="s">
        <v>867</v>
      </c>
      <c r="E4434" s="14">
        <v>2.6666666666666668E-4</v>
      </c>
      <c r="F4434" s="4" t="s">
        <v>179</v>
      </c>
      <c r="G4434" s="12">
        <f t="shared" si="173"/>
        <v>900</v>
      </c>
      <c r="H4434" s="9">
        <f t="shared" si="174"/>
        <v>0.24000000000000002</v>
      </c>
      <c r="I4434" t="s">
        <v>253</v>
      </c>
      <c r="J4434" s="33">
        <v>0</v>
      </c>
      <c r="K4434" s="18">
        <f>VLOOKUP(D4434,Ingredients!C:G,5,0)</f>
        <v>950</v>
      </c>
      <c r="L4434" s="52">
        <f t="shared" si="181"/>
        <v>0.25333333333333335</v>
      </c>
    </row>
    <row r="4435" spans="1:12">
      <c r="A4435" t="s">
        <v>1071</v>
      </c>
      <c r="B4435" t="s">
        <v>348</v>
      </c>
      <c r="C4435" t="s">
        <v>354</v>
      </c>
      <c r="D4435" t="s">
        <v>860</v>
      </c>
      <c r="E4435" s="14">
        <v>1.3333333333333334E-4</v>
      </c>
      <c r="F4435" s="4" t="s">
        <v>179</v>
      </c>
      <c r="G4435" s="12">
        <f t="shared" si="173"/>
        <v>2000</v>
      </c>
      <c r="H4435" s="9">
        <f t="shared" si="174"/>
        <v>0.26666666666666666</v>
      </c>
      <c r="I4435" t="s">
        <v>253</v>
      </c>
      <c r="J4435" s="33">
        <v>0</v>
      </c>
      <c r="K4435" s="18">
        <f>VLOOKUP(D4435,Ingredients!C:G,5,0)</f>
        <v>1900</v>
      </c>
      <c r="L4435" s="52">
        <f t="shared" si="181"/>
        <v>0.25333333333333335</v>
      </c>
    </row>
    <row r="4436" spans="1:12">
      <c r="A4436" t="s">
        <v>1071</v>
      </c>
      <c r="B4436" t="s">
        <v>348</v>
      </c>
      <c r="C4436" t="s">
        <v>354</v>
      </c>
      <c r="D4436" t="s">
        <v>925</v>
      </c>
      <c r="E4436" s="14">
        <v>1.3333333333333334E-4</v>
      </c>
      <c r="F4436" s="4" t="s">
        <v>179</v>
      </c>
      <c r="G4436" s="12">
        <f t="shared" si="173"/>
        <v>1150</v>
      </c>
      <c r="H4436" s="9">
        <f t="shared" si="174"/>
        <v>0.15333333333333335</v>
      </c>
      <c r="I4436" t="s">
        <v>253</v>
      </c>
      <c r="J4436" s="33">
        <v>0</v>
      </c>
      <c r="K4436" s="18">
        <f>VLOOKUP(D4436,Ingredients!C:G,5,0)</f>
        <v>1100</v>
      </c>
      <c r="L4436" s="52">
        <f t="shared" si="181"/>
        <v>0.14666666666666667</v>
      </c>
    </row>
    <row r="4437" spans="1:12">
      <c r="A4437" t="s">
        <v>1071</v>
      </c>
      <c r="B4437" t="s">
        <v>348</v>
      </c>
      <c r="C4437" t="s">
        <v>354</v>
      </c>
      <c r="D4437" t="s">
        <v>880</v>
      </c>
      <c r="E4437" s="14">
        <v>6.666666666666667E-5</v>
      </c>
      <c r="F4437" s="4" t="s">
        <v>179</v>
      </c>
      <c r="G4437" s="12">
        <f t="shared" si="173"/>
        <v>650</v>
      </c>
      <c r="H4437" s="9">
        <f t="shared" si="174"/>
        <v>4.3333333333333335E-2</v>
      </c>
      <c r="I4437" t="s">
        <v>253</v>
      </c>
      <c r="J4437" s="33">
        <v>0</v>
      </c>
      <c r="K4437" s="18">
        <f>VLOOKUP(D4437,Ingredients!C:G,5,0)</f>
        <v>520</v>
      </c>
      <c r="L4437" s="52">
        <f t="shared" si="181"/>
        <v>3.4666666666666665E-2</v>
      </c>
    </row>
    <row r="4438" spans="1:12">
      <c r="A4438" t="s">
        <v>1071</v>
      </c>
      <c r="B4438" t="s">
        <v>348</v>
      </c>
      <c r="C4438" t="s">
        <v>354</v>
      </c>
      <c r="D4438" t="s">
        <v>31</v>
      </c>
      <c r="E4438" s="14">
        <v>6.666666666666667E-5</v>
      </c>
      <c r="F4438" s="4" t="s">
        <v>179</v>
      </c>
      <c r="G4438" s="12">
        <f t="shared" si="173"/>
        <v>200</v>
      </c>
      <c r="H4438" s="9">
        <f t="shared" si="174"/>
        <v>1.3333333333333334E-2</v>
      </c>
      <c r="I4438" t="s">
        <v>253</v>
      </c>
      <c r="J4438" s="33">
        <v>0</v>
      </c>
      <c r="K4438" s="18">
        <f>VLOOKUP(D4438,Ingredients!C:G,5,0)</f>
        <v>350</v>
      </c>
      <c r="L4438" s="52">
        <f t="shared" si="181"/>
        <v>2.3333333333333334E-2</v>
      </c>
    </row>
    <row r="4439" spans="1:12">
      <c r="A4439" t="s">
        <v>1071</v>
      </c>
      <c r="B4439" t="s">
        <v>348</v>
      </c>
      <c r="C4439" t="s">
        <v>354</v>
      </c>
      <c r="D4439" t="s">
        <v>853</v>
      </c>
      <c r="E4439" s="14">
        <v>2.6666666666666668E-4</v>
      </c>
      <c r="F4439" s="4" t="s">
        <v>179</v>
      </c>
      <c r="G4439" s="12">
        <f t="shared" si="173"/>
        <v>30</v>
      </c>
      <c r="H4439" s="9">
        <f t="shared" si="174"/>
        <v>8.0000000000000002E-3</v>
      </c>
      <c r="I4439" t="s">
        <v>253</v>
      </c>
      <c r="J4439" s="33">
        <v>0</v>
      </c>
      <c r="K4439" s="18">
        <f>VLOOKUP(D4439,Ingredients!C:G,5,0)</f>
        <v>55</v>
      </c>
      <c r="L4439" s="52">
        <f t="shared" si="181"/>
        <v>1.4666666666666668E-2</v>
      </c>
    </row>
    <row r="4440" spans="1:12">
      <c r="A4440" t="s">
        <v>1071</v>
      </c>
      <c r="B4440" t="s">
        <v>348</v>
      </c>
      <c r="C4440" t="s">
        <v>354</v>
      </c>
      <c r="D4440" t="s">
        <v>855</v>
      </c>
      <c r="E4440" s="14">
        <v>2.6666666666666668E-4</v>
      </c>
      <c r="F4440" s="4" t="s">
        <v>179</v>
      </c>
      <c r="G4440" s="12">
        <f t="shared" si="173"/>
        <v>2400</v>
      </c>
      <c r="H4440" s="9">
        <f t="shared" si="174"/>
        <v>0.64</v>
      </c>
      <c r="I4440" t="s">
        <v>253</v>
      </c>
      <c r="J4440" s="33">
        <v>0</v>
      </c>
      <c r="K4440" s="18">
        <f>VLOOKUP(D4440,Ingredients!C:G,5,0)</f>
        <v>1600</v>
      </c>
      <c r="L4440" s="52">
        <f t="shared" si="181"/>
        <v>0.42666666666666669</v>
      </c>
    </row>
    <row r="4441" spans="1:12">
      <c r="A4441" t="s">
        <v>1071</v>
      </c>
      <c r="B4441" t="s">
        <v>348</v>
      </c>
      <c r="C4441" t="s">
        <v>354</v>
      </c>
      <c r="D4441" t="s">
        <v>35</v>
      </c>
      <c r="E4441" s="14">
        <v>3.3333333333333335E-3</v>
      </c>
      <c r="F4441" s="4" t="s">
        <v>179</v>
      </c>
      <c r="G4441" s="12">
        <f t="shared" si="173"/>
        <v>13</v>
      </c>
      <c r="H4441" s="9">
        <f t="shared" si="174"/>
        <v>4.3333333333333335E-2</v>
      </c>
      <c r="I4441" t="s">
        <v>253</v>
      </c>
      <c r="J4441" s="33">
        <v>0</v>
      </c>
      <c r="K4441" s="18">
        <f>VLOOKUP(D4441,Ingredients!C:G,5,0)</f>
        <v>15</v>
      </c>
      <c r="L4441" s="52">
        <f t="shared" si="181"/>
        <v>0.05</v>
      </c>
    </row>
    <row r="4442" spans="1:12">
      <c r="A4442" t="s">
        <v>1071</v>
      </c>
      <c r="B4442" t="s">
        <v>348</v>
      </c>
      <c r="C4442" t="s">
        <v>354</v>
      </c>
      <c r="D4442" s="3" t="s">
        <v>780</v>
      </c>
      <c r="E4442" s="14">
        <v>3.833333333333333E-2</v>
      </c>
      <c r="F4442" s="4" t="s">
        <v>179</v>
      </c>
      <c r="G4442" s="12">
        <f t="shared" si="173"/>
        <v>311.5</v>
      </c>
      <c r="H4442" s="9">
        <f t="shared" si="174"/>
        <v>11.940833333333332</v>
      </c>
      <c r="I4442" t="s">
        <v>253</v>
      </c>
      <c r="J4442" s="33">
        <v>0</v>
      </c>
      <c r="K4442" s="18">
        <f>VLOOKUP(D4442,Ingredients!C:G,5,0)</f>
        <v>312</v>
      </c>
      <c r="L4442" s="52">
        <f t="shared" si="181"/>
        <v>11.959999999999999</v>
      </c>
    </row>
    <row r="4443" spans="1:12">
      <c r="A4443" t="s">
        <v>1071</v>
      </c>
      <c r="B4443" t="s">
        <v>348</v>
      </c>
      <c r="C4443" t="s">
        <v>354</v>
      </c>
      <c r="D4443" t="s">
        <v>866</v>
      </c>
      <c r="E4443" s="14">
        <v>1.3333333333333333E-3</v>
      </c>
      <c r="F4443" s="4" t="s">
        <v>179</v>
      </c>
      <c r="G4443" s="12">
        <f t="shared" si="173"/>
        <v>153.97999999999999</v>
      </c>
      <c r="H4443" s="9">
        <f t="shared" si="174"/>
        <v>0.20530666666666664</v>
      </c>
      <c r="I4443" t="s">
        <v>253</v>
      </c>
      <c r="J4443" s="33">
        <v>0</v>
      </c>
      <c r="K4443" s="18">
        <f>VLOOKUP(D4443,Ingredients!C:G,5,0)</f>
        <v>142.13999999999999</v>
      </c>
      <c r="L4443" s="52">
        <f t="shared" si="181"/>
        <v>0.18951999999999997</v>
      </c>
    </row>
    <row r="4444" spans="1:12">
      <c r="A4444" t="s">
        <v>1071</v>
      </c>
      <c r="B4444" t="s">
        <v>348</v>
      </c>
      <c r="C4444" t="s">
        <v>354</v>
      </c>
      <c r="D4444" t="s">
        <v>852</v>
      </c>
      <c r="E4444" s="14">
        <v>2.6666666666666666E-3</v>
      </c>
      <c r="F4444" s="4" t="s">
        <v>190</v>
      </c>
      <c r="G4444" s="12">
        <f t="shared" si="173"/>
        <v>520.63</v>
      </c>
      <c r="H4444" s="9">
        <f t="shared" si="174"/>
        <v>1.3883466666666666</v>
      </c>
      <c r="I4444" t="s">
        <v>253</v>
      </c>
      <c r="J4444" s="33">
        <v>0</v>
      </c>
      <c r="K4444" s="18">
        <f>VLOOKUP(D4444,Ingredients!C:G,5,0)</f>
        <v>550</v>
      </c>
      <c r="L4444" s="52">
        <f t="shared" si="181"/>
        <v>1.4666666666666666</v>
      </c>
    </row>
  </sheetData>
  <autoFilter ref="A2:L441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415"/>
  <sheetViews>
    <sheetView tabSelected="1" workbookViewId="0">
      <pane xSplit="1" ySplit="2" topLeftCell="B393" activePane="bottomRight" state="frozen"/>
      <selection pane="topRight" activeCell="B1" sqref="B1"/>
      <selection pane="bottomLeft" activeCell="A2" sqref="A2"/>
      <selection pane="bottomRight" activeCell="B415" sqref="B415"/>
    </sheetView>
  </sheetViews>
  <sheetFormatPr defaultRowHeight="15"/>
  <cols>
    <col min="1" max="1" width="8.5703125" bestFit="1" customWidth="1"/>
    <col min="2" max="2" width="31.140625" bestFit="1" customWidth="1"/>
    <col min="3" max="3" width="17.85546875" bestFit="1" customWidth="1"/>
    <col min="4" max="4" width="19.140625" bestFit="1" customWidth="1"/>
    <col min="5" max="5" width="16.5703125" style="18" bestFit="1" customWidth="1"/>
    <col min="6" max="6" width="11.140625" bestFit="1" customWidth="1"/>
    <col min="7" max="7" width="16.5703125" style="53" customWidth="1"/>
    <col min="8" max="8" width="15.5703125" style="53" bestFit="1" customWidth="1"/>
    <col min="9" max="9" width="9.5703125" style="53" bestFit="1" customWidth="1"/>
    <col min="11" max="11" width="9.140625" style="57"/>
    <col min="12" max="13" width="11" style="57" bestFit="1" customWidth="1"/>
  </cols>
  <sheetData>
    <row r="1" spans="1:13" ht="15.75" thickBot="1">
      <c r="G1" s="61" t="s">
        <v>1014</v>
      </c>
      <c r="K1" s="62" t="s">
        <v>1003</v>
      </c>
    </row>
    <row r="2" spans="1:13" ht="15.75" thickBot="1">
      <c r="A2" s="6" t="s">
        <v>479</v>
      </c>
      <c r="B2" s="6" t="s">
        <v>1</v>
      </c>
      <c r="C2" s="6" t="s">
        <v>480</v>
      </c>
      <c r="D2" s="6" t="s">
        <v>457</v>
      </c>
      <c r="E2" s="19" t="s">
        <v>488</v>
      </c>
      <c r="F2" s="31" t="s">
        <v>483</v>
      </c>
      <c r="G2" s="54" t="s">
        <v>1014</v>
      </c>
      <c r="H2" s="54" t="s">
        <v>1015</v>
      </c>
      <c r="I2" s="54" t="s">
        <v>1016</v>
      </c>
      <c r="K2" s="58" t="s">
        <v>1003</v>
      </c>
      <c r="L2" s="58" t="s">
        <v>1015</v>
      </c>
      <c r="M2" s="58" t="s">
        <v>1016</v>
      </c>
    </row>
    <row r="3" spans="1:13">
      <c r="A3">
        <v>1</v>
      </c>
      <c r="B3" s="5" t="s">
        <v>5</v>
      </c>
      <c r="C3" t="str">
        <f>VLOOKUP(B3,Recipes!A:B,2,0)</f>
        <v>Chatni &amp; Sauces</v>
      </c>
      <c r="D3" t="str">
        <f>VLOOKUP(B3,Recipes!A:C,3,0)</f>
        <v>Achar</v>
      </c>
      <c r="E3" s="18">
        <f>VLOOKUP(B3,Recipes!A:J,10,0)</f>
        <v>0</v>
      </c>
      <c r="F3" s="18" t="str">
        <f>VLOOKUP(B3,Recipes!A:I,9,0)</f>
        <v>Kg</v>
      </c>
      <c r="G3" s="55">
        <f>SUMIF(Recipes!A:A,Consolidate!B3,Recipes!H:H)</f>
        <v>126.74000000000001</v>
      </c>
      <c r="H3" s="55">
        <f>SUMIFS(Recipes!$H:$H,Recipes!$D:$D,Consolidate!$E3,Recipes!$A:$A,Consolidate!$B3)</f>
        <v>0</v>
      </c>
      <c r="I3" s="56">
        <f>G3-H3</f>
        <v>126.74000000000001</v>
      </c>
      <c r="K3" s="57">
        <f>SUMIF(Recipes!A:A,Consolidate!B3,Recipes!L:L)</f>
        <v>125.56</v>
      </c>
      <c r="L3" s="59">
        <f>SUMIFS(Recipes!$L:$L,Recipes!$D:$D,Consolidate!$E3,Recipes!$A:$A,Consolidate!$B3)</f>
        <v>0</v>
      </c>
      <c r="M3" s="60">
        <f>K3-L3</f>
        <v>125.56</v>
      </c>
    </row>
    <row r="4" spans="1:13">
      <c r="A4">
        <f>A3+1</f>
        <v>2</v>
      </c>
      <c r="B4" s="5" t="s">
        <v>798</v>
      </c>
      <c r="C4" t="str">
        <f>VLOOKUP(B4,Recipes!A:B,2,0)</f>
        <v>Chatni &amp; Sauces</v>
      </c>
      <c r="D4" t="str">
        <f>VLOOKUP(B4,Recipes!A:C,3,0)</f>
        <v>Achar Kg</v>
      </c>
      <c r="E4" s="18">
        <f>VLOOKUP(B4,Recipes!A:J,10,0)</f>
        <v>0</v>
      </c>
      <c r="F4" s="18" t="str">
        <f>VLOOKUP(B4,Recipes!A:I,9,0)</f>
        <v>Kg</v>
      </c>
      <c r="G4" s="55">
        <f>SUMIF(Recipes!A:A,Consolidate!B4,Recipes!H:H)</f>
        <v>450</v>
      </c>
      <c r="H4" s="55">
        <f>SUMIFS(Recipes!$H:$H,Recipes!$D:$D,Consolidate!$E4,Recipes!$A:$A,Consolidate!$B4)</f>
        <v>0</v>
      </c>
      <c r="I4" s="56">
        <f t="shared" ref="I4:I67" si="0">G4-H4</f>
        <v>450</v>
      </c>
      <c r="K4" s="57">
        <f>SUMIF(Recipes!A:A,Consolidate!B4,Recipes!L:L)</f>
        <v>450</v>
      </c>
      <c r="L4" s="59">
        <f>SUMIFS(Recipes!$L:$L,Recipes!$D:$D,Consolidate!$E4,Recipes!$A:$A,Consolidate!$B4)</f>
        <v>0</v>
      </c>
      <c r="M4" s="60">
        <f t="shared" ref="M4:M67" si="1">K4-L4</f>
        <v>450</v>
      </c>
    </row>
    <row r="5" spans="1:13">
      <c r="A5">
        <f>A4+1</f>
        <v>3</v>
      </c>
      <c r="B5" s="5" t="s">
        <v>20</v>
      </c>
      <c r="C5" t="str">
        <f>VLOOKUP(B5,Recipes!A:B,2,0)</f>
        <v>Main Course</v>
      </c>
      <c r="D5" t="str">
        <f>VLOOKUP(B5,Recipes!A:C,3,0)</f>
        <v>BBQ</v>
      </c>
      <c r="E5" s="18" t="str">
        <f>VLOOKUP(B5,Recipes!A:J,10,0)</f>
        <v>Chicken Boneless</v>
      </c>
      <c r="F5" s="18" t="str">
        <f>VLOOKUP(B5,Recipes!A:I,9,0)</f>
        <v>Kg</v>
      </c>
      <c r="G5" s="55">
        <f>SUMIF(Recipes!A:A,Consolidate!B5,Recipes!H:H)</f>
        <v>1039.0074285714286</v>
      </c>
      <c r="H5" s="55">
        <f>SUMIFS(Recipes!$H:$H,Recipes!$D:$D,Consolidate!$E5,Recipes!$A:$A,Consolidate!$B5)</f>
        <v>908</v>
      </c>
      <c r="I5" s="56">
        <f t="shared" si="0"/>
        <v>131.00742857142859</v>
      </c>
      <c r="K5" s="57">
        <f>SUMIF(Recipes!A:A,Consolidate!B5,Recipes!L:L)</f>
        <v>1195.3571428571429</v>
      </c>
      <c r="L5" s="59">
        <f>SUMIFS(Recipes!$L:$L,Recipes!$D:$D,Consolidate!$E5,Recipes!$A:$A,Consolidate!$B5)</f>
        <v>908</v>
      </c>
      <c r="M5" s="60">
        <f t="shared" si="1"/>
        <v>287.35714285714289</v>
      </c>
    </row>
    <row r="6" spans="1:13">
      <c r="A6">
        <f t="shared" ref="A6:A69" si="2">A5+1</f>
        <v>4</v>
      </c>
      <c r="B6" s="5" t="s">
        <v>321</v>
      </c>
      <c r="C6" t="str">
        <f>VLOOKUP(B6,Recipes!A:B,2,0)</f>
        <v>Side Dish</v>
      </c>
      <c r="D6" t="str">
        <f>VLOOKUP(B6,Recipes!A:C,3,0)</f>
        <v>Gravy</v>
      </c>
      <c r="E6" s="18">
        <f>VLOOKUP(B6,Recipes!A:J,10,0)</f>
        <v>0</v>
      </c>
      <c r="F6" s="18" t="str">
        <f>VLOOKUP(B6,Recipes!A:I,9,0)</f>
        <v>Kg</v>
      </c>
      <c r="G6" s="55">
        <f>SUMIF(Recipes!A:A,Consolidate!B6,Recipes!H:H)</f>
        <v>1534.6721875000001</v>
      </c>
      <c r="H6" s="55">
        <f>SUMIFS(Recipes!$H:$H,Recipes!$D:$D,Consolidate!$E6,Recipes!$A:$A,Consolidate!$B6)</f>
        <v>0</v>
      </c>
      <c r="I6" s="56">
        <f t="shared" si="0"/>
        <v>1534.6721875000001</v>
      </c>
      <c r="K6" s="57">
        <f>SUMIF(Recipes!A:A,Consolidate!B6,Recipes!L:L)</f>
        <v>2506.8978124999999</v>
      </c>
      <c r="L6" s="59">
        <f>SUMIFS(Recipes!$L:$L,Recipes!$D:$D,Consolidate!$E6,Recipes!$A:$A,Consolidate!$B6)</f>
        <v>0</v>
      </c>
      <c r="M6" s="60">
        <f t="shared" si="1"/>
        <v>2506.8978124999999</v>
      </c>
    </row>
    <row r="7" spans="1:13">
      <c r="A7">
        <f t="shared" si="2"/>
        <v>5</v>
      </c>
      <c r="B7" s="5" t="s">
        <v>421</v>
      </c>
      <c r="C7" t="str">
        <f>VLOOKUP(B7,Recipes!A:B,2,0)</f>
        <v>Side Dish</v>
      </c>
      <c r="D7" t="str">
        <f>VLOOKUP(B7,Recipes!A:C,3,0)</f>
        <v>Dry</v>
      </c>
      <c r="E7" s="18">
        <f>VLOOKUP(B7,Recipes!A:J,10,0)</f>
        <v>0</v>
      </c>
      <c r="F7" s="18" t="str">
        <f>VLOOKUP(B7,Recipes!A:I,9,0)</f>
        <v>Kg</v>
      </c>
      <c r="G7" s="55">
        <f>SUMIF(Recipes!A:A,Consolidate!B7,Recipes!H:H)</f>
        <v>144.84150000000005</v>
      </c>
      <c r="H7" s="55">
        <f>SUMIFS(Recipes!$H:$H,Recipes!$D:$D,Consolidate!$E7,Recipes!$A:$A,Consolidate!$B7)</f>
        <v>0</v>
      </c>
      <c r="I7" s="56">
        <f t="shared" si="0"/>
        <v>144.84150000000005</v>
      </c>
      <c r="K7" s="57">
        <f>SUMIF(Recipes!A:A,Consolidate!B7,Recipes!L:L)</f>
        <v>158.31000000000003</v>
      </c>
      <c r="L7" s="59">
        <f>SUMIFS(Recipes!$L:$L,Recipes!$D:$D,Consolidate!$E7,Recipes!$A:$A,Consolidate!$B7)</f>
        <v>0</v>
      </c>
      <c r="M7" s="60">
        <f t="shared" si="1"/>
        <v>158.31000000000003</v>
      </c>
    </row>
    <row r="8" spans="1:13">
      <c r="A8">
        <f t="shared" si="2"/>
        <v>6</v>
      </c>
      <c r="B8" s="5" t="s">
        <v>791</v>
      </c>
      <c r="C8" t="str">
        <f>VLOOKUP(B8,Recipes!A:B,2,0)</f>
        <v>Side Dish</v>
      </c>
      <c r="D8" t="str">
        <f>VLOOKUP(B8,Recipes!A:C,3,0)</f>
        <v>Daal / Chana</v>
      </c>
      <c r="E8" s="18">
        <f>VLOOKUP(B8,Recipes!A:J,10,0)</f>
        <v>0</v>
      </c>
      <c r="F8" s="18" t="str">
        <f>VLOOKUP(B8,Recipes!A:I,9,0)</f>
        <v>5 Pax</v>
      </c>
      <c r="G8" s="55">
        <f>SUMIF(Recipes!A:A,Consolidate!B8,Recipes!H:H)</f>
        <v>119.30574999999999</v>
      </c>
      <c r="H8" s="55">
        <f>SUMIFS(Recipes!$H:$H,Recipes!$D:$D,Consolidate!$E8,Recipes!$A:$A,Consolidate!$B8)</f>
        <v>0</v>
      </c>
      <c r="I8" s="56">
        <f t="shared" si="0"/>
        <v>119.30574999999999</v>
      </c>
      <c r="K8" s="57">
        <f>SUMIF(Recipes!A:A,Consolidate!B8,Recipes!L:L)</f>
        <v>149.62</v>
      </c>
      <c r="L8" s="59">
        <f>SUMIFS(Recipes!$L:$L,Recipes!$D:$D,Consolidate!$E8,Recipes!$A:$A,Consolidate!$B8)</f>
        <v>0</v>
      </c>
      <c r="M8" s="60">
        <f t="shared" si="1"/>
        <v>149.62</v>
      </c>
    </row>
    <row r="9" spans="1:13">
      <c r="A9">
        <f t="shared" si="2"/>
        <v>7</v>
      </c>
      <c r="B9" s="5" t="s">
        <v>661</v>
      </c>
      <c r="C9" t="str">
        <f>VLOOKUP(B9,Recipes!A:B,2,0)</f>
        <v>Roti &amp; Paratha</v>
      </c>
      <c r="D9" t="str">
        <f>VLOOKUP(B9,Recipes!A:C,3,0)</f>
        <v>Aloo Paratha</v>
      </c>
      <c r="E9" s="18">
        <f>VLOOKUP(B9,Recipes!A:J,10,0)</f>
        <v>0</v>
      </c>
      <c r="F9" s="18" t="str">
        <f>VLOOKUP(B9,Recipes!A:I,9,0)</f>
        <v>Pcs</v>
      </c>
      <c r="G9" s="55">
        <f>SUMIF(Recipes!A:A,Consolidate!B9,Recipes!H:H)</f>
        <v>34.18817</v>
      </c>
      <c r="H9" s="55">
        <f>SUMIFS(Recipes!$H:$H,Recipes!$D:$D,Consolidate!$E9,Recipes!$A:$A,Consolidate!$B9)</f>
        <v>0</v>
      </c>
      <c r="I9" s="56">
        <f t="shared" si="0"/>
        <v>34.18817</v>
      </c>
      <c r="K9" s="57">
        <f>SUMIF(Recipes!A:A,Consolidate!B9,Recipes!L:L)</f>
        <v>36.1815</v>
      </c>
      <c r="L9" s="59">
        <f>SUMIFS(Recipes!$L:$L,Recipes!$D:$D,Consolidate!$E9,Recipes!$A:$A,Consolidate!$B9)</f>
        <v>0</v>
      </c>
      <c r="M9" s="60">
        <f t="shared" si="1"/>
        <v>36.1815</v>
      </c>
    </row>
    <row r="10" spans="1:13">
      <c r="A10">
        <f t="shared" si="2"/>
        <v>8</v>
      </c>
      <c r="B10" s="5" t="s">
        <v>658</v>
      </c>
      <c r="C10" t="str">
        <f>VLOOKUP(B10,Recipes!A:B,2,0)</f>
        <v>Side Dish</v>
      </c>
      <c r="D10" t="str">
        <f>VLOOKUP(B10,Recipes!A:C,3,0)</f>
        <v>Gravy</v>
      </c>
      <c r="E10" s="18">
        <f>VLOOKUP(B10,Recipes!A:J,10,0)</f>
        <v>0</v>
      </c>
      <c r="F10" s="18" t="str">
        <f>VLOOKUP(B10,Recipes!A:I,9,0)</f>
        <v>Kg</v>
      </c>
      <c r="G10" s="55">
        <f>SUMIF(Recipes!A:A,Consolidate!B10,Recipes!H:H)</f>
        <v>295.8134</v>
      </c>
      <c r="H10" s="55">
        <f>SUMIFS(Recipes!$H:$H,Recipes!$D:$D,Consolidate!$E10,Recipes!$A:$A,Consolidate!$B10)</f>
        <v>0</v>
      </c>
      <c r="I10" s="56">
        <f t="shared" si="0"/>
        <v>295.8134</v>
      </c>
      <c r="K10" s="57">
        <f>SUMIF(Recipes!A:A,Consolidate!B10,Recipes!L:L)</f>
        <v>311.55</v>
      </c>
      <c r="L10" s="59">
        <f>SUMIFS(Recipes!$L:$L,Recipes!$D:$D,Consolidate!$E10,Recipes!$A:$A,Consolidate!$B10)</f>
        <v>0</v>
      </c>
      <c r="M10" s="60">
        <f t="shared" si="1"/>
        <v>311.55</v>
      </c>
    </row>
    <row r="11" spans="1:13">
      <c r="A11">
        <f t="shared" si="2"/>
        <v>9</v>
      </c>
      <c r="B11" s="5" t="s">
        <v>607</v>
      </c>
      <c r="C11" t="str">
        <f>VLOOKUP(B11,Recipes!A:B,2,0)</f>
        <v>Side Dish</v>
      </c>
      <c r="D11" t="str">
        <f>VLOOKUP(B11,Recipes!A:C,3,0)</f>
        <v>Rice</v>
      </c>
      <c r="E11" s="18">
        <f>VLOOKUP(B11,Recipes!A:J,10,0)</f>
        <v>0</v>
      </c>
      <c r="F11" s="18" t="str">
        <f>VLOOKUP(B11,Recipes!A:I,9,0)</f>
        <v>Kg</v>
      </c>
      <c r="G11" s="55">
        <f>SUMIF(Recipes!A:A,Consolidate!B11,Recipes!H:H)</f>
        <v>850.41300000000001</v>
      </c>
      <c r="H11" s="55">
        <f>SUMIFS(Recipes!$H:$H,Recipes!$D:$D,Consolidate!$E11,Recipes!$A:$A,Consolidate!$B11)</f>
        <v>0</v>
      </c>
      <c r="I11" s="56">
        <f t="shared" si="0"/>
        <v>850.41300000000001</v>
      </c>
      <c r="K11" s="57">
        <f>SUMIF(Recipes!A:A,Consolidate!B11,Recipes!L:L)</f>
        <v>822.42499999999995</v>
      </c>
      <c r="L11" s="59">
        <f>SUMIFS(Recipes!$L:$L,Recipes!$D:$D,Consolidate!$E11,Recipes!$A:$A,Consolidate!$B11)</f>
        <v>0</v>
      </c>
      <c r="M11" s="60">
        <f t="shared" si="1"/>
        <v>822.42499999999995</v>
      </c>
    </row>
    <row r="12" spans="1:13">
      <c r="A12">
        <f t="shared" si="2"/>
        <v>10</v>
      </c>
      <c r="B12" s="5" t="s">
        <v>825</v>
      </c>
      <c r="C12" t="str">
        <f>VLOOKUP(B12,Recipes!A:B,2,0)</f>
        <v>Side Dish</v>
      </c>
      <c r="D12" t="str">
        <f>VLOOKUP(B12,Recipes!A:C,3,0)</f>
        <v>Dry</v>
      </c>
      <c r="E12" s="18">
        <f>VLOOKUP(B12,Recipes!A:J,10,0)</f>
        <v>0</v>
      </c>
      <c r="F12" s="18" t="str">
        <f>VLOOKUP(B12,Recipes!A:I,9,0)</f>
        <v>Kg</v>
      </c>
      <c r="G12" s="55">
        <f>SUMIF(Recipes!A:A,Consolidate!B12,Recipes!H:H)</f>
        <v>316.52107999999998</v>
      </c>
      <c r="H12" s="55">
        <f>SUMIFS(Recipes!$H:$H,Recipes!$D:$D,Consolidate!$E12,Recipes!$A:$A,Consolidate!$B12)</f>
        <v>0</v>
      </c>
      <c r="I12" s="56">
        <f t="shared" si="0"/>
        <v>316.52107999999998</v>
      </c>
      <c r="K12" s="57">
        <f>SUMIF(Recipes!A:A,Consolidate!B12,Recipes!L:L)</f>
        <v>339.44563999999997</v>
      </c>
      <c r="L12" s="59">
        <f>SUMIFS(Recipes!$L:$L,Recipes!$D:$D,Consolidate!$E12,Recipes!$A:$A,Consolidate!$B12)</f>
        <v>0</v>
      </c>
      <c r="M12" s="60">
        <f t="shared" si="1"/>
        <v>339.44563999999997</v>
      </c>
    </row>
    <row r="13" spans="1:13">
      <c r="A13">
        <f t="shared" si="2"/>
        <v>11</v>
      </c>
      <c r="B13" s="5" t="s">
        <v>810</v>
      </c>
      <c r="C13" t="str">
        <f>VLOOKUP(B13,Recipes!A:B,2,0)</f>
        <v>Side Dish</v>
      </c>
      <c r="D13" t="str">
        <f>VLOOKUP(B13,Recipes!A:C,3,0)</f>
        <v>Gravy</v>
      </c>
      <c r="E13" s="18">
        <f>VLOOKUP(B13,Recipes!A:J,10,0)</f>
        <v>0</v>
      </c>
      <c r="F13" s="18" t="str">
        <f>VLOOKUP(B13,Recipes!A:I,9,0)</f>
        <v>Kg</v>
      </c>
      <c r="G13" s="55">
        <f>SUMIF(Recipes!A:A,Consolidate!B13,Recipes!H:H)</f>
        <v>446.08222125000009</v>
      </c>
      <c r="H13" s="55">
        <f>SUMIFS(Recipes!$H:$H,Recipes!$D:$D,Consolidate!$E13,Recipes!$A:$A,Consolidate!$B13)</f>
        <v>0</v>
      </c>
      <c r="I13" s="56">
        <f t="shared" si="0"/>
        <v>446.08222125000009</v>
      </c>
      <c r="K13" s="57">
        <f>SUMIF(Recipes!A:A,Consolidate!B13,Recipes!L:L)</f>
        <v>590.00940000000014</v>
      </c>
      <c r="L13" s="59">
        <f>SUMIFS(Recipes!$L:$L,Recipes!$D:$D,Consolidate!$E13,Recipes!$A:$A,Consolidate!$B13)</f>
        <v>0</v>
      </c>
      <c r="M13" s="60">
        <f t="shared" si="1"/>
        <v>590.00940000000014</v>
      </c>
    </row>
    <row r="14" spans="1:13">
      <c r="A14">
        <f t="shared" si="2"/>
        <v>12</v>
      </c>
      <c r="B14" s="5" t="s">
        <v>644</v>
      </c>
      <c r="C14" t="str">
        <f>VLOOKUP(B14,Recipes!A:B,2,0)</f>
        <v>Side Dish</v>
      </c>
      <c r="D14" t="str">
        <f>VLOOKUP(B14,Recipes!A:C,3,0)</f>
        <v>Daal / Chana</v>
      </c>
      <c r="E14" s="18">
        <f>VLOOKUP(B14,Recipes!A:J,10,0)</f>
        <v>0</v>
      </c>
      <c r="F14" s="18" t="str">
        <f>VLOOKUP(B14,Recipes!A:I,9,0)</f>
        <v>20 Eggs</v>
      </c>
      <c r="G14" s="55">
        <f>SUMIF(Recipes!A:A,Consolidate!B14,Recipes!H:H)</f>
        <v>2424.38625</v>
      </c>
      <c r="H14" s="55">
        <f>SUMIFS(Recipes!$H:$H,Recipes!$D:$D,Consolidate!$E14,Recipes!$A:$A,Consolidate!$B14)</f>
        <v>0</v>
      </c>
      <c r="I14" s="56">
        <f t="shared" si="0"/>
        <v>2424.38625</v>
      </c>
      <c r="K14" s="57">
        <f>SUMIF(Recipes!A:A,Consolidate!B14,Recipes!L:L)</f>
        <v>2319.29</v>
      </c>
      <c r="L14" s="59">
        <f>SUMIFS(Recipes!$L:$L,Recipes!$D:$D,Consolidate!$E14,Recipes!$A:$A,Consolidate!$B14)</f>
        <v>0</v>
      </c>
      <c r="M14" s="60">
        <f t="shared" si="1"/>
        <v>2319.29</v>
      </c>
    </row>
    <row r="15" spans="1:13">
      <c r="A15">
        <f t="shared" si="2"/>
        <v>13</v>
      </c>
      <c r="B15" s="5" t="s">
        <v>778</v>
      </c>
      <c r="C15" t="str">
        <f>VLOOKUP(B15,Recipes!A:B,2,0)</f>
        <v>Side Dish</v>
      </c>
      <c r="D15" t="str">
        <f>VLOOKUP(B15,Recipes!A:C,3,0)</f>
        <v>Gravy</v>
      </c>
      <c r="E15" s="18">
        <f>VLOOKUP(B15,Recipes!A:J,10,0)</f>
        <v>0</v>
      </c>
      <c r="F15" s="18" t="str">
        <f>VLOOKUP(B15,Recipes!A:I,9,0)</f>
        <v>6 Eggs</v>
      </c>
      <c r="G15" s="55">
        <f>SUMIF(Recipes!A:A,Consolidate!B15,Recipes!H:H)</f>
        <v>266.04000000000002</v>
      </c>
      <c r="H15" s="55">
        <f>SUMIFS(Recipes!$H:$H,Recipes!$D:$D,Consolidate!$E15,Recipes!$A:$A,Consolidate!$B15)</f>
        <v>0</v>
      </c>
      <c r="I15" s="56">
        <f t="shared" si="0"/>
        <v>266.04000000000002</v>
      </c>
      <c r="K15" s="57">
        <f>SUMIF(Recipes!A:A,Consolidate!B15,Recipes!L:L)</f>
        <v>246.02999999999997</v>
      </c>
      <c r="L15" s="59">
        <f>SUMIFS(Recipes!$L:$L,Recipes!$D:$D,Consolidate!$E15,Recipes!$A:$A,Consolidate!$B15)</f>
        <v>0</v>
      </c>
      <c r="M15" s="60">
        <f t="shared" si="1"/>
        <v>246.02999999999997</v>
      </c>
    </row>
    <row r="16" spans="1:13">
      <c r="A16">
        <f t="shared" si="2"/>
        <v>14</v>
      </c>
      <c r="B16" s="5" t="s">
        <v>659</v>
      </c>
      <c r="C16" t="str">
        <f>VLOOKUP(B16,Recipes!A:B,2,0)</f>
        <v>Side Dish</v>
      </c>
      <c r="D16" t="str">
        <f>VLOOKUP(B16,Recipes!A:C,3,0)</f>
        <v>Gravy</v>
      </c>
      <c r="E16" s="18">
        <f>VLOOKUP(B16,Recipes!A:J,10,0)</f>
        <v>0</v>
      </c>
      <c r="F16" s="18" t="str">
        <f>VLOOKUP(B16,Recipes!A:I,9,0)</f>
        <v>2 Pax</v>
      </c>
      <c r="G16" s="55">
        <f>SUMIF(Recipes!A:A,Consolidate!B16,Recipes!H:H)</f>
        <v>179.90779999999998</v>
      </c>
      <c r="H16" s="55">
        <f>SUMIFS(Recipes!$H:$H,Recipes!$D:$D,Consolidate!$E16,Recipes!$A:$A,Consolidate!$B16)</f>
        <v>0</v>
      </c>
      <c r="I16" s="56">
        <f t="shared" si="0"/>
        <v>179.90779999999998</v>
      </c>
      <c r="K16" s="57">
        <f>SUMIF(Recipes!A:A,Consolidate!B16,Recipes!L:L)</f>
        <v>170.57999999999998</v>
      </c>
      <c r="L16" s="59">
        <f>SUMIFS(Recipes!$L:$L,Recipes!$D:$D,Consolidate!$E16,Recipes!$A:$A,Consolidate!$B16)</f>
        <v>0</v>
      </c>
      <c r="M16" s="60">
        <f t="shared" si="1"/>
        <v>170.57999999999998</v>
      </c>
    </row>
    <row r="17" spans="1:13">
      <c r="A17">
        <f t="shared" si="2"/>
        <v>15</v>
      </c>
      <c r="B17" s="5" t="s">
        <v>379</v>
      </c>
      <c r="C17" t="str">
        <f>VLOOKUP(B17,Recipes!A:B,2,0)</f>
        <v>Salad</v>
      </c>
      <c r="D17" t="str">
        <f>VLOOKUP(B17,Recipes!A:C,3,0)</f>
        <v>Without Meat</v>
      </c>
      <c r="E17" s="18">
        <f>VLOOKUP(B17,Recipes!A:J,10,0)</f>
        <v>0</v>
      </c>
      <c r="F17" s="18" t="str">
        <f>VLOOKUP(B17,Recipes!A:I,9,0)</f>
        <v>Kg</v>
      </c>
      <c r="G17" s="55">
        <f>SUMIF(Recipes!A:A,Consolidate!B17,Recipes!H:H)</f>
        <v>634.56638461538466</v>
      </c>
      <c r="H17" s="55">
        <f>SUMIFS(Recipes!$H:$H,Recipes!$D:$D,Consolidate!$E17,Recipes!$A:$A,Consolidate!$B17)</f>
        <v>0</v>
      </c>
      <c r="I17" s="56">
        <f t="shared" si="0"/>
        <v>634.56638461538466</v>
      </c>
      <c r="K17" s="57">
        <f>SUMIF(Recipes!A:A,Consolidate!B17,Recipes!L:L)</f>
        <v>635.85000000000014</v>
      </c>
      <c r="L17" s="59">
        <f>SUMIFS(Recipes!$L:$L,Recipes!$D:$D,Consolidate!$E17,Recipes!$A:$A,Consolidate!$B17)</f>
        <v>0</v>
      </c>
      <c r="M17" s="60">
        <f t="shared" si="1"/>
        <v>635.85000000000014</v>
      </c>
    </row>
    <row r="18" spans="1:13">
      <c r="A18">
        <f t="shared" si="2"/>
        <v>16</v>
      </c>
      <c r="B18" s="5" t="s">
        <v>813</v>
      </c>
      <c r="C18" t="str">
        <f>VLOOKUP(B18,Recipes!A:B,2,0)</f>
        <v>Breakfast Item</v>
      </c>
      <c r="D18" t="str">
        <f>VLOOKUP(B18,Recipes!A:C,3,0)</f>
        <v>Cereals</v>
      </c>
      <c r="E18" s="18">
        <f>VLOOKUP(B18,Recipes!A:J,10,0)</f>
        <v>0</v>
      </c>
      <c r="F18" s="18" t="str">
        <f>VLOOKUP(B18,Recipes!A:I,9,0)</f>
        <v>Nos</v>
      </c>
      <c r="G18" s="55">
        <f>SUMIF(Recipes!A:A,Consolidate!B18,Recipes!H:H)</f>
        <v>729.16666666666663</v>
      </c>
      <c r="H18" s="55">
        <f>SUMIFS(Recipes!$H:$H,Recipes!$D:$D,Consolidate!$E18,Recipes!$A:$A,Consolidate!$B18)</f>
        <v>0</v>
      </c>
      <c r="I18" s="56">
        <f t="shared" si="0"/>
        <v>729.16666666666663</v>
      </c>
      <c r="K18" s="57">
        <f>SUMIF(Recipes!A:A,Consolidate!B18,Recipes!L:L)</f>
        <v>843.75</v>
      </c>
      <c r="L18" s="59">
        <f>SUMIFS(Recipes!$L:$L,Recipes!$D:$D,Consolidate!$E18,Recipes!$A:$A,Consolidate!$B18)</f>
        <v>0</v>
      </c>
      <c r="M18" s="60">
        <f t="shared" si="1"/>
        <v>843.75</v>
      </c>
    </row>
    <row r="19" spans="1:13">
      <c r="A19">
        <f t="shared" si="2"/>
        <v>17</v>
      </c>
      <c r="B19" s="5" t="s">
        <v>589</v>
      </c>
      <c r="C19" t="str">
        <f>VLOOKUP(B19,Recipes!A:B,2,0)</f>
        <v>Main Course</v>
      </c>
      <c r="D19" t="str">
        <f>VLOOKUP(B19,Recipes!A:C,3,0)</f>
        <v>BBQ</v>
      </c>
      <c r="E19" s="18" t="str">
        <f>VLOOKUP(B19,Recipes!A:J,10,0)</f>
        <v>Mutton Boneless</v>
      </c>
      <c r="F19" s="18" t="str">
        <f>VLOOKUP(B19,Recipes!A:I,9,0)</f>
        <v>Kg</v>
      </c>
      <c r="G19" s="55">
        <f>SUMIF(Recipes!A:A,Consolidate!B19,Recipes!H:H)</f>
        <v>2198.7333038869256</v>
      </c>
      <c r="H19" s="55">
        <f>SUMIFS(Recipes!$H:$H,Recipes!$D:$D,Consolidate!$E19,Recipes!$A:$A,Consolidate!$B19)</f>
        <v>1957.5</v>
      </c>
      <c r="I19" s="56">
        <f t="shared" si="0"/>
        <v>241.23330388692557</v>
      </c>
      <c r="K19" s="57">
        <f>SUMIF(Recipes!A:A,Consolidate!B19,Recipes!L:L)</f>
        <v>2454.8134982332153</v>
      </c>
      <c r="L19" s="59">
        <f>SUMIFS(Recipes!$L:$L,Recipes!$D:$D,Consolidate!$E19,Recipes!$A:$A,Consolidate!$B19)</f>
        <v>2200</v>
      </c>
      <c r="M19" s="60">
        <f t="shared" si="1"/>
        <v>254.81349823321534</v>
      </c>
    </row>
    <row r="20" spans="1:13">
      <c r="A20">
        <f t="shared" si="2"/>
        <v>18</v>
      </c>
      <c r="B20" s="5" t="s">
        <v>498</v>
      </c>
      <c r="C20" t="str">
        <f>VLOOKUP(B20,Recipes!A:B,2,0)</f>
        <v>Salad</v>
      </c>
      <c r="D20" t="str">
        <f>VLOOKUP(B20,Recipes!A:C,3,0)</f>
        <v>Without Meat</v>
      </c>
      <c r="E20" s="18">
        <f>VLOOKUP(B20,Recipes!A:J,10,0)</f>
        <v>0</v>
      </c>
      <c r="F20" s="18" t="str">
        <f>VLOOKUP(B20,Recipes!A:I,9,0)</f>
        <v>Kg</v>
      </c>
      <c r="G20" s="55">
        <f>SUMIF(Recipes!A:A,Consolidate!B20,Recipes!H:H)</f>
        <v>1317.4540000000002</v>
      </c>
      <c r="H20" s="55">
        <f>SUMIFS(Recipes!$H:$H,Recipes!$D:$D,Consolidate!$E20,Recipes!$A:$A,Consolidate!$B20)</f>
        <v>0</v>
      </c>
      <c r="I20" s="56">
        <f t="shared" si="0"/>
        <v>1317.4540000000002</v>
      </c>
      <c r="K20" s="57">
        <f>SUMIF(Recipes!A:A,Consolidate!B20,Recipes!L:L)</f>
        <v>876.15</v>
      </c>
      <c r="L20" s="59">
        <f>SUMIFS(Recipes!$L:$L,Recipes!$D:$D,Consolidate!$E20,Recipes!$A:$A,Consolidate!$B20)</f>
        <v>0</v>
      </c>
      <c r="M20" s="60">
        <f t="shared" si="1"/>
        <v>876.15</v>
      </c>
    </row>
    <row r="21" spans="1:13">
      <c r="A21">
        <f t="shared" si="2"/>
        <v>19</v>
      </c>
      <c r="B21" s="5" t="s">
        <v>562</v>
      </c>
      <c r="C21" t="str">
        <f>VLOOKUP(B21,Recipes!A:B,2,0)</f>
        <v>Main Course</v>
      </c>
      <c r="D21" t="str">
        <f>VLOOKUP(B21,Recipes!A:C,3,0)</f>
        <v>Fish</v>
      </c>
      <c r="E21" s="18" t="str">
        <f>VLOOKUP(B21,Recipes!A:J,10,0)</f>
        <v>Fish</v>
      </c>
      <c r="F21" s="18" t="str">
        <f>VLOOKUP(B21,Recipes!A:I,9,0)</f>
        <v>Kg</v>
      </c>
      <c r="G21" s="55">
        <f>SUMIF(Recipes!A:A,Consolidate!B21,Recipes!H:H)</f>
        <v>1959.5578</v>
      </c>
      <c r="H21" s="55">
        <f>SUMIFS(Recipes!$H:$H,Recipes!$D:$D,Consolidate!$E21,Recipes!$A:$A,Consolidate!$B21)</f>
        <v>1600</v>
      </c>
      <c r="I21" s="56">
        <f t="shared" si="0"/>
        <v>359.55780000000004</v>
      </c>
      <c r="K21" s="57">
        <f>SUMIF(Recipes!A:A,Consolidate!B21,Recipes!L:L)</f>
        <v>1902.3367999999998</v>
      </c>
      <c r="L21" s="59">
        <f>SUMIFS(Recipes!$L:$L,Recipes!$D:$D,Consolidate!$E21,Recipes!$A:$A,Consolidate!$B21)</f>
        <v>1514.78</v>
      </c>
      <c r="M21" s="60">
        <f t="shared" si="1"/>
        <v>387.55679999999984</v>
      </c>
    </row>
    <row r="22" spans="1:13">
      <c r="A22">
        <f t="shared" si="2"/>
        <v>20</v>
      </c>
      <c r="B22" s="5" t="s">
        <v>564</v>
      </c>
      <c r="C22" t="str">
        <f>VLOOKUP(B22,Recipes!A:B,2,0)</f>
        <v>Side Dish</v>
      </c>
      <c r="D22" t="str">
        <f>VLOOKUP(B22,Recipes!A:C,3,0)</f>
        <v>Dry</v>
      </c>
      <c r="E22" s="18">
        <f>VLOOKUP(B22,Recipes!A:J,10,0)</f>
        <v>0</v>
      </c>
      <c r="F22" s="18" t="str">
        <f>VLOOKUP(B22,Recipes!A:I,9,0)</f>
        <v>Kg</v>
      </c>
      <c r="G22" s="55">
        <f>SUMIF(Recipes!A:A,Consolidate!B22,Recipes!H:H)</f>
        <v>381.87559999999996</v>
      </c>
      <c r="H22" s="55">
        <f>SUMIFS(Recipes!$H:$H,Recipes!$D:$D,Consolidate!$E22,Recipes!$A:$A,Consolidate!$B22)</f>
        <v>0</v>
      </c>
      <c r="I22" s="56">
        <f t="shared" si="0"/>
        <v>381.87559999999996</v>
      </c>
      <c r="K22" s="57">
        <f>SUMIF(Recipes!A:A,Consolidate!B22,Recipes!L:L)</f>
        <v>345.65999999999997</v>
      </c>
      <c r="L22" s="59">
        <f>SUMIFS(Recipes!$L:$L,Recipes!$D:$D,Consolidate!$E22,Recipes!$A:$A,Consolidate!$B22)</f>
        <v>0</v>
      </c>
      <c r="M22" s="60">
        <f t="shared" si="1"/>
        <v>345.65999999999997</v>
      </c>
    </row>
    <row r="23" spans="1:13">
      <c r="A23">
        <f t="shared" si="2"/>
        <v>21</v>
      </c>
      <c r="B23" s="5" t="s">
        <v>578</v>
      </c>
      <c r="C23" t="str">
        <f>VLOOKUP(B23,Recipes!A:B,2,0)</f>
        <v>Dessert</v>
      </c>
      <c r="D23" t="str">
        <f>VLOOKUP(B23,Recipes!A:C,3,0)</f>
        <v>Dry</v>
      </c>
      <c r="E23" s="18">
        <f>VLOOKUP(B23,Recipes!A:J,10,0)</f>
        <v>0</v>
      </c>
      <c r="F23" s="18" t="str">
        <f>VLOOKUP(B23,Recipes!A:I,9,0)</f>
        <v>24 Pcs</v>
      </c>
      <c r="G23" s="55">
        <f>SUMIF(Recipes!A:A,Consolidate!B23,Recipes!H:H)</f>
        <v>2189.6760000000004</v>
      </c>
      <c r="H23" s="55">
        <f>SUMIFS(Recipes!$H:$H,Recipes!$D:$D,Consolidate!$E23,Recipes!$A:$A,Consolidate!$B23)</f>
        <v>0</v>
      </c>
      <c r="I23" s="56">
        <f t="shared" si="0"/>
        <v>2189.6760000000004</v>
      </c>
      <c r="K23" s="57">
        <f>SUMIF(Recipes!A:A,Consolidate!B23,Recipes!L:L)</f>
        <v>2262.7379999999998</v>
      </c>
      <c r="L23" s="59">
        <f>SUMIFS(Recipes!$L:$L,Recipes!$D:$D,Consolidate!$E23,Recipes!$A:$A,Consolidate!$B23)</f>
        <v>0</v>
      </c>
      <c r="M23" s="60">
        <f t="shared" si="1"/>
        <v>2262.7379999999998</v>
      </c>
    </row>
    <row r="24" spans="1:13">
      <c r="A24">
        <f t="shared" si="2"/>
        <v>22</v>
      </c>
      <c r="B24" s="5" t="s">
        <v>373</v>
      </c>
      <c r="C24" t="str">
        <f>VLOOKUP(B24,Recipes!A:B,2,0)</f>
        <v>Soup</v>
      </c>
      <c r="D24" t="str">
        <f>VLOOKUP(B24,Recipes!A:C,3,0)</f>
        <v>With Meat</v>
      </c>
      <c r="E24" s="18">
        <f>VLOOKUP(B24,Recipes!A:J,10,0)</f>
        <v>0</v>
      </c>
      <c r="F24" s="18" t="str">
        <f>VLOOKUP(B24,Recipes!A:I,9,0)</f>
        <v>Bowl</v>
      </c>
      <c r="G24" s="55">
        <f>SUMIF(Recipes!A:A,Consolidate!B24,Recipes!H:H)</f>
        <v>73.934999999999988</v>
      </c>
      <c r="H24" s="55">
        <f>SUMIFS(Recipes!$H:$H,Recipes!$D:$D,Consolidate!$E24,Recipes!$A:$A,Consolidate!$B24)</f>
        <v>0</v>
      </c>
      <c r="I24" s="56">
        <f t="shared" si="0"/>
        <v>73.934999999999988</v>
      </c>
      <c r="K24" s="57">
        <f>SUMIF(Recipes!A:A,Consolidate!B24,Recipes!L:L)</f>
        <v>212.95000000000005</v>
      </c>
      <c r="L24" s="59">
        <f>SUMIFS(Recipes!$L:$L,Recipes!$D:$D,Consolidate!$E24,Recipes!$A:$A,Consolidate!$B24)</f>
        <v>0</v>
      </c>
      <c r="M24" s="60">
        <f t="shared" si="1"/>
        <v>212.95000000000005</v>
      </c>
    </row>
    <row r="25" spans="1:13">
      <c r="A25">
        <f t="shared" si="2"/>
        <v>23</v>
      </c>
      <c r="B25" s="5" t="s">
        <v>550</v>
      </c>
      <c r="C25" t="str">
        <f>VLOOKUP(B25,Recipes!A:B,2,0)</f>
        <v>Dessert</v>
      </c>
      <c r="D25" t="str">
        <f>VLOOKUP(B25,Recipes!A:C,3,0)</f>
        <v>Dry</v>
      </c>
      <c r="E25" s="18">
        <f>VLOOKUP(B25,Recipes!A:J,10,0)</f>
        <v>0</v>
      </c>
      <c r="F25" s="18" t="str">
        <f>VLOOKUP(B25,Recipes!A:I,9,0)</f>
        <v>Kg</v>
      </c>
      <c r="G25" s="55">
        <f>SUMIF(Recipes!A:A,Consolidate!B25,Recipes!H:H)</f>
        <v>1642.7833500000002</v>
      </c>
      <c r="H25" s="55">
        <f>SUMIFS(Recipes!$H:$H,Recipes!$D:$D,Consolidate!$E25,Recipes!$A:$A,Consolidate!$B25)</f>
        <v>0</v>
      </c>
      <c r="I25" s="56">
        <f t="shared" si="0"/>
        <v>1642.7833500000002</v>
      </c>
      <c r="K25" s="57">
        <f>SUMIF(Recipes!A:A,Consolidate!B25,Recipes!L:L)</f>
        <v>1933.8622971428572</v>
      </c>
      <c r="L25" s="59">
        <f>SUMIFS(Recipes!$L:$L,Recipes!$D:$D,Consolidate!$E25,Recipes!$A:$A,Consolidate!$B25)</f>
        <v>0</v>
      </c>
      <c r="M25" s="60">
        <f t="shared" si="1"/>
        <v>1933.8622971428572</v>
      </c>
    </row>
    <row r="26" spans="1:13">
      <c r="A26">
        <f t="shared" si="2"/>
        <v>24</v>
      </c>
      <c r="B26" s="5" t="s">
        <v>543</v>
      </c>
      <c r="C26" t="str">
        <f>VLOOKUP(B26,Recipes!A:B,2,0)</f>
        <v>Chatni &amp; Sauces</v>
      </c>
      <c r="D26" t="str">
        <f>VLOOKUP(B26,Recipes!A:C,3,0)</f>
        <v>Chatni &amp; Sauces</v>
      </c>
      <c r="E26" s="18">
        <f>VLOOKUP(B26,Recipes!A:J,10,0)</f>
        <v>0</v>
      </c>
      <c r="F26" s="18" t="str">
        <f>VLOOKUP(B26,Recipes!A:I,9,0)</f>
        <v>Bowl</v>
      </c>
      <c r="G26" s="55">
        <f>SUMIF(Recipes!A:A,Consolidate!B26,Recipes!H:H)</f>
        <v>529.01194999999996</v>
      </c>
      <c r="H26" s="55">
        <f>SUMIFS(Recipes!$H:$H,Recipes!$D:$D,Consolidate!$E26,Recipes!$A:$A,Consolidate!$B26)</f>
        <v>0</v>
      </c>
      <c r="I26" s="56">
        <f t="shared" si="0"/>
        <v>529.01194999999996</v>
      </c>
      <c r="K26" s="57">
        <f>SUMIF(Recipes!A:A,Consolidate!B26,Recipes!L:L)</f>
        <v>538.41695000000004</v>
      </c>
      <c r="L26" s="59">
        <f>SUMIFS(Recipes!$L:$L,Recipes!$D:$D,Consolidate!$E26,Recipes!$A:$A,Consolidate!$B26)</f>
        <v>0</v>
      </c>
      <c r="M26" s="60">
        <f t="shared" si="1"/>
        <v>538.41695000000004</v>
      </c>
    </row>
    <row r="27" spans="1:13">
      <c r="A27">
        <f t="shared" si="2"/>
        <v>25</v>
      </c>
      <c r="B27" s="5" t="s">
        <v>672</v>
      </c>
      <c r="C27" t="str">
        <f>VLOOKUP(B27,Recipes!A:B,2,0)</f>
        <v>Main Course</v>
      </c>
      <c r="D27" t="str">
        <f>VLOOKUP(B27,Recipes!A:C,3,0)</f>
        <v>BBQ</v>
      </c>
      <c r="E27" s="18" t="str">
        <f>VLOOKUP(B27,Recipes!A:J,10,0)</f>
        <v>Beef Boneless</v>
      </c>
      <c r="F27" s="18" t="str">
        <f>VLOOKUP(B27,Recipes!A:I,9,0)</f>
        <v>Kg</v>
      </c>
      <c r="G27" s="55">
        <f>SUMIF(Recipes!A:A,Consolidate!B27,Recipes!H:H)</f>
        <v>1318.12</v>
      </c>
      <c r="H27" s="55">
        <f>SUMIFS(Recipes!$H:$H,Recipes!$D:$D,Consolidate!$E27,Recipes!$A:$A,Consolidate!$B27)</f>
        <v>1020</v>
      </c>
      <c r="I27" s="56">
        <f t="shared" si="0"/>
        <v>298.11999999999989</v>
      </c>
      <c r="K27" s="57">
        <f>SUMIF(Recipes!A:A,Consolidate!B27,Recipes!L:L)</f>
        <v>1296.1200000000001</v>
      </c>
      <c r="L27" s="59">
        <f>SUMIFS(Recipes!$L:$L,Recipes!$D:$D,Consolidate!$E27,Recipes!$A:$A,Consolidate!$B27)</f>
        <v>1000</v>
      </c>
      <c r="M27" s="60">
        <f t="shared" si="1"/>
        <v>296.12000000000012</v>
      </c>
    </row>
    <row r="28" spans="1:13">
      <c r="A28">
        <f t="shared" si="2"/>
        <v>26</v>
      </c>
      <c r="B28" s="5" t="s">
        <v>527</v>
      </c>
      <c r="C28" t="str">
        <f>VLOOKUP(B28,Recipes!A:B,2,0)</f>
        <v>Main Course</v>
      </c>
      <c r="D28" t="str">
        <f>VLOOKUP(B28,Recipes!A:C,3,0)</f>
        <v>Gravy</v>
      </c>
      <c r="E28" s="18" t="str">
        <f>VLOOKUP(B28,Recipes!A:J,10,0)</f>
        <v>Beef Cube</v>
      </c>
      <c r="F28" s="18" t="str">
        <f>VLOOKUP(B28,Recipes!A:I,9,0)</f>
        <v>Kg</v>
      </c>
      <c r="G28" s="55">
        <f>SUMIF(Recipes!A:A,Consolidate!B28,Recipes!H:H)</f>
        <v>1141.0259999999998</v>
      </c>
      <c r="H28" s="55">
        <f>SUMIFS(Recipes!$H:$H,Recipes!$D:$D,Consolidate!$E28,Recipes!$A:$A,Consolidate!$B28)</f>
        <v>800</v>
      </c>
      <c r="I28" s="56">
        <f t="shared" si="0"/>
        <v>341.02599999999984</v>
      </c>
      <c r="K28" s="57">
        <f>SUMIF(Recipes!A:A,Consolidate!B28,Recipes!L:L)</f>
        <v>1318.8999999999999</v>
      </c>
      <c r="L28" s="59">
        <f>SUMIFS(Recipes!$L:$L,Recipes!$D:$D,Consolidate!$E28,Recipes!$A:$A,Consolidate!$B28)</f>
        <v>950</v>
      </c>
      <c r="M28" s="60">
        <f t="shared" si="1"/>
        <v>368.89999999999986</v>
      </c>
    </row>
    <row r="29" spans="1:13">
      <c r="A29">
        <f t="shared" si="2"/>
        <v>27</v>
      </c>
      <c r="B29" s="5" t="s">
        <v>533</v>
      </c>
      <c r="C29" t="str">
        <f>VLOOKUP(B29,Recipes!A:B,2,0)</f>
        <v>Main Course</v>
      </c>
      <c r="D29" t="str">
        <f>VLOOKUP(B29,Recipes!A:C,3,0)</f>
        <v>Gravy</v>
      </c>
      <c r="E29" s="18" t="str">
        <f>VLOOKUP(B29,Recipes!A:J,10,0)</f>
        <v>Beef Boneless</v>
      </c>
      <c r="F29" s="18" t="str">
        <f>VLOOKUP(B29,Recipes!A:I,9,0)</f>
        <v>Kg</v>
      </c>
      <c r="G29" s="55">
        <f>SUMIF(Recipes!A:A,Consolidate!B29,Recipes!H:H)</f>
        <v>1505.9181249999999</v>
      </c>
      <c r="H29" s="55">
        <f>SUMIFS(Recipes!$H:$H,Recipes!$D:$D,Consolidate!$E29,Recipes!$A:$A,Consolidate!$B29)</f>
        <v>1020</v>
      </c>
      <c r="I29" s="56">
        <f t="shared" si="0"/>
        <v>485.91812499999992</v>
      </c>
      <c r="K29" s="57">
        <f>SUMIF(Recipes!A:A,Consolidate!B29,Recipes!L:L)</f>
        <v>1458.925</v>
      </c>
      <c r="L29" s="59">
        <f>SUMIFS(Recipes!$L:$L,Recipes!$D:$D,Consolidate!$E29,Recipes!$A:$A,Consolidate!$B29)</f>
        <v>1000</v>
      </c>
      <c r="M29" s="60">
        <f t="shared" si="1"/>
        <v>458.92499999999995</v>
      </c>
    </row>
    <row r="30" spans="1:13">
      <c r="A30">
        <f t="shared" si="2"/>
        <v>28</v>
      </c>
      <c r="B30" s="5" t="s">
        <v>440</v>
      </c>
      <c r="C30" t="str">
        <f>VLOOKUP(B30,Recipes!A:B,2,0)</f>
        <v>Main Course</v>
      </c>
      <c r="D30" t="str">
        <f>VLOOKUP(B30,Recipes!A:C,3,0)</f>
        <v>BBQ</v>
      </c>
      <c r="E30" s="18" t="str">
        <f>VLOOKUP(B30,Recipes!A:J,10,0)</f>
        <v>Beef Boneless</v>
      </c>
      <c r="F30" s="18" t="str">
        <f>VLOOKUP(B30,Recipes!A:I,9,0)</f>
        <v>Kg</v>
      </c>
      <c r="G30" s="55">
        <f>SUMIF(Recipes!A:A,Consolidate!B30,Recipes!H:H)</f>
        <v>1367.0780200000004</v>
      </c>
      <c r="H30" s="55">
        <f>SUMIFS(Recipes!$H:$H,Recipes!$D:$D,Consolidate!$E30,Recipes!$A:$A,Consolidate!$B30)</f>
        <v>1020</v>
      </c>
      <c r="I30" s="56">
        <f t="shared" si="0"/>
        <v>347.07802000000038</v>
      </c>
      <c r="K30" s="57">
        <f>SUMIF(Recipes!A:A,Consolidate!B30,Recipes!L:L)</f>
        <v>1318.8328525000002</v>
      </c>
      <c r="L30" s="59">
        <f>SUMIFS(Recipes!$L:$L,Recipes!$D:$D,Consolidate!$E30,Recipes!$A:$A,Consolidate!$B30)</f>
        <v>1000</v>
      </c>
      <c r="M30" s="60">
        <f t="shared" si="1"/>
        <v>318.83285250000017</v>
      </c>
    </row>
    <row r="31" spans="1:13">
      <c r="A31">
        <f t="shared" si="2"/>
        <v>29</v>
      </c>
      <c r="B31" s="5" t="s">
        <v>817</v>
      </c>
      <c r="C31" t="str">
        <f>VLOOKUP(B31,Recipes!A:B,2,0)</f>
        <v>Main Course</v>
      </c>
      <c r="D31" t="str">
        <f>VLOOKUP(B31,Recipes!A:C,3,0)</f>
        <v>Gravy</v>
      </c>
      <c r="E31" s="18" t="str">
        <f>VLOOKUP(B31,Recipes!A:J,10,0)</f>
        <v>Beef Cube</v>
      </c>
      <c r="F31" s="18" t="str">
        <f>VLOOKUP(B31,Recipes!A:I,9,0)</f>
        <v>Kg</v>
      </c>
      <c r="G31" s="55">
        <f>SUMIF(Recipes!A:A,Consolidate!B31,Recipes!H:H)</f>
        <v>1171.1859999999999</v>
      </c>
      <c r="H31" s="55">
        <f>SUMIFS(Recipes!$H:$H,Recipes!$D:$D,Consolidate!$E31,Recipes!$A:$A,Consolidate!$B31)</f>
        <v>800</v>
      </c>
      <c r="I31" s="56">
        <f t="shared" si="0"/>
        <v>371.18599999999992</v>
      </c>
      <c r="K31" s="57">
        <f>SUMIF(Recipes!A:A,Consolidate!B31,Recipes!L:L)</f>
        <v>1300.5900000000001</v>
      </c>
      <c r="L31" s="59">
        <f>SUMIFS(Recipes!$L:$L,Recipes!$D:$D,Consolidate!$E31,Recipes!$A:$A,Consolidate!$B31)</f>
        <v>950</v>
      </c>
      <c r="M31" s="60">
        <f t="shared" si="1"/>
        <v>350.59000000000015</v>
      </c>
    </row>
    <row r="32" spans="1:13">
      <c r="A32">
        <f t="shared" si="2"/>
        <v>30</v>
      </c>
      <c r="B32" s="5" t="s">
        <v>282</v>
      </c>
      <c r="C32" t="str">
        <f>VLOOKUP(B32,Recipes!A:B,2,0)</f>
        <v>Main Course</v>
      </c>
      <c r="D32" t="str">
        <f>VLOOKUP(B32,Recipes!A:C,3,0)</f>
        <v>Rice</v>
      </c>
      <c r="E32" s="18" t="str">
        <f>VLOOKUP(B32,Recipes!A:J,10,0)</f>
        <v>Beef Cube</v>
      </c>
      <c r="F32" s="18" t="str">
        <f>VLOOKUP(B32,Recipes!A:I,9,0)</f>
        <v>Kg</v>
      </c>
      <c r="G32" s="55">
        <f>SUMIF(Recipes!A:A,Consolidate!B32,Recipes!H:H)</f>
        <v>1375.1467619047617</v>
      </c>
      <c r="H32" s="55">
        <f>SUMIFS(Recipes!$H:$H,Recipes!$D:$D,Consolidate!$E32,Recipes!$A:$A,Consolidate!$B32)</f>
        <v>800</v>
      </c>
      <c r="I32" s="56">
        <f t="shared" si="0"/>
        <v>575.14676190476166</v>
      </c>
      <c r="K32" s="57">
        <f>SUMIF(Recipes!A:A,Consolidate!B32,Recipes!L:L)</f>
        <v>1526.8651428571429</v>
      </c>
      <c r="L32" s="59">
        <f>SUMIFS(Recipes!$L:$L,Recipes!$D:$D,Consolidate!$E32,Recipes!$A:$A,Consolidate!$B32)</f>
        <v>950</v>
      </c>
      <c r="M32" s="60">
        <f t="shared" si="1"/>
        <v>576.86514285714293</v>
      </c>
    </row>
    <row r="33" spans="1:13">
      <c r="A33">
        <f t="shared" si="2"/>
        <v>31</v>
      </c>
      <c r="B33" s="5" t="s">
        <v>25</v>
      </c>
      <c r="C33" t="str">
        <f>VLOOKUP(B33,Recipes!A:B,2,0)</f>
        <v>Main Course</v>
      </c>
      <c r="D33" t="str">
        <f>VLOOKUP(B33,Recipes!A:C,3,0)</f>
        <v>Fried</v>
      </c>
      <c r="E33" s="18" t="str">
        <f>VLOOKUP(B33,Recipes!A:J,10,0)</f>
        <v>Beef Boneless</v>
      </c>
      <c r="F33" s="18" t="str">
        <f>VLOOKUP(B33,Recipes!A:I,9,0)</f>
        <v>Kg</v>
      </c>
      <c r="G33" s="55">
        <f>SUMIF(Recipes!A:A,Consolidate!B33,Recipes!H:H)</f>
        <v>1149.532375</v>
      </c>
      <c r="H33" s="55">
        <f>SUMIFS(Recipes!$H:$H,Recipes!$D:$D,Consolidate!$E33,Recipes!$A:$A,Consolidate!$B33)</f>
        <v>1020</v>
      </c>
      <c r="I33" s="56">
        <f t="shared" si="0"/>
        <v>129.532375</v>
      </c>
      <c r="K33" s="57">
        <f>SUMIF(Recipes!A:A,Consolidate!B33,Recipes!L:L)</f>
        <v>1295.5554999999999</v>
      </c>
      <c r="L33" s="59">
        <f>SUMIFS(Recipes!$L:$L,Recipes!$D:$D,Consolidate!$E33,Recipes!$A:$A,Consolidate!$B33)</f>
        <v>1000</v>
      </c>
      <c r="M33" s="60">
        <f t="shared" si="1"/>
        <v>295.55549999999994</v>
      </c>
    </row>
    <row r="34" spans="1:13">
      <c r="A34">
        <f t="shared" si="2"/>
        <v>32</v>
      </c>
      <c r="B34" s="5" t="s">
        <v>653</v>
      </c>
      <c r="C34" t="str">
        <f>VLOOKUP(B34,Recipes!A:B,2,0)</f>
        <v>Main Course</v>
      </c>
      <c r="D34" t="str">
        <f>VLOOKUP(B34,Recipes!A:C,3,0)</f>
        <v>Gravy</v>
      </c>
      <c r="E34" s="18" t="str">
        <f>VLOOKUP(B34,Recipes!A:J,10,0)</f>
        <v>Beef Cube</v>
      </c>
      <c r="F34" s="18" t="str">
        <f>VLOOKUP(B34,Recipes!A:I,9,0)</f>
        <v>Kg</v>
      </c>
      <c r="G34" s="55">
        <f>SUMIF(Recipes!A:A,Consolidate!B34,Recipes!H:H)</f>
        <v>1136.6255999999998</v>
      </c>
      <c r="H34" s="55">
        <f>SUMIFS(Recipes!$H:$H,Recipes!$D:$D,Consolidate!$E34,Recipes!$A:$A,Consolidate!$B34)</f>
        <v>800</v>
      </c>
      <c r="I34" s="56">
        <f t="shared" si="0"/>
        <v>336.62559999999985</v>
      </c>
      <c r="K34" s="57">
        <f>SUMIF(Recipes!A:A,Consolidate!B34,Recipes!L:L)</f>
        <v>1301.4000000000001</v>
      </c>
      <c r="L34" s="59">
        <f>SUMIFS(Recipes!$L:$L,Recipes!$D:$D,Consolidate!$E34,Recipes!$A:$A,Consolidate!$B34)</f>
        <v>950</v>
      </c>
      <c r="M34" s="60">
        <f t="shared" si="1"/>
        <v>351.40000000000009</v>
      </c>
    </row>
    <row r="35" spans="1:13">
      <c r="A35">
        <f t="shared" si="2"/>
        <v>33</v>
      </c>
      <c r="B35" s="5" t="s">
        <v>828</v>
      </c>
      <c r="C35" t="str">
        <f>VLOOKUP(B35,Recipes!A:B,2,0)</f>
        <v>Main Course</v>
      </c>
      <c r="D35" t="str">
        <f>VLOOKUP(B35,Recipes!A:C,3,0)</f>
        <v>Gravy</v>
      </c>
      <c r="E35" s="18" t="str">
        <f>VLOOKUP(B35,Recipes!A:J,10,0)</f>
        <v>Beef Cube</v>
      </c>
      <c r="F35" s="18" t="str">
        <f>VLOOKUP(B35,Recipes!A:I,9,0)</f>
        <v>Kg</v>
      </c>
      <c r="G35" s="55">
        <f>SUMIF(Recipes!A:A,Consolidate!B35,Recipes!H:H)</f>
        <v>1134.183</v>
      </c>
      <c r="H35" s="55">
        <f>SUMIFS(Recipes!$H:$H,Recipes!$D:$D,Consolidate!$E35,Recipes!$A:$A,Consolidate!$B35)</f>
        <v>800</v>
      </c>
      <c r="I35" s="56">
        <f t="shared" si="0"/>
        <v>334.18299999999999</v>
      </c>
      <c r="K35" s="57">
        <f>SUMIF(Recipes!A:A,Consolidate!B35,Recipes!L:L)</f>
        <v>1293.7900000000002</v>
      </c>
      <c r="L35" s="59">
        <f>SUMIFS(Recipes!$L:$L,Recipes!$D:$D,Consolidate!$E35,Recipes!$A:$A,Consolidate!$B35)</f>
        <v>950</v>
      </c>
      <c r="M35" s="60">
        <f t="shared" si="1"/>
        <v>343.79000000000019</v>
      </c>
    </row>
    <row r="36" spans="1:13">
      <c r="A36">
        <f t="shared" si="2"/>
        <v>34</v>
      </c>
      <c r="B36" s="5" t="s">
        <v>444</v>
      </c>
      <c r="C36" t="str">
        <f>VLOOKUP(B36,Recipes!A:B,2,0)</f>
        <v>Main Course</v>
      </c>
      <c r="D36" t="str">
        <f>VLOOKUP(B36,Recipes!A:C,3,0)</f>
        <v>Gravy</v>
      </c>
      <c r="E36" s="18" t="str">
        <f>VLOOKUP(B36,Recipes!A:J,10,0)</f>
        <v>Beef Boneless</v>
      </c>
      <c r="F36" s="18" t="str">
        <f>VLOOKUP(B36,Recipes!A:I,9,0)</f>
        <v>Kg</v>
      </c>
      <c r="G36" s="55">
        <f>SUMIF(Recipes!A:A,Consolidate!B36,Recipes!H:H)</f>
        <v>1325.7384999999999</v>
      </c>
      <c r="H36" s="55">
        <f>SUMIFS(Recipes!$H:$H,Recipes!$D:$D,Consolidate!$E36,Recipes!$A:$A,Consolidate!$B36)</f>
        <v>1020</v>
      </c>
      <c r="I36" s="56">
        <f t="shared" si="0"/>
        <v>305.73849999999993</v>
      </c>
      <c r="K36" s="57">
        <f>SUMIF(Recipes!A:A,Consolidate!B36,Recipes!L:L)</f>
        <v>1300.9638749999999</v>
      </c>
      <c r="L36" s="59">
        <f>SUMIFS(Recipes!$L:$L,Recipes!$D:$D,Consolidate!$E36,Recipes!$A:$A,Consolidate!$B36)</f>
        <v>1000</v>
      </c>
      <c r="M36" s="60">
        <f t="shared" si="1"/>
        <v>300.96387499999992</v>
      </c>
    </row>
    <row r="37" spans="1:13">
      <c r="A37">
        <f t="shared" si="2"/>
        <v>35</v>
      </c>
      <c r="B37" s="5" t="s">
        <v>287</v>
      </c>
      <c r="C37" t="str">
        <f>VLOOKUP(B37,Recipes!A:B,2,0)</f>
        <v>Main Course</v>
      </c>
      <c r="D37" t="str">
        <f>VLOOKUP(B37,Recipes!A:C,3,0)</f>
        <v>BBQ</v>
      </c>
      <c r="E37" s="18" t="str">
        <f>VLOOKUP(B37,Recipes!A:J,10,0)</f>
        <v>Beef Boneless</v>
      </c>
      <c r="F37" s="18" t="str">
        <f>VLOOKUP(B37,Recipes!A:I,9,0)</f>
        <v>Kg</v>
      </c>
      <c r="G37" s="55">
        <f>SUMIF(Recipes!A:A,Consolidate!B37,Recipes!H:H)</f>
        <v>1248.6195357142858</v>
      </c>
      <c r="H37" s="55">
        <f>SUMIFS(Recipes!$H:$H,Recipes!$D:$D,Consolidate!$E37,Recipes!$A:$A,Consolidate!$B37)</f>
        <v>1020</v>
      </c>
      <c r="I37" s="56">
        <f t="shared" si="0"/>
        <v>228.6195357142858</v>
      </c>
      <c r="K37" s="57">
        <f>SUMIF(Recipes!A:A,Consolidate!B37,Recipes!L:L)</f>
        <v>1237.3747857142855</v>
      </c>
      <c r="L37" s="59">
        <f>SUMIFS(Recipes!$L:$L,Recipes!$D:$D,Consolidate!$E37,Recipes!$A:$A,Consolidate!$B37)</f>
        <v>1000</v>
      </c>
      <c r="M37" s="60">
        <f t="shared" si="1"/>
        <v>237.37478571428551</v>
      </c>
    </row>
    <row r="38" spans="1:13">
      <c r="A38">
        <f t="shared" si="2"/>
        <v>36</v>
      </c>
      <c r="B38" s="5" t="s">
        <v>289</v>
      </c>
      <c r="C38" t="str">
        <f>VLOOKUP(B38,Recipes!A:B,2,0)</f>
        <v>Main Course</v>
      </c>
      <c r="D38" t="str">
        <f>VLOOKUP(B38,Recipes!A:C,3,0)</f>
        <v>Gravy</v>
      </c>
      <c r="E38" s="18" t="str">
        <f>VLOOKUP(B38,Recipes!A:J,10,0)</f>
        <v>Beef Boneless</v>
      </c>
      <c r="F38" s="18" t="str">
        <f>VLOOKUP(B38,Recipes!A:I,9,0)</f>
        <v>Kg</v>
      </c>
      <c r="G38" s="55">
        <f>SUMIF(Recipes!A:A,Consolidate!B38,Recipes!H:H)</f>
        <v>1742.7938095238094</v>
      </c>
      <c r="H38" s="55">
        <f>SUMIFS(Recipes!$H:$H,Recipes!$D:$D,Consolidate!$E38,Recipes!$A:$A,Consolidate!$B38)</f>
        <v>1020</v>
      </c>
      <c r="I38" s="56">
        <f t="shared" si="0"/>
        <v>722.79380952380939</v>
      </c>
      <c r="K38" s="57">
        <f>SUMIF(Recipes!A:A,Consolidate!B38,Recipes!L:L)</f>
        <v>1699.8500000000004</v>
      </c>
      <c r="L38" s="59">
        <f>SUMIFS(Recipes!$L:$L,Recipes!$D:$D,Consolidate!$E38,Recipes!$A:$A,Consolidate!$B38)</f>
        <v>1000</v>
      </c>
      <c r="M38" s="60">
        <f t="shared" si="1"/>
        <v>699.85000000000036</v>
      </c>
    </row>
    <row r="39" spans="1:13">
      <c r="A39">
        <f t="shared" si="2"/>
        <v>37</v>
      </c>
      <c r="B39" s="5" t="s">
        <v>410</v>
      </c>
      <c r="C39" t="str">
        <f>VLOOKUP(B39,Recipes!A:B,2,0)</f>
        <v>Main Course</v>
      </c>
      <c r="D39" t="str">
        <f>VLOOKUP(B39,Recipes!A:C,3,0)</f>
        <v>Fried</v>
      </c>
      <c r="E39" s="18" t="str">
        <f>VLOOKUP(B39,Recipes!A:J,10,0)</f>
        <v>Beef Boneless</v>
      </c>
      <c r="F39" s="18" t="str">
        <f>VLOOKUP(B39,Recipes!A:I,9,0)</f>
        <v>Kg</v>
      </c>
      <c r="G39" s="55">
        <f>SUMIF(Recipes!A:A,Consolidate!B39,Recipes!H:H)</f>
        <v>1436.6392000000003</v>
      </c>
      <c r="H39" s="55">
        <f>SUMIFS(Recipes!$H:$H,Recipes!$D:$D,Consolidate!$E39,Recipes!$A:$A,Consolidate!$B39)</f>
        <v>1020</v>
      </c>
      <c r="I39" s="56">
        <f t="shared" si="0"/>
        <v>416.6392000000003</v>
      </c>
      <c r="K39" s="57">
        <f>SUMIF(Recipes!A:A,Consolidate!B39,Recipes!L:L)</f>
        <v>1427.0245333333332</v>
      </c>
      <c r="L39" s="59">
        <f>SUMIFS(Recipes!$L:$L,Recipes!$D:$D,Consolidate!$E39,Recipes!$A:$A,Consolidate!$B39)</f>
        <v>1000</v>
      </c>
      <c r="M39" s="60">
        <f t="shared" si="1"/>
        <v>427.02453333333324</v>
      </c>
    </row>
    <row r="40" spans="1:13">
      <c r="A40">
        <f t="shared" si="2"/>
        <v>38</v>
      </c>
      <c r="B40" s="5" t="s">
        <v>292</v>
      </c>
      <c r="C40" t="str">
        <f>VLOOKUP(B40,Recipes!A:B,2,0)</f>
        <v>Main Course</v>
      </c>
      <c r="D40" t="str">
        <f>VLOOKUP(B40,Recipes!A:C,3,0)</f>
        <v>Rice</v>
      </c>
      <c r="E40" s="18" t="str">
        <f>VLOOKUP(B40,Recipes!A:J,10,0)</f>
        <v>Beef Cube</v>
      </c>
      <c r="F40" s="18" t="str">
        <f>VLOOKUP(B40,Recipes!A:I,9,0)</f>
        <v>Kg</v>
      </c>
      <c r="G40" s="55">
        <f>SUMIF(Recipes!A:A,Consolidate!B40,Recipes!H:H)</f>
        <v>1280.9721538461538</v>
      </c>
      <c r="H40" s="55">
        <f>SUMIFS(Recipes!$H:$H,Recipes!$D:$D,Consolidate!$E40,Recipes!$A:$A,Consolidate!$B40)</f>
        <v>800</v>
      </c>
      <c r="I40" s="56">
        <f t="shared" si="0"/>
        <v>480.97215384615379</v>
      </c>
      <c r="K40" s="57">
        <f>SUMIF(Recipes!A:A,Consolidate!B40,Recipes!L:L)</f>
        <v>1428.1211538461539</v>
      </c>
      <c r="L40" s="59">
        <f>SUMIFS(Recipes!$L:$L,Recipes!$D:$D,Consolidate!$E40,Recipes!$A:$A,Consolidate!$B40)</f>
        <v>950</v>
      </c>
      <c r="M40" s="60">
        <f t="shared" si="1"/>
        <v>478.1211538461539</v>
      </c>
    </row>
    <row r="41" spans="1:13">
      <c r="A41">
        <f t="shared" si="2"/>
        <v>39</v>
      </c>
      <c r="B41" s="5" t="s">
        <v>178</v>
      </c>
      <c r="C41" t="str">
        <f>VLOOKUP(B41,Recipes!A:B,2,0)</f>
        <v>Main Course</v>
      </c>
      <c r="D41" t="str">
        <f>VLOOKUP(B41,Recipes!A:C,3,0)</f>
        <v>Rice</v>
      </c>
      <c r="E41" s="18" t="str">
        <f>VLOOKUP(B41,Recipes!A:J,10,0)</f>
        <v>Beef Cube</v>
      </c>
      <c r="F41" s="18" t="str">
        <f>VLOOKUP(B41,Recipes!A:I,9,0)</f>
        <v>Kg</v>
      </c>
      <c r="G41" s="55">
        <f>SUMIF(Recipes!A:A,Consolidate!B41,Recipes!H:H)</f>
        <v>1286.0638750000001</v>
      </c>
      <c r="H41" s="55">
        <f>SUMIFS(Recipes!$H:$H,Recipes!$D:$D,Consolidate!$E41,Recipes!$A:$A,Consolidate!$B41)</f>
        <v>800</v>
      </c>
      <c r="I41" s="56">
        <f t="shared" si="0"/>
        <v>486.06387500000005</v>
      </c>
      <c r="K41" s="57">
        <f>SUMIF(Recipes!A:A,Consolidate!B41,Recipes!L:L)</f>
        <v>1455.9291249999999</v>
      </c>
      <c r="L41" s="59">
        <f>SUMIFS(Recipes!$L:$L,Recipes!$D:$D,Consolidate!$E41,Recipes!$A:$A,Consolidate!$B41)</f>
        <v>950</v>
      </c>
      <c r="M41" s="60">
        <f t="shared" si="1"/>
        <v>505.92912499999989</v>
      </c>
    </row>
    <row r="42" spans="1:13">
      <c r="A42">
        <f t="shared" si="2"/>
        <v>40</v>
      </c>
      <c r="B42" s="5" t="s">
        <v>418</v>
      </c>
      <c r="C42" t="str">
        <f>VLOOKUP(B42,Recipes!A:B,2,0)</f>
        <v>Main Course</v>
      </c>
      <c r="D42" t="str">
        <f>VLOOKUP(B42,Recipes!A:C,3,0)</f>
        <v>Gravy</v>
      </c>
      <c r="E42" s="18" t="str">
        <f>VLOOKUP(B42,Recipes!A:J,10,0)</f>
        <v>Beef Boneless</v>
      </c>
      <c r="F42" s="18" t="str">
        <f>VLOOKUP(B42,Recipes!A:I,9,0)</f>
        <v>Kg</v>
      </c>
      <c r="G42" s="55">
        <f>SUMIF(Recipes!A:A,Consolidate!B42,Recipes!H:H)</f>
        <v>1256.0059999999999</v>
      </c>
      <c r="H42" s="55">
        <f>SUMIFS(Recipes!$H:$H,Recipes!$D:$D,Consolidate!$E42,Recipes!$A:$A,Consolidate!$B42)</f>
        <v>1020</v>
      </c>
      <c r="I42" s="56">
        <f t="shared" si="0"/>
        <v>236.00599999999986</v>
      </c>
      <c r="K42" s="57">
        <f>SUMIF(Recipes!A:A,Consolidate!B42,Recipes!L:L)</f>
        <v>1242.0400000000002</v>
      </c>
      <c r="L42" s="59">
        <f>SUMIFS(Recipes!$L:$L,Recipes!$D:$D,Consolidate!$E42,Recipes!$A:$A,Consolidate!$B42)</f>
        <v>1000</v>
      </c>
      <c r="M42" s="60">
        <f t="shared" si="1"/>
        <v>242.04000000000019</v>
      </c>
    </row>
    <row r="43" spans="1:13">
      <c r="A43">
        <f t="shared" si="2"/>
        <v>41</v>
      </c>
      <c r="B43" s="5" t="s">
        <v>290</v>
      </c>
      <c r="C43" t="str">
        <f>VLOOKUP(B43,Recipes!A:B,2,0)</f>
        <v>Main Course</v>
      </c>
      <c r="D43" t="str">
        <f>VLOOKUP(B43,Recipes!A:C,3,0)</f>
        <v>Gravy</v>
      </c>
      <c r="E43" s="18" t="str">
        <f>VLOOKUP(B43,Recipes!A:J,10,0)</f>
        <v>Beef Cube</v>
      </c>
      <c r="F43" s="18" t="str">
        <f>VLOOKUP(B43,Recipes!A:I,9,0)</f>
        <v>Kg</v>
      </c>
      <c r="G43" s="55">
        <f>SUMIF(Recipes!A:A,Consolidate!B43,Recipes!H:H)</f>
        <v>1148.44928</v>
      </c>
      <c r="H43" s="55">
        <f>SUMIFS(Recipes!$H:$H,Recipes!$D:$D,Consolidate!$E43,Recipes!$A:$A,Consolidate!$B43)</f>
        <v>800</v>
      </c>
      <c r="I43" s="56">
        <f t="shared" si="0"/>
        <v>348.44928000000004</v>
      </c>
      <c r="K43" s="57">
        <f>SUMIF(Recipes!A:A,Consolidate!B43,Recipes!L:L)</f>
        <v>1306.6217142857142</v>
      </c>
      <c r="L43" s="59">
        <f>SUMIFS(Recipes!$L:$L,Recipes!$D:$D,Consolidate!$E43,Recipes!$A:$A,Consolidate!$B43)</f>
        <v>950</v>
      </c>
      <c r="M43" s="60">
        <f t="shared" si="1"/>
        <v>356.62171428571423</v>
      </c>
    </row>
    <row r="44" spans="1:13">
      <c r="A44">
        <f t="shared" si="2"/>
        <v>42</v>
      </c>
      <c r="B44" s="5" t="s">
        <v>494</v>
      </c>
      <c r="C44" t="str">
        <f>VLOOKUP(B44,Recipes!A:B,2,0)</f>
        <v>Main Course</v>
      </c>
      <c r="D44" t="str">
        <f>VLOOKUP(B44,Recipes!A:C,3,0)</f>
        <v>Gravy</v>
      </c>
      <c r="E44" s="18" t="str">
        <f>VLOOKUP(B44,Recipes!A:J,10,0)</f>
        <v>Beef Cube</v>
      </c>
      <c r="F44" s="18" t="str">
        <f>VLOOKUP(B44,Recipes!A:I,9,0)</f>
        <v>Kg</v>
      </c>
      <c r="G44" s="55">
        <f>SUMIF(Recipes!A:A,Consolidate!B44,Recipes!H:H)</f>
        <v>1040.79125</v>
      </c>
      <c r="H44" s="55">
        <f>SUMIFS(Recipes!$H:$H,Recipes!$D:$D,Consolidate!$E44,Recipes!$A:$A,Consolidate!$B44)</f>
        <v>800</v>
      </c>
      <c r="I44" s="56">
        <f t="shared" si="0"/>
        <v>240.79124999999999</v>
      </c>
      <c r="K44" s="57">
        <f>SUMIF(Recipes!A:A,Consolidate!B44,Recipes!L:L)</f>
        <v>1207.7250000000001</v>
      </c>
      <c r="L44" s="59">
        <f>SUMIFS(Recipes!$L:$L,Recipes!$D:$D,Consolidate!$E44,Recipes!$A:$A,Consolidate!$B44)</f>
        <v>950</v>
      </c>
      <c r="M44" s="60">
        <f t="shared" si="1"/>
        <v>257.72500000000014</v>
      </c>
    </row>
    <row r="45" spans="1:13">
      <c r="A45">
        <f t="shared" si="2"/>
        <v>43</v>
      </c>
      <c r="B45" s="5" t="s">
        <v>525</v>
      </c>
      <c r="C45" t="str">
        <f>VLOOKUP(B45,Recipes!A:B,2,0)</f>
        <v>Main Course</v>
      </c>
      <c r="D45" t="str">
        <f>VLOOKUP(B45,Recipes!A:C,3,0)</f>
        <v>Rice</v>
      </c>
      <c r="E45" s="18" t="str">
        <f>VLOOKUP(B45,Recipes!A:J,10,0)</f>
        <v>Beef Cube</v>
      </c>
      <c r="F45" s="18" t="str">
        <f>VLOOKUP(B45,Recipes!A:I,9,0)</f>
        <v>Kg</v>
      </c>
      <c r="G45" s="55">
        <f>SUMIF(Recipes!A:A,Consolidate!B45,Recipes!H:H)</f>
        <v>1807.2756000000002</v>
      </c>
      <c r="H45" s="55">
        <f>SUMIFS(Recipes!$H:$H,Recipes!$D:$D,Consolidate!$E45,Recipes!$A:$A,Consolidate!$B45)</f>
        <v>800</v>
      </c>
      <c r="I45" s="56">
        <f t="shared" si="0"/>
        <v>1007.2756000000002</v>
      </c>
      <c r="K45" s="57">
        <f>SUMIF(Recipes!A:A,Consolidate!B45,Recipes!L:L)</f>
        <v>1839.4</v>
      </c>
      <c r="L45" s="59">
        <f>SUMIFS(Recipes!$L:$L,Recipes!$D:$D,Consolidate!$E45,Recipes!$A:$A,Consolidate!$B45)</f>
        <v>950</v>
      </c>
      <c r="M45" s="60">
        <f t="shared" si="1"/>
        <v>889.40000000000009</v>
      </c>
    </row>
    <row r="46" spans="1:13">
      <c r="A46">
        <f t="shared" si="2"/>
        <v>44</v>
      </c>
      <c r="B46" s="5" t="s">
        <v>200</v>
      </c>
      <c r="C46" t="str">
        <f>VLOOKUP(B46,Recipes!A:B,2,0)</f>
        <v>Main Course</v>
      </c>
      <c r="D46" t="str">
        <f>VLOOKUP(B46,Recipes!A:C,3,0)</f>
        <v>Gravy</v>
      </c>
      <c r="E46" s="18" t="str">
        <f>VLOOKUP(B46,Recipes!A:J,10,0)</f>
        <v>Beef Boneless</v>
      </c>
      <c r="F46" s="18" t="str">
        <f>VLOOKUP(B46,Recipes!A:I,9,0)</f>
        <v>Kg</v>
      </c>
      <c r="G46" s="55">
        <f>SUMIF(Recipes!A:A,Consolidate!B46,Recipes!H:H)</f>
        <v>1305.1944999999998</v>
      </c>
      <c r="H46" s="55">
        <f>SUMIFS(Recipes!$H:$H,Recipes!$D:$D,Consolidate!$E46,Recipes!$A:$A,Consolidate!$B46)</f>
        <v>1020</v>
      </c>
      <c r="I46" s="56">
        <f t="shared" si="0"/>
        <v>285.19449999999983</v>
      </c>
      <c r="K46" s="57">
        <f>SUMIF(Recipes!A:A,Consolidate!B46,Recipes!L:L)</f>
        <v>1272.3499999999999</v>
      </c>
      <c r="L46" s="59">
        <f>SUMIFS(Recipes!$L:$L,Recipes!$D:$D,Consolidate!$E46,Recipes!$A:$A,Consolidate!$B46)</f>
        <v>1000</v>
      </c>
      <c r="M46" s="60">
        <f t="shared" si="1"/>
        <v>272.34999999999991</v>
      </c>
    </row>
    <row r="47" spans="1:13">
      <c r="A47">
        <f t="shared" si="2"/>
        <v>45</v>
      </c>
      <c r="B47" s="5" t="s">
        <v>283</v>
      </c>
      <c r="C47" t="str">
        <f>VLOOKUP(B47,Recipes!A:B,2,0)</f>
        <v>Main Course</v>
      </c>
      <c r="D47" t="str">
        <f>VLOOKUP(B47,Recipes!A:C,3,0)</f>
        <v>Gravy</v>
      </c>
      <c r="E47" s="18" t="str">
        <f>VLOOKUP(B47,Recipes!A:J,10,0)</f>
        <v>Beef Cube</v>
      </c>
      <c r="F47" s="18" t="str">
        <f>VLOOKUP(B47,Recipes!A:I,9,0)</f>
        <v>Kg</v>
      </c>
      <c r="G47" s="55">
        <f>SUMIF(Recipes!A:A,Consolidate!B47,Recipes!H:H)</f>
        <v>1292.3304076190475</v>
      </c>
      <c r="H47" s="55">
        <f>SUMIFS(Recipes!$H:$H,Recipes!$D:$D,Consolidate!$E47,Recipes!$A:$A,Consolidate!$B47)</f>
        <v>800</v>
      </c>
      <c r="I47" s="56">
        <f t="shared" si="0"/>
        <v>492.33040761904749</v>
      </c>
      <c r="K47" s="57">
        <f>SUMIF(Recipes!A:A,Consolidate!B47,Recipes!L:L)</f>
        <v>1419.2251428571433</v>
      </c>
      <c r="L47" s="59">
        <f>SUMIFS(Recipes!$L:$L,Recipes!$D:$D,Consolidate!$E47,Recipes!$A:$A,Consolidate!$B47)</f>
        <v>950</v>
      </c>
      <c r="M47" s="60">
        <f t="shared" si="1"/>
        <v>469.22514285714328</v>
      </c>
    </row>
    <row r="48" spans="1:13">
      <c r="A48">
        <f t="shared" si="2"/>
        <v>46</v>
      </c>
      <c r="B48" s="5" t="s">
        <v>37</v>
      </c>
      <c r="C48" t="str">
        <f>VLOOKUP(B48,Recipes!A:B,2,0)</f>
        <v>Main Course</v>
      </c>
      <c r="D48" t="str">
        <f>VLOOKUP(B48,Recipes!A:C,3,0)</f>
        <v>BBQ</v>
      </c>
      <c r="E48" s="18" t="str">
        <f>VLOOKUP(B48,Recipes!A:J,10,0)</f>
        <v>Beef Boneless</v>
      </c>
      <c r="F48" s="18" t="str">
        <f>VLOOKUP(B48,Recipes!A:I,9,0)</f>
        <v>Kg</v>
      </c>
      <c r="G48" s="55">
        <f>SUMIF(Recipes!A:A,Consolidate!B48,Recipes!H:H)</f>
        <v>1613.58</v>
      </c>
      <c r="H48" s="55">
        <f>SUMIFS(Recipes!$H:$H,Recipes!$D:$D,Consolidate!$E48,Recipes!$A:$A,Consolidate!$B48)</f>
        <v>1020</v>
      </c>
      <c r="I48" s="56">
        <f t="shared" si="0"/>
        <v>593.57999999999993</v>
      </c>
      <c r="K48" s="57">
        <f>SUMIF(Recipes!A:A,Consolidate!B48,Recipes!L:L)</f>
        <v>1606.1453333333334</v>
      </c>
      <c r="L48" s="59">
        <f>SUMIFS(Recipes!$L:$L,Recipes!$D:$D,Consolidate!$E48,Recipes!$A:$A,Consolidate!$B48)</f>
        <v>1000</v>
      </c>
      <c r="M48" s="60">
        <f t="shared" si="1"/>
        <v>606.14533333333338</v>
      </c>
    </row>
    <row r="49" spans="1:13">
      <c r="A49">
        <f t="shared" si="2"/>
        <v>47</v>
      </c>
      <c r="B49" s="5" t="s">
        <v>293</v>
      </c>
      <c r="C49" t="str">
        <f>VLOOKUP(B49,Recipes!A:B,2,0)</f>
        <v>Main Course</v>
      </c>
      <c r="D49" t="str">
        <f>VLOOKUP(B49,Recipes!A:C,3,0)</f>
        <v>Fried</v>
      </c>
      <c r="E49" s="18" t="str">
        <f>VLOOKUP(B49,Recipes!A:J,10,0)</f>
        <v>Beef Boneless</v>
      </c>
      <c r="F49" s="18" t="str">
        <f>VLOOKUP(B49,Recipes!A:I,9,0)</f>
        <v>Kg</v>
      </c>
      <c r="G49" s="55">
        <f>SUMIF(Recipes!A:A,Consolidate!B49,Recipes!H:H)</f>
        <v>1270.4144565217391</v>
      </c>
      <c r="H49" s="55">
        <f>SUMIFS(Recipes!$H:$H,Recipes!$D:$D,Consolidate!$E49,Recipes!$A:$A,Consolidate!$B49)</f>
        <v>1020</v>
      </c>
      <c r="I49" s="56">
        <f t="shared" si="0"/>
        <v>250.41445652173911</v>
      </c>
      <c r="K49" s="57">
        <f>SUMIF(Recipes!A:A,Consolidate!B49,Recipes!L:L)</f>
        <v>1241.3934782608694</v>
      </c>
      <c r="L49" s="59">
        <f>SUMIFS(Recipes!$L:$L,Recipes!$D:$D,Consolidate!$E49,Recipes!$A:$A,Consolidate!$B49)</f>
        <v>1000</v>
      </c>
      <c r="M49" s="60">
        <f t="shared" si="1"/>
        <v>241.39347826086941</v>
      </c>
    </row>
    <row r="50" spans="1:13">
      <c r="A50">
        <f t="shared" si="2"/>
        <v>48</v>
      </c>
      <c r="B50" s="5" t="s">
        <v>47</v>
      </c>
      <c r="C50" t="str">
        <f>VLOOKUP(B50,Recipes!A:B,2,0)</f>
        <v>Main Course</v>
      </c>
      <c r="D50" t="str">
        <f>VLOOKUP(B50,Recipes!A:C,3,0)</f>
        <v>Grilled</v>
      </c>
      <c r="E50" s="18" t="str">
        <f>VLOOKUP(B50,Recipes!A:J,10,0)</f>
        <v>Beef Boneless</v>
      </c>
      <c r="F50" s="18" t="str">
        <f>VLOOKUP(B50,Recipes!A:I,9,0)</f>
        <v>Kg</v>
      </c>
      <c r="G50" s="55">
        <f>SUMIF(Recipes!A:A,Consolidate!B50,Recipes!H:H)</f>
        <v>1305.0963750000001</v>
      </c>
      <c r="H50" s="55">
        <f>SUMIFS(Recipes!$H:$H,Recipes!$D:$D,Consolidate!$E50,Recipes!$A:$A,Consolidate!$B50)</f>
        <v>1020</v>
      </c>
      <c r="I50" s="56">
        <f t="shared" si="0"/>
        <v>285.09637500000008</v>
      </c>
      <c r="K50" s="57">
        <f>SUMIF(Recipes!A:A,Consolidate!B50,Recipes!L:L)</f>
        <v>1279.39275</v>
      </c>
      <c r="L50" s="59">
        <f>SUMIFS(Recipes!$L:$L,Recipes!$D:$D,Consolidate!$E50,Recipes!$A:$A,Consolidate!$B50)</f>
        <v>1000</v>
      </c>
      <c r="M50" s="60">
        <f t="shared" si="1"/>
        <v>279.39274999999998</v>
      </c>
    </row>
    <row r="51" spans="1:13">
      <c r="A51">
        <f t="shared" si="2"/>
        <v>49</v>
      </c>
      <c r="B51" s="5" t="s">
        <v>437</v>
      </c>
      <c r="C51" t="str">
        <f>VLOOKUP(B51,Recipes!A:B,2,0)</f>
        <v>Main Course</v>
      </c>
      <c r="D51" t="str">
        <f>VLOOKUP(B51,Recipes!A:C,3,0)</f>
        <v>Gravy</v>
      </c>
      <c r="E51" s="18" t="str">
        <f>VLOOKUP(B51,Recipes!A:J,10,0)</f>
        <v>Beef Cube</v>
      </c>
      <c r="F51" s="18" t="str">
        <f>VLOOKUP(B51,Recipes!A:I,9,0)</f>
        <v>Kg</v>
      </c>
      <c r="G51" s="55">
        <f>SUMIF(Recipes!A:A,Consolidate!B51,Recipes!H:H)</f>
        <v>1042.0433890063423</v>
      </c>
      <c r="H51" s="55">
        <f>SUMIFS(Recipes!$H:$H,Recipes!$D:$D,Consolidate!$E51,Recipes!$A:$A,Consolidate!$B51)</f>
        <v>800</v>
      </c>
      <c r="I51" s="56">
        <f t="shared" si="0"/>
        <v>242.0433890063423</v>
      </c>
      <c r="K51" s="57">
        <f>SUMIF(Recipes!A:A,Consolidate!B51,Recipes!L:L)</f>
        <v>1189.6830866807611</v>
      </c>
      <c r="L51" s="59">
        <f>SUMIFS(Recipes!$L:$L,Recipes!$D:$D,Consolidate!$E51,Recipes!$A:$A,Consolidate!$B51)</f>
        <v>950</v>
      </c>
      <c r="M51" s="60">
        <f t="shared" si="1"/>
        <v>239.68308668076111</v>
      </c>
    </row>
    <row r="52" spans="1:13">
      <c r="A52">
        <f t="shared" si="2"/>
        <v>50</v>
      </c>
      <c r="B52" s="5" t="s">
        <v>663</v>
      </c>
      <c r="C52" t="str">
        <f>VLOOKUP(B52,Recipes!A:B,2,0)</f>
        <v>Side Dish</v>
      </c>
      <c r="D52" t="str">
        <f>VLOOKUP(B52,Recipes!A:C,3,0)</f>
        <v>Gravy</v>
      </c>
      <c r="E52" s="18">
        <f>VLOOKUP(B52,Recipes!A:J,10,0)</f>
        <v>0</v>
      </c>
      <c r="F52" s="18" t="str">
        <f>VLOOKUP(B52,Recipes!A:I,9,0)</f>
        <v>Kg</v>
      </c>
      <c r="G52" s="55">
        <f>SUMIF(Recipes!A:A,Consolidate!B52,Recipes!H:H)</f>
        <v>1021.8711999999999</v>
      </c>
      <c r="H52" s="55">
        <f>SUMIFS(Recipes!$H:$H,Recipes!$D:$D,Consolidate!$E52,Recipes!$A:$A,Consolidate!$B52)</f>
        <v>0</v>
      </c>
      <c r="I52" s="56">
        <f t="shared" si="0"/>
        <v>1021.8711999999999</v>
      </c>
      <c r="K52" s="57">
        <f>SUMIF(Recipes!A:A,Consolidate!B52,Recipes!L:L)</f>
        <v>1054.9846</v>
      </c>
      <c r="L52" s="59">
        <f>SUMIFS(Recipes!$L:$L,Recipes!$D:$D,Consolidate!$E52,Recipes!$A:$A,Consolidate!$B52)</f>
        <v>0</v>
      </c>
      <c r="M52" s="60">
        <f t="shared" si="1"/>
        <v>1054.9846</v>
      </c>
    </row>
    <row r="53" spans="1:13">
      <c r="A53">
        <f t="shared" si="2"/>
        <v>51</v>
      </c>
      <c r="B53" s="5" t="s">
        <v>529</v>
      </c>
      <c r="C53" t="str">
        <f>VLOOKUP(B53,Recipes!A:B,2,0)</f>
        <v>Side Dish</v>
      </c>
      <c r="D53" t="str">
        <f>VLOOKUP(B53,Recipes!A:C,3,0)</f>
        <v>Dry</v>
      </c>
      <c r="E53" s="18">
        <f>VLOOKUP(B53,Recipes!A:J,10,0)</f>
        <v>0</v>
      </c>
      <c r="F53" s="18" t="str">
        <f>VLOOKUP(B53,Recipes!A:I,9,0)</f>
        <v>Kg</v>
      </c>
      <c r="G53" s="55">
        <f>SUMIF(Recipes!A:A,Consolidate!B53,Recipes!H:H)</f>
        <v>399.95400000000001</v>
      </c>
      <c r="H53" s="55">
        <f>SUMIFS(Recipes!$H:$H,Recipes!$D:$D,Consolidate!$E53,Recipes!$A:$A,Consolidate!$B53)</f>
        <v>0</v>
      </c>
      <c r="I53" s="56">
        <f t="shared" si="0"/>
        <v>399.95400000000001</v>
      </c>
      <c r="K53" s="57">
        <f>SUMIF(Recipes!A:A,Consolidate!B53,Recipes!L:L)</f>
        <v>325.21428571428578</v>
      </c>
      <c r="L53" s="59">
        <f>SUMIFS(Recipes!$L:$L,Recipes!$D:$D,Consolidate!$E53,Recipes!$A:$A,Consolidate!$B53)</f>
        <v>0</v>
      </c>
      <c r="M53" s="60">
        <f t="shared" si="1"/>
        <v>325.21428571428578</v>
      </c>
    </row>
    <row r="54" spans="1:13">
      <c r="A54">
        <f t="shared" si="2"/>
        <v>52</v>
      </c>
      <c r="B54" s="5" t="s">
        <v>789</v>
      </c>
      <c r="C54" t="str">
        <f>VLOOKUP(B54,Recipes!A:B,2,0)</f>
        <v>Side Dish</v>
      </c>
      <c r="D54" t="str">
        <f>VLOOKUP(B54,Recipes!A:C,3,0)</f>
        <v>Fried</v>
      </c>
      <c r="E54" s="18">
        <f>VLOOKUP(B54,Recipes!A:J,10,0)</f>
        <v>0</v>
      </c>
      <c r="F54" s="18" t="str">
        <f>VLOOKUP(B54,Recipes!A:I,9,0)</f>
        <v>Kg</v>
      </c>
      <c r="G54" s="55">
        <f>SUMIF(Recipes!A:A,Consolidate!B54,Recipes!H:H)</f>
        <v>615.02679999999987</v>
      </c>
      <c r="H54" s="55">
        <f>SUMIFS(Recipes!$H:$H,Recipes!$D:$D,Consolidate!$E54,Recipes!$A:$A,Consolidate!$B54)</f>
        <v>0</v>
      </c>
      <c r="I54" s="56">
        <f t="shared" si="0"/>
        <v>615.02679999999987</v>
      </c>
      <c r="K54" s="57">
        <f>SUMIF(Recipes!A:A,Consolidate!B54,Recipes!L:L)</f>
        <v>683.54</v>
      </c>
      <c r="L54" s="59">
        <f>SUMIFS(Recipes!$L:$L,Recipes!$D:$D,Consolidate!$E54,Recipes!$A:$A,Consolidate!$B54)</f>
        <v>0</v>
      </c>
      <c r="M54" s="60">
        <f t="shared" si="1"/>
        <v>683.54</v>
      </c>
    </row>
    <row r="55" spans="1:13">
      <c r="A55">
        <f t="shared" si="2"/>
        <v>53</v>
      </c>
      <c r="B55" s="5" t="s">
        <v>59</v>
      </c>
      <c r="C55" t="str">
        <f>VLOOKUP(B55,Recipes!A:B,2,0)</f>
        <v>Main Course</v>
      </c>
      <c r="D55" t="str">
        <f>VLOOKUP(B55,Recipes!A:C,3,0)</f>
        <v>Gravy</v>
      </c>
      <c r="E55" s="18">
        <f>VLOOKUP(B55,Recipes!A:J,10,0)</f>
        <v>0</v>
      </c>
      <c r="F55" s="18" t="str">
        <f>VLOOKUP(B55,Recipes!A:I,9,0)</f>
        <v>Plate</v>
      </c>
      <c r="G55" s="55">
        <f>SUMIF(Recipes!A:A,Consolidate!B55,Recipes!H:H)</f>
        <v>435.34890000000001</v>
      </c>
      <c r="H55" s="55">
        <f>SUMIFS(Recipes!$H:$H,Recipes!$D:$D,Consolidate!$E55,Recipes!$A:$A,Consolidate!$B55)</f>
        <v>0</v>
      </c>
      <c r="I55" s="56">
        <f t="shared" si="0"/>
        <v>435.34890000000001</v>
      </c>
      <c r="K55" s="57">
        <f>SUMIF(Recipes!A:A,Consolidate!B55,Recipes!L:L)</f>
        <v>436.6361</v>
      </c>
      <c r="L55" s="59">
        <f>SUMIFS(Recipes!$L:$L,Recipes!$D:$D,Consolidate!$E55,Recipes!$A:$A,Consolidate!$B55)</f>
        <v>0</v>
      </c>
      <c r="M55" s="60">
        <f t="shared" si="1"/>
        <v>436.6361</v>
      </c>
    </row>
    <row r="56" spans="1:13">
      <c r="A56">
        <f t="shared" si="2"/>
        <v>54</v>
      </c>
      <c r="B56" s="5" t="s">
        <v>214</v>
      </c>
      <c r="C56" t="str">
        <f>VLOOKUP(B56,Recipes!A:B,2,0)</f>
        <v>Appetizer</v>
      </c>
      <c r="D56" t="str">
        <f>VLOOKUP(B56,Recipes!A:C,3,0)</f>
        <v>Without Meat</v>
      </c>
      <c r="E56" s="18">
        <f>VLOOKUP(B56,Recipes!A:J,10,0)</f>
        <v>0</v>
      </c>
      <c r="F56" s="18" t="str">
        <f>VLOOKUP(B56,Recipes!A:I,9,0)</f>
        <v>Pcs</v>
      </c>
      <c r="G56" s="55">
        <f>SUMIF(Recipes!A:A,Consolidate!B56,Recipes!H:H)</f>
        <v>4.2986166666666668</v>
      </c>
      <c r="H56" s="55">
        <f>SUMIFS(Recipes!$H:$H,Recipes!$D:$D,Consolidate!$E56,Recipes!$A:$A,Consolidate!$B56)</f>
        <v>0</v>
      </c>
      <c r="I56" s="56">
        <f t="shared" si="0"/>
        <v>4.2986166666666668</v>
      </c>
      <c r="K56" s="57">
        <f>SUMIF(Recipes!A:A,Consolidate!B56,Recipes!L:L)</f>
        <v>4.2675999999999998</v>
      </c>
      <c r="L56" s="59">
        <f>SUMIFS(Recipes!$L:$L,Recipes!$D:$D,Consolidate!$E56,Recipes!$A:$A,Consolidate!$B56)</f>
        <v>0</v>
      </c>
      <c r="M56" s="60">
        <f t="shared" si="1"/>
        <v>4.2675999999999998</v>
      </c>
    </row>
    <row r="57" spans="1:13">
      <c r="A57">
        <f t="shared" si="2"/>
        <v>55</v>
      </c>
      <c r="B57" s="5" t="s">
        <v>221</v>
      </c>
      <c r="C57" t="str">
        <f>VLOOKUP(B57,Recipes!A:B,2,0)</f>
        <v>Roti &amp; Paratha</v>
      </c>
      <c r="D57" t="str">
        <f>VLOOKUP(B57,Recipes!A:C,3,0)</f>
        <v>Bread White</v>
      </c>
      <c r="E57" s="18">
        <f>VLOOKUP(B57,Recipes!A:J,10,0)</f>
        <v>0</v>
      </c>
      <c r="F57" s="18" t="str">
        <f>VLOOKUP(B57,Recipes!A:I,9,0)</f>
        <v>Slice</v>
      </c>
      <c r="G57" s="55">
        <f>SUMIF(Recipes!A:A,Consolidate!B57,Recipes!H:H)</f>
        <v>10.135625000000001</v>
      </c>
      <c r="H57" s="55">
        <f>SUMIFS(Recipes!$H:$H,Recipes!$D:$D,Consolidate!$E57,Recipes!$A:$A,Consolidate!$B57)</f>
        <v>0</v>
      </c>
      <c r="I57" s="56">
        <f t="shared" si="0"/>
        <v>10.135625000000001</v>
      </c>
      <c r="K57" s="57">
        <f>SUMIF(Recipes!A:A,Consolidate!B57,Recipes!L:L)</f>
        <v>9.8933333333333309</v>
      </c>
      <c r="L57" s="59">
        <f>SUMIFS(Recipes!$L:$L,Recipes!$D:$D,Consolidate!$E57,Recipes!$A:$A,Consolidate!$B57)</f>
        <v>0</v>
      </c>
      <c r="M57" s="60">
        <f t="shared" si="1"/>
        <v>9.8933333333333309</v>
      </c>
    </row>
    <row r="58" spans="1:13">
      <c r="A58">
        <f t="shared" si="2"/>
        <v>56</v>
      </c>
      <c r="B58" s="5" t="s">
        <v>816</v>
      </c>
      <c r="C58" t="str">
        <f>VLOOKUP(B58,Recipes!A:B,2,0)</f>
        <v>Side Dish</v>
      </c>
      <c r="D58" t="str">
        <f>VLOOKUP(B58,Recipes!A:C,3,0)</f>
        <v>Rice</v>
      </c>
      <c r="E58" s="18">
        <f>VLOOKUP(B58,Recipes!A:J,10,0)</f>
        <v>0</v>
      </c>
      <c r="F58" s="18" t="str">
        <f>VLOOKUP(B58,Recipes!A:I,9,0)</f>
        <v>Kg</v>
      </c>
      <c r="G58" s="55">
        <f>SUMIF(Recipes!A:A,Consolidate!B58,Recipes!H:H)</f>
        <v>543.06299999999999</v>
      </c>
      <c r="H58" s="55">
        <f>SUMIFS(Recipes!$H:$H,Recipes!$D:$D,Consolidate!$E58,Recipes!$A:$A,Consolidate!$B58)</f>
        <v>0</v>
      </c>
      <c r="I58" s="56">
        <f t="shared" si="0"/>
        <v>543.06299999999999</v>
      </c>
      <c r="K58" s="57">
        <f>SUMIF(Recipes!A:A,Consolidate!B58,Recipes!L:L)</f>
        <v>541.375</v>
      </c>
      <c r="L58" s="59">
        <f>SUMIFS(Recipes!$L:$L,Recipes!$D:$D,Consolidate!$E58,Recipes!$A:$A,Consolidate!$B58)</f>
        <v>0</v>
      </c>
      <c r="M58" s="60">
        <f t="shared" si="1"/>
        <v>541.375</v>
      </c>
    </row>
    <row r="59" spans="1:13">
      <c r="A59">
        <f t="shared" si="2"/>
        <v>57</v>
      </c>
      <c r="B59" s="5" t="s">
        <v>225</v>
      </c>
      <c r="C59" t="str">
        <f>VLOOKUP(B59,Recipes!A:B,2,0)</f>
        <v>Dessert</v>
      </c>
      <c r="D59" t="str">
        <f>VLOOKUP(B59,Recipes!A:C,3,0)</f>
        <v>Bakery</v>
      </c>
      <c r="E59" s="18">
        <f>VLOOKUP(B59,Recipes!A:J,10,0)</f>
        <v>0</v>
      </c>
      <c r="F59" s="18" t="str">
        <f>VLOOKUP(B59,Recipes!A:I,9,0)</f>
        <v>Pcs</v>
      </c>
      <c r="G59" s="55">
        <f>SUMIF(Recipes!A:A,Consolidate!B59,Recipes!H:H)</f>
        <v>14.656530833333335</v>
      </c>
      <c r="H59" s="55">
        <f>SUMIFS(Recipes!$H:$H,Recipes!$D:$D,Consolidate!$E59,Recipes!$A:$A,Consolidate!$B59)</f>
        <v>0</v>
      </c>
      <c r="I59" s="56">
        <f t="shared" si="0"/>
        <v>14.656530833333335</v>
      </c>
      <c r="K59" s="57">
        <f>SUMIF(Recipes!A:A,Consolidate!B59,Recipes!L:L)</f>
        <v>19.246112500000002</v>
      </c>
      <c r="L59" s="59">
        <f>SUMIFS(Recipes!$L:$L,Recipes!$D:$D,Consolidate!$E59,Recipes!$A:$A,Consolidate!$B59)</f>
        <v>0</v>
      </c>
      <c r="M59" s="60">
        <f t="shared" si="1"/>
        <v>19.246112500000002</v>
      </c>
    </row>
    <row r="60" spans="1:13">
      <c r="A60">
        <f t="shared" si="2"/>
        <v>58</v>
      </c>
      <c r="B60" s="5" t="s">
        <v>618</v>
      </c>
      <c r="C60" t="str">
        <f>VLOOKUP(B60,Recipes!A:B,2,0)</f>
        <v>Main Course</v>
      </c>
      <c r="D60" t="str">
        <f>VLOOKUP(B60,Recipes!A:C,3,0)</f>
        <v>Fried</v>
      </c>
      <c r="E60" s="18">
        <f>VLOOKUP(B60,Recipes!A:J,10,0)</f>
        <v>0</v>
      </c>
      <c r="F60" s="18" t="str">
        <f>VLOOKUP(B60,Recipes!A:I,9,0)</f>
        <v>Pcs</v>
      </c>
      <c r="G60" s="55">
        <f>SUMIF(Recipes!A:A,Consolidate!B60,Recipes!H:H)</f>
        <v>46.033749999999998</v>
      </c>
      <c r="H60" s="55">
        <f>SUMIFS(Recipes!$H:$H,Recipes!$D:$D,Consolidate!$E60,Recipes!$A:$A,Consolidate!$B60)</f>
        <v>0</v>
      </c>
      <c r="I60" s="56">
        <f t="shared" si="0"/>
        <v>46.033749999999998</v>
      </c>
      <c r="K60" s="57">
        <f>SUMIF(Recipes!A:A,Consolidate!B60,Recipes!L:L)</f>
        <v>44.400937499999998</v>
      </c>
      <c r="L60" s="59">
        <f>SUMIFS(Recipes!$L:$L,Recipes!$D:$D,Consolidate!$E60,Recipes!$A:$A,Consolidate!$B60)</f>
        <v>0</v>
      </c>
      <c r="M60" s="60">
        <f t="shared" si="1"/>
        <v>44.400937499999998</v>
      </c>
    </row>
    <row r="61" spans="1:13">
      <c r="A61">
        <f t="shared" si="2"/>
        <v>59</v>
      </c>
      <c r="B61" s="5" t="s">
        <v>625</v>
      </c>
      <c r="C61" t="str">
        <f>VLOOKUP(B61,Recipes!A:B,2,0)</f>
        <v>Breakfast Item</v>
      </c>
      <c r="D61" t="str">
        <f>VLOOKUP(B61,Recipes!A:C,3,0)</f>
        <v>Butter</v>
      </c>
      <c r="E61" s="18">
        <f>VLOOKUP(B61,Recipes!A:J,10,0)</f>
        <v>0</v>
      </c>
      <c r="F61" s="18" t="str">
        <f>VLOOKUP(B61,Recipes!A:I,9,0)</f>
        <v>Pkt</v>
      </c>
      <c r="G61" s="55">
        <f>SUMIF(Recipes!A:A,Consolidate!B61,Recipes!H:H)</f>
        <v>1400</v>
      </c>
      <c r="H61" s="55">
        <f>SUMIFS(Recipes!$H:$H,Recipes!$D:$D,Consolidate!$E61,Recipes!$A:$A,Consolidate!$B61)</f>
        <v>0</v>
      </c>
      <c r="I61" s="56">
        <f t="shared" si="0"/>
        <v>1400</v>
      </c>
      <c r="K61" s="57">
        <f>SUMIF(Recipes!A:A,Consolidate!B61,Recipes!L:L)</f>
        <v>1400</v>
      </c>
      <c r="L61" s="59">
        <f>SUMIFS(Recipes!$L:$L,Recipes!$D:$D,Consolidate!$E61,Recipes!$A:$A,Consolidate!$B61)</f>
        <v>0</v>
      </c>
      <c r="M61" s="60">
        <f t="shared" si="1"/>
        <v>1400</v>
      </c>
    </row>
    <row r="62" spans="1:13">
      <c r="A62">
        <f t="shared" si="2"/>
        <v>60</v>
      </c>
      <c r="B62" s="5" t="s">
        <v>555</v>
      </c>
      <c r="C62" t="str">
        <f>VLOOKUP(B62,Recipes!A:B,2,0)</f>
        <v>Side Dish</v>
      </c>
      <c r="D62" t="str">
        <f>VLOOKUP(B62,Recipes!A:C,3,0)</f>
        <v>Rice</v>
      </c>
      <c r="E62" s="18">
        <f>VLOOKUP(B62,Recipes!A:J,10,0)</f>
        <v>0</v>
      </c>
      <c r="F62" s="18" t="str">
        <f>VLOOKUP(B62,Recipes!A:I,9,0)</f>
        <v>Kg</v>
      </c>
      <c r="G62" s="55">
        <f>SUMIF(Recipes!A:A,Consolidate!B62,Recipes!H:H)</f>
        <v>369.9126</v>
      </c>
      <c r="H62" s="55">
        <f>SUMIFS(Recipes!$H:$H,Recipes!$D:$D,Consolidate!$E62,Recipes!$A:$A,Consolidate!$B62)</f>
        <v>0</v>
      </c>
      <c r="I62" s="56">
        <f t="shared" si="0"/>
        <v>369.9126</v>
      </c>
      <c r="K62" s="57">
        <f>SUMIF(Recipes!A:A,Consolidate!B62,Recipes!L:L)</f>
        <v>371.75</v>
      </c>
      <c r="L62" s="59">
        <f>SUMIFS(Recipes!$L:$L,Recipes!$D:$D,Consolidate!$E62,Recipes!$A:$A,Consolidate!$B62)</f>
        <v>0</v>
      </c>
      <c r="M62" s="60">
        <f t="shared" si="1"/>
        <v>371.75</v>
      </c>
    </row>
    <row r="63" spans="1:13">
      <c r="A63">
        <f t="shared" si="2"/>
        <v>61</v>
      </c>
      <c r="B63" s="5" t="s">
        <v>384</v>
      </c>
      <c r="C63" t="str">
        <f>VLOOKUP(B63,Recipes!A:B,2,0)</f>
        <v>Salad</v>
      </c>
      <c r="D63" t="str">
        <f>VLOOKUP(B63,Recipes!A:C,3,0)</f>
        <v>Without Meat</v>
      </c>
      <c r="E63" s="18">
        <f>VLOOKUP(B63,Recipes!A:J,10,0)</f>
        <v>0</v>
      </c>
      <c r="F63" s="18" t="str">
        <f>VLOOKUP(B63,Recipes!A:I,9,0)</f>
        <v>Kg</v>
      </c>
      <c r="G63" s="55">
        <f>SUMIF(Recipes!A:A,Consolidate!B63,Recipes!H:H)</f>
        <v>276.00866596638656</v>
      </c>
      <c r="H63" s="55">
        <f>SUMIFS(Recipes!$H:$H,Recipes!$D:$D,Consolidate!$E63,Recipes!$A:$A,Consolidate!$B63)</f>
        <v>0</v>
      </c>
      <c r="I63" s="56">
        <f t="shared" si="0"/>
        <v>276.00866596638656</v>
      </c>
      <c r="K63" s="57">
        <f>SUMIF(Recipes!A:A,Consolidate!B63,Recipes!L:L)</f>
        <v>181.37758928571429</v>
      </c>
      <c r="L63" s="59">
        <f>SUMIFS(Recipes!$L:$L,Recipes!$D:$D,Consolidate!$E63,Recipes!$A:$A,Consolidate!$B63)</f>
        <v>0</v>
      </c>
      <c r="M63" s="60">
        <f t="shared" si="1"/>
        <v>181.37758928571429</v>
      </c>
    </row>
    <row r="64" spans="1:13">
      <c r="A64">
        <f t="shared" si="2"/>
        <v>62</v>
      </c>
      <c r="B64" s="5" t="s">
        <v>227</v>
      </c>
      <c r="C64" t="str">
        <f>VLOOKUP(B64,Recipes!A:B,2,0)</f>
        <v>Dessert</v>
      </c>
      <c r="D64" t="str">
        <f>VLOOKUP(B64,Recipes!A:C,3,0)</f>
        <v>Dessert</v>
      </c>
      <c r="E64" s="18">
        <f>VLOOKUP(B64,Recipes!A:J,10,0)</f>
        <v>0</v>
      </c>
      <c r="F64" s="18" t="str">
        <f>VLOOKUP(B64,Recipes!A:I,9,0)</f>
        <v>Kg</v>
      </c>
      <c r="G64" s="55">
        <f>SUMIF(Recipes!A:A,Consolidate!B64,Recipes!H:H)</f>
        <v>498.58346666666665</v>
      </c>
      <c r="H64" s="55">
        <f>SUMIFS(Recipes!$H:$H,Recipes!$D:$D,Consolidate!$E64,Recipes!$A:$A,Consolidate!$B64)</f>
        <v>0</v>
      </c>
      <c r="I64" s="56">
        <f t="shared" si="0"/>
        <v>498.58346666666665</v>
      </c>
      <c r="K64" s="57">
        <f>SUMIF(Recipes!A:A,Consolidate!B64,Recipes!L:L)</f>
        <v>563.59719999999993</v>
      </c>
      <c r="L64" s="59">
        <f>SUMIFS(Recipes!$L:$L,Recipes!$D:$D,Consolidate!$E64,Recipes!$A:$A,Consolidate!$B64)</f>
        <v>0</v>
      </c>
      <c r="M64" s="60">
        <f t="shared" si="1"/>
        <v>563.59719999999993</v>
      </c>
    </row>
    <row r="65" spans="1:13">
      <c r="A65">
        <f t="shared" si="2"/>
        <v>63</v>
      </c>
      <c r="B65" s="5" t="s">
        <v>509</v>
      </c>
      <c r="C65" t="str">
        <f>VLOOKUP(B65,Recipes!A:B,2,0)</f>
        <v>Salad</v>
      </c>
      <c r="D65" t="str">
        <f>VLOOKUP(B65,Recipes!A:C,3,0)</f>
        <v>With Meat</v>
      </c>
      <c r="E65" s="18">
        <f>VLOOKUP(B65,Recipes!A:J,10,0)</f>
        <v>0</v>
      </c>
      <c r="F65" s="18" t="str">
        <f>VLOOKUP(B65,Recipes!A:I,9,0)</f>
        <v>Kg</v>
      </c>
      <c r="G65" s="55">
        <f>SUMIF(Recipes!A:A,Consolidate!B65,Recipes!H:H)</f>
        <v>680.74866176470596</v>
      </c>
      <c r="H65" s="55">
        <f>SUMIFS(Recipes!$H:$H,Recipes!$D:$D,Consolidate!$E65,Recipes!$A:$A,Consolidate!$B65)</f>
        <v>0</v>
      </c>
      <c r="I65" s="56">
        <f t="shared" si="0"/>
        <v>680.74866176470596</v>
      </c>
      <c r="K65" s="57">
        <f>SUMIF(Recipes!A:A,Consolidate!B65,Recipes!L:L)</f>
        <v>567.40460000000007</v>
      </c>
      <c r="L65" s="59">
        <f>SUMIFS(Recipes!$L:$L,Recipes!$D:$D,Consolidate!$E65,Recipes!$A:$A,Consolidate!$B65)</f>
        <v>0</v>
      </c>
      <c r="M65" s="60">
        <f t="shared" si="1"/>
        <v>567.40460000000007</v>
      </c>
    </row>
    <row r="66" spans="1:13">
      <c r="A66">
        <f t="shared" si="2"/>
        <v>64</v>
      </c>
      <c r="B66" s="5" t="s">
        <v>640</v>
      </c>
      <c r="C66" t="str">
        <f>VLOOKUP(B66,Recipes!A:B,2,0)</f>
        <v>Salad</v>
      </c>
      <c r="D66" t="str">
        <f>VLOOKUP(B66,Recipes!A:C,3,0)</f>
        <v>Chaat</v>
      </c>
      <c r="E66" s="18">
        <f>VLOOKUP(B66,Recipes!A:J,10,0)</f>
        <v>0</v>
      </c>
      <c r="F66" s="18" t="str">
        <f>VLOOKUP(B66,Recipes!A:I,9,0)</f>
        <v>1 Person</v>
      </c>
      <c r="G66" s="55">
        <f>SUMIF(Recipes!A:A,Consolidate!B66,Recipes!H:H)</f>
        <v>31.208000000000002</v>
      </c>
      <c r="H66" s="55">
        <f>SUMIFS(Recipes!$H:$H,Recipes!$D:$D,Consolidate!$E66,Recipes!$A:$A,Consolidate!$B66)</f>
        <v>0</v>
      </c>
      <c r="I66" s="56">
        <f t="shared" si="0"/>
        <v>31.208000000000002</v>
      </c>
      <c r="K66" s="57">
        <f>SUMIF(Recipes!A:A,Consolidate!B66,Recipes!L:L)</f>
        <v>39.599968750000002</v>
      </c>
      <c r="L66" s="59">
        <f>SUMIFS(Recipes!$L:$L,Recipes!$D:$D,Consolidate!$E66,Recipes!$A:$A,Consolidate!$B66)</f>
        <v>0</v>
      </c>
      <c r="M66" s="60">
        <f t="shared" si="1"/>
        <v>39.599968750000002</v>
      </c>
    </row>
    <row r="67" spans="1:13">
      <c r="A67">
        <f t="shared" si="2"/>
        <v>65</v>
      </c>
      <c r="B67" s="5" t="s">
        <v>413</v>
      </c>
      <c r="C67" t="str">
        <f>VLOOKUP(B67,Recipes!A:B,2,0)</f>
        <v>Side Dish</v>
      </c>
      <c r="D67" t="str">
        <f>VLOOKUP(B67,Recipes!A:C,3,0)</f>
        <v>Daal / Chana</v>
      </c>
      <c r="E67" s="18">
        <f>VLOOKUP(B67,Recipes!A:J,10,0)</f>
        <v>0</v>
      </c>
      <c r="F67" s="18" t="str">
        <f>VLOOKUP(B67,Recipes!A:I,9,0)</f>
        <v>Kg</v>
      </c>
      <c r="G67" s="55">
        <f>SUMIF(Recipes!A:A,Consolidate!B67,Recipes!H:H)</f>
        <v>445.34839999999997</v>
      </c>
      <c r="H67" s="55">
        <f>SUMIFS(Recipes!$H:$H,Recipes!$D:$D,Consolidate!$E67,Recipes!$A:$A,Consolidate!$B67)</f>
        <v>0</v>
      </c>
      <c r="I67" s="56">
        <f t="shared" si="0"/>
        <v>445.34839999999997</v>
      </c>
      <c r="K67" s="57">
        <f>SUMIF(Recipes!A:A,Consolidate!B67,Recipes!L:L)</f>
        <v>464.02219999999994</v>
      </c>
      <c r="L67" s="59">
        <f>SUMIFS(Recipes!$L:$L,Recipes!$D:$D,Consolidate!$E67,Recipes!$A:$A,Consolidate!$B67)</f>
        <v>0</v>
      </c>
      <c r="M67" s="60">
        <f t="shared" si="1"/>
        <v>464.02219999999994</v>
      </c>
    </row>
    <row r="68" spans="1:13">
      <c r="A68">
        <f t="shared" si="2"/>
        <v>66</v>
      </c>
      <c r="B68" s="5" t="s">
        <v>405</v>
      </c>
      <c r="C68" t="str">
        <f>VLOOKUP(B68,Recipes!A:B,2,0)</f>
        <v>Main Course</v>
      </c>
      <c r="D68" t="str">
        <f>VLOOKUP(B68,Recipes!A:C,3,0)</f>
        <v>BBQ</v>
      </c>
      <c r="E68" s="18" t="str">
        <f>VLOOKUP(B68,Recipes!A:J,10,0)</f>
        <v>Chicken Boneless</v>
      </c>
      <c r="F68" s="18" t="str">
        <f>VLOOKUP(B68,Recipes!A:I,9,0)</f>
        <v>Kg</v>
      </c>
      <c r="G68" s="55">
        <f>SUMIF(Recipes!A:A,Consolidate!B68,Recipes!H:H)</f>
        <v>1173.9750419966401</v>
      </c>
      <c r="H68" s="55">
        <f>SUMIFS(Recipes!$H:$H,Recipes!$D:$D,Consolidate!$E68,Recipes!$A:$A,Consolidate!$B68)</f>
        <v>653.70770338372927</v>
      </c>
      <c r="I68" s="56">
        <f t="shared" ref="I68:I131" si="3">G68-H68</f>
        <v>520.26733861291086</v>
      </c>
      <c r="K68" s="57">
        <f>SUMIF(Recipes!A:A,Consolidate!B68,Recipes!L:L)</f>
        <v>1175.8639308855293</v>
      </c>
      <c r="L68" s="59">
        <f>SUMIFS(Recipes!$L:$L,Recipes!$D:$D,Consolidate!$E68,Recipes!$A:$A,Consolidate!$B68)</f>
        <v>653.70770338372927</v>
      </c>
      <c r="M68" s="60">
        <f t="shared" ref="M68:M131" si="4">K68-L68</f>
        <v>522.1562275018</v>
      </c>
    </row>
    <row r="69" spans="1:13">
      <c r="A69">
        <f t="shared" si="2"/>
        <v>67</v>
      </c>
      <c r="B69" s="5" t="s">
        <v>281</v>
      </c>
      <c r="C69" t="str">
        <f>VLOOKUP(B69,Recipes!A:B,2,0)</f>
        <v>Roti &amp; Paratha</v>
      </c>
      <c r="D69" t="str">
        <f>VLOOKUP(B69,Recipes!A:C,3,0)</f>
        <v>Chapati</v>
      </c>
      <c r="E69" s="18">
        <f>VLOOKUP(B69,Recipes!A:J,10,0)</f>
        <v>0</v>
      </c>
      <c r="F69" s="18" t="str">
        <f>VLOOKUP(B69,Recipes!A:I,9,0)</f>
        <v>Pcs</v>
      </c>
      <c r="G69" s="55">
        <f>SUMIF(Recipes!A:A,Consolidate!B69,Recipes!H:H)</f>
        <v>8.4527777777777775</v>
      </c>
      <c r="H69" s="55">
        <f>SUMIFS(Recipes!$H:$H,Recipes!$D:$D,Consolidate!$E69,Recipes!$A:$A,Consolidate!$B69)</f>
        <v>0</v>
      </c>
      <c r="I69" s="56">
        <f t="shared" si="3"/>
        <v>8.4527777777777775</v>
      </c>
      <c r="K69" s="57">
        <f>SUMIF(Recipes!A:A,Consolidate!B69,Recipes!L:L)</f>
        <v>8.4597222222222221</v>
      </c>
      <c r="L69" s="59">
        <f>SUMIFS(Recipes!$L:$L,Recipes!$D:$D,Consolidate!$E69,Recipes!$A:$A,Consolidate!$B69)</f>
        <v>0</v>
      </c>
      <c r="M69" s="60">
        <f t="shared" si="4"/>
        <v>8.4597222222222221</v>
      </c>
    </row>
    <row r="70" spans="1:13">
      <c r="A70">
        <f t="shared" ref="A70:A133" si="5">A69+1</f>
        <v>68</v>
      </c>
      <c r="B70" s="5" t="s">
        <v>217</v>
      </c>
      <c r="C70" t="str">
        <f>VLOOKUP(B70,Recipes!A:B,2,0)</f>
        <v>Dessert</v>
      </c>
      <c r="D70" t="str">
        <f>VLOOKUP(B70,Recipes!A:C,3,0)</f>
        <v>Bakery</v>
      </c>
      <c r="E70" s="18">
        <f>VLOOKUP(B70,Recipes!A:J,10,0)</f>
        <v>0</v>
      </c>
      <c r="F70" s="18" t="str">
        <f>VLOOKUP(B70,Recipes!A:I,9,0)</f>
        <v>Plate</v>
      </c>
      <c r="G70" s="55">
        <f>SUMIF(Recipes!A:A,Consolidate!B70,Recipes!H:H)</f>
        <v>553.94999999999993</v>
      </c>
      <c r="H70" s="55">
        <f>SUMIFS(Recipes!$H:$H,Recipes!$D:$D,Consolidate!$E70,Recipes!$A:$A,Consolidate!$B70)</f>
        <v>0</v>
      </c>
      <c r="I70" s="56">
        <f t="shared" si="3"/>
        <v>553.94999999999993</v>
      </c>
      <c r="K70" s="57">
        <f>SUMIF(Recipes!A:A,Consolidate!B70,Recipes!L:L)</f>
        <v>877.81500000000005</v>
      </c>
      <c r="L70" s="59">
        <f>SUMIFS(Recipes!$L:$L,Recipes!$D:$D,Consolidate!$E70,Recipes!$A:$A,Consolidate!$B70)</f>
        <v>0</v>
      </c>
      <c r="M70" s="60">
        <f t="shared" si="4"/>
        <v>877.81500000000005</v>
      </c>
    </row>
    <row r="71" spans="1:13">
      <c r="A71">
        <f t="shared" si="5"/>
        <v>69</v>
      </c>
      <c r="B71" s="5" t="s">
        <v>423</v>
      </c>
      <c r="C71" t="str">
        <f>VLOOKUP(B71,Recipes!A:B,2,0)</f>
        <v>Main Course</v>
      </c>
      <c r="D71" t="str">
        <f>VLOOKUP(B71,Recipes!A:C,3,0)</f>
        <v>Gravy</v>
      </c>
      <c r="E71" s="18" t="str">
        <f>VLOOKUP(B71,Recipes!A:J,10,0)</f>
        <v>Chicken Bone In</v>
      </c>
      <c r="F71" s="18" t="str">
        <f>VLOOKUP(B71,Recipes!A:I,9,0)</f>
        <v>Kg</v>
      </c>
      <c r="G71" s="55">
        <f>SUMIF(Recipes!A:A,Consolidate!B71,Recipes!H:H)</f>
        <v>869.32559999999989</v>
      </c>
      <c r="H71" s="55">
        <f>SUMIFS(Recipes!$H:$H,Recipes!$D:$D,Consolidate!$E71,Recipes!$A:$A,Consolidate!$B71)</f>
        <v>614</v>
      </c>
      <c r="I71" s="56">
        <f t="shared" si="3"/>
        <v>255.32559999999989</v>
      </c>
      <c r="K71" s="57">
        <f>SUMIF(Recipes!A:A,Consolidate!B71,Recipes!L:L)</f>
        <v>906.78999999999985</v>
      </c>
      <c r="L71" s="59">
        <f>SUMIFS(Recipes!$L:$L,Recipes!$D:$D,Consolidate!$E71,Recipes!$A:$A,Consolidate!$B71)</f>
        <v>650</v>
      </c>
      <c r="M71" s="60">
        <f t="shared" si="4"/>
        <v>256.78999999999985</v>
      </c>
    </row>
    <row r="72" spans="1:13">
      <c r="A72">
        <f t="shared" si="5"/>
        <v>70</v>
      </c>
      <c r="B72" s="5" t="s">
        <v>344</v>
      </c>
      <c r="C72" t="str">
        <f>VLOOKUP(B72,Recipes!A:B,2,0)</f>
        <v>Main Course</v>
      </c>
      <c r="D72" t="str">
        <f>VLOOKUP(B72,Recipes!A:C,3,0)</f>
        <v>BBQ</v>
      </c>
      <c r="E72" s="18" t="str">
        <f>VLOOKUP(B72,Recipes!A:J,10,0)</f>
        <v>Chicken Bone In</v>
      </c>
      <c r="F72" s="18" t="str">
        <f>VLOOKUP(B72,Recipes!A:I,9,0)</f>
        <v>Kg</v>
      </c>
      <c r="G72" s="55">
        <f>SUMIF(Recipes!A:A,Consolidate!B72,Recipes!H:H)</f>
        <v>861.85040000000004</v>
      </c>
      <c r="H72" s="55">
        <f>SUMIFS(Recipes!$H:$H,Recipes!$D:$D,Consolidate!$E72,Recipes!$A:$A,Consolidate!$B72)</f>
        <v>614</v>
      </c>
      <c r="I72" s="56">
        <f t="shared" si="3"/>
        <v>247.85040000000004</v>
      </c>
      <c r="K72" s="57">
        <f>SUMIF(Recipes!A:A,Consolidate!B72,Recipes!L:L)</f>
        <v>907.48149999999998</v>
      </c>
      <c r="L72" s="59">
        <f>SUMIFS(Recipes!$L:$L,Recipes!$D:$D,Consolidate!$E72,Recipes!$A:$A,Consolidate!$B72)</f>
        <v>650</v>
      </c>
      <c r="M72" s="60">
        <f t="shared" si="4"/>
        <v>257.48149999999998</v>
      </c>
    </row>
    <row r="73" spans="1:13">
      <c r="A73">
        <f t="shared" si="5"/>
        <v>71</v>
      </c>
      <c r="B73" s="5" t="s">
        <v>824</v>
      </c>
      <c r="C73" t="str">
        <f>VLOOKUP(B73,Recipes!A:B,2,0)</f>
        <v>Main Course</v>
      </c>
      <c r="D73" t="str">
        <f>VLOOKUP(B73,Recipes!A:C,3,0)</f>
        <v>Gravy</v>
      </c>
      <c r="E73" s="18" t="str">
        <f>VLOOKUP(B73,Recipes!A:J,10,0)</f>
        <v>Chicken Bone In</v>
      </c>
      <c r="F73" s="18" t="str">
        <f>VLOOKUP(B73,Recipes!A:I,9,0)</f>
        <v>Kg</v>
      </c>
      <c r="G73" s="55">
        <f>SUMIF(Recipes!A:A,Consolidate!B73,Recipes!H:H)</f>
        <v>955.02599999999984</v>
      </c>
      <c r="H73" s="55">
        <f>SUMIFS(Recipes!$H:$H,Recipes!$D:$D,Consolidate!$E73,Recipes!$A:$A,Consolidate!$B73)</f>
        <v>614</v>
      </c>
      <c r="I73" s="56">
        <f t="shared" si="3"/>
        <v>341.02599999999984</v>
      </c>
      <c r="K73" s="57">
        <f>SUMIF(Recipes!A:A,Consolidate!B73,Recipes!L:L)</f>
        <v>1018.8999999999999</v>
      </c>
      <c r="L73" s="59">
        <f>SUMIFS(Recipes!$L:$L,Recipes!$D:$D,Consolidate!$E73,Recipes!$A:$A,Consolidate!$B73)</f>
        <v>650</v>
      </c>
      <c r="M73" s="60">
        <f t="shared" si="4"/>
        <v>368.89999999999986</v>
      </c>
    </row>
    <row r="74" spans="1:13">
      <c r="A74">
        <f t="shared" si="5"/>
        <v>72</v>
      </c>
      <c r="B74" s="5" t="s">
        <v>657</v>
      </c>
      <c r="C74" t="str">
        <f>VLOOKUP(B74,Recipes!A:B,2,0)</f>
        <v>Main Course</v>
      </c>
      <c r="D74" t="str">
        <f>VLOOKUP(B74,Recipes!A:C,3,0)</f>
        <v>Rice</v>
      </c>
      <c r="E74" s="18" t="str">
        <f>VLOOKUP(B74,Recipes!A:J,10,0)</f>
        <v>Chicken Bone In</v>
      </c>
      <c r="F74" s="18" t="str">
        <f>VLOOKUP(B74,Recipes!A:I,9,0)</f>
        <v>Kg</v>
      </c>
      <c r="G74" s="55">
        <f>SUMIF(Recipes!A:A,Consolidate!B74,Recipes!H:H)</f>
        <v>1460.5555999999999</v>
      </c>
      <c r="H74" s="55">
        <f>SUMIFS(Recipes!$H:$H,Recipes!$D:$D,Consolidate!$E74,Recipes!$A:$A,Consolidate!$B74)</f>
        <v>614</v>
      </c>
      <c r="I74" s="56">
        <f t="shared" si="3"/>
        <v>846.55559999999991</v>
      </c>
      <c r="K74" s="57">
        <f>SUMIF(Recipes!A:A,Consolidate!B74,Recipes!L:L)</f>
        <v>1528.8240000000001</v>
      </c>
      <c r="L74" s="59">
        <f>SUMIFS(Recipes!$L:$L,Recipes!$D:$D,Consolidate!$E74,Recipes!$A:$A,Consolidate!$B74)</f>
        <v>650</v>
      </c>
      <c r="M74" s="60">
        <f t="shared" si="4"/>
        <v>878.82400000000007</v>
      </c>
    </row>
    <row r="75" spans="1:13">
      <c r="A75">
        <f t="shared" si="5"/>
        <v>73</v>
      </c>
      <c r="B75" s="5" t="s">
        <v>67</v>
      </c>
      <c r="C75" t="str">
        <f>VLOOKUP(B75,Recipes!A:B,2,0)</f>
        <v>Main Course</v>
      </c>
      <c r="D75" t="str">
        <f>VLOOKUP(B75,Recipes!A:C,3,0)</f>
        <v>BBQ</v>
      </c>
      <c r="E75" s="18" t="str">
        <f>VLOOKUP(B75,Recipes!A:J,10,0)</f>
        <v>Chicken Bone In</v>
      </c>
      <c r="F75" s="18" t="str">
        <f>VLOOKUP(B75,Recipes!A:I,9,0)</f>
        <v>Kg</v>
      </c>
      <c r="G75" s="55">
        <f>SUMIF(Recipes!A:A,Consolidate!B75,Recipes!H:H)</f>
        <v>740.83199999999999</v>
      </c>
      <c r="H75" s="55">
        <f>SUMIFS(Recipes!$H:$H,Recipes!$D:$D,Consolidate!$E75,Recipes!$A:$A,Consolidate!$B75)</f>
        <v>614</v>
      </c>
      <c r="I75" s="56">
        <f t="shared" si="3"/>
        <v>126.83199999999999</v>
      </c>
      <c r="K75" s="57">
        <f>SUMIF(Recipes!A:A,Consolidate!B75,Recipes!L:L)</f>
        <v>782.87874999999997</v>
      </c>
      <c r="L75" s="59">
        <f>SUMIFS(Recipes!$L:$L,Recipes!$D:$D,Consolidate!$E75,Recipes!$A:$A,Consolidate!$B75)</f>
        <v>650</v>
      </c>
      <c r="M75" s="60">
        <f t="shared" si="4"/>
        <v>132.87874999999997</v>
      </c>
    </row>
    <row r="76" spans="1:13">
      <c r="A76">
        <f t="shared" si="5"/>
        <v>74</v>
      </c>
      <c r="B76" s="5" t="s">
        <v>826</v>
      </c>
      <c r="C76" t="str">
        <f>VLOOKUP(B76,Recipes!A:B,2,0)</f>
        <v>Main Course</v>
      </c>
      <c r="D76" t="str">
        <f>VLOOKUP(B76,Recipes!A:C,3,0)</f>
        <v>Gravy</v>
      </c>
      <c r="E76" s="18" t="str">
        <f>VLOOKUP(B76,Recipes!A:J,10,0)</f>
        <v>Chicken Bone In</v>
      </c>
      <c r="F76" s="18" t="str">
        <f>VLOOKUP(B76,Recipes!A:I,9,0)</f>
        <v>Kg</v>
      </c>
      <c r="G76" s="55">
        <f>SUMIF(Recipes!A:A,Consolidate!B76,Recipes!H:H)</f>
        <v>1059.6444761904759</v>
      </c>
      <c r="H76" s="55">
        <f>SUMIFS(Recipes!$H:$H,Recipes!$D:$D,Consolidate!$E76,Recipes!$A:$A,Consolidate!$B76)</f>
        <v>613.99999999999989</v>
      </c>
      <c r="I76" s="56">
        <f t="shared" si="3"/>
        <v>445.64447619047598</v>
      </c>
      <c r="K76" s="57">
        <f>SUMIF(Recipes!A:A,Consolidate!B76,Recipes!L:L)</f>
        <v>1107.5357142857142</v>
      </c>
      <c r="L76" s="59">
        <f>SUMIFS(Recipes!$L:$L,Recipes!$D:$D,Consolidate!$E76,Recipes!$A:$A,Consolidate!$B76)</f>
        <v>649.99999999999989</v>
      </c>
      <c r="M76" s="60">
        <f t="shared" si="4"/>
        <v>457.53571428571433</v>
      </c>
    </row>
    <row r="77" spans="1:13">
      <c r="A77">
        <f t="shared" si="5"/>
        <v>75</v>
      </c>
      <c r="B77" s="5" t="s">
        <v>436</v>
      </c>
      <c r="C77" t="str">
        <f>VLOOKUP(B77,Recipes!A:B,2,0)</f>
        <v>Main Course</v>
      </c>
      <c r="D77" t="str">
        <f>VLOOKUP(B77,Recipes!A:C,3,0)</f>
        <v>BBQ</v>
      </c>
      <c r="E77" s="18" t="str">
        <f>VLOOKUP(B77,Recipes!A:J,10,0)</f>
        <v>Chicken Bone In</v>
      </c>
      <c r="F77" s="18" t="str">
        <f>VLOOKUP(B77,Recipes!A:I,9,0)</f>
        <v>Kg</v>
      </c>
      <c r="G77" s="55">
        <f>SUMIF(Recipes!A:A,Consolidate!B77,Recipes!H:H)</f>
        <v>772.58412000000021</v>
      </c>
      <c r="H77" s="55">
        <f>SUMIFS(Recipes!$H:$H,Recipes!$D:$D,Consolidate!$E77,Recipes!$A:$A,Consolidate!$B77)</f>
        <v>614</v>
      </c>
      <c r="I77" s="56">
        <f t="shared" si="3"/>
        <v>158.58412000000021</v>
      </c>
      <c r="K77" s="57">
        <f>SUMIF(Recipes!A:A,Consolidate!B77,Recipes!L:L)</f>
        <v>813.44785250000007</v>
      </c>
      <c r="L77" s="59">
        <f>SUMIFS(Recipes!$L:$L,Recipes!$D:$D,Consolidate!$E77,Recipes!$A:$A,Consolidate!$B77)</f>
        <v>650</v>
      </c>
      <c r="M77" s="60">
        <f t="shared" si="4"/>
        <v>163.44785250000007</v>
      </c>
    </row>
    <row r="78" spans="1:13">
      <c r="A78">
        <f t="shared" si="5"/>
        <v>76</v>
      </c>
      <c r="B78" s="5" t="s">
        <v>286</v>
      </c>
      <c r="C78" t="str">
        <f>VLOOKUP(B78,Recipes!A:B,2,0)</f>
        <v>Main Course</v>
      </c>
      <c r="D78" t="str">
        <f>VLOOKUP(B78,Recipes!A:C,3,0)</f>
        <v>Rice</v>
      </c>
      <c r="E78" s="18" t="str">
        <f>VLOOKUP(B78,Recipes!A:J,10,0)</f>
        <v>Chicken Bone In</v>
      </c>
      <c r="F78" s="18" t="str">
        <f>VLOOKUP(B78,Recipes!A:I,9,0)</f>
        <v>Kg</v>
      </c>
      <c r="G78" s="55">
        <f>SUMIF(Recipes!A:A,Consolidate!B78,Recipes!H:H)</f>
        <v>1243.198707403056</v>
      </c>
      <c r="H78" s="55">
        <f>SUMIFS(Recipes!$H:$H,Recipes!$D:$D,Consolidate!$E78,Recipes!$A:$A,Consolidate!$B78)</f>
        <v>614</v>
      </c>
      <c r="I78" s="56">
        <f t="shared" si="3"/>
        <v>629.19870740305601</v>
      </c>
      <c r="K78" s="57">
        <f>SUMIF(Recipes!A:A,Consolidate!B78,Recipes!L:L)</f>
        <v>1281.3189189189193</v>
      </c>
      <c r="L78" s="59">
        <f>SUMIFS(Recipes!$L:$L,Recipes!$D:$D,Consolidate!$E78,Recipes!$A:$A,Consolidate!$B78)</f>
        <v>650</v>
      </c>
      <c r="M78" s="60">
        <f t="shared" si="4"/>
        <v>631.31891891891928</v>
      </c>
    </row>
    <row r="79" spans="1:13">
      <c r="A79">
        <f t="shared" si="5"/>
        <v>77</v>
      </c>
      <c r="B79" s="5" t="s">
        <v>431</v>
      </c>
      <c r="C79" t="str">
        <f>VLOOKUP(B79,Recipes!A:B,2,0)</f>
        <v>Main Course</v>
      </c>
      <c r="D79" t="str">
        <f>VLOOKUP(B79,Recipes!A:C,3,0)</f>
        <v>Grilled</v>
      </c>
      <c r="E79" s="18" t="str">
        <f>VLOOKUP(B79,Recipes!A:J,10,0)</f>
        <v>Chicken Boneless</v>
      </c>
      <c r="F79" s="18" t="str">
        <f>VLOOKUP(B79,Recipes!A:I,9,0)</f>
        <v>Kg</v>
      </c>
      <c r="G79" s="55">
        <f>SUMIF(Recipes!A:A,Consolidate!B79,Recipes!H:H)</f>
        <v>1306.895</v>
      </c>
      <c r="H79" s="55">
        <f>SUMIFS(Recipes!$H:$H,Recipes!$D:$D,Consolidate!$E79,Recipes!$A:$A,Consolidate!$B79)</f>
        <v>908</v>
      </c>
      <c r="I79" s="56">
        <f t="shared" si="3"/>
        <v>398.89499999999998</v>
      </c>
      <c r="K79" s="57">
        <f>SUMIF(Recipes!A:A,Consolidate!B79,Recipes!L:L)</f>
        <v>1603.5625</v>
      </c>
      <c r="L79" s="59">
        <f>SUMIFS(Recipes!$L:$L,Recipes!$D:$D,Consolidate!$E79,Recipes!$A:$A,Consolidate!$B79)</f>
        <v>908</v>
      </c>
      <c r="M79" s="60">
        <f t="shared" si="4"/>
        <v>695.5625</v>
      </c>
    </row>
    <row r="80" spans="1:13">
      <c r="A80">
        <f t="shared" si="5"/>
        <v>78</v>
      </c>
      <c r="B80" s="5" t="s">
        <v>815</v>
      </c>
      <c r="C80" t="str">
        <f>VLOOKUP(B80,Recipes!A:B,2,0)</f>
        <v>Main Course</v>
      </c>
      <c r="D80" t="str">
        <f>VLOOKUP(B80,Recipes!A:C,3,0)</f>
        <v>Gravy</v>
      </c>
      <c r="E80" s="18" t="str">
        <f>VLOOKUP(B80,Recipes!A:J,10,0)</f>
        <v>Chicken Bone In</v>
      </c>
      <c r="F80" s="18" t="str">
        <f>VLOOKUP(B80,Recipes!A:I,9,0)</f>
        <v>Kg</v>
      </c>
      <c r="G80" s="55">
        <f>SUMIF(Recipes!A:A,Consolidate!B80,Recipes!H:H)</f>
        <v>866.09661538461535</v>
      </c>
      <c r="H80" s="55">
        <f>SUMIFS(Recipes!$H:$H,Recipes!$D:$D,Consolidate!$E80,Recipes!$A:$A,Consolidate!$B80)</f>
        <v>614</v>
      </c>
      <c r="I80" s="56">
        <f t="shared" si="3"/>
        <v>252.09661538461535</v>
      </c>
      <c r="K80" s="57">
        <f>SUMIF(Recipes!A:A,Consolidate!B80,Recipes!L:L)</f>
        <v>917.34230769230749</v>
      </c>
      <c r="L80" s="59">
        <f>SUMIFS(Recipes!$L:$L,Recipes!$D:$D,Consolidate!$E80,Recipes!$A:$A,Consolidate!$B80)</f>
        <v>650</v>
      </c>
      <c r="M80" s="60">
        <f t="shared" si="4"/>
        <v>267.34230769230749</v>
      </c>
    </row>
    <row r="81" spans="1:13">
      <c r="A81">
        <f t="shared" si="5"/>
        <v>79</v>
      </c>
      <c r="B81" s="5" t="s">
        <v>69</v>
      </c>
      <c r="C81" t="str">
        <f>VLOOKUP(B81,Recipes!A:B,2,0)</f>
        <v>Main Course</v>
      </c>
      <c r="D81" t="str">
        <f>VLOOKUP(B81,Recipes!A:C,3,0)</f>
        <v>BBQ</v>
      </c>
      <c r="E81" s="18" t="str">
        <f>VLOOKUP(B81,Recipes!A:J,10,0)</f>
        <v>Chicken Bone In</v>
      </c>
      <c r="F81" s="18" t="str">
        <f>VLOOKUP(B81,Recipes!A:I,9,0)</f>
        <v>Kg</v>
      </c>
      <c r="G81" s="55">
        <f>SUMIF(Recipes!A:A,Consolidate!B81,Recipes!H:H)</f>
        <v>798.55000000000007</v>
      </c>
      <c r="H81" s="55">
        <f>SUMIFS(Recipes!$H:$H,Recipes!$D:$D,Consolidate!$E81,Recipes!$A:$A,Consolidate!$B81)</f>
        <v>614</v>
      </c>
      <c r="I81" s="56">
        <f t="shared" si="3"/>
        <v>184.55000000000007</v>
      </c>
      <c r="K81" s="57">
        <f>SUMIF(Recipes!A:A,Consolidate!B81,Recipes!L:L)</f>
        <v>842.25</v>
      </c>
      <c r="L81" s="59">
        <f>SUMIFS(Recipes!$L:$L,Recipes!$D:$D,Consolidate!$E81,Recipes!$A:$A,Consolidate!$B81)</f>
        <v>650</v>
      </c>
      <c r="M81" s="60">
        <f t="shared" si="4"/>
        <v>192.25</v>
      </c>
    </row>
    <row r="82" spans="1:13">
      <c r="A82">
        <f t="shared" si="5"/>
        <v>80</v>
      </c>
      <c r="B82" s="5" t="s">
        <v>438</v>
      </c>
      <c r="C82" t="str">
        <f>VLOOKUP(B82,Recipes!A:B,2,0)</f>
        <v>Main Course</v>
      </c>
      <c r="D82" t="str">
        <f>VLOOKUP(B82,Recipes!A:C,3,0)</f>
        <v>Fried</v>
      </c>
      <c r="E82" s="18" t="str">
        <f>VLOOKUP(B82,Recipes!A:J,10,0)</f>
        <v>Chicken Bone In</v>
      </c>
      <c r="F82" s="18" t="str">
        <f>VLOOKUP(B82,Recipes!A:I,9,0)</f>
        <v>Kg</v>
      </c>
      <c r="G82" s="55">
        <f>SUMIF(Recipes!A:A,Consolidate!B82,Recipes!H:H)</f>
        <v>980.51600000000008</v>
      </c>
      <c r="H82" s="55">
        <f>SUMIFS(Recipes!$H:$H,Recipes!$D:$D,Consolidate!$E82,Recipes!$A:$A,Consolidate!$B82)</f>
        <v>614</v>
      </c>
      <c r="I82" s="56">
        <f t="shared" si="3"/>
        <v>366.51600000000008</v>
      </c>
      <c r="K82" s="57">
        <f>SUMIF(Recipes!A:A,Consolidate!B82,Recipes!L:L)</f>
        <v>1033.7540000000001</v>
      </c>
      <c r="L82" s="59">
        <f>SUMIFS(Recipes!$L:$L,Recipes!$D:$D,Consolidate!$E82,Recipes!$A:$A,Consolidate!$B82)</f>
        <v>650</v>
      </c>
      <c r="M82" s="60">
        <f t="shared" si="4"/>
        <v>383.75400000000013</v>
      </c>
    </row>
    <row r="83" spans="1:13">
      <c r="A83">
        <f t="shared" si="5"/>
        <v>81</v>
      </c>
      <c r="B83" s="5" t="s">
        <v>554</v>
      </c>
      <c r="C83" t="str">
        <f>VLOOKUP(B83,Recipes!A:B,2,0)</f>
        <v>Main Course</v>
      </c>
      <c r="D83" t="str">
        <f>VLOOKUP(B83,Recipes!A:C,3,0)</f>
        <v>Gravy</v>
      </c>
      <c r="E83" s="18" t="str">
        <f>VLOOKUP(B83,Recipes!A:J,10,0)</f>
        <v>Chicken Bone In</v>
      </c>
      <c r="F83" s="18" t="str">
        <f>VLOOKUP(B83,Recipes!A:I,9,0)</f>
        <v>Kg</v>
      </c>
      <c r="G83" s="55">
        <f>SUMIF(Recipes!A:A,Consolidate!B83,Recipes!H:H)</f>
        <v>1057.9044999999999</v>
      </c>
      <c r="H83" s="55">
        <f>SUMIFS(Recipes!$H:$H,Recipes!$D:$D,Consolidate!$E83,Recipes!$A:$A,Consolidate!$B83)</f>
        <v>614</v>
      </c>
      <c r="I83" s="56">
        <f t="shared" si="3"/>
        <v>443.90449999999987</v>
      </c>
      <c r="K83" s="57">
        <f>SUMIF(Recipes!A:A,Consolidate!B83,Recipes!L:L)</f>
        <v>1177.8032499999999</v>
      </c>
      <c r="L83" s="59">
        <f>SUMIFS(Recipes!$L:$L,Recipes!$D:$D,Consolidate!$E83,Recipes!$A:$A,Consolidate!$B83)</f>
        <v>650</v>
      </c>
      <c r="M83" s="60">
        <f t="shared" si="4"/>
        <v>527.80324999999993</v>
      </c>
    </row>
    <row r="84" spans="1:13">
      <c r="A84">
        <f t="shared" si="5"/>
        <v>82</v>
      </c>
      <c r="B84" s="5" t="s">
        <v>70</v>
      </c>
      <c r="C84" t="str">
        <f>VLOOKUP(B84,Recipes!A:B,2,0)</f>
        <v>Main Course</v>
      </c>
      <c r="D84" t="str">
        <f>VLOOKUP(B84,Recipes!A:C,3,0)</f>
        <v>Fried</v>
      </c>
      <c r="E84" s="18" t="str">
        <f>VLOOKUP(B84,Recipes!A:J,10,0)</f>
        <v>Chicken Boneless</v>
      </c>
      <c r="F84" s="18" t="str">
        <f>VLOOKUP(B84,Recipes!A:I,9,0)</f>
        <v>Kg</v>
      </c>
      <c r="G84" s="55">
        <f>SUMIF(Recipes!A:A,Consolidate!B84,Recipes!H:H)</f>
        <v>1037.4323750000001</v>
      </c>
      <c r="H84" s="55">
        <f>SUMIFS(Recipes!$H:$H,Recipes!$D:$D,Consolidate!$E84,Recipes!$A:$A,Consolidate!$B84)</f>
        <v>908</v>
      </c>
      <c r="I84" s="56">
        <f t="shared" si="3"/>
        <v>129.43237500000009</v>
      </c>
      <c r="K84" s="57">
        <f>SUMIF(Recipes!A:A,Consolidate!B84,Recipes!L:L)</f>
        <v>1203.6179999999999</v>
      </c>
      <c r="L84" s="59">
        <f>SUMIFS(Recipes!$L:$L,Recipes!$D:$D,Consolidate!$E84,Recipes!$A:$A,Consolidate!$B84)</f>
        <v>908</v>
      </c>
      <c r="M84" s="60">
        <f t="shared" si="4"/>
        <v>295.61799999999994</v>
      </c>
    </row>
    <row r="85" spans="1:13">
      <c r="A85">
        <f t="shared" si="5"/>
        <v>83</v>
      </c>
      <c r="B85" s="5" t="s">
        <v>77</v>
      </c>
      <c r="C85" t="str">
        <f>VLOOKUP(B85,Recipes!A:B,2,0)</f>
        <v>Main Course</v>
      </c>
      <c r="D85" t="str">
        <f>VLOOKUP(B85,Recipes!A:C,3,0)</f>
        <v>Fried</v>
      </c>
      <c r="E85" s="18" t="str">
        <f>VLOOKUP(B85,Recipes!A:J,10,0)</f>
        <v>Chicken Bone In</v>
      </c>
      <c r="F85" s="18" t="str">
        <f>VLOOKUP(B85,Recipes!A:I,9,0)</f>
        <v>Kg</v>
      </c>
      <c r="G85" s="55">
        <f>SUMIF(Recipes!A:A,Consolidate!B85,Recipes!H:H)</f>
        <v>822.59159999999997</v>
      </c>
      <c r="H85" s="55">
        <f>SUMIFS(Recipes!$H:$H,Recipes!$D:$D,Consolidate!$E85,Recipes!$A:$A,Consolidate!$B85)</f>
        <v>614</v>
      </c>
      <c r="I85" s="56">
        <f t="shared" si="3"/>
        <v>208.59159999999997</v>
      </c>
      <c r="K85" s="57">
        <f>SUMIF(Recipes!A:A,Consolidate!B85,Recipes!L:L)</f>
        <v>876.94550000000004</v>
      </c>
      <c r="L85" s="59">
        <f>SUMIFS(Recipes!$L:$L,Recipes!$D:$D,Consolidate!$E85,Recipes!$A:$A,Consolidate!$B85)</f>
        <v>650</v>
      </c>
      <c r="M85" s="60">
        <f t="shared" si="4"/>
        <v>226.94550000000004</v>
      </c>
    </row>
    <row r="86" spans="1:13">
      <c r="A86">
        <f t="shared" si="5"/>
        <v>84</v>
      </c>
      <c r="B86" s="5" t="s">
        <v>429</v>
      </c>
      <c r="C86" t="str">
        <f>VLOOKUP(B86,Recipes!A:B,2,0)</f>
        <v>Main Course</v>
      </c>
      <c r="D86" t="str">
        <f>VLOOKUP(B86,Recipes!A:C,3,0)</f>
        <v>Gravy</v>
      </c>
      <c r="E86" s="18" t="str">
        <f>VLOOKUP(B86,Recipes!A:J,10,0)</f>
        <v>Chicken Bone In</v>
      </c>
      <c r="F86" s="18" t="str">
        <f>VLOOKUP(B86,Recipes!A:I,9,0)</f>
        <v>Kg</v>
      </c>
      <c r="G86" s="55">
        <f>SUMIF(Recipes!A:A,Consolidate!B86,Recipes!H:H)</f>
        <v>1011.595</v>
      </c>
      <c r="H86" s="55">
        <f>SUMIFS(Recipes!$H:$H,Recipes!$D:$D,Consolidate!$E86,Recipes!$A:$A,Consolidate!$B86)</f>
        <v>614</v>
      </c>
      <c r="I86" s="56">
        <f t="shared" si="3"/>
        <v>397.59500000000003</v>
      </c>
      <c r="K86" s="57">
        <f>SUMIF(Recipes!A:A,Consolidate!B86,Recipes!L:L)</f>
        <v>1516.0625</v>
      </c>
      <c r="L86" s="59">
        <f>SUMIFS(Recipes!$L:$L,Recipes!$D:$D,Consolidate!$E86,Recipes!$A:$A,Consolidate!$B86)</f>
        <v>650</v>
      </c>
      <c r="M86" s="60">
        <f t="shared" si="4"/>
        <v>866.0625</v>
      </c>
    </row>
    <row r="87" spans="1:13">
      <c r="A87">
        <f t="shared" si="5"/>
        <v>85</v>
      </c>
      <c r="B87" s="5" t="s">
        <v>64</v>
      </c>
      <c r="C87" t="str">
        <f>VLOOKUP(B87,Recipes!A:B,2,0)</f>
        <v>Main Course</v>
      </c>
      <c r="D87" t="str">
        <f>VLOOKUP(B87,Recipes!A:C,3,0)</f>
        <v>Fried</v>
      </c>
      <c r="E87" s="18" t="str">
        <f>VLOOKUP(B87,Recipes!A:J,10,0)</f>
        <v>Chicken Boneless</v>
      </c>
      <c r="F87" s="18" t="str">
        <f>VLOOKUP(B87,Recipes!A:I,9,0)</f>
        <v>Kg</v>
      </c>
      <c r="G87" s="55">
        <f>SUMIF(Recipes!A:A,Consolidate!B87,Recipes!H:H)</f>
        <v>1256.1656</v>
      </c>
      <c r="H87" s="55">
        <f>SUMIFS(Recipes!$H:$H,Recipes!$D:$D,Consolidate!$E87,Recipes!$A:$A,Consolidate!$B87)</f>
        <v>908</v>
      </c>
      <c r="I87" s="56">
        <f t="shared" si="3"/>
        <v>348.16560000000004</v>
      </c>
      <c r="K87" s="57">
        <f>SUMIF(Recipes!A:A,Consolidate!B87,Recipes!L:L)</f>
        <v>1397.9</v>
      </c>
      <c r="L87" s="59">
        <f>SUMIFS(Recipes!$L:$L,Recipes!$D:$D,Consolidate!$E87,Recipes!$A:$A,Consolidate!$B87)</f>
        <v>908</v>
      </c>
      <c r="M87" s="60">
        <f t="shared" si="4"/>
        <v>489.90000000000009</v>
      </c>
    </row>
    <row r="88" spans="1:13">
      <c r="A88">
        <f t="shared" si="5"/>
        <v>86</v>
      </c>
      <c r="B88" s="5" t="s">
        <v>642</v>
      </c>
      <c r="C88" t="str">
        <f>VLOOKUP(B88,Recipes!A:B,2,0)</f>
        <v>Roti &amp; Paratha</v>
      </c>
      <c r="D88" t="str">
        <f>VLOOKUP(B88,Recipes!A:C,3,0)</f>
        <v>Chicken Paratha</v>
      </c>
      <c r="E88" s="18" t="str">
        <f>VLOOKUP(B88,Recipes!A:J,10,0)</f>
        <v>Chicken Boneless</v>
      </c>
      <c r="F88" s="18" t="str">
        <f>VLOOKUP(B88,Recipes!A:I,9,0)</f>
        <v>Pcs</v>
      </c>
      <c r="G88" s="55">
        <f>SUMIF(Recipes!A:A,Consolidate!B88,Recipes!H:H)</f>
        <v>235.61746666666664</v>
      </c>
      <c r="H88" s="55">
        <f>SUMIFS(Recipes!$H:$H,Recipes!$D:$D,Consolidate!$E88,Recipes!$A:$A,Consolidate!$B88)</f>
        <v>90.8</v>
      </c>
      <c r="I88" s="56">
        <f t="shared" si="3"/>
        <v>144.81746666666663</v>
      </c>
      <c r="K88" s="57">
        <f>SUMIF(Recipes!A:A,Consolidate!B88,Recipes!L:L)</f>
        <v>276.14836666666673</v>
      </c>
      <c r="L88" s="59">
        <f>SUMIFS(Recipes!$L:$L,Recipes!$D:$D,Consolidate!$E88,Recipes!$A:$A,Consolidate!$B88)</f>
        <v>90.8</v>
      </c>
      <c r="M88" s="60">
        <f t="shared" si="4"/>
        <v>185.34836666666672</v>
      </c>
    </row>
    <row r="89" spans="1:13">
      <c r="A89">
        <f t="shared" si="5"/>
        <v>87</v>
      </c>
      <c r="B89" s="5" t="s">
        <v>188</v>
      </c>
      <c r="C89" t="str">
        <f>VLOOKUP(B89,Recipes!A:B,2,0)</f>
        <v>Main Course</v>
      </c>
      <c r="D89" t="str">
        <f>VLOOKUP(B89,Recipes!A:C,3,0)</f>
        <v>Gravy</v>
      </c>
      <c r="E89" s="18" t="str">
        <f>VLOOKUP(B89,Recipes!A:J,10,0)</f>
        <v>Chicken Boneless</v>
      </c>
      <c r="F89" s="18" t="str">
        <f>VLOOKUP(B89,Recipes!A:I,9,0)</f>
        <v>Kg</v>
      </c>
      <c r="G89" s="55">
        <f>SUMIF(Recipes!A:A,Consolidate!B89,Recipes!H:H)</f>
        <v>1101.4758749999999</v>
      </c>
      <c r="H89" s="55">
        <f>SUMIFS(Recipes!$H:$H,Recipes!$D:$D,Consolidate!$E89,Recipes!$A:$A,Consolidate!$B89)</f>
        <v>908</v>
      </c>
      <c r="I89" s="56">
        <f t="shared" si="3"/>
        <v>193.47587499999986</v>
      </c>
      <c r="K89" s="57">
        <f>SUMIF(Recipes!A:A,Consolidate!B89,Recipes!L:L)</f>
        <v>1377.5326249999998</v>
      </c>
      <c r="L89" s="59">
        <f>SUMIFS(Recipes!$L:$L,Recipes!$D:$D,Consolidate!$E89,Recipes!$A:$A,Consolidate!$B89)</f>
        <v>908</v>
      </c>
      <c r="M89" s="60">
        <f t="shared" si="4"/>
        <v>469.53262499999983</v>
      </c>
    </row>
    <row r="90" spans="1:13">
      <c r="A90">
        <f t="shared" si="5"/>
        <v>88</v>
      </c>
      <c r="B90" s="5" t="s">
        <v>401</v>
      </c>
      <c r="C90" t="str">
        <f>VLOOKUP(B90,Recipes!A:B,2,0)</f>
        <v>Main Course</v>
      </c>
      <c r="D90" t="str">
        <f>VLOOKUP(B90,Recipes!A:C,3,0)</f>
        <v>Dry</v>
      </c>
      <c r="E90" s="18" t="str">
        <f>VLOOKUP(B90,Recipes!A:J,10,0)</f>
        <v>Chicken Boneless</v>
      </c>
      <c r="F90" s="18" t="str">
        <f>VLOOKUP(B90,Recipes!A:I,9,0)</f>
        <v>Kg</v>
      </c>
      <c r="G90" s="55">
        <f>SUMIF(Recipes!A:A,Consolidate!B90,Recipes!H:H)</f>
        <v>790.3755000000001</v>
      </c>
      <c r="H90" s="55">
        <f>SUMIFS(Recipes!$H:$H,Recipes!$D:$D,Consolidate!$E90,Recipes!$A:$A,Consolidate!$B90)</f>
        <v>363.20000000000005</v>
      </c>
      <c r="I90" s="56">
        <f t="shared" si="3"/>
        <v>427.17550000000006</v>
      </c>
      <c r="K90" s="57">
        <f>SUMIF(Recipes!A:A,Consolidate!B90,Recipes!L:L)</f>
        <v>653.80150000000003</v>
      </c>
      <c r="L90" s="59">
        <f>SUMIFS(Recipes!$L:$L,Recipes!$D:$D,Consolidate!$E90,Recipes!$A:$A,Consolidate!$B90)</f>
        <v>363.20000000000005</v>
      </c>
      <c r="M90" s="60">
        <f t="shared" si="4"/>
        <v>290.60149999999999</v>
      </c>
    </row>
    <row r="91" spans="1:13">
      <c r="A91">
        <f t="shared" si="5"/>
        <v>89</v>
      </c>
      <c r="B91" s="5" t="s">
        <v>78</v>
      </c>
      <c r="C91" t="str">
        <f>VLOOKUP(B91,Recipes!A:B,2,0)</f>
        <v>Soup</v>
      </c>
      <c r="D91" t="str">
        <f>VLOOKUP(B91,Recipes!A:C,3,0)</f>
        <v>With Meat</v>
      </c>
      <c r="E91" s="18">
        <f>VLOOKUP(B91,Recipes!A:J,10,0)</f>
        <v>0</v>
      </c>
      <c r="F91" s="18" t="str">
        <f>VLOOKUP(B91,Recipes!A:I,9,0)</f>
        <v>Bowl</v>
      </c>
      <c r="G91" s="55">
        <f>SUMIF(Recipes!A:A,Consolidate!B91,Recipes!H:H)</f>
        <v>64.218000000000004</v>
      </c>
      <c r="H91" s="55">
        <f>SUMIFS(Recipes!$H:$H,Recipes!$D:$D,Consolidate!$E91,Recipes!$A:$A,Consolidate!$B91)</f>
        <v>0</v>
      </c>
      <c r="I91" s="56">
        <f t="shared" si="3"/>
        <v>64.218000000000004</v>
      </c>
      <c r="K91" s="57">
        <f>SUMIF(Recipes!A:A,Consolidate!B91,Recipes!L:L)</f>
        <v>43.591000000000001</v>
      </c>
      <c r="L91" s="59">
        <f>SUMIFS(Recipes!$L:$L,Recipes!$D:$D,Consolidate!$E91,Recipes!$A:$A,Consolidate!$B91)</f>
        <v>0</v>
      </c>
      <c r="M91" s="60">
        <f t="shared" si="4"/>
        <v>43.591000000000001</v>
      </c>
    </row>
    <row r="92" spans="1:13">
      <c r="A92">
        <f t="shared" si="5"/>
        <v>90</v>
      </c>
      <c r="B92" s="5" t="s">
        <v>808</v>
      </c>
      <c r="C92" t="str">
        <f>VLOOKUP(B92,Recipes!A:B,2,0)</f>
        <v>Main Course</v>
      </c>
      <c r="D92" t="str">
        <f>VLOOKUP(B92,Recipes!A:C,3,0)</f>
        <v>Gravy</v>
      </c>
      <c r="E92" s="18" t="str">
        <f>VLOOKUP(B92,Recipes!A:J,10,0)</f>
        <v>Chicken Bone In</v>
      </c>
      <c r="F92" s="18" t="str">
        <f>VLOOKUP(B92,Recipes!A:I,9,0)</f>
        <v>Kg</v>
      </c>
      <c r="G92" s="55">
        <f>SUMIF(Recipes!A:A,Consolidate!B92,Recipes!H:H)</f>
        <v>950.62559999999985</v>
      </c>
      <c r="H92" s="55">
        <f>SUMIFS(Recipes!$H:$H,Recipes!$D:$D,Consolidate!$E92,Recipes!$A:$A,Consolidate!$B92)</f>
        <v>614</v>
      </c>
      <c r="I92" s="56">
        <f t="shared" si="3"/>
        <v>336.62559999999985</v>
      </c>
      <c r="K92" s="57">
        <f>SUMIF(Recipes!A:A,Consolidate!B92,Recipes!L:L)</f>
        <v>1001.4000000000001</v>
      </c>
      <c r="L92" s="59">
        <f>SUMIFS(Recipes!$L:$L,Recipes!$D:$D,Consolidate!$E92,Recipes!$A:$A,Consolidate!$B92)</f>
        <v>650</v>
      </c>
      <c r="M92" s="60">
        <f t="shared" si="4"/>
        <v>351.40000000000009</v>
      </c>
    </row>
    <row r="93" spans="1:13">
      <c r="A93">
        <f t="shared" si="5"/>
        <v>91</v>
      </c>
      <c r="B93" s="5" t="s">
        <v>827</v>
      </c>
      <c r="C93" t="str">
        <f>VLOOKUP(B93,Recipes!A:B,2,0)</f>
        <v>Main Course</v>
      </c>
      <c r="D93" t="str">
        <f>VLOOKUP(B93,Recipes!A:C,3,0)</f>
        <v>Gravy</v>
      </c>
      <c r="E93" s="18" t="str">
        <f>VLOOKUP(B93,Recipes!A:J,10,0)</f>
        <v>Chicken Bone In</v>
      </c>
      <c r="F93" s="18" t="str">
        <f>VLOOKUP(B93,Recipes!A:I,9,0)</f>
        <v>Kg</v>
      </c>
      <c r="G93" s="55">
        <f>SUMIF(Recipes!A:A,Consolidate!B93,Recipes!H:H)</f>
        <v>948.18299999999988</v>
      </c>
      <c r="H93" s="55">
        <f>SUMIFS(Recipes!$H:$H,Recipes!$D:$D,Consolidate!$E93,Recipes!$A:$A,Consolidate!$B93)</f>
        <v>614</v>
      </c>
      <c r="I93" s="56">
        <f t="shared" si="3"/>
        <v>334.18299999999988</v>
      </c>
      <c r="K93" s="57">
        <f>SUMIF(Recipes!A:A,Consolidate!B93,Recipes!L:L)</f>
        <v>993.79</v>
      </c>
      <c r="L93" s="59">
        <f>SUMIFS(Recipes!$L:$L,Recipes!$D:$D,Consolidate!$E93,Recipes!$A:$A,Consolidate!$B93)</f>
        <v>650</v>
      </c>
      <c r="M93" s="60">
        <f t="shared" si="4"/>
        <v>343.78999999999996</v>
      </c>
    </row>
    <row r="94" spans="1:13">
      <c r="A94">
        <f t="shared" si="5"/>
        <v>92</v>
      </c>
      <c r="B94" s="5" t="s">
        <v>576</v>
      </c>
      <c r="C94" t="str">
        <f>VLOOKUP(B94,Recipes!A:B,2,0)</f>
        <v>Appetizer</v>
      </c>
      <c r="D94" t="str">
        <f>VLOOKUP(B94,Recipes!A:C,3,0)</f>
        <v>With Meat</v>
      </c>
      <c r="E94" s="18">
        <f>VLOOKUP(B94,Recipes!A:J,10,0)</f>
        <v>0</v>
      </c>
      <c r="F94" s="18" t="str">
        <f>VLOOKUP(B94,Recipes!A:I,9,0)</f>
        <v>Pcs</v>
      </c>
      <c r="G94" s="55">
        <f>SUMIF(Recipes!A:A,Consolidate!B94,Recipes!H:H)</f>
        <v>14.49</v>
      </c>
      <c r="H94" s="55">
        <f>SUMIFS(Recipes!$H:$H,Recipes!$D:$D,Consolidate!$E94,Recipes!$A:$A,Consolidate!$B94)</f>
        <v>0</v>
      </c>
      <c r="I94" s="56">
        <f t="shared" si="3"/>
        <v>14.49</v>
      </c>
      <c r="K94" s="57">
        <f>SUMIF(Recipes!A:A,Consolidate!B94,Recipes!L:L)</f>
        <v>15.066176470588236</v>
      </c>
      <c r="L94" s="59">
        <f>SUMIFS(Recipes!$L:$L,Recipes!$D:$D,Consolidate!$E94,Recipes!$A:$A,Consolidate!$B94)</f>
        <v>0</v>
      </c>
      <c r="M94" s="60">
        <f t="shared" si="4"/>
        <v>15.066176470588236</v>
      </c>
    </row>
    <row r="95" spans="1:13">
      <c r="A95">
        <f t="shared" si="5"/>
        <v>93</v>
      </c>
      <c r="B95" s="5" t="s">
        <v>338</v>
      </c>
      <c r="C95" t="str">
        <f>VLOOKUP(B95,Recipes!A:B,2,0)</f>
        <v>Main Course</v>
      </c>
      <c r="D95" t="str">
        <f>VLOOKUP(B95,Recipes!A:C,3,0)</f>
        <v>Fried</v>
      </c>
      <c r="E95" s="18" t="str">
        <f>VLOOKUP(B95,Recipes!A:J,10,0)</f>
        <v>Chicken Boneless</v>
      </c>
      <c r="F95" s="18" t="str">
        <f>VLOOKUP(B95,Recipes!A:I,9,0)</f>
        <v>Kg</v>
      </c>
      <c r="G95" s="55">
        <f>SUMIF(Recipes!A:A,Consolidate!B95,Recipes!H:H)</f>
        <v>1529.6825000000001</v>
      </c>
      <c r="H95" s="55">
        <f>SUMIFS(Recipes!$H:$H,Recipes!$D:$D,Consolidate!$E95,Recipes!$A:$A,Consolidate!$B95)</f>
        <v>908</v>
      </c>
      <c r="I95" s="56">
        <f t="shared" si="3"/>
        <v>621.68250000000012</v>
      </c>
      <c r="K95" s="57">
        <f>SUMIF(Recipes!A:A,Consolidate!B95,Recipes!L:L)</f>
        <v>1543.4937500000001</v>
      </c>
      <c r="L95" s="59">
        <f>SUMIFS(Recipes!$L:$L,Recipes!$D:$D,Consolidate!$E95,Recipes!$A:$A,Consolidate!$B95)</f>
        <v>908</v>
      </c>
      <c r="M95" s="60">
        <f t="shared" si="4"/>
        <v>635.49375000000009</v>
      </c>
    </row>
    <row r="96" spans="1:13">
      <c r="A96">
        <f t="shared" si="5"/>
        <v>94</v>
      </c>
      <c r="B96" s="5" t="s">
        <v>80</v>
      </c>
      <c r="C96" t="str">
        <f>VLOOKUP(B96,Recipes!A:B,2,0)</f>
        <v>Main Course</v>
      </c>
      <c r="D96" t="str">
        <f>VLOOKUP(B96,Recipes!A:C,3,0)</f>
        <v>Gravy</v>
      </c>
      <c r="E96" s="18" t="str">
        <f>VLOOKUP(B96,Recipes!A:J,10,0)</f>
        <v>Chicken Boneless</v>
      </c>
      <c r="F96" s="18" t="str">
        <f>VLOOKUP(B96,Recipes!A:I,9,0)</f>
        <v>Kg</v>
      </c>
      <c r="G96" s="55">
        <f>SUMIF(Recipes!A:A,Consolidate!B96,Recipes!H:H)</f>
        <v>1088.9075</v>
      </c>
      <c r="H96" s="55">
        <f>SUMIFS(Recipes!$H:$H,Recipes!$D:$D,Consolidate!$E96,Recipes!$A:$A,Consolidate!$B96)</f>
        <v>908</v>
      </c>
      <c r="I96" s="56">
        <f t="shared" si="3"/>
        <v>180.90750000000003</v>
      </c>
      <c r="K96" s="57">
        <f>SUMIF(Recipes!A:A,Consolidate!B96,Recipes!L:L)</f>
        <v>1096.2083333333333</v>
      </c>
      <c r="L96" s="59">
        <f>SUMIFS(Recipes!$L:$L,Recipes!$D:$D,Consolidate!$E96,Recipes!$A:$A,Consolidate!$B96)</f>
        <v>908</v>
      </c>
      <c r="M96" s="60">
        <f t="shared" si="4"/>
        <v>188.20833333333326</v>
      </c>
    </row>
    <row r="97" spans="1:13">
      <c r="A97">
        <f t="shared" si="5"/>
        <v>95</v>
      </c>
      <c r="B97" s="5" t="s">
        <v>611</v>
      </c>
      <c r="C97" t="str">
        <f>VLOOKUP(B97,Recipes!A:B,2,0)</f>
        <v>Main Course</v>
      </c>
      <c r="D97" t="str">
        <f>VLOOKUP(B97,Recipes!A:C,3,0)</f>
        <v>BBQ</v>
      </c>
      <c r="E97" s="18" t="str">
        <f>VLOOKUP(B97,Recipes!A:J,10,0)</f>
        <v>Chicken Boneless</v>
      </c>
      <c r="F97" s="18" t="str">
        <f>VLOOKUP(B97,Recipes!A:I,9,0)</f>
        <v>Kg</v>
      </c>
      <c r="G97" s="55">
        <f>SUMIF(Recipes!A:A,Consolidate!B97,Recipes!H:H)</f>
        <v>1200.8800000000001</v>
      </c>
      <c r="H97" s="55">
        <f>SUMIFS(Recipes!$H:$H,Recipes!$D:$D,Consolidate!$E97,Recipes!$A:$A,Consolidate!$B97)</f>
        <v>908</v>
      </c>
      <c r="I97" s="56">
        <f t="shared" si="3"/>
        <v>292.88000000000011</v>
      </c>
      <c r="K97" s="57">
        <f>SUMIF(Recipes!A:A,Consolidate!B97,Recipes!L:L)</f>
        <v>1211.5349999999999</v>
      </c>
      <c r="L97" s="59">
        <f>SUMIFS(Recipes!$L:$L,Recipes!$D:$D,Consolidate!$E97,Recipes!$A:$A,Consolidate!$B97)</f>
        <v>908</v>
      </c>
      <c r="M97" s="60">
        <f t="shared" si="4"/>
        <v>303.53499999999985</v>
      </c>
    </row>
    <row r="98" spans="1:13">
      <c r="A98">
        <f t="shared" si="5"/>
        <v>96</v>
      </c>
      <c r="B98" s="5" t="s">
        <v>294</v>
      </c>
      <c r="C98" t="str">
        <f>VLOOKUP(B98,Recipes!A:B,2,0)</f>
        <v>Main Course</v>
      </c>
      <c r="D98" t="str">
        <f>VLOOKUP(B98,Recipes!A:C,3,0)</f>
        <v>Gravy</v>
      </c>
      <c r="E98" s="18" t="str">
        <f>VLOOKUP(B98,Recipes!A:J,10,0)</f>
        <v>Chicken Bone In</v>
      </c>
      <c r="F98" s="18" t="str">
        <f>VLOOKUP(B98,Recipes!A:I,9,0)</f>
        <v>Kg</v>
      </c>
      <c r="G98" s="55">
        <f>SUMIF(Recipes!A:A,Consolidate!B98,Recipes!H:H)</f>
        <v>959.38850000000002</v>
      </c>
      <c r="H98" s="55">
        <f>SUMIFS(Recipes!$H:$H,Recipes!$D:$D,Consolidate!$E98,Recipes!$A:$A,Consolidate!$B98)</f>
        <v>614</v>
      </c>
      <c r="I98" s="56">
        <f t="shared" si="3"/>
        <v>345.38850000000002</v>
      </c>
      <c r="K98" s="57">
        <f>SUMIF(Recipes!A:A,Consolidate!B98,Recipes!L:L)</f>
        <v>1366.8875</v>
      </c>
      <c r="L98" s="59">
        <f>SUMIFS(Recipes!$L:$L,Recipes!$D:$D,Consolidate!$E98,Recipes!$A:$A,Consolidate!$B98)</f>
        <v>650</v>
      </c>
      <c r="M98" s="60">
        <f t="shared" si="4"/>
        <v>716.88750000000005</v>
      </c>
    </row>
    <row r="99" spans="1:13">
      <c r="A99">
        <f t="shared" si="5"/>
        <v>97</v>
      </c>
      <c r="B99" s="5" t="s">
        <v>447</v>
      </c>
      <c r="C99" t="str">
        <f>VLOOKUP(B99,Recipes!A:B,2,0)</f>
        <v>Main Course</v>
      </c>
      <c r="D99" t="str">
        <f>VLOOKUP(B99,Recipes!A:C,3,0)</f>
        <v>Gravy</v>
      </c>
      <c r="E99" s="18" t="str">
        <f>VLOOKUP(B99,Recipes!A:J,10,0)</f>
        <v>Chicken Bone In</v>
      </c>
      <c r="F99" s="18" t="str">
        <f>VLOOKUP(B99,Recipes!A:I,9,0)</f>
        <v>Kg</v>
      </c>
      <c r="G99" s="55">
        <f>SUMIF(Recipes!A:A,Consolidate!B99,Recipes!H:H)</f>
        <v>852.62549999999999</v>
      </c>
      <c r="H99" s="55">
        <f>SUMIFS(Recipes!$H:$H,Recipes!$D:$D,Consolidate!$E99,Recipes!$A:$A,Consolidate!$B99)</f>
        <v>614</v>
      </c>
      <c r="I99" s="56">
        <f t="shared" si="3"/>
        <v>238.62549999999999</v>
      </c>
      <c r="K99" s="57">
        <f>SUMIF(Recipes!A:A,Consolidate!B99,Recipes!L:L)</f>
        <v>1034.6875</v>
      </c>
      <c r="L99" s="59">
        <f>SUMIFS(Recipes!$L:$L,Recipes!$D:$D,Consolidate!$E99,Recipes!$A:$A,Consolidate!$B99)</f>
        <v>650</v>
      </c>
      <c r="M99" s="60">
        <f t="shared" si="4"/>
        <v>384.6875</v>
      </c>
    </row>
    <row r="100" spans="1:13">
      <c r="A100">
        <f t="shared" si="5"/>
        <v>98</v>
      </c>
      <c r="B100" s="5" t="s">
        <v>191</v>
      </c>
      <c r="C100" t="str">
        <f>VLOOKUP(B100,Recipes!A:B,2,0)</f>
        <v>Main Course</v>
      </c>
      <c r="D100" t="str">
        <f>VLOOKUP(B100,Recipes!A:C,3,0)</f>
        <v>Gravy</v>
      </c>
      <c r="E100" s="18" t="str">
        <f>VLOOKUP(B100,Recipes!A:J,10,0)</f>
        <v>Chicken Boneless</v>
      </c>
      <c r="F100" s="18" t="str">
        <f>VLOOKUP(B100,Recipes!A:I,9,0)</f>
        <v>Kg</v>
      </c>
      <c r="G100" s="55">
        <f>SUMIF(Recipes!A:A,Consolidate!B100,Recipes!H:H)</f>
        <v>1701.876</v>
      </c>
      <c r="H100" s="55">
        <f>SUMIFS(Recipes!$H:$H,Recipes!$D:$D,Consolidate!$E100,Recipes!$A:$A,Consolidate!$B100)</f>
        <v>908</v>
      </c>
      <c r="I100" s="56">
        <f t="shared" si="3"/>
        <v>793.87599999999998</v>
      </c>
      <c r="K100" s="57">
        <f>SUMIF(Recipes!A:A,Consolidate!B100,Recipes!L:L)</f>
        <v>1676.8250000000003</v>
      </c>
      <c r="L100" s="59">
        <f>SUMIFS(Recipes!$L:$L,Recipes!$D:$D,Consolidate!$E100,Recipes!$A:$A,Consolidate!$B100)</f>
        <v>908</v>
      </c>
      <c r="M100" s="60">
        <f t="shared" si="4"/>
        <v>768.82500000000027</v>
      </c>
    </row>
    <row r="101" spans="1:13">
      <c r="A101">
        <f t="shared" si="5"/>
        <v>99</v>
      </c>
      <c r="B101" s="5" t="s">
        <v>81</v>
      </c>
      <c r="C101" t="str">
        <f>VLOOKUP(B101,Recipes!A:B,2,0)</f>
        <v>Main Course</v>
      </c>
      <c r="D101" t="str">
        <f>VLOOKUP(B101,Recipes!A:C,3,0)</f>
        <v>Gravy</v>
      </c>
      <c r="E101" s="18" t="str">
        <f>VLOOKUP(B101,Recipes!A:J,10,0)</f>
        <v>Chicken Boneless</v>
      </c>
      <c r="F101" s="18" t="str">
        <f>VLOOKUP(B101,Recipes!A:I,9,0)</f>
        <v>Kg</v>
      </c>
      <c r="G101" s="55">
        <f>SUMIF(Recipes!A:A,Consolidate!B101,Recipes!H:H)</f>
        <v>1268.69</v>
      </c>
      <c r="H101" s="55">
        <f>SUMIFS(Recipes!$H:$H,Recipes!$D:$D,Consolidate!$E101,Recipes!$A:$A,Consolidate!$B101)</f>
        <v>908</v>
      </c>
      <c r="I101" s="56">
        <f t="shared" si="3"/>
        <v>360.69000000000005</v>
      </c>
      <c r="K101" s="57">
        <f>SUMIF(Recipes!A:A,Consolidate!B101,Recipes!L:L)</f>
        <v>1325.7610999999999</v>
      </c>
      <c r="L101" s="59">
        <f>SUMIFS(Recipes!$L:$L,Recipes!$D:$D,Consolidate!$E101,Recipes!$A:$A,Consolidate!$B101)</f>
        <v>908</v>
      </c>
      <c r="M101" s="60">
        <f t="shared" si="4"/>
        <v>417.76109999999994</v>
      </c>
    </row>
    <row r="102" spans="1:13">
      <c r="A102">
        <f t="shared" si="5"/>
        <v>100</v>
      </c>
      <c r="B102" s="5" t="s">
        <v>665</v>
      </c>
      <c r="C102" t="str">
        <f>VLOOKUP(B102,Recipes!A:B,2,0)</f>
        <v>Main Course</v>
      </c>
      <c r="D102" t="str">
        <f>VLOOKUP(B102,Recipes!A:C,3,0)</f>
        <v>Fast Food</v>
      </c>
      <c r="E102" s="18" t="str">
        <f>VLOOKUP(B102,Recipes!A:J,10,0)</f>
        <v>Chicken Boneless</v>
      </c>
      <c r="F102" s="18" t="str">
        <f>VLOOKUP(B102,Recipes!A:I,9,0)</f>
        <v>Pcs</v>
      </c>
      <c r="G102" s="55">
        <f>SUMIF(Recipes!A:A,Consolidate!B102,Recipes!H:H)</f>
        <v>262.00319999999999</v>
      </c>
      <c r="H102" s="55">
        <f>SUMIFS(Recipes!$H:$H,Recipes!$D:$D,Consolidate!$E102,Recipes!$A:$A,Consolidate!$B102)</f>
        <v>153.22500000000002</v>
      </c>
      <c r="I102" s="56">
        <f t="shared" si="3"/>
        <v>108.77819999999997</v>
      </c>
      <c r="K102" s="57">
        <f>SUMIF(Recipes!A:A,Consolidate!B102,Recipes!L:L)</f>
        <v>262.59375</v>
      </c>
      <c r="L102" s="59">
        <f>SUMIFS(Recipes!$L:$L,Recipes!$D:$D,Consolidate!$E102,Recipes!$A:$A,Consolidate!$B102)</f>
        <v>153.22500000000002</v>
      </c>
      <c r="M102" s="60">
        <f t="shared" si="4"/>
        <v>109.36874999999998</v>
      </c>
    </row>
    <row r="103" spans="1:13">
      <c r="A103">
        <f t="shared" si="5"/>
        <v>101</v>
      </c>
      <c r="B103" s="5" t="s">
        <v>82</v>
      </c>
      <c r="C103" t="str">
        <f>VLOOKUP(B103,Recipes!A:B,2,0)</f>
        <v>Main Course</v>
      </c>
      <c r="D103" t="str">
        <f>VLOOKUP(B103,Recipes!A:C,3,0)</f>
        <v>Gravy</v>
      </c>
      <c r="E103" s="18" t="str">
        <f>VLOOKUP(B103,Recipes!A:J,10,0)</f>
        <v>Chicken Boneless</v>
      </c>
      <c r="F103" s="18" t="str">
        <f>VLOOKUP(B103,Recipes!A:I,9,0)</f>
        <v>Kg</v>
      </c>
      <c r="G103" s="55">
        <f>SUMIF(Recipes!A:A,Consolidate!B103,Recipes!H:H)</f>
        <v>1115.4248247999999</v>
      </c>
      <c r="H103" s="55">
        <f>SUMIFS(Recipes!$H:$H,Recipes!$D:$D,Consolidate!$E103,Recipes!$A:$A,Consolidate!$B103)</f>
        <v>908.9079999999999</v>
      </c>
      <c r="I103" s="56">
        <f t="shared" si="3"/>
        <v>206.51682479999999</v>
      </c>
      <c r="K103" s="57">
        <f>SUMIF(Recipes!A:A,Consolidate!B103,Recipes!L:L)</f>
        <v>1097.5943835999999</v>
      </c>
      <c r="L103" s="59">
        <f>SUMIFS(Recipes!$L:$L,Recipes!$D:$D,Consolidate!$E103,Recipes!$A:$A,Consolidate!$B103)</f>
        <v>908.9079999999999</v>
      </c>
      <c r="M103" s="60">
        <f t="shared" si="4"/>
        <v>188.6863836</v>
      </c>
    </row>
    <row r="104" spans="1:13">
      <c r="A104">
        <f t="shared" si="5"/>
        <v>102</v>
      </c>
      <c r="B104" s="5" t="s">
        <v>135</v>
      </c>
      <c r="C104" t="str">
        <f>VLOOKUP(B104,Recipes!A:B,2,0)</f>
        <v>Main Course</v>
      </c>
      <c r="D104" t="str">
        <f>VLOOKUP(B104,Recipes!A:C,3,0)</f>
        <v>Rice</v>
      </c>
      <c r="E104" s="18" t="str">
        <f>VLOOKUP(B104,Recipes!A:J,10,0)</f>
        <v>Chicken Bone In</v>
      </c>
      <c r="F104" s="18" t="str">
        <f>VLOOKUP(B104,Recipes!A:I,9,0)</f>
        <v>Kg</v>
      </c>
      <c r="G104" s="55">
        <f>SUMIF(Recipes!A:A,Consolidate!B104,Recipes!H:H)</f>
        <v>1487.3755999999998</v>
      </c>
      <c r="H104" s="55">
        <f>SUMIFS(Recipes!$H:$H,Recipes!$D:$D,Consolidate!$E104,Recipes!$A:$A,Consolidate!$B104)</f>
        <v>614</v>
      </c>
      <c r="I104" s="56">
        <f t="shared" si="3"/>
        <v>873.37559999999985</v>
      </c>
      <c r="K104" s="57">
        <f>SUMIF(Recipes!A:A,Consolidate!B104,Recipes!L:L)</f>
        <v>1558.6999999999998</v>
      </c>
      <c r="L104" s="59">
        <f>SUMIFS(Recipes!$L:$L,Recipes!$D:$D,Consolidate!$E104,Recipes!$A:$A,Consolidate!$B104)</f>
        <v>650</v>
      </c>
      <c r="M104" s="60">
        <f t="shared" si="4"/>
        <v>908.69999999999982</v>
      </c>
    </row>
    <row r="105" spans="1:13">
      <c r="A105">
        <f t="shared" si="5"/>
        <v>103</v>
      </c>
      <c r="B105" s="5" t="s">
        <v>83</v>
      </c>
      <c r="C105" t="str">
        <f>VLOOKUP(B105,Recipes!A:B,2,0)</f>
        <v>Main Course</v>
      </c>
      <c r="D105" t="str">
        <f>VLOOKUP(B105,Recipes!A:C,3,0)</f>
        <v>Gravy</v>
      </c>
      <c r="E105" s="18" t="str">
        <f>VLOOKUP(B105,Recipes!A:J,10,0)</f>
        <v>Chicken Bone In</v>
      </c>
      <c r="F105" s="18" t="str">
        <f>VLOOKUP(B105,Recipes!A:I,9,0)</f>
        <v>Kg</v>
      </c>
      <c r="G105" s="55">
        <f>SUMIF(Recipes!A:A,Consolidate!B105,Recipes!H:H)</f>
        <v>843.65051249999988</v>
      </c>
      <c r="H105" s="55">
        <f>SUMIFS(Recipes!$H:$H,Recipes!$D:$D,Consolidate!$E105,Recipes!$A:$A,Consolidate!$B105)</f>
        <v>615.22799999999995</v>
      </c>
      <c r="I105" s="56">
        <f t="shared" si="3"/>
        <v>228.42251249999993</v>
      </c>
      <c r="K105" s="57">
        <f>SUMIF(Recipes!A:A,Consolidate!B105,Recipes!L:L)</f>
        <v>886.84699999999998</v>
      </c>
      <c r="L105" s="59">
        <f>SUMIFS(Recipes!$L:$L,Recipes!$D:$D,Consolidate!$E105,Recipes!$A:$A,Consolidate!$B105)</f>
        <v>651.29999999999995</v>
      </c>
      <c r="M105" s="60">
        <f t="shared" si="4"/>
        <v>235.54700000000003</v>
      </c>
    </row>
    <row r="106" spans="1:13">
      <c r="A106">
        <f t="shared" si="5"/>
        <v>104</v>
      </c>
      <c r="B106" s="5" t="s">
        <v>430</v>
      </c>
      <c r="C106" t="str">
        <f>VLOOKUP(B106,Recipes!A:B,2,0)</f>
        <v>Main Course</v>
      </c>
      <c r="D106" t="str">
        <f>VLOOKUP(B106,Recipes!A:C,3,0)</f>
        <v>Grilled</v>
      </c>
      <c r="E106" s="18" t="str">
        <f>VLOOKUP(B106,Recipes!A:J,10,0)</f>
        <v>Chicken Boneless</v>
      </c>
      <c r="F106" s="18" t="str">
        <f>VLOOKUP(B106,Recipes!A:I,9,0)</f>
        <v>Kg</v>
      </c>
      <c r="G106" s="55">
        <f>SUMIF(Recipes!A:A,Consolidate!B106,Recipes!H:H)</f>
        <v>1265.8644999999999</v>
      </c>
      <c r="H106" s="55">
        <f>SUMIFS(Recipes!$H:$H,Recipes!$D:$D,Consolidate!$E106,Recipes!$A:$A,Consolidate!$B106)</f>
        <v>908</v>
      </c>
      <c r="I106" s="56">
        <f t="shared" si="3"/>
        <v>357.86449999999991</v>
      </c>
      <c r="K106" s="57">
        <f>SUMIF(Recipes!A:A,Consolidate!B106,Recipes!L:L)</f>
        <v>1284.377</v>
      </c>
      <c r="L106" s="59">
        <f>SUMIFS(Recipes!$L:$L,Recipes!$D:$D,Consolidate!$E106,Recipes!$A:$A,Consolidate!$B106)</f>
        <v>908</v>
      </c>
      <c r="M106" s="60">
        <f t="shared" si="4"/>
        <v>376.37699999999995</v>
      </c>
    </row>
    <row r="107" spans="1:13">
      <c r="A107">
        <f t="shared" si="5"/>
        <v>105</v>
      </c>
      <c r="B107" s="5" t="s">
        <v>448</v>
      </c>
      <c r="C107" t="str">
        <f>VLOOKUP(B107,Recipes!A:B,2,0)</f>
        <v>Main Course</v>
      </c>
      <c r="D107" t="str">
        <f>VLOOKUP(B107,Recipes!A:C,3,0)</f>
        <v>Gravy</v>
      </c>
      <c r="E107" s="18" t="str">
        <f>VLOOKUP(B107,Recipes!A:J,10,0)</f>
        <v>Chicken Boneless</v>
      </c>
      <c r="F107" s="18" t="str">
        <f>VLOOKUP(B107,Recipes!A:I,9,0)</f>
        <v>Kg</v>
      </c>
      <c r="G107" s="55">
        <f>SUMIF(Recipes!A:A,Consolidate!B107,Recipes!H:H)</f>
        <v>1306.3131000000001</v>
      </c>
      <c r="H107" s="55">
        <f>SUMIFS(Recipes!$H:$H,Recipes!$D:$D,Consolidate!$E107,Recipes!$A:$A,Consolidate!$B107)</f>
        <v>908</v>
      </c>
      <c r="I107" s="56">
        <f t="shared" si="3"/>
        <v>398.31310000000008</v>
      </c>
      <c r="K107" s="57">
        <f>SUMIF(Recipes!A:A,Consolidate!B107,Recipes!L:L)</f>
        <v>1753.9125000000001</v>
      </c>
      <c r="L107" s="59">
        <f>SUMIFS(Recipes!$L:$L,Recipes!$D:$D,Consolidate!$E107,Recipes!$A:$A,Consolidate!$B107)</f>
        <v>908</v>
      </c>
      <c r="M107" s="60">
        <f t="shared" si="4"/>
        <v>845.91250000000014</v>
      </c>
    </row>
    <row r="108" spans="1:13">
      <c r="A108">
        <f t="shared" si="5"/>
        <v>106</v>
      </c>
      <c r="B108" s="5" t="s">
        <v>141</v>
      </c>
      <c r="C108" t="str">
        <f>VLOOKUP(B108,Recipes!A:B,2,0)</f>
        <v>Main Course</v>
      </c>
      <c r="D108" t="str">
        <f>VLOOKUP(B108,Recipes!A:C,3,0)</f>
        <v>BBQ</v>
      </c>
      <c r="E108" s="18" t="str">
        <f>VLOOKUP(B108,Recipes!A:J,10,0)</f>
        <v>Chicken Boneless</v>
      </c>
      <c r="F108" s="18" t="str">
        <f>VLOOKUP(B108,Recipes!A:I,9,0)</f>
        <v>Kg</v>
      </c>
      <c r="G108" s="55">
        <f>SUMIF(Recipes!A:A,Consolidate!B108,Recipes!H:H)</f>
        <v>1006.1428571428571</v>
      </c>
      <c r="H108" s="55">
        <f>SUMIFS(Recipes!$H:$H,Recipes!$D:$D,Consolidate!$E108,Recipes!$A:$A,Consolidate!$B108)</f>
        <v>908</v>
      </c>
      <c r="I108" s="56">
        <f t="shared" si="3"/>
        <v>98.14285714285711</v>
      </c>
      <c r="K108" s="57">
        <f>SUMIF(Recipes!A:A,Consolidate!B108,Recipes!L:L)</f>
        <v>1115.7857142857142</v>
      </c>
      <c r="L108" s="59">
        <f>SUMIFS(Recipes!$L:$L,Recipes!$D:$D,Consolidate!$E108,Recipes!$A:$A,Consolidate!$B108)</f>
        <v>908</v>
      </c>
      <c r="M108" s="60">
        <f t="shared" si="4"/>
        <v>207.78571428571422</v>
      </c>
    </row>
    <row r="109" spans="1:13">
      <c r="A109">
        <f t="shared" si="5"/>
        <v>107</v>
      </c>
      <c r="B109" s="5" t="s">
        <v>419</v>
      </c>
      <c r="C109" t="str">
        <f>VLOOKUP(B109,Recipes!A:B,2,0)</f>
        <v>Main Course</v>
      </c>
      <c r="D109" t="str">
        <f>VLOOKUP(B109,Recipes!A:C,3,0)</f>
        <v>Gravy</v>
      </c>
      <c r="E109" s="18" t="str">
        <f>VLOOKUP(B109,Recipes!A:J,10,0)</f>
        <v>Chicken Bone In</v>
      </c>
      <c r="F109" s="18" t="str">
        <f>VLOOKUP(B109,Recipes!A:I,9,0)</f>
        <v>Kg</v>
      </c>
      <c r="G109" s="55">
        <f>SUMIF(Recipes!A:A,Consolidate!B109,Recipes!H:H)</f>
        <v>749.56950000000006</v>
      </c>
      <c r="H109" s="55">
        <f>SUMIFS(Recipes!$H:$H,Recipes!$D:$D,Consolidate!$E109,Recipes!$A:$A,Consolidate!$B109)</f>
        <v>614</v>
      </c>
      <c r="I109" s="56">
        <f t="shared" si="3"/>
        <v>135.56950000000006</v>
      </c>
      <c r="K109" s="57">
        <f>SUMIF(Recipes!A:A,Consolidate!B109,Recipes!L:L)</f>
        <v>793.12499999999989</v>
      </c>
      <c r="L109" s="59">
        <f>SUMIFS(Recipes!$L:$L,Recipes!$D:$D,Consolidate!$E109,Recipes!$A:$A,Consolidate!$B109)</f>
        <v>650</v>
      </c>
      <c r="M109" s="60">
        <f t="shared" si="4"/>
        <v>143.12499999999989</v>
      </c>
    </row>
    <row r="110" spans="1:13">
      <c r="A110">
        <f t="shared" si="5"/>
        <v>108</v>
      </c>
      <c r="B110" s="5" t="s">
        <v>622</v>
      </c>
      <c r="C110" t="str">
        <f>VLOOKUP(B110,Recipes!A:B,2,0)</f>
        <v>Main Course</v>
      </c>
      <c r="D110" t="str">
        <f>VLOOKUP(B110,Recipes!A:C,3,0)</f>
        <v>Fast Food</v>
      </c>
      <c r="E110" s="18" t="str">
        <f>VLOOKUP(B110,Recipes!A:J,10,0)</f>
        <v>Chicken Boneless</v>
      </c>
      <c r="F110" s="18" t="str">
        <f>VLOOKUP(B110,Recipes!A:I,9,0)</f>
        <v>Kg</v>
      </c>
      <c r="G110" s="55">
        <f>SUMIF(Recipes!A:A,Consolidate!B110,Recipes!H:H)</f>
        <v>2009.8755999999998</v>
      </c>
      <c r="H110" s="55">
        <f>SUMIFS(Recipes!$H:$H,Recipes!$D:$D,Consolidate!$E110,Recipes!$A:$A,Consolidate!$B110)</f>
        <v>908</v>
      </c>
      <c r="I110" s="56">
        <f t="shared" si="3"/>
        <v>1101.8755999999998</v>
      </c>
      <c r="K110" s="57">
        <f>SUMIF(Recipes!A:A,Consolidate!B110,Recipes!L:L)</f>
        <v>1397.6599999999999</v>
      </c>
      <c r="L110" s="59">
        <f>SUMIFS(Recipes!$L:$L,Recipes!$D:$D,Consolidate!$E110,Recipes!$A:$A,Consolidate!$B110)</f>
        <v>908</v>
      </c>
      <c r="M110" s="60">
        <f t="shared" si="4"/>
        <v>489.65999999999985</v>
      </c>
    </row>
    <row r="111" spans="1:13">
      <c r="A111">
        <f t="shared" si="5"/>
        <v>109</v>
      </c>
      <c r="B111" s="5" t="s">
        <v>558</v>
      </c>
      <c r="C111" t="str">
        <f>VLOOKUP(B111,Recipes!A:B,2,0)</f>
        <v>Main Course</v>
      </c>
      <c r="D111" t="str">
        <f>VLOOKUP(B111,Recipes!A:C,3,0)</f>
        <v>Grilled</v>
      </c>
      <c r="E111" s="18" t="str">
        <f>VLOOKUP(B111,Recipes!A:J,10,0)</f>
        <v>Chicken Boneless</v>
      </c>
      <c r="F111" s="18" t="str">
        <f>VLOOKUP(B111,Recipes!A:I,9,0)</f>
        <v>Kg</v>
      </c>
      <c r="G111" s="55">
        <f>SUMIF(Recipes!A:A,Consolidate!B111,Recipes!H:H)</f>
        <v>1183.2008000000001</v>
      </c>
      <c r="H111" s="55">
        <f>SUMIFS(Recipes!$H:$H,Recipes!$D:$D,Consolidate!$E111,Recipes!$A:$A,Consolidate!$B111)</f>
        <v>908</v>
      </c>
      <c r="I111" s="56">
        <f t="shared" si="3"/>
        <v>275.20080000000007</v>
      </c>
      <c r="K111" s="57">
        <f>SUMIF(Recipes!A:A,Consolidate!B111,Recipes!L:L)</f>
        <v>1258.8</v>
      </c>
      <c r="L111" s="59">
        <f>SUMIFS(Recipes!$L:$L,Recipes!$D:$D,Consolidate!$E111,Recipes!$A:$A,Consolidate!$B111)</f>
        <v>908</v>
      </c>
      <c r="M111" s="60">
        <f t="shared" si="4"/>
        <v>350.79999999999995</v>
      </c>
    </row>
    <row r="112" spans="1:13">
      <c r="A112">
        <f t="shared" si="5"/>
        <v>110</v>
      </c>
      <c r="B112" s="5" t="s">
        <v>793</v>
      </c>
      <c r="C112" t="str">
        <f>VLOOKUP(B112,Recipes!A:B,2,0)</f>
        <v>Main Course</v>
      </c>
      <c r="D112" t="str">
        <f>VLOOKUP(B112,Recipes!A:C,3,0)</f>
        <v>Rice</v>
      </c>
      <c r="E112" s="18" t="str">
        <f>VLOOKUP(B112,Recipes!A:J,10,0)</f>
        <v>Chicken Boneless</v>
      </c>
      <c r="F112" s="18" t="str">
        <f>VLOOKUP(B112,Recipes!A:I,9,0)</f>
        <v>Kg</v>
      </c>
      <c r="G112" s="55">
        <f>SUMIF(Recipes!A:A,Consolidate!B112,Recipes!H:H)</f>
        <v>1499.6707499999995</v>
      </c>
      <c r="H112" s="55">
        <f>SUMIFS(Recipes!$H:$H,Recipes!$D:$D,Consolidate!$E112,Recipes!$A:$A,Consolidate!$B112)</f>
        <v>454</v>
      </c>
      <c r="I112" s="56">
        <f t="shared" si="3"/>
        <v>1045.6707499999995</v>
      </c>
      <c r="K112" s="57">
        <f>SUMIF(Recipes!A:A,Consolidate!B112,Recipes!L:L)</f>
        <v>1465.7250000000001</v>
      </c>
      <c r="L112" s="59">
        <f>SUMIFS(Recipes!$L:$L,Recipes!$D:$D,Consolidate!$E112,Recipes!$A:$A,Consolidate!$B112)</f>
        <v>454</v>
      </c>
      <c r="M112" s="60">
        <f t="shared" si="4"/>
        <v>1011.7250000000001</v>
      </c>
    </row>
    <row r="113" spans="1:13">
      <c r="A113">
        <f t="shared" si="5"/>
        <v>111</v>
      </c>
      <c r="B113" s="5" t="s">
        <v>820</v>
      </c>
      <c r="C113" t="str">
        <f>VLOOKUP(B113,Recipes!A:B,2,0)</f>
        <v>Main Course</v>
      </c>
      <c r="D113" t="str">
        <f>VLOOKUP(B113,Recipes!A:C,3,0)</f>
        <v>Gravy</v>
      </c>
      <c r="E113" s="18" t="str">
        <f>VLOOKUP(B113,Recipes!A:J,10,0)</f>
        <v>Chicken Bone In</v>
      </c>
      <c r="F113" s="18" t="str">
        <f>VLOOKUP(B113,Recipes!A:I,9,0)</f>
        <v>Kg</v>
      </c>
      <c r="G113" s="55">
        <f>SUMIF(Recipes!A:A,Consolidate!B113,Recipes!H:H)</f>
        <v>1227.7780000000002</v>
      </c>
      <c r="H113" s="55">
        <f>SUMIFS(Recipes!$H:$H,Recipes!$D:$D,Consolidate!$E113,Recipes!$A:$A,Consolidate!$B113)</f>
        <v>614</v>
      </c>
      <c r="I113" s="56">
        <f t="shared" si="3"/>
        <v>613.77800000000025</v>
      </c>
      <c r="K113" s="57">
        <f>SUMIF(Recipes!A:A,Consolidate!B113,Recipes!L:L)</f>
        <v>1269.155</v>
      </c>
      <c r="L113" s="59">
        <f>SUMIFS(Recipes!$L:$L,Recipes!$D:$D,Consolidate!$E113,Recipes!$A:$A,Consolidate!$B113)</f>
        <v>650</v>
      </c>
      <c r="M113" s="60">
        <f t="shared" si="4"/>
        <v>619.15499999999997</v>
      </c>
    </row>
    <row r="114" spans="1:13">
      <c r="A114">
        <f t="shared" si="5"/>
        <v>112</v>
      </c>
      <c r="B114" s="5" t="s">
        <v>818</v>
      </c>
      <c r="C114" t="str">
        <f>VLOOKUP(B114,Recipes!A:B,2,0)</f>
        <v>Main Course</v>
      </c>
      <c r="D114" t="str">
        <f>VLOOKUP(B114,Recipes!A:C,3,0)</f>
        <v>Gravy</v>
      </c>
      <c r="E114" s="18" t="str">
        <f>VLOOKUP(B114,Recipes!A:J,10,0)</f>
        <v>Chicken Bone In</v>
      </c>
      <c r="F114" s="18" t="str">
        <f>VLOOKUP(B114,Recipes!A:I,9,0)</f>
        <v>Kg</v>
      </c>
      <c r="G114" s="55">
        <f>SUMIF(Recipes!A:A,Consolidate!B114,Recipes!H:H)</f>
        <v>1227.7780000000002</v>
      </c>
      <c r="H114" s="55">
        <f>SUMIFS(Recipes!$H:$H,Recipes!$D:$D,Consolidate!$E114,Recipes!$A:$A,Consolidate!$B114)</f>
        <v>614</v>
      </c>
      <c r="I114" s="56">
        <f t="shared" si="3"/>
        <v>613.77800000000025</v>
      </c>
      <c r="K114" s="57">
        <f>SUMIF(Recipes!A:A,Consolidate!B114,Recipes!L:L)</f>
        <v>1269.155</v>
      </c>
      <c r="L114" s="59">
        <f>SUMIFS(Recipes!$L:$L,Recipes!$D:$D,Consolidate!$E114,Recipes!$A:$A,Consolidate!$B114)</f>
        <v>650</v>
      </c>
      <c r="M114" s="60">
        <f t="shared" si="4"/>
        <v>619.15499999999997</v>
      </c>
    </row>
    <row r="115" spans="1:13">
      <c r="A115">
        <f t="shared" si="5"/>
        <v>113</v>
      </c>
      <c r="B115" s="5" t="s">
        <v>86</v>
      </c>
      <c r="C115" t="str">
        <f>VLOOKUP(B115,Recipes!A:B,2,0)</f>
        <v>Main Course</v>
      </c>
      <c r="D115" t="str">
        <f>VLOOKUP(B115,Recipes!A:C,3,0)</f>
        <v>BBQ</v>
      </c>
      <c r="E115" s="18" t="str">
        <f>VLOOKUP(B115,Recipes!A:J,10,0)</f>
        <v>Chicken Bone In</v>
      </c>
      <c r="F115" s="18" t="str">
        <f>VLOOKUP(B115,Recipes!A:I,9,0)</f>
        <v>Kg</v>
      </c>
      <c r="G115" s="55">
        <f>SUMIF(Recipes!A:A,Consolidate!B115,Recipes!H:H)</f>
        <v>1235.2660000000001</v>
      </c>
      <c r="H115" s="55">
        <f>SUMIFS(Recipes!$H:$H,Recipes!$D:$D,Consolidate!$E115,Recipes!$A:$A,Consolidate!$B115)</f>
        <v>614</v>
      </c>
      <c r="I115" s="56">
        <f t="shared" si="3"/>
        <v>621.26600000000008</v>
      </c>
      <c r="K115" s="57">
        <f>SUMIF(Recipes!A:A,Consolidate!B115,Recipes!L:L)</f>
        <v>1192.3142857142857</v>
      </c>
      <c r="L115" s="59">
        <f>SUMIFS(Recipes!$L:$L,Recipes!$D:$D,Consolidate!$E115,Recipes!$A:$A,Consolidate!$B115)</f>
        <v>650</v>
      </c>
      <c r="M115" s="60">
        <f t="shared" si="4"/>
        <v>542.31428571428569</v>
      </c>
    </row>
    <row r="116" spans="1:13">
      <c r="A116">
        <f t="shared" si="5"/>
        <v>114</v>
      </c>
      <c r="B116" s="5" t="s">
        <v>295</v>
      </c>
      <c r="C116" t="str">
        <f>VLOOKUP(B116,Recipes!A:B,2,0)</f>
        <v>Main Course</v>
      </c>
      <c r="D116" t="str">
        <f>VLOOKUP(B116,Recipes!A:C,3,0)</f>
        <v>Gravy</v>
      </c>
      <c r="E116" s="18" t="str">
        <f>VLOOKUP(B116,Recipes!A:J,10,0)</f>
        <v>Chicken Bone In</v>
      </c>
      <c r="F116" s="18" t="str">
        <f>VLOOKUP(B116,Recipes!A:I,9,0)</f>
        <v>Kg</v>
      </c>
      <c r="G116" s="55">
        <f>SUMIF(Recipes!A:A,Consolidate!B116,Recipes!H:H)</f>
        <v>954.65682666666646</v>
      </c>
      <c r="H116" s="55">
        <f>SUMIFS(Recipes!$H:$H,Recipes!$D:$D,Consolidate!$E116,Recipes!$A:$A,Consolidate!$B116)</f>
        <v>614</v>
      </c>
      <c r="I116" s="56">
        <f t="shared" si="3"/>
        <v>340.65682666666646</v>
      </c>
      <c r="K116" s="57">
        <f>SUMIF(Recipes!A:A,Consolidate!B116,Recipes!L:L)</f>
        <v>1008.2130933333332</v>
      </c>
      <c r="L116" s="59">
        <f>SUMIFS(Recipes!$L:$L,Recipes!$D:$D,Consolidate!$E116,Recipes!$A:$A,Consolidate!$B116)</f>
        <v>650</v>
      </c>
      <c r="M116" s="60">
        <f t="shared" si="4"/>
        <v>358.21309333333318</v>
      </c>
    </row>
    <row r="117" spans="1:13">
      <c r="A117">
        <f t="shared" si="5"/>
        <v>115</v>
      </c>
      <c r="B117" s="5" t="s">
        <v>324</v>
      </c>
      <c r="C117" t="str">
        <f>VLOOKUP(B117,Recipes!A:B,2,0)</f>
        <v>Appetizer</v>
      </c>
      <c r="D117" t="str">
        <f>VLOOKUP(B117,Recipes!A:C,3,0)</f>
        <v>With Meat</v>
      </c>
      <c r="E117" s="18">
        <f>VLOOKUP(B117,Recipes!A:J,10,0)</f>
        <v>0</v>
      </c>
      <c r="F117" s="18" t="str">
        <f>VLOOKUP(B117,Recipes!A:I,9,0)</f>
        <v>Pcs</v>
      </c>
      <c r="G117" s="55">
        <f>SUMIF(Recipes!A:A,Consolidate!B117,Recipes!H:H)</f>
        <v>22.945237500000005</v>
      </c>
      <c r="H117" s="55">
        <f>SUMIFS(Recipes!$H:$H,Recipes!$D:$D,Consolidate!$E117,Recipes!$A:$A,Consolidate!$B117)</f>
        <v>0</v>
      </c>
      <c r="I117" s="56">
        <f t="shared" si="3"/>
        <v>22.945237500000005</v>
      </c>
      <c r="K117" s="57">
        <f>SUMIF(Recipes!A:A,Consolidate!B117,Recipes!L:L)</f>
        <v>23.152406249999999</v>
      </c>
      <c r="L117" s="59">
        <f>SUMIFS(Recipes!$L:$L,Recipes!$D:$D,Consolidate!$E117,Recipes!$A:$A,Consolidate!$B117)</f>
        <v>0</v>
      </c>
      <c r="M117" s="60">
        <f t="shared" si="4"/>
        <v>23.152406249999999</v>
      </c>
    </row>
    <row r="118" spans="1:13">
      <c r="A118">
        <f t="shared" si="5"/>
        <v>116</v>
      </c>
      <c r="B118" s="5" t="s">
        <v>615</v>
      </c>
      <c r="C118" t="str">
        <f>VLOOKUP(B118,Recipes!A:B,2,0)</f>
        <v>Main Course</v>
      </c>
      <c r="D118" t="str">
        <f>VLOOKUP(B118,Recipes!A:C,3,0)</f>
        <v>Gravy</v>
      </c>
      <c r="E118" s="18" t="str">
        <f>VLOOKUP(B118,Recipes!A:J,10,0)</f>
        <v>Chicken Bone In</v>
      </c>
      <c r="F118" s="18" t="str">
        <f>VLOOKUP(B118,Recipes!A:I,9,0)</f>
        <v>Kg</v>
      </c>
      <c r="G118" s="55">
        <f>SUMIF(Recipes!A:A,Consolidate!B118,Recipes!H:H)</f>
        <v>764.52875000000006</v>
      </c>
      <c r="H118" s="55">
        <f>SUMIFS(Recipes!$H:$H,Recipes!$D:$D,Consolidate!$E118,Recipes!$A:$A,Consolidate!$B118)</f>
        <v>614</v>
      </c>
      <c r="I118" s="56">
        <f t="shared" si="3"/>
        <v>150.52875000000006</v>
      </c>
      <c r="K118" s="57">
        <f>SUMIF(Recipes!A:A,Consolidate!B118,Recipes!L:L)</f>
        <v>809.71875</v>
      </c>
      <c r="L118" s="59">
        <f>SUMIFS(Recipes!$L:$L,Recipes!$D:$D,Consolidate!$E118,Recipes!$A:$A,Consolidate!$B118)</f>
        <v>650</v>
      </c>
      <c r="M118" s="60">
        <f t="shared" si="4"/>
        <v>159.71875</v>
      </c>
    </row>
    <row r="119" spans="1:13">
      <c r="A119">
        <f t="shared" si="5"/>
        <v>117</v>
      </c>
      <c r="B119" s="5" t="s">
        <v>616</v>
      </c>
      <c r="C119" t="str">
        <f>VLOOKUP(B119,Recipes!A:B,2,0)</f>
        <v>Main Course</v>
      </c>
      <c r="D119" t="str">
        <f>VLOOKUP(B119,Recipes!A:C,3,0)</f>
        <v>Gravy</v>
      </c>
      <c r="E119" s="18" t="str">
        <f>VLOOKUP(B119,Recipes!A:J,10,0)</f>
        <v>Chicken Boneless</v>
      </c>
      <c r="F119" s="18" t="str">
        <f>VLOOKUP(B119,Recipes!A:I,9,0)</f>
        <v>Kg</v>
      </c>
      <c r="G119" s="55">
        <f>SUMIF(Recipes!A:A,Consolidate!B119,Recipes!H:H)</f>
        <v>1058.5287499999999</v>
      </c>
      <c r="H119" s="55">
        <f>SUMIFS(Recipes!$H:$H,Recipes!$D:$D,Consolidate!$E119,Recipes!$A:$A,Consolidate!$B119)</f>
        <v>908</v>
      </c>
      <c r="I119" s="56">
        <f t="shared" si="3"/>
        <v>150.52874999999995</v>
      </c>
      <c r="K119" s="57">
        <f>SUMIF(Recipes!A:A,Consolidate!B119,Recipes!L:L)</f>
        <v>1067.71875</v>
      </c>
      <c r="L119" s="59">
        <f>SUMIFS(Recipes!$L:$L,Recipes!$D:$D,Consolidate!$E119,Recipes!$A:$A,Consolidate!$B119)</f>
        <v>908</v>
      </c>
      <c r="M119" s="60">
        <f t="shared" si="4"/>
        <v>159.71875</v>
      </c>
    </row>
    <row r="120" spans="1:13">
      <c r="A120">
        <f t="shared" si="5"/>
        <v>118</v>
      </c>
      <c r="B120" s="5" t="s">
        <v>160</v>
      </c>
      <c r="C120" t="str">
        <f>VLOOKUP(B120,Recipes!A:B,2,0)</f>
        <v>Main Course</v>
      </c>
      <c r="D120" t="str">
        <f>VLOOKUP(B120,Recipes!A:C,3,0)</f>
        <v>BBQ</v>
      </c>
      <c r="E120" s="18" t="str">
        <f>VLOOKUP(B120,Recipes!A:J,10,0)</f>
        <v>Chicken Bone In</v>
      </c>
      <c r="F120" s="18" t="str">
        <f>VLOOKUP(B120,Recipes!A:I,9,0)</f>
        <v>Kg</v>
      </c>
      <c r="G120" s="55">
        <f>SUMIF(Recipes!A:A,Consolidate!B120,Recipes!H:H)</f>
        <v>828.57999999999993</v>
      </c>
      <c r="H120" s="55">
        <f>SUMIFS(Recipes!$H:$H,Recipes!$D:$D,Consolidate!$E120,Recipes!$A:$A,Consolidate!$B120)</f>
        <v>614</v>
      </c>
      <c r="I120" s="56">
        <f t="shared" si="3"/>
        <v>214.57999999999993</v>
      </c>
      <c r="K120" s="57">
        <f>SUMIF(Recipes!A:A,Consolidate!B120,Recipes!L:L)</f>
        <v>1397.6599999999999</v>
      </c>
      <c r="L120" s="59">
        <f>SUMIFS(Recipes!$L:$L,Recipes!$D:$D,Consolidate!$E120,Recipes!$A:$A,Consolidate!$B120)</f>
        <v>650</v>
      </c>
      <c r="M120" s="60">
        <f t="shared" si="4"/>
        <v>747.65999999999985</v>
      </c>
    </row>
    <row r="121" spans="1:13">
      <c r="A121">
        <f t="shared" si="5"/>
        <v>119</v>
      </c>
      <c r="B121" s="5" t="s">
        <v>662</v>
      </c>
      <c r="C121" t="str">
        <f>VLOOKUP(B121,Recipes!A:B,2,0)</f>
        <v>Main Course</v>
      </c>
      <c r="D121" t="str">
        <f>VLOOKUP(B121,Recipes!A:C,3,0)</f>
        <v>Dry</v>
      </c>
      <c r="E121" s="18" t="str">
        <f>VLOOKUP(B121,Recipes!A:J,10,0)</f>
        <v>Chicken Bone In</v>
      </c>
      <c r="F121" s="18" t="str">
        <f>VLOOKUP(B121,Recipes!A:I,9,0)</f>
        <v>Kg</v>
      </c>
      <c r="G121" s="55">
        <f>SUMIF(Recipes!A:A,Consolidate!B121,Recipes!H:H)</f>
        <v>933.38599999999997</v>
      </c>
      <c r="H121" s="55">
        <f>SUMIFS(Recipes!$H:$H,Recipes!$D:$D,Consolidate!$E121,Recipes!$A:$A,Consolidate!$B121)</f>
        <v>614</v>
      </c>
      <c r="I121" s="56">
        <f t="shared" si="3"/>
        <v>319.38599999999997</v>
      </c>
      <c r="K121" s="57">
        <f>SUMIF(Recipes!A:A,Consolidate!B121,Recipes!L:L)</f>
        <v>969.27</v>
      </c>
      <c r="L121" s="59">
        <f>SUMIFS(Recipes!$L:$L,Recipes!$D:$D,Consolidate!$E121,Recipes!$A:$A,Consolidate!$B121)</f>
        <v>650</v>
      </c>
      <c r="M121" s="60">
        <f t="shared" si="4"/>
        <v>319.27</v>
      </c>
    </row>
    <row r="122" spans="1:13">
      <c r="A122">
        <f t="shared" si="5"/>
        <v>120</v>
      </c>
      <c r="B122" s="5" t="s">
        <v>614</v>
      </c>
      <c r="C122" t="str">
        <f>VLOOKUP(B122,Recipes!A:B,2,0)</f>
        <v>Main Course</v>
      </c>
      <c r="D122" t="str">
        <f>VLOOKUP(B122,Recipes!A:C,3,0)</f>
        <v>Fried</v>
      </c>
      <c r="E122" s="18" t="str">
        <f>VLOOKUP(B122,Recipes!A:J,10,0)</f>
        <v>Chicken Boneless</v>
      </c>
      <c r="F122" s="18" t="str">
        <f>VLOOKUP(B122,Recipes!A:I,9,0)</f>
        <v>Pcs</v>
      </c>
      <c r="G122" s="55">
        <f>SUMIF(Recipes!A:A,Consolidate!B122,Recipes!H:H)</f>
        <v>46.416560000000011</v>
      </c>
      <c r="H122" s="55">
        <f>SUMIFS(Recipes!$H:$H,Recipes!$D:$D,Consolidate!$E122,Recipes!$A:$A,Consolidate!$B122)</f>
        <v>22.700000000000003</v>
      </c>
      <c r="I122" s="56">
        <f t="shared" si="3"/>
        <v>23.716560000000008</v>
      </c>
      <c r="K122" s="57">
        <f>SUMIF(Recipes!A:A,Consolidate!B122,Recipes!L:L)</f>
        <v>47.162000000000006</v>
      </c>
      <c r="L122" s="59">
        <f>SUMIFS(Recipes!$L:$L,Recipes!$D:$D,Consolidate!$E122,Recipes!$A:$A,Consolidate!$B122)</f>
        <v>22.700000000000003</v>
      </c>
      <c r="M122" s="60">
        <f t="shared" si="4"/>
        <v>24.462000000000003</v>
      </c>
    </row>
    <row r="123" spans="1:13">
      <c r="A123">
        <f t="shared" si="5"/>
        <v>121</v>
      </c>
      <c r="B123" s="5" t="s">
        <v>524</v>
      </c>
      <c r="C123" t="str">
        <f>VLOOKUP(B123,Recipes!A:B,2,0)</f>
        <v>Main Course</v>
      </c>
      <c r="D123" t="str">
        <f>VLOOKUP(B123,Recipes!A:C,3,0)</f>
        <v>Rice</v>
      </c>
      <c r="E123" s="18" t="str">
        <f>VLOOKUP(B123,Recipes!A:J,10,0)</f>
        <v>Chicken Bone In</v>
      </c>
      <c r="F123" s="18" t="str">
        <f>VLOOKUP(B123,Recipes!A:I,9,0)</f>
        <v>Kg</v>
      </c>
      <c r="G123" s="55">
        <f>SUMIF(Recipes!A:A,Consolidate!B123,Recipes!H:H)</f>
        <v>1516.9256000000003</v>
      </c>
      <c r="H123" s="55">
        <f>SUMIFS(Recipes!$H:$H,Recipes!$D:$D,Consolidate!$E123,Recipes!$A:$A,Consolidate!$B123)</f>
        <v>614</v>
      </c>
      <c r="I123" s="56">
        <f t="shared" si="3"/>
        <v>902.92560000000026</v>
      </c>
      <c r="K123" s="57">
        <f>SUMIF(Recipes!A:A,Consolidate!B123,Recipes!L:L)</f>
        <v>1467.0000000000002</v>
      </c>
      <c r="L123" s="59">
        <f>SUMIFS(Recipes!$L:$L,Recipes!$D:$D,Consolidate!$E123,Recipes!$A:$A,Consolidate!$B123)</f>
        <v>650</v>
      </c>
      <c r="M123" s="60">
        <f t="shared" si="4"/>
        <v>817.00000000000023</v>
      </c>
    </row>
    <row r="124" spans="1:13">
      <c r="A124">
        <f t="shared" si="5"/>
        <v>122</v>
      </c>
      <c r="B124" s="5" t="s">
        <v>801</v>
      </c>
      <c r="C124" t="str">
        <f>VLOOKUP(B124,Recipes!A:B,2,0)</f>
        <v>Main Course</v>
      </c>
      <c r="D124" t="str">
        <f>VLOOKUP(B124,Recipes!A:C,3,0)</f>
        <v>Gravy</v>
      </c>
      <c r="E124" s="18" t="str">
        <f>VLOOKUP(B124,Recipes!A:J,10,0)</f>
        <v>Chicken Boneless</v>
      </c>
      <c r="F124" s="18" t="str">
        <f>VLOOKUP(B124,Recipes!A:I,9,0)</f>
        <v>Kg</v>
      </c>
      <c r="G124" s="55">
        <f>SUMIF(Recipes!A:A,Consolidate!B124,Recipes!H:H)</f>
        <v>1193.1945000000001</v>
      </c>
      <c r="H124" s="55">
        <f>SUMIFS(Recipes!$H:$H,Recipes!$D:$D,Consolidate!$E124,Recipes!$A:$A,Consolidate!$B124)</f>
        <v>908</v>
      </c>
      <c r="I124" s="56">
        <f t="shared" si="3"/>
        <v>285.19450000000006</v>
      </c>
      <c r="K124" s="57">
        <f>SUMIF(Recipes!A:A,Consolidate!B124,Recipes!L:L)</f>
        <v>1180.3499999999999</v>
      </c>
      <c r="L124" s="59">
        <f>SUMIFS(Recipes!$L:$L,Recipes!$D:$D,Consolidate!$E124,Recipes!$A:$A,Consolidate!$B124)</f>
        <v>908</v>
      </c>
      <c r="M124" s="60">
        <f t="shared" si="4"/>
        <v>272.34999999999991</v>
      </c>
    </row>
    <row r="125" spans="1:13">
      <c r="A125">
        <f t="shared" si="5"/>
        <v>123</v>
      </c>
      <c r="B125" s="5" t="s">
        <v>291</v>
      </c>
      <c r="C125" t="str">
        <f>VLOOKUP(B125,Recipes!A:B,2,0)</f>
        <v>Main Course</v>
      </c>
      <c r="D125" t="str">
        <f>VLOOKUP(B125,Recipes!A:C,3,0)</f>
        <v>Gravy</v>
      </c>
      <c r="E125" s="18" t="str">
        <f>VLOOKUP(B125,Recipes!A:J,10,0)</f>
        <v>Chicken Bone In</v>
      </c>
      <c r="F125" s="18" t="str">
        <f>VLOOKUP(B125,Recipes!A:I,9,0)</f>
        <v>Kg</v>
      </c>
      <c r="G125" s="55">
        <f>SUMIF(Recipes!A:A,Consolidate!B125,Recipes!H:H)</f>
        <v>1185.8451961904764</v>
      </c>
      <c r="H125" s="55">
        <f>SUMIFS(Recipes!$H:$H,Recipes!$D:$D,Consolidate!$E125,Recipes!$A:$A,Consolidate!$B125)</f>
        <v>614</v>
      </c>
      <c r="I125" s="56">
        <f t="shared" si="3"/>
        <v>571.84519619047637</v>
      </c>
      <c r="K125" s="57">
        <f>SUMIF(Recipes!A:A,Consolidate!B125,Recipes!L:L)</f>
        <v>1202.2422857142858</v>
      </c>
      <c r="L125" s="59">
        <f>SUMIFS(Recipes!$L:$L,Recipes!$D:$D,Consolidate!$E125,Recipes!$A:$A,Consolidate!$B125)</f>
        <v>650</v>
      </c>
      <c r="M125" s="60">
        <f t="shared" si="4"/>
        <v>552.2422857142858</v>
      </c>
    </row>
    <row r="126" spans="1:13">
      <c r="A126">
        <f t="shared" si="5"/>
        <v>124</v>
      </c>
      <c r="B126" s="5" t="s">
        <v>602</v>
      </c>
      <c r="C126" t="str">
        <f>VLOOKUP(B126,Recipes!A:B,2,0)</f>
        <v>Main Course</v>
      </c>
      <c r="D126" t="str">
        <f>VLOOKUP(B126,Recipes!A:C,3,0)</f>
        <v>Rice</v>
      </c>
      <c r="E126" s="18" t="str">
        <f>VLOOKUP(B126,Recipes!A:J,10,0)</f>
        <v>Chicken Bone In</v>
      </c>
      <c r="F126" s="18" t="str">
        <f>VLOOKUP(B126,Recipes!A:I,9,0)</f>
        <v>Kg</v>
      </c>
      <c r="G126" s="55">
        <f>SUMIF(Recipes!A:A,Consolidate!B126,Recipes!H:H)</f>
        <v>1323.6405405405415</v>
      </c>
      <c r="H126" s="55">
        <f>SUMIFS(Recipes!$H:$H,Recipes!$D:$D,Consolidate!$E126,Recipes!$A:$A,Consolidate!$B126)</f>
        <v>614</v>
      </c>
      <c r="I126" s="56">
        <f t="shared" si="3"/>
        <v>709.64054054054145</v>
      </c>
      <c r="K126" s="57">
        <f>SUMIF(Recipes!A:A,Consolidate!B126,Recipes!L:L)</f>
        <v>1361.7607520564047</v>
      </c>
      <c r="L126" s="59">
        <f>SUMIFS(Recipes!$L:$L,Recipes!$D:$D,Consolidate!$E126,Recipes!$A:$A,Consolidate!$B126)</f>
        <v>650</v>
      </c>
      <c r="M126" s="60">
        <f t="shared" si="4"/>
        <v>711.76075205640473</v>
      </c>
    </row>
    <row r="127" spans="1:13">
      <c r="A127">
        <f t="shared" si="5"/>
        <v>125</v>
      </c>
      <c r="B127" s="5" t="s">
        <v>87</v>
      </c>
      <c r="C127" t="str">
        <f>VLOOKUP(B127,Recipes!A:B,2,0)</f>
        <v>Main Course</v>
      </c>
      <c r="D127" t="str">
        <f>VLOOKUP(B127,Recipes!A:C,3,0)</f>
        <v>BBQ</v>
      </c>
      <c r="E127" s="18" t="str">
        <f>VLOOKUP(B127,Recipes!A:J,10,0)</f>
        <v>Chicken Boneless</v>
      </c>
      <c r="F127" s="18" t="str">
        <f>VLOOKUP(B127,Recipes!A:I,9,0)</f>
        <v>Kg</v>
      </c>
      <c r="G127" s="55">
        <f>SUMIF(Recipes!A:A,Consolidate!B127,Recipes!H:H)</f>
        <v>1529.2333333333333</v>
      </c>
      <c r="H127" s="55">
        <f>SUMIFS(Recipes!$H:$H,Recipes!$D:$D,Consolidate!$E127,Recipes!$A:$A,Consolidate!$B127)</f>
        <v>908</v>
      </c>
      <c r="I127" s="56">
        <f t="shared" si="3"/>
        <v>621.23333333333335</v>
      </c>
      <c r="K127" s="57">
        <f>SUMIF(Recipes!A:A,Consolidate!B127,Recipes!L:L)</f>
        <v>1542.0740000000001</v>
      </c>
      <c r="L127" s="59">
        <f>SUMIFS(Recipes!$L:$L,Recipes!$D:$D,Consolidate!$E127,Recipes!$A:$A,Consolidate!$B127)</f>
        <v>908</v>
      </c>
      <c r="M127" s="60">
        <f t="shared" si="4"/>
        <v>634.07400000000007</v>
      </c>
    </row>
    <row r="128" spans="1:13">
      <c r="A128">
        <f t="shared" si="5"/>
        <v>126</v>
      </c>
      <c r="B128" s="5" t="s">
        <v>823</v>
      </c>
      <c r="C128" t="str">
        <f>VLOOKUP(B128,Recipes!A:B,2,0)</f>
        <v>Main Course</v>
      </c>
      <c r="D128" t="str">
        <f>VLOOKUP(B128,Recipes!A:C,3,0)</f>
        <v>Dry</v>
      </c>
      <c r="E128" s="18" t="str">
        <f>VLOOKUP(B128,Recipes!A:J,10,0)</f>
        <v>Chicken Bone In</v>
      </c>
      <c r="F128" s="18" t="str">
        <f>VLOOKUP(B128,Recipes!A:I,9,0)</f>
        <v>Kg</v>
      </c>
      <c r="G128" s="55">
        <f>SUMIF(Recipes!A:A,Consolidate!B128,Recipes!H:H)</f>
        <v>654.12890000000004</v>
      </c>
      <c r="H128" s="55">
        <f>SUMIFS(Recipes!$H:$H,Recipes!$D:$D,Consolidate!$E128,Recipes!$A:$A,Consolidate!$B128)</f>
        <v>614</v>
      </c>
      <c r="I128" s="56">
        <f t="shared" si="3"/>
        <v>40.128900000000044</v>
      </c>
      <c r="K128" s="57">
        <f>SUMIF(Recipes!A:A,Consolidate!B128,Recipes!L:L)</f>
        <v>718.31500000000005</v>
      </c>
      <c r="L128" s="59">
        <f>SUMIFS(Recipes!$L:$L,Recipes!$D:$D,Consolidate!$E128,Recipes!$A:$A,Consolidate!$B128)</f>
        <v>650</v>
      </c>
      <c r="M128" s="60">
        <f t="shared" si="4"/>
        <v>68.315000000000055</v>
      </c>
    </row>
    <row r="129" spans="1:13">
      <c r="A129">
        <f t="shared" si="5"/>
        <v>127</v>
      </c>
      <c r="B129" s="5" t="s">
        <v>629</v>
      </c>
      <c r="C129" t="str">
        <f>VLOOKUP(B129,Recipes!A:B,2,0)</f>
        <v>Main Course</v>
      </c>
      <c r="D129" t="str">
        <f>VLOOKUP(B129,Recipes!A:C,3,0)</f>
        <v>Fast Food</v>
      </c>
      <c r="E129" s="18" t="str">
        <f>VLOOKUP(B129,Recipes!A:J,10,0)</f>
        <v>Chicken Boneless</v>
      </c>
      <c r="F129" s="18" t="str">
        <f>VLOOKUP(B129,Recipes!A:I,9,0)</f>
        <v>Pcs</v>
      </c>
      <c r="G129" s="55">
        <f>SUMIF(Recipes!A:A,Consolidate!B129,Recipes!H:H)</f>
        <v>44.105322666666666</v>
      </c>
      <c r="H129" s="55">
        <f>SUMIFS(Recipes!$H:$H,Recipes!$D:$D,Consolidate!$E129,Recipes!$A:$A,Consolidate!$B129)</f>
        <v>22.700000000000003</v>
      </c>
      <c r="I129" s="56">
        <f t="shared" si="3"/>
        <v>21.405322666666663</v>
      </c>
      <c r="K129" s="57">
        <f>SUMIF(Recipes!A:A,Consolidate!B129,Recipes!L:L)</f>
        <v>44.656322666666668</v>
      </c>
      <c r="L129" s="59">
        <f>SUMIFS(Recipes!$L:$L,Recipes!$D:$D,Consolidate!$E129,Recipes!$A:$A,Consolidate!$B129)</f>
        <v>22.700000000000003</v>
      </c>
      <c r="M129" s="60">
        <f t="shared" si="4"/>
        <v>21.956322666666665</v>
      </c>
    </row>
    <row r="130" spans="1:13">
      <c r="A130">
        <f t="shared" si="5"/>
        <v>128</v>
      </c>
      <c r="B130" s="5" t="s">
        <v>90</v>
      </c>
      <c r="C130" t="str">
        <f>VLOOKUP(B130,Recipes!A:B,2,0)</f>
        <v>Main Course</v>
      </c>
      <c r="D130" t="str">
        <f>VLOOKUP(B130,Recipes!A:C,3,0)</f>
        <v>Grilled</v>
      </c>
      <c r="E130" s="18" t="str">
        <f>VLOOKUP(B130,Recipes!A:J,10,0)</f>
        <v>Chicken Boneless</v>
      </c>
      <c r="F130" s="18" t="str">
        <f>VLOOKUP(B130,Recipes!A:I,9,0)</f>
        <v>Kg</v>
      </c>
      <c r="G130" s="55">
        <f>SUMIF(Recipes!A:A,Consolidate!B130,Recipes!H:H)</f>
        <v>1111.1822857142859</v>
      </c>
      <c r="H130" s="55">
        <f>SUMIFS(Recipes!$H:$H,Recipes!$D:$D,Consolidate!$E130,Recipes!$A:$A,Consolidate!$B130)</f>
        <v>908</v>
      </c>
      <c r="I130" s="56">
        <f t="shared" si="3"/>
        <v>203.18228571428585</v>
      </c>
      <c r="K130" s="57">
        <f>SUMIF(Recipes!A:A,Consolidate!B130,Recipes!L:L)</f>
        <v>1115.4204999999999</v>
      </c>
      <c r="L130" s="59">
        <f>SUMIFS(Recipes!$L:$L,Recipes!$D:$D,Consolidate!$E130,Recipes!$A:$A,Consolidate!$B130)</f>
        <v>908</v>
      </c>
      <c r="M130" s="60">
        <f t="shared" si="4"/>
        <v>207.42049999999995</v>
      </c>
    </row>
    <row r="131" spans="1:13">
      <c r="A131">
        <f t="shared" si="5"/>
        <v>129</v>
      </c>
      <c r="B131" s="5" t="s">
        <v>631</v>
      </c>
      <c r="C131" t="str">
        <f>VLOOKUP(B131,Recipes!A:B,2,0)</f>
        <v>Main Course</v>
      </c>
      <c r="D131" t="str">
        <f>VLOOKUP(B131,Recipes!A:C,3,0)</f>
        <v>Fried</v>
      </c>
      <c r="E131" s="18" t="str">
        <f>VLOOKUP(B131,Recipes!A:J,10,0)</f>
        <v>Chicken Boneless</v>
      </c>
      <c r="F131" s="18" t="str">
        <f>VLOOKUP(B131,Recipes!A:I,9,0)</f>
        <v>Kg</v>
      </c>
      <c r="G131" s="55">
        <f>SUMIF(Recipes!A:A,Consolidate!B131,Recipes!H:H)</f>
        <v>1158.4144565217391</v>
      </c>
      <c r="H131" s="55">
        <f>SUMIFS(Recipes!$H:$H,Recipes!$D:$D,Consolidate!$E131,Recipes!$A:$A,Consolidate!$B131)</f>
        <v>908</v>
      </c>
      <c r="I131" s="56">
        <f t="shared" si="3"/>
        <v>250.41445652173911</v>
      </c>
      <c r="K131" s="57">
        <f>SUMIF(Recipes!A:A,Consolidate!B131,Recipes!L:L)</f>
        <v>1149.3934782608694</v>
      </c>
      <c r="L131" s="59">
        <f>SUMIFS(Recipes!$L:$L,Recipes!$D:$D,Consolidate!$E131,Recipes!$A:$A,Consolidate!$B131)</f>
        <v>908</v>
      </c>
      <c r="M131" s="60">
        <f t="shared" si="4"/>
        <v>241.39347826086941</v>
      </c>
    </row>
    <row r="132" spans="1:13">
      <c r="A132">
        <f t="shared" si="5"/>
        <v>130</v>
      </c>
      <c r="B132" s="5" t="s">
        <v>97</v>
      </c>
      <c r="C132" t="str">
        <f>VLOOKUP(B132,Recipes!A:B,2,0)</f>
        <v>Main Course</v>
      </c>
      <c r="D132" t="str">
        <f>VLOOKUP(B132,Recipes!A:C,3,0)</f>
        <v>Gravy</v>
      </c>
      <c r="E132" s="18" t="str">
        <f>VLOOKUP(B132,Recipes!A:J,10,0)</f>
        <v>Chicken Boneless</v>
      </c>
      <c r="F132" s="18" t="str">
        <f>VLOOKUP(B132,Recipes!A:I,9,0)</f>
        <v>Kg</v>
      </c>
      <c r="G132" s="55">
        <f>SUMIF(Recipes!A:A,Consolidate!B132,Recipes!H:H)</f>
        <v>1442.394</v>
      </c>
      <c r="H132" s="55">
        <f>SUMIFS(Recipes!$H:$H,Recipes!$D:$D,Consolidate!$E132,Recipes!$A:$A,Consolidate!$B132)</f>
        <v>908</v>
      </c>
      <c r="I132" s="56">
        <f t="shared" ref="I132:I195" si="6">G132-H132</f>
        <v>534.39400000000001</v>
      </c>
      <c r="K132" s="57">
        <f>SUMIF(Recipes!A:A,Consolidate!B132,Recipes!L:L)</f>
        <v>1373.1999999999998</v>
      </c>
      <c r="L132" s="59">
        <f>SUMIFS(Recipes!$L:$L,Recipes!$D:$D,Consolidate!$E132,Recipes!$A:$A,Consolidate!$B132)</f>
        <v>908</v>
      </c>
      <c r="M132" s="60">
        <f t="shared" ref="M132:M195" si="7">K132-L132</f>
        <v>465.19999999999982</v>
      </c>
    </row>
    <row r="133" spans="1:13">
      <c r="A133">
        <f t="shared" si="5"/>
        <v>131</v>
      </c>
      <c r="B133" s="5" t="s">
        <v>582</v>
      </c>
      <c r="C133" t="str">
        <f>VLOOKUP(B133,Recipes!A:B,2,0)</f>
        <v>Main Course</v>
      </c>
      <c r="D133" t="str">
        <f>VLOOKUP(B133,Recipes!A:C,3,0)</f>
        <v>Fast Food</v>
      </c>
      <c r="E133" s="18" t="str">
        <f>VLOOKUP(B133,Recipes!A:J,10,0)</f>
        <v>Chicken Boneless</v>
      </c>
      <c r="F133" s="18" t="str">
        <f>VLOOKUP(B133,Recipes!A:I,9,0)</f>
        <v>Pcs</v>
      </c>
      <c r="G133" s="55">
        <f>SUMIF(Recipes!A:A,Consolidate!B133,Recipes!H:H)</f>
        <v>198.229725</v>
      </c>
      <c r="H133" s="55">
        <f>SUMIFS(Recipes!$H:$H,Recipes!$D:$D,Consolidate!$E133,Recipes!$A:$A,Consolidate!$B133)</f>
        <v>75.666666666666657</v>
      </c>
      <c r="I133" s="56">
        <f t="shared" si="6"/>
        <v>122.56305833333334</v>
      </c>
      <c r="K133" s="57">
        <f>SUMIF(Recipes!A:A,Consolidate!B133,Recipes!L:L)</f>
        <v>135.32500000000002</v>
      </c>
      <c r="L133" s="59">
        <f>SUMIFS(Recipes!$L:$L,Recipes!$D:$D,Consolidate!$E133,Recipes!$A:$A,Consolidate!$B133)</f>
        <v>75.666666666666657</v>
      </c>
      <c r="M133" s="60">
        <f t="shared" si="7"/>
        <v>59.65833333333336</v>
      </c>
    </row>
    <row r="134" spans="1:13">
      <c r="A134">
        <f t="shared" ref="A134:A196" si="8">A133+1</f>
        <v>132</v>
      </c>
      <c r="B134" s="5" t="s">
        <v>99</v>
      </c>
      <c r="C134" t="str">
        <f>VLOOKUP(B134,Recipes!A:B,2,0)</f>
        <v>Main Course</v>
      </c>
      <c r="D134" t="str">
        <f>VLOOKUP(B134,Recipes!A:C,3,0)</f>
        <v>Grilled</v>
      </c>
      <c r="E134" s="18" t="str">
        <f>VLOOKUP(B134,Recipes!A:J,10,0)</f>
        <v>Chicken Boneless</v>
      </c>
      <c r="F134" s="18" t="str">
        <f>VLOOKUP(B134,Recipes!A:I,9,0)</f>
        <v>Kg</v>
      </c>
      <c r="G134" s="55">
        <f>SUMIF(Recipes!A:A,Consolidate!B134,Recipes!H:H)</f>
        <v>1755.8880000000004</v>
      </c>
      <c r="H134" s="55">
        <f>SUMIFS(Recipes!$H:$H,Recipes!$D:$D,Consolidate!$E134,Recipes!$A:$A,Consolidate!$B134)</f>
        <v>908</v>
      </c>
      <c r="I134" s="56">
        <f t="shared" si="6"/>
        <v>847.88800000000037</v>
      </c>
      <c r="K134" s="57">
        <f>SUMIF(Recipes!A:A,Consolidate!B134,Recipes!L:L)</f>
        <v>1604.3571428571429</v>
      </c>
      <c r="L134" s="59">
        <f>SUMIFS(Recipes!$L:$L,Recipes!$D:$D,Consolidate!$E134,Recipes!$A:$A,Consolidate!$B134)</f>
        <v>908</v>
      </c>
      <c r="M134" s="60">
        <f t="shared" si="7"/>
        <v>696.35714285714289</v>
      </c>
    </row>
    <row r="135" spans="1:13">
      <c r="A135">
        <f t="shared" si="8"/>
        <v>133</v>
      </c>
      <c r="B135" s="5" t="s">
        <v>621</v>
      </c>
      <c r="C135" t="str">
        <f>VLOOKUP(B135,Recipes!A:B,2,0)</f>
        <v>Main Course</v>
      </c>
      <c r="D135" t="str">
        <f>VLOOKUP(B135,Recipes!A:C,3,0)</f>
        <v>Gravy</v>
      </c>
      <c r="E135" s="18" t="str">
        <f>VLOOKUP(B135,Recipes!A:J,10,0)</f>
        <v>Chicken Bone In</v>
      </c>
      <c r="F135" s="18" t="str">
        <f>VLOOKUP(B135,Recipes!A:I,9,0)</f>
        <v>Kg</v>
      </c>
      <c r="G135" s="55">
        <f>SUMIF(Recipes!A:A,Consolidate!B135,Recipes!H:H)</f>
        <v>1487.0312000000004</v>
      </c>
      <c r="H135" s="55">
        <f>SUMIFS(Recipes!$H:$H,Recipes!$D:$D,Consolidate!$E135,Recipes!$A:$A,Consolidate!$B135)</f>
        <v>614</v>
      </c>
      <c r="I135" s="56">
        <f t="shared" si="6"/>
        <v>873.03120000000035</v>
      </c>
      <c r="K135" s="57">
        <f>SUMIF(Recipes!A:A,Consolidate!B135,Recipes!L:L)</f>
        <v>1480.9265000000003</v>
      </c>
      <c r="L135" s="59">
        <f>SUMIFS(Recipes!$L:$L,Recipes!$D:$D,Consolidate!$E135,Recipes!$A:$A,Consolidate!$B135)</f>
        <v>650</v>
      </c>
      <c r="M135" s="60">
        <f t="shared" si="7"/>
        <v>830.92650000000026</v>
      </c>
    </row>
    <row r="136" spans="1:13">
      <c r="A136">
        <f t="shared" si="8"/>
        <v>134</v>
      </c>
      <c r="B136" s="5" t="s">
        <v>102</v>
      </c>
      <c r="C136" t="str">
        <f>VLOOKUP(B136,Recipes!A:B,2,0)</f>
        <v>Main Course</v>
      </c>
      <c r="D136" t="str">
        <f>VLOOKUP(B136,Recipes!A:C,3,0)</f>
        <v>Grilled</v>
      </c>
      <c r="E136" s="18" t="str">
        <f>VLOOKUP(B136,Recipes!A:J,10,0)</f>
        <v>Chicken Boneless</v>
      </c>
      <c r="F136" s="18" t="str">
        <f>VLOOKUP(B136,Recipes!A:I,9,0)</f>
        <v>Kg</v>
      </c>
      <c r="G136" s="55">
        <f>SUMIF(Recipes!A:A,Consolidate!B136,Recipes!H:H)</f>
        <v>1343.2102249999998</v>
      </c>
      <c r="H136" s="55">
        <f>SUMIFS(Recipes!$H:$H,Recipes!$D:$D,Consolidate!$E136,Recipes!$A:$A,Consolidate!$B136)</f>
        <v>908</v>
      </c>
      <c r="I136" s="56">
        <f t="shared" si="6"/>
        <v>435.21022499999981</v>
      </c>
      <c r="K136" s="57">
        <f>SUMIF(Recipes!A:A,Consolidate!B136,Recipes!L:L)</f>
        <v>1336.6502249999999</v>
      </c>
      <c r="L136" s="59">
        <f>SUMIFS(Recipes!$L:$L,Recipes!$D:$D,Consolidate!$E136,Recipes!$A:$A,Consolidate!$B136)</f>
        <v>908</v>
      </c>
      <c r="M136" s="60">
        <f t="shared" si="7"/>
        <v>428.65022499999986</v>
      </c>
    </row>
    <row r="137" spans="1:13">
      <c r="A137">
        <f t="shared" si="8"/>
        <v>135</v>
      </c>
      <c r="B137" s="5" t="s">
        <v>822</v>
      </c>
      <c r="C137" t="str">
        <f>VLOOKUP(B137,Recipes!A:B,2,0)</f>
        <v>Main Course</v>
      </c>
      <c r="D137" t="str">
        <f>VLOOKUP(B137,Recipes!A:C,3,0)</f>
        <v>Gravy</v>
      </c>
      <c r="E137" s="18" t="str">
        <f>VLOOKUP(B137,Recipes!A:J,10,0)</f>
        <v>Chicken Bone In</v>
      </c>
      <c r="F137" s="18" t="str">
        <f>VLOOKUP(B137,Recipes!A:I,9,0)</f>
        <v>Kg</v>
      </c>
      <c r="G137" s="55">
        <f>SUMIF(Recipes!A:A,Consolidate!B137,Recipes!H:H)</f>
        <v>1059.6444761904759</v>
      </c>
      <c r="H137" s="55">
        <f>SUMIFS(Recipes!$H:$H,Recipes!$D:$D,Consolidate!$E137,Recipes!$A:$A,Consolidate!$B137)</f>
        <v>613.99999999999989</v>
      </c>
      <c r="I137" s="56">
        <f t="shared" si="6"/>
        <v>445.64447619047598</v>
      </c>
      <c r="K137" s="57">
        <f>SUMIF(Recipes!A:A,Consolidate!B137,Recipes!L:L)</f>
        <v>1107.5357142857142</v>
      </c>
      <c r="L137" s="59">
        <f>SUMIFS(Recipes!$L:$L,Recipes!$D:$D,Consolidate!$E137,Recipes!$A:$A,Consolidate!$B137)</f>
        <v>649.99999999999989</v>
      </c>
      <c r="M137" s="60">
        <f t="shared" si="7"/>
        <v>457.53571428571433</v>
      </c>
    </row>
    <row r="138" spans="1:13">
      <c r="A138">
        <f t="shared" si="8"/>
        <v>136</v>
      </c>
      <c r="B138" s="5" t="s">
        <v>104</v>
      </c>
      <c r="C138" t="str">
        <f>VLOOKUP(B138,Recipes!A:B,2,0)</f>
        <v>Main Course</v>
      </c>
      <c r="D138" t="str">
        <f>VLOOKUP(B138,Recipes!A:C,3,0)</f>
        <v>Fried</v>
      </c>
      <c r="E138" s="18" t="str">
        <f>VLOOKUP(B138,Recipes!A:J,10,0)</f>
        <v>Chicken Bone In</v>
      </c>
      <c r="F138" s="18" t="str">
        <f>VLOOKUP(B138,Recipes!A:I,9,0)</f>
        <v>Kg</v>
      </c>
      <c r="G138" s="55">
        <f>SUMIF(Recipes!A:A,Consolidate!B138,Recipes!H:H)</f>
        <v>774.35450000000003</v>
      </c>
      <c r="H138" s="55">
        <f>SUMIFS(Recipes!$H:$H,Recipes!$D:$D,Consolidate!$E138,Recipes!$A:$A,Consolidate!$B138)</f>
        <v>614</v>
      </c>
      <c r="I138" s="56">
        <f t="shared" si="6"/>
        <v>160.35450000000003</v>
      </c>
      <c r="K138" s="57">
        <f>SUMIF(Recipes!A:A,Consolidate!B138,Recipes!L:L)</f>
        <v>1552.1666666666667</v>
      </c>
      <c r="L138" s="59">
        <f>SUMIFS(Recipes!$L:$L,Recipes!$D:$D,Consolidate!$E138,Recipes!$A:$A,Consolidate!$B138)</f>
        <v>650</v>
      </c>
      <c r="M138" s="60">
        <f t="shared" si="7"/>
        <v>902.16666666666674</v>
      </c>
    </row>
    <row r="139" spans="1:13">
      <c r="A139">
        <f t="shared" si="8"/>
        <v>137</v>
      </c>
      <c r="B139" s="5" t="s">
        <v>106</v>
      </c>
      <c r="C139" t="str">
        <f>VLOOKUP(B139,Recipes!A:B,2,0)</f>
        <v>Main Course</v>
      </c>
      <c r="D139" t="str">
        <f>VLOOKUP(B139,Recipes!A:C,3,0)</f>
        <v>BBQ</v>
      </c>
      <c r="E139" s="18" t="str">
        <f>VLOOKUP(B139,Recipes!A:J,10,0)</f>
        <v>Chicken Bone In</v>
      </c>
      <c r="F139" s="18" t="str">
        <f>VLOOKUP(B139,Recipes!A:I,9,0)</f>
        <v>Kg</v>
      </c>
      <c r="G139" s="55">
        <f>SUMIF(Recipes!A:A,Consolidate!B139,Recipes!H:H)</f>
        <v>730.98</v>
      </c>
      <c r="H139" s="55">
        <f>SUMIFS(Recipes!$H:$H,Recipes!$D:$D,Consolidate!$E139,Recipes!$A:$A,Consolidate!$B139)</f>
        <v>614</v>
      </c>
      <c r="I139" s="56">
        <f t="shared" si="6"/>
        <v>116.98000000000002</v>
      </c>
      <c r="K139" s="57">
        <f>SUMIF(Recipes!A:A,Consolidate!B139,Recipes!L:L)</f>
        <v>773.31999999999994</v>
      </c>
      <c r="L139" s="59">
        <f>SUMIFS(Recipes!$L:$L,Recipes!$D:$D,Consolidate!$E139,Recipes!$A:$A,Consolidate!$B139)</f>
        <v>650</v>
      </c>
      <c r="M139" s="60">
        <f t="shared" si="7"/>
        <v>123.31999999999994</v>
      </c>
    </row>
    <row r="140" spans="1:13">
      <c r="A140">
        <f t="shared" si="8"/>
        <v>138</v>
      </c>
      <c r="B140" s="5" t="s">
        <v>464</v>
      </c>
      <c r="C140" t="str">
        <f>VLOOKUP(B140,Recipes!A:B,2,0)</f>
        <v>Side Dish</v>
      </c>
      <c r="D140" t="str">
        <f>VLOOKUP(B140,Recipes!A:C,3,0)</f>
        <v>Rice</v>
      </c>
      <c r="E140" s="18">
        <f>VLOOKUP(B140,Recipes!A:J,10,0)</f>
        <v>0</v>
      </c>
      <c r="F140" s="18" t="str">
        <f>VLOOKUP(B140,Recipes!A:I,9,0)</f>
        <v>Kg</v>
      </c>
      <c r="G140" s="55">
        <f>SUMIF(Recipes!A:A,Consolidate!B140,Recipes!H:H)</f>
        <v>732.63150000000007</v>
      </c>
      <c r="H140" s="55">
        <f>SUMIFS(Recipes!$H:$H,Recipes!$D:$D,Consolidate!$E140,Recipes!$A:$A,Consolidate!$B140)</f>
        <v>0</v>
      </c>
      <c r="I140" s="56">
        <f t="shared" si="6"/>
        <v>732.63150000000007</v>
      </c>
      <c r="K140" s="57">
        <f>SUMIF(Recipes!A:A,Consolidate!B140,Recipes!L:L)</f>
        <v>698.73</v>
      </c>
      <c r="L140" s="59">
        <f>SUMIFS(Recipes!$L:$L,Recipes!$D:$D,Consolidate!$E140,Recipes!$A:$A,Consolidate!$B140)</f>
        <v>0</v>
      </c>
      <c r="M140" s="60">
        <f t="shared" si="7"/>
        <v>698.73</v>
      </c>
    </row>
    <row r="141" spans="1:13">
      <c r="A141">
        <f t="shared" si="8"/>
        <v>139</v>
      </c>
      <c r="B141" s="5" t="s">
        <v>571</v>
      </c>
      <c r="C141" t="str">
        <f>VLOOKUP(B141,Recipes!A:B,2,0)</f>
        <v>Main Course</v>
      </c>
      <c r="D141" t="str">
        <f>VLOOKUP(B141,Recipes!A:C,3,0)</f>
        <v>Rice</v>
      </c>
      <c r="E141" s="18" t="str">
        <f>VLOOKUP(B141,Recipes!A:J,10,0)</f>
        <v>Chicken Bone In</v>
      </c>
      <c r="F141" s="18" t="str">
        <f>VLOOKUP(B141,Recipes!A:I,9,0)</f>
        <v>Kg</v>
      </c>
      <c r="G141" s="55">
        <f>SUMIF(Recipes!A:A,Consolidate!B141,Recipes!H:H)</f>
        <v>1263.3583333333333</v>
      </c>
      <c r="H141" s="55">
        <f>SUMIFS(Recipes!$H:$H,Recipes!$D:$D,Consolidate!$E141,Recipes!$A:$A,Consolidate!$B141)</f>
        <v>614</v>
      </c>
      <c r="I141" s="56">
        <f t="shared" si="6"/>
        <v>649.35833333333335</v>
      </c>
      <c r="K141" s="57">
        <f>SUMIF(Recipes!A:A,Consolidate!B141,Recipes!L:L)</f>
        <v>1349.2750000000001</v>
      </c>
      <c r="L141" s="59">
        <f>SUMIFS(Recipes!$L:$L,Recipes!$D:$D,Consolidate!$E141,Recipes!$A:$A,Consolidate!$B141)</f>
        <v>650</v>
      </c>
      <c r="M141" s="60">
        <f t="shared" si="7"/>
        <v>699.27500000000009</v>
      </c>
    </row>
    <row r="142" spans="1:13">
      <c r="A142">
        <f t="shared" si="8"/>
        <v>140</v>
      </c>
      <c r="B142" s="5" t="s">
        <v>85</v>
      </c>
      <c r="C142" t="str">
        <f>VLOOKUP(B142,Recipes!A:B,2,0)</f>
        <v>Main Course</v>
      </c>
      <c r="D142" t="str">
        <f>VLOOKUP(B142,Recipes!A:C,3,0)</f>
        <v>Gravy</v>
      </c>
      <c r="E142" s="18" t="str">
        <f>VLOOKUP(B142,Recipes!A:J,10,0)</f>
        <v>Chicken Bone In</v>
      </c>
      <c r="F142" s="18" t="str">
        <f>VLOOKUP(B142,Recipes!A:I,9,0)</f>
        <v>Kg</v>
      </c>
      <c r="G142" s="55">
        <f>SUMIF(Recipes!A:A,Consolidate!B142,Recipes!H:H)</f>
        <v>804.63108339999997</v>
      </c>
      <c r="H142" s="55">
        <f>SUMIFS(Recipes!$H:$H,Recipes!$D:$D,Consolidate!$E142,Recipes!$A:$A,Consolidate!$B142)</f>
        <v>615.22799999999995</v>
      </c>
      <c r="I142" s="56">
        <f t="shared" si="6"/>
        <v>189.40308340000001</v>
      </c>
      <c r="K142" s="57">
        <f>SUMIF(Recipes!A:A,Consolidate!B142,Recipes!L:L)</f>
        <v>931.07954219999999</v>
      </c>
      <c r="L142" s="59">
        <f>SUMIFS(Recipes!$L:$L,Recipes!$D:$D,Consolidate!$E142,Recipes!$A:$A,Consolidate!$B142)</f>
        <v>651.29999999999995</v>
      </c>
      <c r="M142" s="60">
        <f t="shared" si="7"/>
        <v>279.77954220000004</v>
      </c>
    </row>
    <row r="143" spans="1:13">
      <c r="A143">
        <f t="shared" si="8"/>
        <v>141</v>
      </c>
      <c r="B143" s="5" t="s">
        <v>320</v>
      </c>
      <c r="C143" t="str">
        <f>VLOOKUP(B143,Recipes!A:B,2,0)</f>
        <v>Main Course</v>
      </c>
      <c r="D143" t="str">
        <f>VLOOKUP(B143,Recipes!A:C,3,0)</f>
        <v>Fried</v>
      </c>
      <c r="E143" s="18" t="str">
        <f>VLOOKUP(B143,Recipes!A:J,10,0)</f>
        <v>Chicken Bone In</v>
      </c>
      <c r="F143" s="18" t="str">
        <f>VLOOKUP(B143,Recipes!A:I,9,0)</f>
        <v>Kg</v>
      </c>
      <c r="G143" s="55">
        <f>SUMIF(Recipes!A:A,Consolidate!B143,Recipes!H:H)</f>
        <v>870.83597500000019</v>
      </c>
      <c r="H143" s="55">
        <f>SUMIFS(Recipes!$H:$H,Recipes!$D:$D,Consolidate!$E143,Recipes!$A:$A,Consolidate!$B143)</f>
        <v>0</v>
      </c>
      <c r="I143" s="56">
        <f t="shared" si="6"/>
        <v>870.83597500000019</v>
      </c>
      <c r="K143" s="57">
        <f>SUMIF(Recipes!A:A,Consolidate!B143,Recipes!L:L)</f>
        <v>904.00925000000007</v>
      </c>
      <c r="L143" s="59">
        <f>SUMIFS(Recipes!$L:$L,Recipes!$D:$D,Consolidate!$E143,Recipes!$A:$A,Consolidate!$B143)</f>
        <v>0</v>
      </c>
      <c r="M143" s="60">
        <f t="shared" si="7"/>
        <v>904.00925000000007</v>
      </c>
    </row>
    <row r="144" spans="1:13">
      <c r="A144">
        <f t="shared" si="8"/>
        <v>142</v>
      </c>
      <c r="B144" s="5" t="s">
        <v>608</v>
      </c>
      <c r="C144" t="str">
        <f>VLOOKUP(B144,Recipes!A:B,2,0)</f>
        <v>Main Course</v>
      </c>
      <c r="D144" t="str">
        <f>VLOOKUP(B144,Recipes!A:C,3,0)</f>
        <v>Rice</v>
      </c>
      <c r="E144" s="18" t="str">
        <f>VLOOKUP(B144,Recipes!A:J,10,0)</f>
        <v>Chicken Bone In</v>
      </c>
      <c r="F144" s="18" t="str">
        <f>VLOOKUP(B144,Recipes!A:I,9,0)</f>
        <v>Kg</v>
      </c>
      <c r="G144" s="55">
        <f>SUMIF(Recipes!A:A,Consolidate!B144,Recipes!H:H)</f>
        <v>1325.0405405405415</v>
      </c>
      <c r="H144" s="55">
        <f>SUMIFS(Recipes!$H:$H,Recipes!$D:$D,Consolidate!$E144,Recipes!$A:$A,Consolidate!$B144)</f>
        <v>614</v>
      </c>
      <c r="I144" s="56">
        <f t="shared" si="6"/>
        <v>711.04054054054154</v>
      </c>
      <c r="K144" s="57">
        <f>SUMIF(Recipes!A:A,Consolidate!B144,Recipes!L:L)</f>
        <v>1436.1107520564046</v>
      </c>
      <c r="L144" s="59">
        <f>SUMIFS(Recipes!$L:$L,Recipes!$D:$D,Consolidate!$E144,Recipes!$A:$A,Consolidate!$B144)</f>
        <v>650</v>
      </c>
      <c r="M144" s="60">
        <f t="shared" si="7"/>
        <v>786.11075205640464</v>
      </c>
    </row>
    <row r="145" spans="1:13">
      <c r="A145">
        <f t="shared" si="8"/>
        <v>143</v>
      </c>
      <c r="B145" s="5" t="s">
        <v>230</v>
      </c>
      <c r="C145" t="str">
        <f>VLOOKUP(B145,Recipes!A:B,2,0)</f>
        <v>Dessert</v>
      </c>
      <c r="D145" t="str">
        <f>VLOOKUP(B145,Recipes!A:C,3,0)</f>
        <v>Dessert</v>
      </c>
      <c r="E145" s="18">
        <f>VLOOKUP(B145,Recipes!A:J,10,0)</f>
        <v>0</v>
      </c>
      <c r="F145" s="18" t="str">
        <f>VLOOKUP(B145,Recipes!A:I,9,0)</f>
        <v>Ltr</v>
      </c>
      <c r="G145" s="55">
        <f>SUMIF(Recipes!A:A,Consolidate!B145,Recipes!H:H)</f>
        <v>401.40833333333336</v>
      </c>
      <c r="H145" s="55">
        <f>SUMIFS(Recipes!$H:$H,Recipes!$D:$D,Consolidate!$E145,Recipes!$A:$A,Consolidate!$B145)</f>
        <v>0</v>
      </c>
      <c r="I145" s="56">
        <f t="shared" si="6"/>
        <v>401.40833333333336</v>
      </c>
      <c r="K145" s="57">
        <f>SUMIF(Recipes!A:A,Consolidate!B145,Recipes!L:L)</f>
        <v>919.95</v>
      </c>
      <c r="L145" s="59">
        <f>SUMIFS(Recipes!$L:$L,Recipes!$D:$D,Consolidate!$E145,Recipes!$A:$A,Consolidate!$B145)</f>
        <v>0</v>
      </c>
      <c r="M145" s="60">
        <f t="shared" si="7"/>
        <v>919.95</v>
      </c>
    </row>
    <row r="146" spans="1:13">
      <c r="A146">
        <f t="shared" si="8"/>
        <v>144</v>
      </c>
      <c r="B146" s="5" t="s">
        <v>398</v>
      </c>
      <c r="C146" t="str">
        <f>VLOOKUP(B146,Recipes!A:B,2,0)</f>
        <v>Beverages</v>
      </c>
      <c r="D146" t="str">
        <f>VLOOKUP(B146,Recipes!A:C,3,0)</f>
        <v>Hot Beverage</v>
      </c>
      <c r="E146" s="18">
        <f>VLOOKUP(B146,Recipes!A:J,10,0)</f>
        <v>0</v>
      </c>
      <c r="F146" s="18" t="str">
        <f>VLOOKUP(B146,Recipes!A:I,9,0)</f>
        <v>Cup</v>
      </c>
      <c r="G146" s="55">
        <f>SUMIF(Recipes!A:A,Consolidate!B146,Recipes!H:H)</f>
        <v>158.24074999999999</v>
      </c>
      <c r="H146" s="55">
        <f>SUMIFS(Recipes!$H:$H,Recipes!$D:$D,Consolidate!$E146,Recipes!$A:$A,Consolidate!$B146)</f>
        <v>0</v>
      </c>
      <c r="I146" s="56">
        <f t="shared" si="6"/>
        <v>158.24074999999999</v>
      </c>
      <c r="K146" s="57">
        <f>SUMIF(Recipes!A:A,Consolidate!B146,Recipes!L:L)</f>
        <v>98.710750000000004</v>
      </c>
      <c r="L146" s="59">
        <f>SUMIFS(Recipes!$L:$L,Recipes!$D:$D,Consolidate!$E146,Recipes!$A:$A,Consolidate!$B146)</f>
        <v>0</v>
      </c>
      <c r="M146" s="60">
        <f t="shared" si="7"/>
        <v>98.710750000000004</v>
      </c>
    </row>
    <row r="147" spans="1:13">
      <c r="A147">
        <f t="shared" si="8"/>
        <v>145</v>
      </c>
      <c r="B147" s="5" t="s">
        <v>505</v>
      </c>
      <c r="C147" t="str">
        <f>VLOOKUP(B147,Recipes!A:B,2,0)</f>
        <v>Appetizer</v>
      </c>
      <c r="D147" t="str">
        <f>VLOOKUP(B147,Recipes!A:C,3,0)</f>
        <v>Without Meat</v>
      </c>
      <c r="E147" s="18">
        <f>VLOOKUP(B147,Recipes!A:J,10,0)</f>
        <v>0</v>
      </c>
      <c r="F147" s="18" t="str">
        <f>VLOOKUP(B147,Recipes!A:I,9,0)</f>
        <v>Pcs</v>
      </c>
      <c r="G147" s="55">
        <f>SUMIF(Recipes!A:A,Consolidate!B147,Recipes!H:H)</f>
        <v>28.704229166666668</v>
      </c>
      <c r="H147" s="55">
        <f>SUMIFS(Recipes!$H:$H,Recipes!$D:$D,Consolidate!$E147,Recipes!$A:$A,Consolidate!$B147)</f>
        <v>0</v>
      </c>
      <c r="I147" s="56">
        <f t="shared" si="6"/>
        <v>28.704229166666668</v>
      </c>
      <c r="K147" s="57">
        <f>SUMIF(Recipes!A:A,Consolidate!B147,Recipes!L:L)</f>
        <v>26.788279166666669</v>
      </c>
      <c r="L147" s="59">
        <f>SUMIFS(Recipes!$L:$L,Recipes!$D:$D,Consolidate!$E147,Recipes!$A:$A,Consolidate!$B147)</f>
        <v>0</v>
      </c>
      <c r="M147" s="60">
        <f t="shared" si="7"/>
        <v>26.788279166666669</v>
      </c>
    </row>
    <row r="148" spans="1:13">
      <c r="A148">
        <f t="shared" si="8"/>
        <v>146</v>
      </c>
      <c r="B148" s="5" t="s">
        <v>388</v>
      </c>
      <c r="C148" t="str">
        <f>VLOOKUP(B148,Recipes!A:B,2,0)</f>
        <v>Beverages</v>
      </c>
      <c r="D148" t="str">
        <f>VLOOKUP(B148,Recipes!A:C,3,0)</f>
        <v>Cold Drink</v>
      </c>
      <c r="E148" s="18">
        <f>VLOOKUP(B148,Recipes!A:J,10,0)</f>
        <v>0</v>
      </c>
      <c r="F148" s="18" t="str">
        <f>VLOOKUP(B148,Recipes!A:I,9,0)</f>
        <v>Bottle</v>
      </c>
      <c r="G148" s="55">
        <f>SUMIF(Recipes!A:A,Consolidate!B148,Recipes!H:H)</f>
        <v>50</v>
      </c>
      <c r="H148" s="55">
        <f>SUMIFS(Recipes!$H:$H,Recipes!$D:$D,Consolidate!$E148,Recipes!$A:$A,Consolidate!$B148)</f>
        <v>0</v>
      </c>
      <c r="I148" s="56">
        <f t="shared" si="6"/>
        <v>50</v>
      </c>
      <c r="K148" s="57">
        <f>SUMIF(Recipes!A:A,Consolidate!B148,Recipes!L:L)</f>
        <v>50</v>
      </c>
      <c r="L148" s="59">
        <f>SUMIFS(Recipes!$L:$L,Recipes!$D:$D,Consolidate!$E148,Recipes!$A:$A,Consolidate!$B148)</f>
        <v>0</v>
      </c>
      <c r="M148" s="60">
        <f t="shared" si="7"/>
        <v>50</v>
      </c>
    </row>
    <row r="149" spans="1:13">
      <c r="A149">
        <f t="shared" si="8"/>
        <v>147</v>
      </c>
      <c r="B149" s="5" t="s">
        <v>671</v>
      </c>
      <c r="C149" t="str">
        <f>VLOOKUP(B149,Recipes!A:B,2,0)</f>
        <v>Beverages</v>
      </c>
      <c r="D149" t="str">
        <f>VLOOKUP(B149,Recipes!A:C,3,0)</f>
        <v>Cold Drink Tin</v>
      </c>
      <c r="E149" s="18">
        <f>VLOOKUP(B149,Recipes!A:J,10,0)</f>
        <v>0</v>
      </c>
      <c r="F149" s="18" t="str">
        <f>VLOOKUP(B149,Recipes!A:I,9,0)</f>
        <v>Tin</v>
      </c>
      <c r="G149" s="55">
        <f>SUMIF(Recipes!A:A,Consolidate!B149,Recipes!H:H)</f>
        <v>66</v>
      </c>
      <c r="H149" s="55">
        <f>SUMIFS(Recipes!$H:$H,Recipes!$D:$D,Consolidate!$E149,Recipes!$A:$A,Consolidate!$B149)</f>
        <v>0</v>
      </c>
      <c r="I149" s="56">
        <f t="shared" si="6"/>
        <v>66</v>
      </c>
      <c r="K149" s="57">
        <f>SUMIF(Recipes!A:A,Consolidate!B149,Recipes!L:L)</f>
        <v>66</v>
      </c>
      <c r="L149" s="59">
        <f>SUMIFS(Recipes!$L:$L,Recipes!$D:$D,Consolidate!$E149,Recipes!$A:$A,Consolidate!$B149)</f>
        <v>0</v>
      </c>
      <c r="M149" s="60">
        <f t="shared" si="7"/>
        <v>66</v>
      </c>
    </row>
    <row r="150" spans="1:13">
      <c r="A150">
        <f t="shared" si="8"/>
        <v>148</v>
      </c>
      <c r="B150" s="5" t="s">
        <v>552</v>
      </c>
      <c r="C150" t="str">
        <f>VLOOKUP(B150,Recipes!A:B,2,0)</f>
        <v>Appetizer</v>
      </c>
      <c r="D150" t="str">
        <f>VLOOKUP(B150,Recipes!A:C,3,0)</f>
        <v>Cracker</v>
      </c>
      <c r="E150" s="18">
        <f>VLOOKUP(B150,Recipes!A:J,10,0)</f>
        <v>0</v>
      </c>
      <c r="F150" s="18" t="str">
        <f>VLOOKUP(B150,Recipes!A:I,9,0)</f>
        <v>Bowl</v>
      </c>
      <c r="G150" s="55">
        <f>SUMIF(Recipes!A:A,Consolidate!B150,Recipes!H:H)</f>
        <v>491.33600000000001</v>
      </c>
      <c r="H150" s="55">
        <f>SUMIFS(Recipes!$H:$H,Recipes!$D:$D,Consolidate!$E150,Recipes!$A:$A,Consolidate!$B150)</f>
        <v>0</v>
      </c>
      <c r="I150" s="56">
        <f t="shared" si="6"/>
        <v>491.33600000000001</v>
      </c>
      <c r="K150" s="57">
        <f>SUMIF(Recipes!A:A,Consolidate!B150,Recipes!L:L)</f>
        <v>497</v>
      </c>
      <c r="L150" s="59">
        <f>SUMIFS(Recipes!$L:$L,Recipes!$D:$D,Consolidate!$E150,Recipes!$A:$A,Consolidate!$B150)</f>
        <v>0</v>
      </c>
      <c r="M150" s="60">
        <f t="shared" si="7"/>
        <v>497</v>
      </c>
    </row>
    <row r="151" spans="1:13">
      <c r="A151">
        <f t="shared" si="8"/>
        <v>149</v>
      </c>
      <c r="B151" s="5" t="s">
        <v>799</v>
      </c>
      <c r="C151" t="str">
        <f>VLOOKUP(B151,Recipes!A:B,2,0)</f>
        <v>Side Dish</v>
      </c>
      <c r="D151" t="str">
        <f>VLOOKUP(B151,Recipes!A:C,3,0)</f>
        <v>Daal / Chana</v>
      </c>
      <c r="E151" s="18">
        <f>VLOOKUP(B151,Recipes!A:J,10,0)</f>
        <v>0</v>
      </c>
      <c r="F151" s="18" t="str">
        <f>VLOOKUP(B151,Recipes!A:I,9,0)</f>
        <v>Kg</v>
      </c>
      <c r="G151" s="55">
        <f>SUMIF(Recipes!A:A,Consolidate!B151,Recipes!H:H)</f>
        <v>693.39233333333311</v>
      </c>
      <c r="H151" s="55">
        <f>SUMIFS(Recipes!$H:$H,Recipes!$D:$D,Consolidate!$E151,Recipes!$A:$A,Consolidate!$B151)</f>
        <v>0</v>
      </c>
      <c r="I151" s="56">
        <f t="shared" si="6"/>
        <v>693.39233333333311</v>
      </c>
      <c r="K151" s="57">
        <f>SUMIF(Recipes!A:A,Consolidate!B151,Recipes!L:L)</f>
        <v>699.62833333333344</v>
      </c>
      <c r="L151" s="59">
        <f>SUMIFS(Recipes!$L:$L,Recipes!$D:$D,Consolidate!$E151,Recipes!$A:$A,Consolidate!$B151)</f>
        <v>0</v>
      </c>
      <c r="M151" s="60">
        <f t="shared" si="7"/>
        <v>699.62833333333344</v>
      </c>
    </row>
    <row r="152" spans="1:13">
      <c r="A152">
        <f t="shared" si="8"/>
        <v>150</v>
      </c>
      <c r="B152" s="5" t="s">
        <v>532</v>
      </c>
      <c r="C152" t="str">
        <f>VLOOKUP(B152,Recipes!A:B,2,0)</f>
        <v>Side Dish</v>
      </c>
      <c r="D152" t="str">
        <f>VLOOKUP(B152,Recipes!A:C,3,0)</f>
        <v>Daal / Chana</v>
      </c>
      <c r="E152" s="18">
        <f>VLOOKUP(B152,Recipes!A:J,10,0)</f>
        <v>0</v>
      </c>
      <c r="F152" s="18" t="str">
        <f>VLOOKUP(B152,Recipes!A:I,9,0)</f>
        <v>Kg</v>
      </c>
      <c r="G152" s="55">
        <f>SUMIF(Recipes!A:A,Consolidate!B152,Recipes!H:H)</f>
        <v>439.80500000000001</v>
      </c>
      <c r="H152" s="55">
        <f>SUMIFS(Recipes!$H:$H,Recipes!$D:$D,Consolidate!$E152,Recipes!$A:$A,Consolidate!$B152)</f>
        <v>0</v>
      </c>
      <c r="I152" s="56">
        <f t="shared" si="6"/>
        <v>439.80500000000001</v>
      </c>
      <c r="K152" s="57">
        <f>SUMIF(Recipes!A:A,Consolidate!B152,Recipes!L:L)</f>
        <v>420.86666666666662</v>
      </c>
      <c r="L152" s="59">
        <f>SUMIFS(Recipes!$L:$L,Recipes!$D:$D,Consolidate!$E152,Recipes!$A:$A,Consolidate!$B152)</f>
        <v>0</v>
      </c>
      <c r="M152" s="60">
        <f t="shared" si="7"/>
        <v>420.86666666666662</v>
      </c>
    </row>
    <row r="153" spans="1:13">
      <c r="A153">
        <f t="shared" si="8"/>
        <v>151</v>
      </c>
      <c r="B153" s="5" t="s">
        <v>610</v>
      </c>
      <c r="C153" t="str">
        <f>VLOOKUP(B153,Recipes!A:B,2,0)</f>
        <v>Side Dish</v>
      </c>
      <c r="D153" t="str">
        <f>VLOOKUP(B153,Recipes!A:C,3,0)</f>
        <v>Daal / Chana</v>
      </c>
      <c r="E153" s="18">
        <f>VLOOKUP(B153,Recipes!A:J,10,0)</f>
        <v>0</v>
      </c>
      <c r="F153" s="18" t="str">
        <f>VLOOKUP(B153,Recipes!A:I,9,0)</f>
        <v>Kg</v>
      </c>
      <c r="G153" s="55">
        <f>SUMIF(Recipes!A:A,Consolidate!B153,Recipes!H:H)</f>
        <v>1472.3150000000001</v>
      </c>
      <c r="H153" s="55">
        <f>SUMIFS(Recipes!$H:$H,Recipes!$D:$D,Consolidate!$E153,Recipes!$A:$A,Consolidate!$B153)</f>
        <v>0</v>
      </c>
      <c r="I153" s="56">
        <f t="shared" si="6"/>
        <v>1472.3150000000001</v>
      </c>
      <c r="K153" s="57">
        <f>SUMIF(Recipes!A:A,Consolidate!B153,Recipes!L:L)</f>
        <v>1366.5</v>
      </c>
      <c r="L153" s="59">
        <f>SUMIFS(Recipes!$L:$L,Recipes!$D:$D,Consolidate!$E153,Recipes!$A:$A,Consolidate!$B153)</f>
        <v>0</v>
      </c>
      <c r="M153" s="60">
        <f t="shared" si="7"/>
        <v>1366.5</v>
      </c>
    </row>
    <row r="154" spans="1:13">
      <c r="A154">
        <f t="shared" si="8"/>
        <v>152</v>
      </c>
      <c r="B154" s="5" t="s">
        <v>417</v>
      </c>
      <c r="C154" t="str">
        <f>VLOOKUP(B154,Recipes!A:B,2,0)</f>
        <v>Main Course</v>
      </c>
      <c r="D154" t="str">
        <f>VLOOKUP(B154,Recipes!A:C,3,0)</f>
        <v>Gravy</v>
      </c>
      <c r="E154" s="18" t="str">
        <f>VLOOKUP(B154,Recipes!A:J,10,0)</f>
        <v>Mutton Cube</v>
      </c>
      <c r="F154" s="18" t="str">
        <f>VLOOKUP(B154,Recipes!A:I,9,0)</f>
        <v>Kg</v>
      </c>
      <c r="G154" s="55">
        <f>SUMIF(Recipes!A:A,Consolidate!B154,Recipes!H:H)</f>
        <v>1980.2760000000001</v>
      </c>
      <c r="H154" s="55">
        <f>SUMIFS(Recipes!$H:$H,Recipes!$D:$D,Consolidate!$E154,Recipes!$A:$A,Consolidate!$B154)</f>
        <v>1700</v>
      </c>
      <c r="I154" s="56">
        <f t="shared" si="6"/>
        <v>280.27600000000007</v>
      </c>
      <c r="K154" s="57">
        <f>SUMIF(Recipes!A:A,Consolidate!B154,Recipes!L:L)</f>
        <v>2077.6650000000004</v>
      </c>
      <c r="L154" s="59">
        <f>SUMIFS(Recipes!$L:$L,Recipes!$D:$D,Consolidate!$E154,Recipes!$A:$A,Consolidate!$B154)</f>
        <v>1800</v>
      </c>
      <c r="M154" s="60">
        <f t="shared" si="7"/>
        <v>277.66500000000042</v>
      </c>
    </row>
    <row r="155" spans="1:13">
      <c r="A155">
        <f t="shared" si="8"/>
        <v>153</v>
      </c>
      <c r="B155" s="5" t="s">
        <v>409</v>
      </c>
      <c r="C155" t="str">
        <f>VLOOKUP(B155,Recipes!A:B,2,0)</f>
        <v>Side Dish</v>
      </c>
      <c r="D155" t="str">
        <f>VLOOKUP(B155,Recipes!A:C,3,0)</f>
        <v>Daal / Chana</v>
      </c>
      <c r="E155" s="18">
        <f>VLOOKUP(B155,Recipes!A:J,10,0)</f>
        <v>0</v>
      </c>
      <c r="F155" s="18" t="str">
        <f>VLOOKUP(B155,Recipes!A:I,9,0)</f>
        <v>Kg</v>
      </c>
      <c r="G155" s="55">
        <f>SUMIF(Recipes!A:A,Consolidate!B155,Recipes!H:H)</f>
        <v>777.30499999999995</v>
      </c>
      <c r="H155" s="55">
        <f>SUMIFS(Recipes!$H:$H,Recipes!$D:$D,Consolidate!$E155,Recipes!$A:$A,Consolidate!$B155)</f>
        <v>0</v>
      </c>
      <c r="I155" s="56">
        <f t="shared" si="6"/>
        <v>777.30499999999995</v>
      </c>
      <c r="K155" s="57">
        <f>SUMIF(Recipes!A:A,Consolidate!B155,Recipes!L:L)</f>
        <v>675.86666666666667</v>
      </c>
      <c r="L155" s="59">
        <f>SUMIFS(Recipes!$L:$L,Recipes!$D:$D,Consolidate!$E155,Recipes!$A:$A,Consolidate!$B155)</f>
        <v>0</v>
      </c>
      <c r="M155" s="60">
        <f t="shared" si="7"/>
        <v>675.86666666666667</v>
      </c>
    </row>
    <row r="156" spans="1:13">
      <c r="A156">
        <f t="shared" si="8"/>
        <v>154</v>
      </c>
      <c r="B156" s="5" t="s">
        <v>601</v>
      </c>
      <c r="C156" t="str">
        <f>VLOOKUP(B156,Recipes!A:B,2,0)</f>
        <v>Side Dish</v>
      </c>
      <c r="D156" t="str">
        <f>VLOOKUP(B156,Recipes!A:C,3,0)</f>
        <v>Daal / Chana</v>
      </c>
      <c r="E156" s="18">
        <f>VLOOKUP(B156,Recipes!A:J,10,0)</f>
        <v>0</v>
      </c>
      <c r="F156" s="18" t="str">
        <f>VLOOKUP(B156,Recipes!A:I,9,0)</f>
        <v>Kg</v>
      </c>
      <c r="G156" s="55">
        <f>SUMIF(Recipes!A:A,Consolidate!B156,Recipes!H:H)</f>
        <v>546.34725000000003</v>
      </c>
      <c r="H156" s="55">
        <f>SUMIFS(Recipes!$H:$H,Recipes!$D:$D,Consolidate!$E156,Recipes!$A:$A,Consolidate!$B156)</f>
        <v>0</v>
      </c>
      <c r="I156" s="56">
        <f t="shared" si="6"/>
        <v>546.34725000000003</v>
      </c>
      <c r="K156" s="57">
        <f>SUMIF(Recipes!A:A,Consolidate!B156,Recipes!L:L)</f>
        <v>516.65000000000009</v>
      </c>
      <c r="L156" s="59">
        <f>SUMIFS(Recipes!$L:$L,Recipes!$D:$D,Consolidate!$E156,Recipes!$A:$A,Consolidate!$B156)</f>
        <v>0</v>
      </c>
      <c r="M156" s="60">
        <f t="shared" si="7"/>
        <v>516.65000000000009</v>
      </c>
    </row>
    <row r="157" spans="1:13">
      <c r="A157">
        <f t="shared" si="8"/>
        <v>155</v>
      </c>
      <c r="B157" s="5" t="s">
        <v>311</v>
      </c>
      <c r="C157" t="str">
        <f>VLOOKUP(B157,Recipes!A:B,2,0)</f>
        <v>Side Dish</v>
      </c>
      <c r="D157" t="str">
        <f>VLOOKUP(B157,Recipes!A:C,3,0)</f>
        <v>Daal / Chana</v>
      </c>
      <c r="E157" s="18">
        <f>VLOOKUP(B157,Recipes!A:J,10,0)</f>
        <v>0</v>
      </c>
      <c r="F157" s="18" t="str">
        <f>VLOOKUP(B157,Recipes!A:I,9,0)</f>
        <v>Kg</v>
      </c>
      <c r="G157" s="55">
        <f>SUMIF(Recipes!A:A,Consolidate!B157,Recipes!H:H)</f>
        <v>975.72599999999989</v>
      </c>
      <c r="H157" s="55">
        <f>SUMIFS(Recipes!$H:$H,Recipes!$D:$D,Consolidate!$E157,Recipes!$A:$A,Consolidate!$B157)</f>
        <v>0</v>
      </c>
      <c r="I157" s="56">
        <f t="shared" si="6"/>
        <v>975.72599999999989</v>
      </c>
      <c r="K157" s="57">
        <f>SUMIF(Recipes!A:A,Consolidate!B157,Recipes!L:L)</f>
        <v>951</v>
      </c>
      <c r="L157" s="59">
        <f>SUMIFS(Recipes!$L:$L,Recipes!$D:$D,Consolidate!$E157,Recipes!$A:$A,Consolidate!$B157)</f>
        <v>0</v>
      </c>
      <c r="M157" s="60">
        <f t="shared" si="7"/>
        <v>951</v>
      </c>
    </row>
    <row r="158" spans="1:13">
      <c r="A158">
        <f t="shared" si="8"/>
        <v>156</v>
      </c>
      <c r="B158" s="5" t="s">
        <v>531</v>
      </c>
      <c r="C158" t="str">
        <f>VLOOKUP(B158,Recipes!A:B,2,0)</f>
        <v>Side Dish</v>
      </c>
      <c r="D158" t="str">
        <f>VLOOKUP(B158,Recipes!A:C,3,0)</f>
        <v>Daal / Chana</v>
      </c>
      <c r="E158" s="18">
        <f>VLOOKUP(B158,Recipes!A:J,10,0)</f>
        <v>0</v>
      </c>
      <c r="F158" s="18" t="str">
        <f>VLOOKUP(B158,Recipes!A:I,9,0)</f>
        <v>Kg</v>
      </c>
      <c r="G158" s="55">
        <f>SUMIF(Recipes!A:A,Consolidate!B158,Recipes!H:H)</f>
        <v>560.34725000000003</v>
      </c>
      <c r="H158" s="55">
        <f>SUMIFS(Recipes!$H:$H,Recipes!$D:$D,Consolidate!$E158,Recipes!$A:$A,Consolidate!$B158)</f>
        <v>0</v>
      </c>
      <c r="I158" s="56">
        <f t="shared" si="6"/>
        <v>560.34725000000003</v>
      </c>
      <c r="K158" s="57">
        <f>SUMIF(Recipes!A:A,Consolidate!B158,Recipes!L:L)</f>
        <v>506.65000000000003</v>
      </c>
      <c r="L158" s="59">
        <f>SUMIFS(Recipes!$L:$L,Recipes!$D:$D,Consolidate!$E158,Recipes!$A:$A,Consolidate!$B158)</f>
        <v>0</v>
      </c>
      <c r="M158" s="60">
        <f t="shared" si="7"/>
        <v>506.65000000000003</v>
      </c>
    </row>
    <row r="159" spans="1:13">
      <c r="A159">
        <f t="shared" si="8"/>
        <v>157</v>
      </c>
      <c r="B159" s="5" t="s">
        <v>821</v>
      </c>
      <c r="C159" t="str">
        <f>VLOOKUP(B159,Recipes!A:B,2,0)</f>
        <v>Side Dish</v>
      </c>
      <c r="D159" t="str">
        <f>VLOOKUP(B159,Recipes!A:C,3,0)</f>
        <v>Daal / Chana</v>
      </c>
      <c r="E159" s="18">
        <f>VLOOKUP(B159,Recipes!A:J,10,0)</f>
        <v>0</v>
      </c>
      <c r="F159" s="18" t="str">
        <f>VLOOKUP(B159,Recipes!A:I,9,0)</f>
        <v>12 Pcs</v>
      </c>
      <c r="G159" s="55">
        <f>SUMIF(Recipes!A:A,Consolidate!B159,Recipes!H:H)</f>
        <v>399.46500000000003</v>
      </c>
      <c r="H159" s="55">
        <f>SUMIFS(Recipes!$H:$H,Recipes!$D:$D,Consolidate!$E159,Recipes!$A:$A,Consolidate!$B159)</f>
        <v>0</v>
      </c>
      <c r="I159" s="56">
        <f t="shared" si="6"/>
        <v>399.46500000000003</v>
      </c>
      <c r="K159" s="57">
        <f>SUMIF(Recipes!A:A,Consolidate!B159,Recipes!L:L)</f>
        <v>374.34099999999995</v>
      </c>
      <c r="L159" s="59">
        <f>SUMIFS(Recipes!$L:$L,Recipes!$D:$D,Consolidate!$E159,Recipes!$A:$A,Consolidate!$B159)</f>
        <v>0</v>
      </c>
      <c r="M159" s="60">
        <f t="shared" si="7"/>
        <v>374.34099999999995</v>
      </c>
    </row>
    <row r="160" spans="1:13">
      <c r="A160">
        <f t="shared" si="8"/>
        <v>158</v>
      </c>
      <c r="B160" s="5" t="s">
        <v>110</v>
      </c>
      <c r="C160" t="str">
        <f>VLOOKUP(B160,Recipes!A:B,2,0)</f>
        <v>Side Dish</v>
      </c>
      <c r="D160" t="str">
        <f>VLOOKUP(B160,Recipes!A:C,3,0)</f>
        <v>Daal / Chana</v>
      </c>
      <c r="E160" s="18">
        <f>VLOOKUP(B160,Recipes!A:J,10,0)</f>
        <v>0</v>
      </c>
      <c r="F160" s="18" t="str">
        <f>VLOOKUP(B160,Recipes!A:I,9,0)</f>
        <v>Kg</v>
      </c>
      <c r="G160" s="55">
        <f>SUMIF(Recipes!A:A,Consolidate!B160,Recipes!H:H)</f>
        <v>672.25199999999995</v>
      </c>
      <c r="H160" s="55">
        <f>SUMIFS(Recipes!$H:$H,Recipes!$D:$D,Consolidate!$E160,Recipes!$A:$A,Consolidate!$B160)</f>
        <v>0</v>
      </c>
      <c r="I160" s="56">
        <f t="shared" si="6"/>
        <v>672.25199999999995</v>
      </c>
      <c r="K160" s="57">
        <f>SUMIF(Recipes!A:A,Consolidate!B160,Recipes!L:L)</f>
        <v>634.44000000000005</v>
      </c>
      <c r="L160" s="59">
        <f>SUMIFS(Recipes!$L:$L,Recipes!$D:$D,Consolidate!$E160,Recipes!$A:$A,Consolidate!$B160)</f>
        <v>0</v>
      </c>
      <c r="M160" s="60">
        <f t="shared" si="7"/>
        <v>634.44000000000005</v>
      </c>
    </row>
    <row r="161" spans="1:13">
      <c r="A161">
        <f t="shared" si="8"/>
        <v>159</v>
      </c>
      <c r="B161" s="5" t="s">
        <v>545</v>
      </c>
      <c r="C161" t="str">
        <f>VLOOKUP(B161,Recipes!A:B,2,0)</f>
        <v>Salad</v>
      </c>
      <c r="D161" t="str">
        <f>VLOOKUP(B161,Recipes!A:C,3,0)</f>
        <v>Without Meat</v>
      </c>
      <c r="E161" s="18">
        <f>VLOOKUP(B161,Recipes!A:J,10,0)</f>
        <v>0</v>
      </c>
      <c r="F161" s="18" t="str">
        <f>VLOOKUP(B161,Recipes!A:I,9,0)</f>
        <v>Kg</v>
      </c>
      <c r="G161" s="55">
        <f>SUMIF(Recipes!A:A,Consolidate!B161,Recipes!H:H)</f>
        <v>305</v>
      </c>
      <c r="H161" s="55">
        <f>SUMIFS(Recipes!$H:$H,Recipes!$D:$D,Consolidate!$E161,Recipes!$A:$A,Consolidate!$B161)</f>
        <v>0</v>
      </c>
      <c r="I161" s="56">
        <f t="shared" si="6"/>
        <v>305</v>
      </c>
      <c r="K161" s="57">
        <f>SUMIF(Recipes!A:A,Consolidate!B161,Recipes!L:L)</f>
        <v>300</v>
      </c>
      <c r="L161" s="59">
        <f>SUMIFS(Recipes!$L:$L,Recipes!$D:$D,Consolidate!$E161,Recipes!$A:$A,Consolidate!$B161)</f>
        <v>0</v>
      </c>
      <c r="M161" s="60">
        <f t="shared" si="7"/>
        <v>300</v>
      </c>
    </row>
    <row r="162" spans="1:13">
      <c r="A162">
        <f t="shared" si="8"/>
        <v>160</v>
      </c>
      <c r="B162" s="5" t="s">
        <v>228</v>
      </c>
      <c r="C162" t="str">
        <f>VLOOKUP(B162,Recipes!A:B,2,0)</f>
        <v>Dessert</v>
      </c>
      <c r="D162" t="str">
        <f>VLOOKUP(B162,Recipes!A:C,3,0)</f>
        <v>Dessert</v>
      </c>
      <c r="E162" s="18">
        <f>VLOOKUP(B162,Recipes!A:J,10,0)</f>
        <v>0</v>
      </c>
      <c r="F162" s="18" t="str">
        <f>VLOOKUP(B162,Recipes!A:I,9,0)</f>
        <v>Kg</v>
      </c>
      <c r="G162" s="55">
        <f>SUMIF(Recipes!A:A,Consolidate!B162,Recipes!H:H)</f>
        <v>547.88346666666666</v>
      </c>
      <c r="H162" s="55">
        <f>SUMIFS(Recipes!$H:$H,Recipes!$D:$D,Consolidate!$E162,Recipes!$A:$A,Consolidate!$B162)</f>
        <v>0</v>
      </c>
      <c r="I162" s="56">
        <f t="shared" si="6"/>
        <v>547.88346666666666</v>
      </c>
      <c r="K162" s="57">
        <f>SUMIF(Recipes!A:A,Consolidate!B162,Recipes!L:L)</f>
        <v>598.18119999999999</v>
      </c>
      <c r="L162" s="59">
        <f>SUMIFS(Recipes!$L:$L,Recipes!$D:$D,Consolidate!$E162,Recipes!$A:$A,Consolidate!$B162)</f>
        <v>0</v>
      </c>
      <c r="M162" s="60">
        <f t="shared" si="7"/>
        <v>598.18119999999999</v>
      </c>
    </row>
    <row r="163" spans="1:13">
      <c r="A163">
        <f t="shared" si="8"/>
        <v>161</v>
      </c>
      <c r="B163" s="5" t="s">
        <v>450</v>
      </c>
      <c r="C163" t="str">
        <f>VLOOKUP(B163,Recipes!A:B,2,0)</f>
        <v>Dessert</v>
      </c>
      <c r="D163" t="str">
        <f>VLOOKUP(B163,Recipes!A:C,3,0)</f>
        <v>Dessert</v>
      </c>
      <c r="E163" s="18">
        <f>VLOOKUP(B163,Recipes!A:J,10,0)</f>
        <v>0</v>
      </c>
      <c r="F163" s="18" t="str">
        <f>VLOOKUP(B163,Recipes!A:I,9,0)</f>
        <v>Ltr</v>
      </c>
      <c r="G163" s="55">
        <f>SUMIF(Recipes!A:A,Consolidate!B163,Recipes!H:H)</f>
        <v>595.72779166666669</v>
      </c>
      <c r="H163" s="55">
        <f>SUMIFS(Recipes!$H:$H,Recipes!$D:$D,Consolidate!$E163,Recipes!$A:$A,Consolidate!$B163)</f>
        <v>0</v>
      </c>
      <c r="I163" s="56">
        <f t="shared" si="6"/>
        <v>595.72779166666669</v>
      </c>
      <c r="K163" s="57">
        <f>SUMIF(Recipes!A:A,Consolidate!B163,Recipes!L:L)</f>
        <v>927.78016428571425</v>
      </c>
      <c r="L163" s="59">
        <f>SUMIFS(Recipes!$L:$L,Recipes!$D:$D,Consolidate!$E163,Recipes!$A:$A,Consolidate!$B163)</f>
        <v>0</v>
      </c>
      <c r="M163" s="60">
        <f t="shared" si="7"/>
        <v>927.78016428571425</v>
      </c>
    </row>
    <row r="164" spans="1:13">
      <c r="A164">
        <f t="shared" si="8"/>
        <v>162</v>
      </c>
      <c r="B164" s="5" t="s">
        <v>599</v>
      </c>
      <c r="C164" t="str">
        <f>VLOOKUP(B164,Recipes!A:B,2,0)</f>
        <v>Chatni &amp; Sauces</v>
      </c>
      <c r="D164" t="str">
        <f>VLOOKUP(B164,Recipes!A:C,3,0)</f>
        <v>Chatni &amp; Sauces</v>
      </c>
      <c r="E164" s="18">
        <f>VLOOKUP(B164,Recipes!A:J,10,0)</f>
        <v>0</v>
      </c>
      <c r="F164" s="18" t="str">
        <f>VLOOKUP(B164,Recipes!A:I,9,0)</f>
        <v>10 Pax</v>
      </c>
      <c r="G164" s="55">
        <f>SUMIF(Recipes!A:A,Consolidate!B164,Recipes!H:H)</f>
        <v>343.00624999999997</v>
      </c>
      <c r="H164" s="55">
        <f>SUMIFS(Recipes!$H:$H,Recipes!$D:$D,Consolidate!$E164,Recipes!$A:$A,Consolidate!$B164)</f>
        <v>0</v>
      </c>
      <c r="I164" s="56">
        <f t="shared" si="6"/>
        <v>343.00624999999997</v>
      </c>
      <c r="K164" s="57">
        <f>SUMIF(Recipes!A:A,Consolidate!B164,Recipes!L:L)</f>
        <v>169.72812500000001</v>
      </c>
      <c r="L164" s="59">
        <f>SUMIFS(Recipes!$L:$L,Recipes!$D:$D,Consolidate!$E164,Recipes!$A:$A,Consolidate!$B164)</f>
        <v>0</v>
      </c>
      <c r="M164" s="60">
        <f t="shared" si="7"/>
        <v>169.72812500000001</v>
      </c>
    </row>
    <row r="165" spans="1:13">
      <c r="A165">
        <f t="shared" si="8"/>
        <v>163</v>
      </c>
      <c r="B165" s="5" t="s">
        <v>585</v>
      </c>
      <c r="C165" t="str">
        <f>VLOOKUP(B165,Recipes!A:B,2,0)</f>
        <v>Dessert</v>
      </c>
      <c r="D165" t="str">
        <f>VLOOKUP(B165,Recipes!A:C,3,0)</f>
        <v>Dry</v>
      </c>
      <c r="E165" s="18">
        <f>VLOOKUP(B165,Recipes!A:J,10,0)</f>
        <v>0</v>
      </c>
      <c r="F165" s="18" t="str">
        <f>VLOOKUP(B165,Recipes!A:I,9,0)</f>
        <v>140 Pcs</v>
      </c>
      <c r="G165" s="55">
        <f>SUMIF(Recipes!A:A,Consolidate!B165,Recipes!H:H)</f>
        <v>3879.8665248226957</v>
      </c>
      <c r="H165" s="55">
        <f>SUMIFS(Recipes!$H:$H,Recipes!$D:$D,Consolidate!$E165,Recipes!$A:$A,Consolidate!$B165)</f>
        <v>0</v>
      </c>
      <c r="I165" s="56">
        <f t="shared" si="6"/>
        <v>3879.8665248226957</v>
      </c>
      <c r="K165" s="57">
        <f>SUMIF(Recipes!A:A,Consolidate!B165,Recipes!L:L)</f>
        <v>4664.1258156028371</v>
      </c>
      <c r="L165" s="59">
        <f>SUMIFS(Recipes!$L:$L,Recipes!$D:$D,Consolidate!$E165,Recipes!$A:$A,Consolidate!$B165)</f>
        <v>0</v>
      </c>
      <c r="M165" s="60">
        <f t="shared" si="7"/>
        <v>4664.1258156028371</v>
      </c>
    </row>
    <row r="166" spans="1:13">
      <c r="A166">
        <f t="shared" si="8"/>
        <v>164</v>
      </c>
      <c r="B166" s="5" t="s">
        <v>620</v>
      </c>
      <c r="C166" t="str">
        <f>VLOOKUP(B166,Recipes!A:B,2,0)</f>
        <v>Dessert</v>
      </c>
      <c r="D166" t="str">
        <f>VLOOKUP(B166,Recipes!A:C,3,0)</f>
        <v>Bakery</v>
      </c>
      <c r="E166" s="18">
        <f>VLOOKUP(B166,Recipes!A:J,10,0)</f>
        <v>0</v>
      </c>
      <c r="F166" s="18" t="str">
        <f>VLOOKUP(B166,Recipes!A:I,9,0)</f>
        <v>Pcs</v>
      </c>
      <c r="G166" s="55">
        <f>SUMIF(Recipes!A:A,Consolidate!B166,Recipes!H:H)</f>
        <v>84</v>
      </c>
      <c r="H166" s="55">
        <f>SUMIFS(Recipes!$H:$H,Recipes!$D:$D,Consolidate!$E166,Recipes!$A:$A,Consolidate!$B166)</f>
        <v>0</v>
      </c>
      <c r="I166" s="56">
        <f t="shared" si="6"/>
        <v>84</v>
      </c>
      <c r="K166" s="57">
        <f>SUMIF(Recipes!A:A,Consolidate!B166,Recipes!L:L)</f>
        <v>84</v>
      </c>
      <c r="L166" s="59">
        <f>SUMIFS(Recipes!$L:$L,Recipes!$D:$D,Consolidate!$E166,Recipes!$A:$A,Consolidate!$B166)</f>
        <v>0</v>
      </c>
      <c r="M166" s="60">
        <f t="shared" si="7"/>
        <v>84</v>
      </c>
    </row>
    <row r="167" spans="1:13">
      <c r="A167">
        <f t="shared" si="8"/>
        <v>165</v>
      </c>
      <c r="B167" s="5" t="s">
        <v>26</v>
      </c>
      <c r="C167" t="str">
        <f>VLOOKUP(B167,Recipes!A:B,2,0)</f>
        <v>Side Dish</v>
      </c>
      <c r="D167" t="str">
        <f>VLOOKUP(B167,Recipes!A:C,3,0)</f>
        <v>Fried</v>
      </c>
      <c r="E167" s="18">
        <f>VLOOKUP(B167,Recipes!A:J,10,0)</f>
        <v>0</v>
      </c>
      <c r="F167" s="18" t="str">
        <f>VLOOKUP(B167,Recipes!A:I,9,0)</f>
        <v>Pcs</v>
      </c>
      <c r="G167" s="55">
        <f>SUMIF(Recipes!A:A,Consolidate!B167,Recipes!H:H)</f>
        <v>38.569449999999996</v>
      </c>
      <c r="H167" s="55">
        <f>SUMIFS(Recipes!$H:$H,Recipes!$D:$D,Consolidate!$E167,Recipes!$A:$A,Consolidate!$B167)</f>
        <v>0</v>
      </c>
      <c r="I167" s="56">
        <f t="shared" si="6"/>
        <v>38.569449999999996</v>
      </c>
      <c r="K167" s="57">
        <f>SUMIF(Recipes!A:A,Consolidate!B167,Recipes!L:L)</f>
        <v>34.33</v>
      </c>
      <c r="L167" s="59">
        <f>SUMIFS(Recipes!$L:$L,Recipes!$D:$D,Consolidate!$E167,Recipes!$A:$A,Consolidate!$B167)</f>
        <v>0</v>
      </c>
      <c r="M167" s="60">
        <f t="shared" si="7"/>
        <v>34.33</v>
      </c>
    </row>
    <row r="168" spans="1:13">
      <c r="A168">
        <f t="shared" si="8"/>
        <v>166</v>
      </c>
      <c r="B168" s="5" t="s">
        <v>646</v>
      </c>
      <c r="C168" t="str">
        <f>VLOOKUP(B168,Recipes!A:B,2,0)</f>
        <v>Side Dish</v>
      </c>
      <c r="D168" t="str">
        <f>VLOOKUP(B168,Recipes!A:C,3,0)</f>
        <v>Gravy</v>
      </c>
      <c r="E168" s="18">
        <f>VLOOKUP(B168,Recipes!A:J,10,0)</f>
        <v>0</v>
      </c>
      <c r="F168" s="18" t="str">
        <f>VLOOKUP(B168,Recipes!A:I,9,0)</f>
        <v>4 Eggs</v>
      </c>
      <c r="G168" s="55">
        <f>SUMIF(Recipes!A:A,Consolidate!B168,Recipes!H:H)</f>
        <v>330.27780000000001</v>
      </c>
      <c r="H168" s="55">
        <f>SUMIFS(Recipes!$H:$H,Recipes!$D:$D,Consolidate!$E168,Recipes!$A:$A,Consolidate!$B168)</f>
        <v>0</v>
      </c>
      <c r="I168" s="56">
        <f t="shared" si="6"/>
        <v>330.27780000000001</v>
      </c>
      <c r="K168" s="57">
        <f>SUMIF(Recipes!A:A,Consolidate!B168,Recipes!L:L)</f>
        <v>319.59825000000001</v>
      </c>
      <c r="L168" s="59">
        <f>SUMIFS(Recipes!$L:$L,Recipes!$D:$D,Consolidate!$E168,Recipes!$A:$A,Consolidate!$B168)</f>
        <v>0</v>
      </c>
      <c r="M168" s="60">
        <f t="shared" si="7"/>
        <v>319.59825000000001</v>
      </c>
    </row>
    <row r="169" spans="1:13">
      <c r="A169">
        <f t="shared" si="8"/>
        <v>167</v>
      </c>
      <c r="B169" s="5" t="s">
        <v>638</v>
      </c>
      <c r="C169" t="str">
        <f>VLOOKUP(B169,Recipes!A:B,2,0)</f>
        <v>Main Course</v>
      </c>
      <c r="D169" t="str">
        <f>VLOOKUP(B169,Recipes!A:C,3,0)</f>
        <v>Fast Food</v>
      </c>
      <c r="E169" s="18">
        <f>VLOOKUP(B169,Recipes!A:J,10,0)</f>
        <v>0</v>
      </c>
      <c r="F169" s="18" t="str">
        <f>VLOOKUP(B169,Recipes!A:I,9,0)</f>
        <v>Pcs</v>
      </c>
      <c r="G169" s="55">
        <f>SUMIF(Recipes!A:A,Consolidate!B169,Recipes!H:H)</f>
        <v>36.021666666666668</v>
      </c>
      <c r="H169" s="55">
        <f>SUMIFS(Recipes!$H:$H,Recipes!$D:$D,Consolidate!$E169,Recipes!$A:$A,Consolidate!$B169)</f>
        <v>0</v>
      </c>
      <c r="I169" s="56">
        <f t="shared" si="6"/>
        <v>36.021666666666668</v>
      </c>
      <c r="K169" s="57">
        <f>SUMIF(Recipes!A:A,Consolidate!B169,Recipes!L:L)</f>
        <v>32.392916666666665</v>
      </c>
      <c r="L169" s="59">
        <f>SUMIFS(Recipes!$L:$L,Recipes!$D:$D,Consolidate!$E169,Recipes!$A:$A,Consolidate!$B169)</f>
        <v>0</v>
      </c>
      <c r="M169" s="60">
        <f t="shared" si="7"/>
        <v>32.392916666666665</v>
      </c>
    </row>
    <row r="170" spans="1:13">
      <c r="A170">
        <f t="shared" si="8"/>
        <v>168</v>
      </c>
      <c r="B170" s="5" t="s">
        <v>256</v>
      </c>
      <c r="C170" t="str">
        <f>VLOOKUP(B170,Recipes!A:B,2,0)</f>
        <v>Beverages</v>
      </c>
      <c r="D170" t="str">
        <f>VLOOKUP(B170,Recipes!A:C,3,0)</f>
        <v>Fresh Juice</v>
      </c>
      <c r="E170" s="18">
        <f>VLOOKUP(B170,Recipes!A:J,10,0)</f>
        <v>0</v>
      </c>
      <c r="F170" s="18" t="str">
        <f>VLOOKUP(B170,Recipes!A:I,9,0)</f>
        <v>Glass</v>
      </c>
      <c r="G170" s="55">
        <f>SUMIF(Recipes!A:A,Consolidate!B170,Recipes!H:H)</f>
        <v>59.593714285714285</v>
      </c>
      <c r="H170" s="55">
        <f>SUMIFS(Recipes!$H:$H,Recipes!$D:$D,Consolidate!$E170,Recipes!$A:$A,Consolidate!$B170)</f>
        <v>0</v>
      </c>
      <c r="I170" s="56">
        <f t="shared" si="6"/>
        <v>59.593714285714285</v>
      </c>
      <c r="K170" s="57">
        <f>SUMIF(Recipes!A:A,Consolidate!B170,Recipes!L:L)</f>
        <v>52.997999999999998</v>
      </c>
      <c r="L170" s="59">
        <f>SUMIFS(Recipes!$L:$L,Recipes!$D:$D,Consolidate!$E170,Recipes!$A:$A,Consolidate!$B170)</f>
        <v>0</v>
      </c>
      <c r="M170" s="60">
        <f t="shared" si="7"/>
        <v>52.997999999999998</v>
      </c>
    </row>
    <row r="171" spans="1:13">
      <c r="A171">
        <f t="shared" si="8"/>
        <v>169</v>
      </c>
      <c r="B171" s="5" t="s">
        <v>259</v>
      </c>
      <c r="C171" t="str">
        <f>VLOOKUP(B171,Recipes!A:B,2,0)</f>
        <v>Salad</v>
      </c>
      <c r="D171" t="str">
        <f>VLOOKUP(B171,Recipes!A:C,3,0)</f>
        <v>Without Meat</v>
      </c>
      <c r="E171" s="18">
        <f>VLOOKUP(B171,Recipes!A:J,10,0)</f>
        <v>0</v>
      </c>
      <c r="F171" s="18" t="str">
        <f>VLOOKUP(B171,Recipes!A:I,9,0)</f>
        <v>Inner</v>
      </c>
      <c r="G171" s="55">
        <f>SUMIF(Recipes!A:A,Consolidate!B171,Recipes!H:H)</f>
        <v>1019.0404411764705</v>
      </c>
      <c r="H171" s="55">
        <f>SUMIFS(Recipes!$H:$H,Recipes!$D:$D,Consolidate!$E171,Recipes!$A:$A,Consolidate!$B171)</f>
        <v>0</v>
      </c>
      <c r="I171" s="56">
        <f t="shared" si="6"/>
        <v>1019.0404411764705</v>
      </c>
      <c r="K171" s="57">
        <f>SUMIF(Recipes!A:A,Consolidate!B171,Recipes!L:L)</f>
        <v>681.67875000000004</v>
      </c>
      <c r="L171" s="59">
        <f>SUMIFS(Recipes!$L:$L,Recipes!$D:$D,Consolidate!$E171,Recipes!$A:$A,Consolidate!$B171)</f>
        <v>0</v>
      </c>
      <c r="M171" s="60">
        <f t="shared" si="7"/>
        <v>681.67875000000004</v>
      </c>
    </row>
    <row r="172" spans="1:13">
      <c r="A172">
        <f t="shared" si="8"/>
        <v>170</v>
      </c>
      <c r="B172" s="5" t="s">
        <v>111</v>
      </c>
      <c r="C172" t="str">
        <f>VLOOKUP(B172,Recipes!A:B,2,0)</f>
        <v>Main Course</v>
      </c>
      <c r="D172" t="str">
        <f>VLOOKUP(B172,Recipes!A:C,3,0)</f>
        <v>Fried</v>
      </c>
      <c r="E172" s="18" t="str">
        <f>VLOOKUP(B172,Recipes!A:J,10,0)</f>
        <v>Fish</v>
      </c>
      <c r="F172" s="18" t="str">
        <f>VLOOKUP(B172,Recipes!A:I,9,0)</f>
        <v>Kg</v>
      </c>
      <c r="G172" s="55">
        <f>SUMIF(Recipes!A:A,Consolidate!B172,Recipes!H:H)</f>
        <v>1912.6109999999999</v>
      </c>
      <c r="H172" s="55">
        <f>SUMIFS(Recipes!$H:$H,Recipes!$D:$D,Consolidate!$E172,Recipes!$A:$A,Consolidate!$B172)</f>
        <v>1600</v>
      </c>
      <c r="I172" s="56">
        <f t="shared" si="6"/>
        <v>312.61099999999988</v>
      </c>
      <c r="K172" s="57">
        <f>SUMIF(Recipes!A:A,Consolidate!B172,Recipes!L:L)</f>
        <v>1862.7876666666666</v>
      </c>
      <c r="L172" s="59">
        <f>SUMIFS(Recipes!$L:$L,Recipes!$D:$D,Consolidate!$E172,Recipes!$A:$A,Consolidate!$B172)</f>
        <v>1514.78</v>
      </c>
      <c r="M172" s="60">
        <f t="shared" si="7"/>
        <v>348.00766666666664</v>
      </c>
    </row>
    <row r="173" spans="1:13">
      <c r="A173">
        <f t="shared" si="8"/>
        <v>171</v>
      </c>
      <c r="B173" s="5" t="s">
        <v>451</v>
      </c>
      <c r="C173" t="str">
        <f>VLOOKUP(B173,Recipes!A:B,2,0)</f>
        <v>Main Course</v>
      </c>
      <c r="D173" t="str">
        <f>VLOOKUP(B173,Recipes!A:C,3,0)</f>
        <v>Fried</v>
      </c>
      <c r="E173" s="18" t="str">
        <f>VLOOKUP(B173,Recipes!A:J,10,0)</f>
        <v>Fish</v>
      </c>
      <c r="F173" s="18" t="str">
        <f>VLOOKUP(B173,Recipes!A:I,9,0)</f>
        <v>Kg</v>
      </c>
      <c r="G173" s="55">
        <f>SUMIF(Recipes!A:A,Consolidate!B173,Recipes!H:H)</f>
        <v>1871.7722000000001</v>
      </c>
      <c r="H173" s="55">
        <f>SUMIFS(Recipes!$H:$H,Recipes!$D:$D,Consolidate!$E173,Recipes!$A:$A,Consolidate!$B173)</f>
        <v>1600</v>
      </c>
      <c r="I173" s="56">
        <f t="shared" si="6"/>
        <v>271.77220000000011</v>
      </c>
      <c r="K173" s="57">
        <f>SUMIF(Recipes!A:A,Consolidate!B173,Recipes!L:L)</f>
        <v>1800.2977000000001</v>
      </c>
      <c r="L173" s="59">
        <f>SUMIFS(Recipes!$L:$L,Recipes!$D:$D,Consolidate!$E173,Recipes!$A:$A,Consolidate!$B173)</f>
        <v>1514.78</v>
      </c>
      <c r="M173" s="60">
        <f t="shared" si="7"/>
        <v>285.5177000000001</v>
      </c>
    </row>
    <row r="174" spans="1:13">
      <c r="A174">
        <f t="shared" si="8"/>
        <v>172</v>
      </c>
      <c r="B174" s="5" t="s">
        <v>332</v>
      </c>
      <c r="C174" t="str">
        <f>VLOOKUP(B174,Recipes!A:B,2,0)</f>
        <v>Main Course</v>
      </c>
      <c r="D174" t="str">
        <f>VLOOKUP(B174,Recipes!A:C,3,0)</f>
        <v>Fried</v>
      </c>
      <c r="E174" s="18" t="str">
        <f>VLOOKUP(B174,Recipes!A:J,10,0)</f>
        <v>Fish</v>
      </c>
      <c r="F174" s="18" t="str">
        <f>VLOOKUP(B174,Recipes!A:I,9,0)</f>
        <v>Kg</v>
      </c>
      <c r="G174" s="55">
        <f>SUMIF(Recipes!A:A,Consolidate!B174,Recipes!H:H)</f>
        <v>2174.4720000000002</v>
      </c>
      <c r="H174" s="55">
        <f>SUMIFS(Recipes!$H:$H,Recipes!$D:$D,Consolidate!$E174,Recipes!$A:$A,Consolidate!$B174)</f>
        <v>1600</v>
      </c>
      <c r="I174" s="56">
        <f t="shared" si="6"/>
        <v>574.47200000000021</v>
      </c>
      <c r="K174" s="57">
        <f>SUMIF(Recipes!A:A,Consolidate!B174,Recipes!L:L)</f>
        <v>2106.0300000000002</v>
      </c>
      <c r="L174" s="59">
        <f>SUMIFS(Recipes!$L:$L,Recipes!$D:$D,Consolidate!$E174,Recipes!$A:$A,Consolidate!$B174)</f>
        <v>1514.78</v>
      </c>
      <c r="M174" s="60">
        <f t="shared" si="7"/>
        <v>591.25000000000023</v>
      </c>
    </row>
    <row r="175" spans="1:13">
      <c r="A175">
        <f t="shared" si="8"/>
        <v>173</v>
      </c>
      <c r="B175" s="5" t="s">
        <v>204</v>
      </c>
      <c r="C175" t="str">
        <f>VLOOKUP(B175,Recipes!A:B,2,0)</f>
        <v>Main Course</v>
      </c>
      <c r="D175" t="str">
        <f>VLOOKUP(B175,Recipes!A:C,3,0)</f>
        <v>Gravy</v>
      </c>
      <c r="E175" s="18" t="str">
        <f>VLOOKUP(B175,Recipes!A:J,10,0)</f>
        <v>Fish</v>
      </c>
      <c r="F175" s="18" t="str">
        <f>VLOOKUP(B175,Recipes!A:I,9,0)</f>
        <v>Kg</v>
      </c>
      <c r="G175" s="55">
        <f>SUMIF(Recipes!A:A,Consolidate!B175,Recipes!H:H)</f>
        <v>1715.01575</v>
      </c>
      <c r="H175" s="55">
        <f>SUMIFS(Recipes!$H:$H,Recipes!$D:$D,Consolidate!$E175,Recipes!$A:$A,Consolidate!$B175)</f>
        <v>1600</v>
      </c>
      <c r="I175" s="56">
        <f t="shared" si="6"/>
        <v>115.01575000000003</v>
      </c>
      <c r="K175" s="57">
        <f>SUMIF(Recipes!A:A,Consolidate!B175,Recipes!L:L)</f>
        <v>1625.5716666666665</v>
      </c>
      <c r="L175" s="59">
        <f>SUMIFS(Recipes!$L:$L,Recipes!$D:$D,Consolidate!$E175,Recipes!$A:$A,Consolidate!$B175)</f>
        <v>1514.78</v>
      </c>
      <c r="M175" s="60">
        <f t="shared" si="7"/>
        <v>110.79166666666652</v>
      </c>
    </row>
    <row r="176" spans="1:13">
      <c r="A176">
        <f t="shared" si="8"/>
        <v>174</v>
      </c>
      <c r="B176" s="5" t="s">
        <v>184</v>
      </c>
      <c r="C176" t="str">
        <f>VLOOKUP(B176,Recipes!A:B,2,0)</f>
        <v>Main Course</v>
      </c>
      <c r="D176" t="str">
        <f>VLOOKUP(B176,Recipes!A:C,3,0)</f>
        <v>Fried</v>
      </c>
      <c r="E176" s="18" t="str">
        <f>VLOOKUP(B176,Recipes!A:J,10,0)</f>
        <v>Fish</v>
      </c>
      <c r="F176" s="18" t="str">
        <f>VLOOKUP(B176,Recipes!A:I,9,0)</f>
        <v>Kg</v>
      </c>
      <c r="G176" s="55">
        <f>SUMIF(Recipes!A:A,Consolidate!B176,Recipes!H:H)</f>
        <v>1757.6077750000002</v>
      </c>
      <c r="H176" s="55">
        <f>SUMIFS(Recipes!$H:$H,Recipes!$D:$D,Consolidate!$E176,Recipes!$A:$A,Consolidate!$B176)</f>
        <v>1600</v>
      </c>
      <c r="I176" s="56">
        <f t="shared" si="6"/>
        <v>157.60777500000017</v>
      </c>
      <c r="K176" s="57">
        <f>SUMIF(Recipes!A:A,Consolidate!B176,Recipes!L:L)</f>
        <v>1670.2893250000002</v>
      </c>
      <c r="L176" s="59">
        <f>SUMIFS(Recipes!$L:$L,Recipes!$D:$D,Consolidate!$E176,Recipes!$A:$A,Consolidate!$B176)</f>
        <v>1514.78</v>
      </c>
      <c r="M176" s="60">
        <f t="shared" si="7"/>
        <v>155.50932500000022</v>
      </c>
    </row>
    <row r="177" spans="1:13">
      <c r="A177">
        <f t="shared" si="8"/>
        <v>175</v>
      </c>
      <c r="B177" s="5" t="s">
        <v>288</v>
      </c>
      <c r="C177" t="str">
        <f>VLOOKUP(B177,Recipes!A:B,2,0)</f>
        <v>Main Course</v>
      </c>
      <c r="D177" t="str">
        <f>VLOOKUP(B177,Recipes!A:C,3,0)</f>
        <v>Fried</v>
      </c>
      <c r="E177" s="18" t="str">
        <f>VLOOKUP(B177,Recipes!A:J,10,0)</f>
        <v>Fish</v>
      </c>
      <c r="F177" s="18" t="str">
        <f>VLOOKUP(B177,Recipes!A:I,9,0)</f>
        <v>Kg</v>
      </c>
      <c r="G177" s="55">
        <f>SUMIF(Recipes!A:A,Consolidate!B177,Recipes!H:H)</f>
        <v>1865.9538142857143</v>
      </c>
      <c r="H177" s="55">
        <f>SUMIFS(Recipes!$H:$H,Recipes!$D:$D,Consolidate!$E177,Recipes!$A:$A,Consolidate!$B177)</f>
        <v>1600</v>
      </c>
      <c r="I177" s="56">
        <f t="shared" si="6"/>
        <v>265.95381428571432</v>
      </c>
      <c r="K177" s="57">
        <f>SUMIF(Recipes!A:A,Consolidate!B177,Recipes!L:L)</f>
        <v>1792.0552785714283</v>
      </c>
      <c r="L177" s="59">
        <f>SUMIFS(Recipes!$L:$L,Recipes!$D:$D,Consolidate!$E177,Recipes!$A:$A,Consolidate!$B177)</f>
        <v>1514.78</v>
      </c>
      <c r="M177" s="60">
        <f t="shared" si="7"/>
        <v>277.27527857142832</v>
      </c>
    </row>
    <row r="178" spans="1:13">
      <c r="A178">
        <f t="shared" si="8"/>
        <v>176</v>
      </c>
      <c r="B178" s="5" t="s">
        <v>319</v>
      </c>
      <c r="C178" t="str">
        <f>VLOOKUP(B178,Recipes!A:B,2,0)</f>
        <v>Main Course</v>
      </c>
      <c r="D178" t="str">
        <f>VLOOKUP(B178,Recipes!A:C,3,0)</f>
        <v>Gravy</v>
      </c>
      <c r="E178" s="18" t="str">
        <f>VLOOKUP(B178,Recipes!A:J,10,0)</f>
        <v>Fish</v>
      </c>
      <c r="F178" s="18" t="str">
        <f>VLOOKUP(B178,Recipes!A:I,9,0)</f>
        <v>Kg</v>
      </c>
      <c r="G178" s="55">
        <f>SUMIF(Recipes!A:A,Consolidate!B178,Recipes!H:H)</f>
        <v>1798.5258750000003</v>
      </c>
      <c r="H178" s="55">
        <f>SUMIFS(Recipes!$H:$H,Recipes!$D:$D,Consolidate!$E178,Recipes!$A:$A,Consolidate!$B178)</f>
        <v>1600</v>
      </c>
      <c r="I178" s="56">
        <f t="shared" si="6"/>
        <v>198.52587500000027</v>
      </c>
      <c r="K178" s="57">
        <f>SUMIF(Recipes!A:A,Consolidate!B178,Recipes!L:L)</f>
        <v>1989.7626249999996</v>
      </c>
      <c r="L178" s="59">
        <f>SUMIFS(Recipes!$L:$L,Recipes!$D:$D,Consolidate!$E178,Recipes!$A:$A,Consolidate!$B178)</f>
        <v>1514.78</v>
      </c>
      <c r="M178" s="60">
        <f t="shared" si="7"/>
        <v>474.98262499999964</v>
      </c>
    </row>
    <row r="179" spans="1:13">
      <c r="A179">
        <f t="shared" si="8"/>
        <v>177</v>
      </c>
      <c r="B179" s="5" t="s">
        <v>114</v>
      </c>
      <c r="C179" t="str">
        <f>VLOOKUP(B179,Recipes!A:B,2,0)</f>
        <v>Main Course</v>
      </c>
      <c r="D179" t="str">
        <f>VLOOKUP(B179,Recipes!A:C,3,0)</f>
        <v>Grilled</v>
      </c>
      <c r="E179" s="18" t="str">
        <f>VLOOKUP(B179,Recipes!A:J,10,0)</f>
        <v>Fish</v>
      </c>
      <c r="F179" s="18" t="str">
        <f>VLOOKUP(B179,Recipes!A:I,9,0)</f>
        <v>Kg</v>
      </c>
      <c r="G179" s="55">
        <f>SUMIF(Recipes!A:A,Consolidate!B179,Recipes!H:H)</f>
        <v>1796.2796666666668</v>
      </c>
      <c r="H179" s="55">
        <f>SUMIFS(Recipes!$H:$H,Recipes!$D:$D,Consolidate!$E179,Recipes!$A:$A,Consolidate!$B179)</f>
        <v>1600</v>
      </c>
      <c r="I179" s="56">
        <f t="shared" si="6"/>
        <v>196.2796666666668</v>
      </c>
      <c r="K179" s="57">
        <f>SUMIF(Recipes!A:A,Consolidate!B179,Recipes!L:L)</f>
        <v>2202.5524999999998</v>
      </c>
      <c r="L179" s="59">
        <f>SUMIFS(Recipes!$L:$L,Recipes!$D:$D,Consolidate!$E179,Recipes!$A:$A,Consolidate!$B179)</f>
        <v>1514.78</v>
      </c>
      <c r="M179" s="60">
        <f t="shared" si="7"/>
        <v>687.77249999999981</v>
      </c>
    </row>
    <row r="180" spans="1:13">
      <c r="A180">
        <f t="shared" si="8"/>
        <v>178</v>
      </c>
      <c r="B180" s="5" t="s">
        <v>432</v>
      </c>
      <c r="C180" t="str">
        <f>VLOOKUP(B180,Recipes!A:B,2,0)</f>
        <v>Main Course</v>
      </c>
      <c r="D180" t="str">
        <f>VLOOKUP(B180,Recipes!A:C,3,0)</f>
        <v>Fried</v>
      </c>
      <c r="E180" s="18" t="str">
        <f>VLOOKUP(B180,Recipes!A:J,10,0)</f>
        <v>Fish</v>
      </c>
      <c r="F180" s="18" t="str">
        <f>VLOOKUP(B180,Recipes!A:I,9,0)</f>
        <v>Kg</v>
      </c>
      <c r="G180" s="55">
        <f>SUMIF(Recipes!A:A,Consolidate!B180,Recipes!H:H)</f>
        <v>1937.3544999999999</v>
      </c>
      <c r="H180" s="55">
        <f>SUMIFS(Recipes!$H:$H,Recipes!$D:$D,Consolidate!$E180,Recipes!$A:$A,Consolidate!$B180)</f>
        <v>1600</v>
      </c>
      <c r="I180" s="56">
        <f t="shared" si="6"/>
        <v>337.35449999999992</v>
      </c>
      <c r="K180" s="57">
        <f>SUMIF(Recipes!A:A,Consolidate!B180,Recipes!L:L)</f>
        <v>1867.4838499999996</v>
      </c>
      <c r="L180" s="59">
        <f>SUMIFS(Recipes!$L:$L,Recipes!$D:$D,Consolidate!$E180,Recipes!$A:$A,Consolidate!$B180)</f>
        <v>1514.78</v>
      </c>
      <c r="M180" s="60">
        <f t="shared" si="7"/>
        <v>352.70384999999965</v>
      </c>
    </row>
    <row r="181" spans="1:13">
      <c r="A181">
        <f t="shared" si="8"/>
        <v>179</v>
      </c>
      <c r="B181" s="5" t="s">
        <v>427</v>
      </c>
      <c r="C181" t="str">
        <f>VLOOKUP(B181,Recipes!A:B,2,0)</f>
        <v>Main Course</v>
      </c>
      <c r="D181" t="str">
        <f>VLOOKUP(B181,Recipes!A:C,3,0)</f>
        <v>Fried</v>
      </c>
      <c r="E181" s="18" t="str">
        <f>VLOOKUP(B181,Recipes!A:J,10,0)</f>
        <v>Fish</v>
      </c>
      <c r="F181" s="18" t="str">
        <f>VLOOKUP(B181,Recipes!A:I,9,0)</f>
        <v>Kg</v>
      </c>
      <c r="G181" s="55">
        <f>SUMIF(Recipes!A:A,Consolidate!B181,Recipes!H:H)</f>
        <v>1914.0835000000004</v>
      </c>
      <c r="H181" s="55">
        <f>SUMIFS(Recipes!$H:$H,Recipes!$D:$D,Consolidate!$E181,Recipes!$A:$A,Consolidate!$B181)</f>
        <v>1600</v>
      </c>
      <c r="I181" s="56">
        <f t="shared" si="6"/>
        <v>314.08350000000041</v>
      </c>
      <c r="K181" s="57">
        <f>SUMIF(Recipes!A:A,Consolidate!B181,Recipes!L:L)</f>
        <v>1968.047875</v>
      </c>
      <c r="L181" s="59">
        <f>SUMIFS(Recipes!$L:$L,Recipes!$D:$D,Consolidate!$E181,Recipes!$A:$A,Consolidate!$B181)</f>
        <v>1514.78</v>
      </c>
      <c r="M181" s="60">
        <f t="shared" si="7"/>
        <v>453.267875</v>
      </c>
    </row>
    <row r="182" spans="1:13">
      <c r="A182">
        <f t="shared" si="8"/>
        <v>180</v>
      </c>
      <c r="B182" s="5" t="s">
        <v>115</v>
      </c>
      <c r="C182" t="str">
        <f>VLOOKUP(B182,Recipes!A:B,2,0)</f>
        <v>Main Course</v>
      </c>
      <c r="D182" t="str">
        <f>VLOOKUP(B182,Recipes!A:C,3,0)</f>
        <v>BBQ</v>
      </c>
      <c r="E182" s="18" t="str">
        <f>VLOOKUP(B182,Recipes!A:J,10,0)</f>
        <v>Fish</v>
      </c>
      <c r="F182" s="18" t="str">
        <f>VLOOKUP(B182,Recipes!A:I,9,0)</f>
        <v>Kg</v>
      </c>
      <c r="G182" s="55">
        <f>SUMIF(Recipes!A:A,Consolidate!B182,Recipes!H:H)</f>
        <v>1715.63725</v>
      </c>
      <c r="H182" s="55">
        <f>SUMIFS(Recipes!$H:$H,Recipes!$D:$D,Consolidate!$E182,Recipes!$A:$A,Consolidate!$B182)</f>
        <v>1600</v>
      </c>
      <c r="I182" s="56">
        <f t="shared" si="6"/>
        <v>115.63724999999999</v>
      </c>
      <c r="K182" s="57">
        <f>SUMIF(Recipes!A:A,Consolidate!B182,Recipes!L:L)</f>
        <v>1999.5678124999999</v>
      </c>
      <c r="L182" s="59">
        <f>SUMIFS(Recipes!$L:$L,Recipes!$D:$D,Consolidate!$E182,Recipes!$A:$A,Consolidate!$B182)</f>
        <v>1514.78</v>
      </c>
      <c r="M182" s="60">
        <f t="shared" si="7"/>
        <v>484.78781249999997</v>
      </c>
    </row>
    <row r="183" spans="1:13">
      <c r="A183">
        <f t="shared" si="8"/>
        <v>181</v>
      </c>
      <c r="B183" s="5" t="s">
        <v>116</v>
      </c>
      <c r="C183" t="str">
        <f>VLOOKUP(B183,Recipes!A:B,2,0)</f>
        <v>Appetizer</v>
      </c>
      <c r="D183" t="str">
        <f>VLOOKUP(B183,Recipes!A:C,3,0)</f>
        <v>French Fries</v>
      </c>
      <c r="E183" s="18">
        <f>VLOOKUP(B183,Recipes!A:J,10,0)</f>
        <v>0</v>
      </c>
      <c r="F183" s="18" t="str">
        <f>VLOOKUP(B183,Recipes!A:I,9,0)</f>
        <v>Kg</v>
      </c>
      <c r="G183" s="55">
        <f>SUMIF(Recipes!A:A,Consolidate!B183,Recipes!H:H)</f>
        <v>169.42599999999999</v>
      </c>
      <c r="H183" s="55">
        <f>SUMIFS(Recipes!$H:$H,Recipes!$D:$D,Consolidate!$E183,Recipes!$A:$A,Consolidate!$B183)</f>
        <v>0</v>
      </c>
      <c r="I183" s="56">
        <f t="shared" si="6"/>
        <v>169.42599999999999</v>
      </c>
      <c r="K183" s="57">
        <f>SUMIF(Recipes!A:A,Consolidate!B183,Recipes!L:L)</f>
        <v>190.55</v>
      </c>
      <c r="L183" s="59">
        <f>SUMIFS(Recipes!$L:$L,Recipes!$D:$D,Consolidate!$E183,Recipes!$A:$A,Consolidate!$B183)</f>
        <v>0</v>
      </c>
      <c r="M183" s="60">
        <f t="shared" si="7"/>
        <v>190.55</v>
      </c>
    </row>
    <row r="184" spans="1:13">
      <c r="A184">
        <f t="shared" si="8"/>
        <v>182</v>
      </c>
      <c r="B184" s="5" t="s">
        <v>528</v>
      </c>
      <c r="C184" t="str">
        <f>VLOOKUP(B184,Recipes!A:B,2,0)</f>
        <v>Dessert</v>
      </c>
      <c r="D184" t="str">
        <f>VLOOKUP(B184,Recipes!A:C,3,0)</f>
        <v>Dry</v>
      </c>
      <c r="E184" s="18">
        <f>VLOOKUP(B184,Recipes!A:J,10,0)</f>
        <v>0</v>
      </c>
      <c r="F184" s="18" t="str">
        <f>VLOOKUP(B184,Recipes!A:I,9,0)</f>
        <v>Kg</v>
      </c>
      <c r="G184" s="55">
        <f>SUMIF(Recipes!A:A,Consolidate!B184,Recipes!H:H)</f>
        <v>300</v>
      </c>
      <c r="H184" s="55">
        <f>SUMIFS(Recipes!$H:$H,Recipes!$D:$D,Consolidate!$E184,Recipes!$A:$A,Consolidate!$B184)</f>
        <v>0</v>
      </c>
      <c r="I184" s="56">
        <f t="shared" si="6"/>
        <v>300</v>
      </c>
      <c r="K184" s="57">
        <f>SUMIF(Recipes!A:A,Consolidate!B184,Recipes!L:L)</f>
        <v>300</v>
      </c>
      <c r="L184" s="59">
        <f>SUMIFS(Recipes!$L:$L,Recipes!$D:$D,Consolidate!$E184,Recipes!$A:$A,Consolidate!$B184)</f>
        <v>0</v>
      </c>
      <c r="M184" s="60">
        <f t="shared" si="7"/>
        <v>300</v>
      </c>
    </row>
    <row r="185" spans="1:13">
      <c r="A185">
        <f t="shared" si="8"/>
        <v>183</v>
      </c>
      <c r="B185" s="5" t="s">
        <v>426</v>
      </c>
      <c r="C185" t="str">
        <f>VLOOKUP(B185,Recipes!A:B,2,0)</f>
        <v>Salad</v>
      </c>
      <c r="D185" t="str">
        <f>VLOOKUP(B185,Recipes!A:C,3,0)</f>
        <v>Without Meat</v>
      </c>
      <c r="E185" s="18">
        <f>VLOOKUP(B185,Recipes!A:J,10,0)</f>
        <v>0</v>
      </c>
      <c r="F185" s="18" t="str">
        <f>VLOOKUP(B185,Recipes!A:I,9,0)</f>
        <v>Kg</v>
      </c>
      <c r="G185" s="55">
        <f>SUMIF(Recipes!A:A,Consolidate!B185,Recipes!H:H)</f>
        <v>209.58904109589039</v>
      </c>
      <c r="H185" s="55">
        <f>SUMIFS(Recipes!$H:$H,Recipes!$D:$D,Consolidate!$E185,Recipes!$A:$A,Consolidate!$B185)</f>
        <v>0</v>
      </c>
      <c r="I185" s="56">
        <f t="shared" si="6"/>
        <v>209.58904109589039</v>
      </c>
      <c r="K185" s="57">
        <f>SUMIF(Recipes!A:A,Consolidate!B185,Recipes!L:L)</f>
        <v>138.69863013698628</v>
      </c>
      <c r="L185" s="59">
        <f>SUMIFS(Recipes!$L:$L,Recipes!$D:$D,Consolidate!$E185,Recipes!$A:$A,Consolidate!$B185)</f>
        <v>0</v>
      </c>
      <c r="M185" s="60">
        <f t="shared" si="7"/>
        <v>138.69863013698628</v>
      </c>
    </row>
    <row r="186" spans="1:13">
      <c r="A186">
        <f t="shared" si="8"/>
        <v>184</v>
      </c>
      <c r="B186" s="5" t="s">
        <v>117</v>
      </c>
      <c r="C186" t="str">
        <f>VLOOKUP(B186,Recipes!A:B,2,0)</f>
        <v>Main Course</v>
      </c>
      <c r="D186" t="str">
        <f>VLOOKUP(B186,Recipes!A:C,3,0)</f>
        <v>Fried</v>
      </c>
      <c r="E186" s="18" t="str">
        <f>VLOOKUP(B186,Recipes!A:J,10,0)</f>
        <v>Fish</v>
      </c>
      <c r="F186" s="18" t="str">
        <f>VLOOKUP(B186,Recipes!A:I,9,0)</f>
        <v>Kg</v>
      </c>
      <c r="G186" s="55">
        <f>SUMIF(Recipes!A:A,Consolidate!B186,Recipes!H:H)</f>
        <v>1918.6379999999999</v>
      </c>
      <c r="H186" s="55">
        <f>SUMIFS(Recipes!$H:$H,Recipes!$D:$D,Consolidate!$E186,Recipes!$A:$A,Consolidate!$B186)</f>
        <v>1600</v>
      </c>
      <c r="I186" s="56">
        <f t="shared" si="6"/>
        <v>318.63799999999992</v>
      </c>
      <c r="K186" s="57">
        <f>SUMIF(Recipes!A:A,Consolidate!B186,Recipes!L:L)</f>
        <v>1864.7865714285713</v>
      </c>
      <c r="L186" s="59">
        <f>SUMIFS(Recipes!$L:$L,Recipes!$D:$D,Consolidate!$E186,Recipes!$A:$A,Consolidate!$B186)</f>
        <v>1514.78</v>
      </c>
      <c r="M186" s="60">
        <f t="shared" si="7"/>
        <v>350.00657142857131</v>
      </c>
    </row>
    <row r="187" spans="1:13">
      <c r="A187">
        <f t="shared" si="8"/>
        <v>185</v>
      </c>
      <c r="B187" s="5" t="s">
        <v>664</v>
      </c>
      <c r="C187" t="str">
        <f>VLOOKUP(B187,Recipes!A:B,2,0)</f>
        <v>Side Dish</v>
      </c>
      <c r="D187" t="str">
        <f>VLOOKUP(B187,Recipes!A:C,3,0)</f>
        <v>Fried</v>
      </c>
      <c r="E187" s="18">
        <f>VLOOKUP(B187,Recipes!A:J,10,0)</f>
        <v>0</v>
      </c>
      <c r="F187" s="18" t="str">
        <f>VLOOKUP(B187,Recipes!A:I,9,0)</f>
        <v>Kg</v>
      </c>
      <c r="G187" s="55">
        <f>SUMIF(Recipes!A:A,Consolidate!B187,Recipes!H:H)</f>
        <v>477.78899999999999</v>
      </c>
      <c r="H187" s="55">
        <f>SUMIFS(Recipes!$H:$H,Recipes!$D:$D,Consolidate!$E187,Recipes!$A:$A,Consolidate!$B187)</f>
        <v>0</v>
      </c>
      <c r="I187" s="56">
        <f t="shared" si="6"/>
        <v>477.78899999999999</v>
      </c>
      <c r="K187" s="57">
        <f>SUMIF(Recipes!A:A,Consolidate!B187,Recipes!L:L)</f>
        <v>512.42000000000007</v>
      </c>
      <c r="L187" s="59">
        <f>SUMIFS(Recipes!$L:$L,Recipes!$D:$D,Consolidate!$E187,Recipes!$A:$A,Consolidate!$B187)</f>
        <v>0</v>
      </c>
      <c r="M187" s="60">
        <f t="shared" si="7"/>
        <v>512.42000000000007</v>
      </c>
    </row>
    <row r="188" spans="1:13">
      <c r="A188">
        <f t="shared" si="8"/>
        <v>186</v>
      </c>
      <c r="B188" s="5" t="s">
        <v>652</v>
      </c>
      <c r="C188" t="str">
        <f>VLOOKUP(B188,Recipes!A:B,2,0)</f>
        <v>Side Dish</v>
      </c>
      <c r="D188" t="str">
        <f>VLOOKUP(B188,Recipes!A:C,3,0)</f>
        <v>Fried</v>
      </c>
      <c r="E188" s="18">
        <f>VLOOKUP(B188,Recipes!A:J,10,0)</f>
        <v>0</v>
      </c>
      <c r="F188" s="18" t="str">
        <f>VLOOKUP(B188,Recipes!A:I,9,0)</f>
        <v>Kg</v>
      </c>
      <c r="G188" s="55">
        <f>SUMIF(Recipes!A:A,Consolidate!B188,Recipes!H:H)</f>
        <v>151.48583333333332</v>
      </c>
      <c r="H188" s="55">
        <f>SUMIFS(Recipes!$H:$H,Recipes!$D:$D,Consolidate!$E188,Recipes!$A:$A,Consolidate!$B188)</f>
        <v>0</v>
      </c>
      <c r="I188" s="56">
        <f t="shared" si="6"/>
        <v>151.48583333333332</v>
      </c>
      <c r="K188" s="57">
        <f>SUMIF(Recipes!A:A,Consolidate!B188,Recipes!L:L)</f>
        <v>216.45</v>
      </c>
      <c r="L188" s="59">
        <f>SUMIFS(Recipes!$L:$L,Recipes!$D:$D,Consolidate!$E188,Recipes!$A:$A,Consolidate!$B188)</f>
        <v>0</v>
      </c>
      <c r="M188" s="60">
        <f t="shared" si="7"/>
        <v>216.45</v>
      </c>
    </row>
    <row r="189" spans="1:13">
      <c r="A189">
        <f t="shared" si="8"/>
        <v>187</v>
      </c>
      <c r="B189" s="5" t="s">
        <v>635</v>
      </c>
      <c r="C189" t="str">
        <f>VLOOKUP(B189,Recipes!A:B,2,0)</f>
        <v>Main Course</v>
      </c>
      <c r="D189" t="str">
        <f>VLOOKUP(B189,Recipes!A:C,3,0)</f>
        <v>Fried</v>
      </c>
      <c r="E189" s="18" t="str">
        <f>VLOOKUP(B189,Recipes!A:J,10,0)</f>
        <v>Chicken Boneless</v>
      </c>
      <c r="F189" s="18" t="str">
        <f>VLOOKUP(B189,Recipes!A:I,9,0)</f>
        <v>Kg</v>
      </c>
      <c r="G189" s="55">
        <f>SUMIF(Recipes!A:A,Consolidate!B189,Recipes!H:H)</f>
        <v>1457.5227400000001</v>
      </c>
      <c r="H189" s="55">
        <f>SUMIFS(Recipes!$H:$H,Recipes!$D:$D,Consolidate!$E189,Recipes!$A:$A,Consolidate!$B189)</f>
        <v>908</v>
      </c>
      <c r="I189" s="56">
        <f t="shared" si="6"/>
        <v>549.52274000000011</v>
      </c>
      <c r="K189" s="57">
        <f>SUMIF(Recipes!A:A,Consolidate!B189,Recipes!L:L)</f>
        <v>1358.6640299999999</v>
      </c>
      <c r="L189" s="59">
        <f>SUMIFS(Recipes!$L:$L,Recipes!$D:$D,Consolidate!$E189,Recipes!$A:$A,Consolidate!$B189)</f>
        <v>908</v>
      </c>
      <c r="M189" s="60">
        <f t="shared" si="7"/>
        <v>450.66402999999991</v>
      </c>
    </row>
    <row r="190" spans="1:13">
      <c r="A190">
        <f t="shared" si="8"/>
        <v>188</v>
      </c>
      <c r="B190" s="5" t="s">
        <v>215</v>
      </c>
      <c r="C190" t="str">
        <f>VLOOKUP(B190,Recipes!A:B,2,0)</f>
        <v>Dessert</v>
      </c>
      <c r="D190" t="str">
        <f>VLOOKUP(B190,Recipes!A:C,3,0)</f>
        <v>Bakery</v>
      </c>
      <c r="E190" s="18">
        <f>VLOOKUP(B190,Recipes!A:J,10,0)</f>
        <v>0</v>
      </c>
      <c r="F190" s="18" t="str">
        <f>VLOOKUP(B190,Recipes!A:I,9,0)</f>
        <v>Pcs</v>
      </c>
      <c r="G190" s="55">
        <f>SUMIF(Recipes!A:A,Consolidate!B190,Recipes!H:H)</f>
        <v>542.56250666666676</v>
      </c>
      <c r="H190" s="55">
        <f>SUMIFS(Recipes!$H:$H,Recipes!$D:$D,Consolidate!$E190,Recipes!$A:$A,Consolidate!$B190)</f>
        <v>0</v>
      </c>
      <c r="I190" s="56">
        <f t="shared" si="6"/>
        <v>542.56250666666676</v>
      </c>
      <c r="K190" s="57">
        <f>SUMIF(Recipes!A:A,Consolidate!B190,Recipes!L:L)</f>
        <v>535.19402666666667</v>
      </c>
      <c r="L190" s="59">
        <f>SUMIFS(Recipes!$L:$L,Recipes!$D:$D,Consolidate!$E190,Recipes!$A:$A,Consolidate!$B190)</f>
        <v>0</v>
      </c>
      <c r="M190" s="60">
        <f t="shared" si="7"/>
        <v>535.19402666666667</v>
      </c>
    </row>
    <row r="191" spans="1:13">
      <c r="A191">
        <f t="shared" si="8"/>
        <v>189</v>
      </c>
      <c r="B191" s="5" t="s">
        <v>518</v>
      </c>
      <c r="C191" t="str">
        <f>VLOOKUP(B191,Recipes!A:B,2,0)</f>
        <v>Dessert</v>
      </c>
      <c r="D191" t="str">
        <f>VLOOKUP(B191,Recipes!A:C,3,0)</f>
        <v>Dessert</v>
      </c>
      <c r="E191" s="18">
        <f>VLOOKUP(B191,Recipes!A:J,10,0)</f>
        <v>0</v>
      </c>
      <c r="F191" s="18" t="str">
        <f>VLOOKUP(B191,Recipes!A:I,9,0)</f>
        <v>Ltr</v>
      </c>
      <c r="G191" s="55">
        <f>SUMIF(Recipes!A:A,Consolidate!B191,Recipes!H:H)</f>
        <v>851.06666666666661</v>
      </c>
      <c r="H191" s="55">
        <f>SUMIFS(Recipes!$H:$H,Recipes!$D:$D,Consolidate!$E191,Recipes!$A:$A,Consolidate!$B191)</f>
        <v>0</v>
      </c>
      <c r="I191" s="56">
        <f t="shared" si="6"/>
        <v>851.06666666666661</v>
      </c>
      <c r="K191" s="57">
        <f>SUMIF(Recipes!A:A,Consolidate!B191,Recipes!L:L)</f>
        <v>665.65000000000009</v>
      </c>
      <c r="L191" s="59">
        <f>SUMIFS(Recipes!$L:$L,Recipes!$D:$D,Consolidate!$E191,Recipes!$A:$A,Consolidate!$B191)</f>
        <v>0</v>
      </c>
      <c r="M191" s="60">
        <f t="shared" si="7"/>
        <v>665.65000000000009</v>
      </c>
    </row>
    <row r="192" spans="1:13">
      <c r="A192">
        <f t="shared" si="8"/>
        <v>190</v>
      </c>
      <c r="B192" s="5" t="s">
        <v>785</v>
      </c>
      <c r="C192" t="str">
        <f>VLOOKUP(B192,Recipes!A:B,2,0)</f>
        <v>Dessert</v>
      </c>
      <c r="D192" t="str">
        <f>VLOOKUP(B192,Recipes!A:C,3,0)</f>
        <v>Dessert</v>
      </c>
      <c r="E192" s="18">
        <f>VLOOKUP(B192,Recipes!A:J,10,0)</f>
        <v>0</v>
      </c>
      <c r="F192" s="18" t="str">
        <f>VLOOKUP(B192,Recipes!A:I,9,0)</f>
        <v>Kg</v>
      </c>
      <c r="G192" s="55">
        <f>SUMIF(Recipes!A:A,Consolidate!B192,Recipes!H:H)</f>
        <v>619.8133499999999</v>
      </c>
      <c r="H192" s="55">
        <f>SUMIFS(Recipes!$H:$H,Recipes!$D:$D,Consolidate!$E192,Recipes!$A:$A,Consolidate!$B192)</f>
        <v>0</v>
      </c>
      <c r="I192" s="56">
        <f t="shared" si="6"/>
        <v>619.8133499999999</v>
      </c>
      <c r="K192" s="57">
        <f>SUMIF(Recipes!A:A,Consolidate!B192,Recipes!L:L)</f>
        <v>793.03</v>
      </c>
      <c r="L192" s="59">
        <f>SUMIFS(Recipes!$L:$L,Recipes!$D:$D,Consolidate!$E192,Recipes!$A:$A,Consolidate!$B192)</f>
        <v>0</v>
      </c>
      <c r="M192" s="60">
        <f t="shared" si="7"/>
        <v>793.03</v>
      </c>
    </row>
    <row r="193" spans="1:13">
      <c r="A193">
        <f t="shared" si="8"/>
        <v>191</v>
      </c>
      <c r="B193" s="5" t="s">
        <v>247</v>
      </c>
      <c r="C193" t="str">
        <f>VLOOKUP(B193,Recipes!A:B,2,0)</f>
        <v>Dessert</v>
      </c>
      <c r="D193" t="str">
        <f>VLOOKUP(B193,Recipes!A:C,3,0)</f>
        <v>Bakery</v>
      </c>
      <c r="E193" s="18">
        <f>VLOOKUP(B193,Recipes!A:J,10,0)</f>
        <v>0</v>
      </c>
      <c r="F193" s="18" t="str">
        <f>VLOOKUP(B193,Recipes!A:I,9,0)</f>
        <v>Pcs</v>
      </c>
      <c r="G193" s="55">
        <f>SUMIF(Recipes!A:A,Consolidate!B193,Recipes!H:H)</f>
        <v>46.31275022222222</v>
      </c>
      <c r="H193" s="55">
        <f>SUMIFS(Recipes!$H:$H,Recipes!$D:$D,Consolidate!$E193,Recipes!$A:$A,Consolidate!$B193)</f>
        <v>0</v>
      </c>
      <c r="I193" s="56">
        <f t="shared" si="6"/>
        <v>46.31275022222222</v>
      </c>
      <c r="K193" s="57">
        <f>SUMIF(Recipes!A:A,Consolidate!B193,Recipes!L:L)</f>
        <v>50.167911999999994</v>
      </c>
      <c r="L193" s="59">
        <f>SUMIFS(Recipes!$L:$L,Recipes!$D:$D,Consolidate!$E193,Recipes!$A:$A,Consolidate!$B193)</f>
        <v>0</v>
      </c>
      <c r="M193" s="60">
        <f t="shared" si="7"/>
        <v>50.167911999999994</v>
      </c>
    </row>
    <row r="194" spans="1:13">
      <c r="A194">
        <f t="shared" si="8"/>
        <v>192</v>
      </c>
      <c r="B194" s="5" t="s">
        <v>424</v>
      </c>
      <c r="C194" t="str">
        <f>VLOOKUP(B194,Recipes!A:B,2,0)</f>
        <v>Dessert</v>
      </c>
      <c r="D194" t="str">
        <f>VLOOKUP(B194,Recipes!A:C,3,0)</f>
        <v>Dessert</v>
      </c>
      <c r="E194" s="18">
        <f>VLOOKUP(B194,Recipes!A:J,10,0)</f>
        <v>0</v>
      </c>
      <c r="F194" s="18" t="str">
        <f>VLOOKUP(B194,Recipes!A:I,9,0)</f>
        <v>Kg</v>
      </c>
      <c r="G194" s="55">
        <f>SUMIF(Recipes!A:A,Consolidate!B194,Recipes!H:H)</f>
        <v>899.59841666666659</v>
      </c>
      <c r="H194" s="55">
        <f>SUMIFS(Recipes!$H:$H,Recipes!$D:$D,Consolidate!$E194,Recipes!$A:$A,Consolidate!$B194)</f>
        <v>0</v>
      </c>
      <c r="I194" s="56">
        <f t="shared" si="6"/>
        <v>899.59841666666659</v>
      </c>
      <c r="K194" s="57">
        <f>SUMIF(Recipes!A:A,Consolidate!B194,Recipes!L:L)</f>
        <v>730.55</v>
      </c>
      <c r="L194" s="59">
        <f>SUMIFS(Recipes!$L:$L,Recipes!$D:$D,Consolidate!$E194,Recipes!$A:$A,Consolidate!$B194)</f>
        <v>0</v>
      </c>
      <c r="M194" s="60">
        <f t="shared" si="7"/>
        <v>730.55</v>
      </c>
    </row>
    <row r="195" spans="1:13">
      <c r="A195">
        <f t="shared" si="8"/>
        <v>193</v>
      </c>
      <c r="B195" s="5" t="s">
        <v>538</v>
      </c>
      <c r="C195" t="str">
        <f>VLOOKUP(B195,Recipes!A:B,2,0)</f>
        <v>Roti &amp; Paratha</v>
      </c>
      <c r="D195" t="str">
        <f>VLOOKUP(B195,Recipes!A:C,3,0)</f>
        <v>Naan</v>
      </c>
      <c r="E195" s="18">
        <f>VLOOKUP(B195,Recipes!A:J,10,0)</f>
        <v>0</v>
      </c>
      <c r="F195" s="18" t="str">
        <f>VLOOKUP(B195,Recipes!A:I,9,0)</f>
        <v>Pcs</v>
      </c>
      <c r="G195" s="55">
        <f>SUMIF(Recipes!A:A,Consolidate!B195,Recipes!H:H)</f>
        <v>35.356566666666666</v>
      </c>
      <c r="H195" s="55">
        <f>SUMIFS(Recipes!$H:$H,Recipes!$D:$D,Consolidate!$E195,Recipes!$A:$A,Consolidate!$B195)</f>
        <v>0</v>
      </c>
      <c r="I195" s="56">
        <f t="shared" si="6"/>
        <v>35.356566666666666</v>
      </c>
      <c r="K195" s="57">
        <f>SUMIF(Recipes!A:A,Consolidate!B195,Recipes!L:L)</f>
        <v>36.816000000000003</v>
      </c>
      <c r="L195" s="59">
        <f>SUMIFS(Recipes!$L:$L,Recipes!$D:$D,Consolidate!$E195,Recipes!$A:$A,Consolidate!$B195)</f>
        <v>0</v>
      </c>
      <c r="M195" s="60">
        <f t="shared" si="7"/>
        <v>36.816000000000003</v>
      </c>
    </row>
    <row r="196" spans="1:13">
      <c r="A196">
        <f t="shared" si="8"/>
        <v>194</v>
      </c>
      <c r="B196" s="5" t="s">
        <v>551</v>
      </c>
      <c r="C196" t="str">
        <f>VLOOKUP(B196,Recipes!A:B,2,0)</f>
        <v>Side Dish</v>
      </c>
      <c r="D196" t="str">
        <f>VLOOKUP(B196,Recipes!A:C,3,0)</f>
        <v>Rice</v>
      </c>
      <c r="E196" s="18">
        <f>VLOOKUP(B196,Recipes!A:J,10,0)</f>
        <v>0</v>
      </c>
      <c r="F196" s="18" t="str">
        <f>VLOOKUP(B196,Recipes!A:I,9,0)</f>
        <v>Kg</v>
      </c>
      <c r="G196" s="55">
        <f>SUMIF(Recipes!A:A,Consolidate!B196,Recipes!H:H)</f>
        <v>566.62400000000002</v>
      </c>
      <c r="H196" s="55">
        <f>SUMIFS(Recipes!$H:$H,Recipes!$D:$D,Consolidate!$E196,Recipes!$A:$A,Consolidate!$B196)</f>
        <v>0</v>
      </c>
      <c r="I196" s="56">
        <f t="shared" ref="I196:I259" si="9">G196-H196</f>
        <v>566.62400000000002</v>
      </c>
      <c r="K196" s="57">
        <f>SUMIF(Recipes!A:A,Consolidate!B196,Recipes!L:L)</f>
        <v>577.86450000000002</v>
      </c>
      <c r="L196" s="59">
        <f>SUMIFS(Recipes!$L:$L,Recipes!$D:$D,Consolidate!$E196,Recipes!$A:$A,Consolidate!$B196)</f>
        <v>0</v>
      </c>
      <c r="M196" s="60">
        <f t="shared" ref="M196:M259" si="10">K196-L196</f>
        <v>577.86450000000002</v>
      </c>
    </row>
    <row r="197" spans="1:13">
      <c r="A197">
        <f t="shared" ref="A197:A260" si="11">A196+1</f>
        <v>195</v>
      </c>
      <c r="B197" s="5" t="s">
        <v>261</v>
      </c>
      <c r="C197" t="str">
        <f>VLOOKUP(B197,Recipes!A:B,2,0)</f>
        <v>Salad</v>
      </c>
      <c r="D197" t="str">
        <f>VLOOKUP(B197,Recipes!A:C,3,0)</f>
        <v>Without Meat</v>
      </c>
      <c r="E197" s="18">
        <f>VLOOKUP(B197,Recipes!A:J,10,0)</f>
        <v>0</v>
      </c>
      <c r="F197" s="18" t="str">
        <f>VLOOKUP(B197,Recipes!A:I,9,0)</f>
        <v>Kg</v>
      </c>
      <c r="G197" s="55">
        <f>SUMIF(Recipes!A:A,Consolidate!B197,Recipes!H:H)</f>
        <v>429.6224764705882</v>
      </c>
      <c r="H197" s="55">
        <f>SUMIFS(Recipes!$H:$H,Recipes!$D:$D,Consolidate!$E197,Recipes!$A:$A,Consolidate!$B197)</f>
        <v>0</v>
      </c>
      <c r="I197" s="56">
        <f t="shared" si="9"/>
        <v>429.6224764705882</v>
      </c>
      <c r="K197" s="57">
        <f>SUMIF(Recipes!A:A,Consolidate!B197,Recipes!L:L)</f>
        <v>858.52149999999995</v>
      </c>
      <c r="L197" s="59">
        <f>SUMIFS(Recipes!$L:$L,Recipes!$D:$D,Consolidate!$E197,Recipes!$A:$A,Consolidate!$B197)</f>
        <v>0</v>
      </c>
      <c r="M197" s="60">
        <f t="shared" si="10"/>
        <v>858.52149999999995</v>
      </c>
    </row>
    <row r="198" spans="1:13">
      <c r="A198">
        <f t="shared" si="11"/>
        <v>196</v>
      </c>
      <c r="B198" s="5" t="s">
        <v>795</v>
      </c>
      <c r="C198" t="str">
        <f>VLOOKUP(B198,Recipes!A:B,2,0)</f>
        <v>Side Dish</v>
      </c>
      <c r="D198" t="str">
        <f>VLOOKUP(B198,Recipes!A:C,3,0)</f>
        <v>Dry</v>
      </c>
      <c r="E198" s="18">
        <f>VLOOKUP(B198,Recipes!A:J,10,0)</f>
        <v>0</v>
      </c>
      <c r="F198" s="18" t="str">
        <f>VLOOKUP(B198,Recipes!A:I,9,0)</f>
        <v>4 pax</v>
      </c>
      <c r="G198" s="55">
        <f>SUMIF(Recipes!A:A,Consolidate!B198,Recipes!H:H)</f>
        <v>172.81575000000001</v>
      </c>
      <c r="H198" s="55">
        <f>SUMIFS(Recipes!$H:$H,Recipes!$D:$D,Consolidate!$E198,Recipes!$A:$A,Consolidate!$B198)</f>
        <v>0</v>
      </c>
      <c r="I198" s="56">
        <f t="shared" si="9"/>
        <v>172.81575000000001</v>
      </c>
      <c r="K198" s="57">
        <f>SUMIF(Recipes!A:A,Consolidate!B198,Recipes!L:L)</f>
        <v>173.935</v>
      </c>
      <c r="L198" s="59">
        <f>SUMIFS(Recipes!$L:$L,Recipes!$D:$D,Consolidate!$E198,Recipes!$A:$A,Consolidate!$B198)</f>
        <v>0</v>
      </c>
      <c r="M198" s="60">
        <f t="shared" si="10"/>
        <v>173.935</v>
      </c>
    </row>
    <row r="199" spans="1:13">
      <c r="A199">
        <f t="shared" si="11"/>
        <v>197</v>
      </c>
      <c r="B199" s="5" t="s">
        <v>386</v>
      </c>
      <c r="C199" t="str">
        <f>VLOOKUP(B199,Recipes!A:B,2,0)</f>
        <v>Chatni &amp; Sauces</v>
      </c>
      <c r="D199" t="str">
        <f>VLOOKUP(B199,Recipes!A:C,3,0)</f>
        <v>Chatni &amp; Sauces</v>
      </c>
      <c r="E199" s="18">
        <f>VLOOKUP(B199,Recipes!A:J,10,0)</f>
        <v>0</v>
      </c>
      <c r="F199" s="18" t="str">
        <f>VLOOKUP(B199,Recipes!A:I,9,0)</f>
        <v>Bowl</v>
      </c>
      <c r="G199" s="55">
        <f>SUMIF(Recipes!A:A,Consolidate!B199,Recipes!H:H)</f>
        <v>304.5</v>
      </c>
      <c r="H199" s="55">
        <f>SUMIFS(Recipes!$H:$H,Recipes!$D:$D,Consolidate!$E199,Recipes!$A:$A,Consolidate!$B199)</f>
        <v>0</v>
      </c>
      <c r="I199" s="56">
        <f t="shared" si="9"/>
        <v>304.5</v>
      </c>
      <c r="K199" s="57">
        <f>SUMIF(Recipes!A:A,Consolidate!B199,Recipes!L:L)</f>
        <v>427.5</v>
      </c>
      <c r="L199" s="59">
        <f>SUMIFS(Recipes!$L:$L,Recipes!$D:$D,Consolidate!$E199,Recipes!$A:$A,Consolidate!$B199)</f>
        <v>0</v>
      </c>
      <c r="M199" s="60">
        <f t="shared" si="10"/>
        <v>427.5</v>
      </c>
    </row>
    <row r="200" spans="1:13">
      <c r="A200">
        <f t="shared" si="11"/>
        <v>198</v>
      </c>
      <c r="B200" s="5" t="s">
        <v>276</v>
      </c>
      <c r="C200" t="str">
        <f>VLOOKUP(B200,Recipes!A:B,2,0)</f>
        <v>Salad</v>
      </c>
      <c r="D200" t="str">
        <f>VLOOKUP(B200,Recipes!A:C,3,0)</f>
        <v>Without Meat</v>
      </c>
      <c r="E200" s="18">
        <f>VLOOKUP(B200,Recipes!A:J,10,0)</f>
        <v>0</v>
      </c>
      <c r="F200" s="18" t="str">
        <f>VLOOKUP(B200,Recipes!A:I,9,0)</f>
        <v>Bowl</v>
      </c>
      <c r="G200" s="55">
        <f>SUMIF(Recipes!A:A,Consolidate!B200,Recipes!H:H)</f>
        <v>113.75</v>
      </c>
      <c r="H200" s="55">
        <f>SUMIFS(Recipes!$H:$H,Recipes!$D:$D,Consolidate!$E200,Recipes!$A:$A,Consolidate!$B200)</f>
        <v>0</v>
      </c>
      <c r="I200" s="56">
        <f t="shared" si="9"/>
        <v>113.75</v>
      </c>
      <c r="K200" s="57">
        <f>SUMIF(Recipes!A:A,Consolidate!B200,Recipes!L:L)</f>
        <v>85</v>
      </c>
      <c r="L200" s="59">
        <f>SUMIFS(Recipes!$L:$L,Recipes!$D:$D,Consolidate!$E200,Recipes!$A:$A,Consolidate!$B200)</f>
        <v>0</v>
      </c>
      <c r="M200" s="60">
        <f t="shared" si="10"/>
        <v>85</v>
      </c>
    </row>
    <row r="201" spans="1:13">
      <c r="A201">
        <f t="shared" si="11"/>
        <v>199</v>
      </c>
      <c r="B201" s="5" t="s">
        <v>395</v>
      </c>
      <c r="C201" t="str">
        <f>VLOOKUP(B201,Recipes!A:B,2,0)</f>
        <v>Beverages</v>
      </c>
      <c r="D201" t="str">
        <f>VLOOKUP(B201,Recipes!A:C,3,0)</f>
        <v>Hot Beverage</v>
      </c>
      <c r="E201" s="18">
        <f>VLOOKUP(B201,Recipes!A:J,10,0)</f>
        <v>0</v>
      </c>
      <c r="F201" s="18" t="str">
        <f>VLOOKUP(B201,Recipes!A:I,9,0)</f>
        <v>Cup</v>
      </c>
      <c r="G201" s="55">
        <f>SUMIF(Recipes!A:A,Consolidate!B201,Recipes!H:H)</f>
        <v>30.790750000000003</v>
      </c>
      <c r="H201" s="55">
        <f>SUMIFS(Recipes!$H:$H,Recipes!$D:$D,Consolidate!$E201,Recipes!$A:$A,Consolidate!$B201)</f>
        <v>0</v>
      </c>
      <c r="I201" s="56">
        <f t="shared" si="9"/>
        <v>30.790750000000003</v>
      </c>
      <c r="K201" s="57">
        <f>SUMIF(Recipes!A:A,Consolidate!B201,Recipes!L:L)</f>
        <v>30.010750000000002</v>
      </c>
      <c r="L201" s="59">
        <f>SUMIFS(Recipes!$L:$L,Recipes!$D:$D,Consolidate!$E201,Recipes!$A:$A,Consolidate!$B201)</f>
        <v>0</v>
      </c>
      <c r="M201" s="60">
        <f t="shared" si="10"/>
        <v>30.010750000000002</v>
      </c>
    </row>
    <row r="202" spans="1:13">
      <c r="A202">
        <f t="shared" si="11"/>
        <v>200</v>
      </c>
      <c r="B202" s="5" t="s">
        <v>120</v>
      </c>
      <c r="C202" t="str">
        <f>VLOOKUP(B202,Recipes!A:B,2,0)</f>
        <v>Main Course</v>
      </c>
      <c r="D202" t="str">
        <f>VLOOKUP(B202,Recipes!A:C,3,0)</f>
        <v>Gravy</v>
      </c>
      <c r="E202" s="18">
        <f>VLOOKUP(B202,Recipes!A:J,10,0)</f>
        <v>0</v>
      </c>
      <c r="F202" s="18" t="str">
        <f>VLOOKUP(B202,Recipes!A:I,9,0)</f>
        <v>Kg</v>
      </c>
      <c r="G202" s="55">
        <f>SUMIF(Recipes!A:A,Consolidate!B202,Recipes!H:H)</f>
        <v>505.64260000000002</v>
      </c>
      <c r="H202" s="55">
        <f>SUMIFS(Recipes!$H:$H,Recipes!$D:$D,Consolidate!$E202,Recipes!$A:$A,Consolidate!$B202)</f>
        <v>0</v>
      </c>
      <c r="I202" s="56">
        <f t="shared" si="9"/>
        <v>505.64260000000002</v>
      </c>
      <c r="K202" s="57">
        <f>SUMIF(Recipes!A:A,Consolidate!B202,Recipes!L:L)</f>
        <v>525.24171999999999</v>
      </c>
      <c r="L202" s="59">
        <f>SUMIFS(Recipes!$L:$L,Recipes!$D:$D,Consolidate!$E202,Recipes!$A:$A,Consolidate!$B202)</f>
        <v>0</v>
      </c>
      <c r="M202" s="60">
        <f t="shared" si="10"/>
        <v>525.24171999999999</v>
      </c>
    </row>
    <row r="203" spans="1:13">
      <c r="A203">
        <f t="shared" si="11"/>
        <v>201</v>
      </c>
      <c r="B203" s="5" t="s">
        <v>591</v>
      </c>
      <c r="C203" t="str">
        <f>VLOOKUP(B203,Recipes!A:B,2,0)</f>
        <v>Dessert</v>
      </c>
      <c r="D203" t="str">
        <f>VLOOKUP(B203,Recipes!A:C,3,0)</f>
        <v>Dry</v>
      </c>
      <c r="E203" s="18">
        <f>VLOOKUP(B203,Recipes!A:J,10,0)</f>
        <v>0</v>
      </c>
      <c r="F203" s="18" t="str">
        <f>VLOOKUP(B203,Recipes!A:I,9,0)</f>
        <v>Pcs</v>
      </c>
      <c r="G203" s="55">
        <f>SUMIF(Recipes!A:A,Consolidate!B203,Recipes!H:H)</f>
        <v>16.832078571428571</v>
      </c>
      <c r="H203" s="55">
        <f>SUMIFS(Recipes!$H:$H,Recipes!$D:$D,Consolidate!$E203,Recipes!$A:$A,Consolidate!$B203)</f>
        <v>0</v>
      </c>
      <c r="I203" s="56">
        <f t="shared" si="9"/>
        <v>16.832078571428571</v>
      </c>
      <c r="K203" s="57">
        <f>SUMIF(Recipes!A:A,Consolidate!B203,Recipes!L:L)</f>
        <v>17.861046428571431</v>
      </c>
      <c r="L203" s="59">
        <f>SUMIFS(Recipes!$L:$L,Recipes!$D:$D,Consolidate!$E203,Recipes!$A:$A,Consolidate!$B203)</f>
        <v>0</v>
      </c>
      <c r="M203" s="60">
        <f t="shared" si="10"/>
        <v>17.861046428571431</v>
      </c>
    </row>
    <row r="204" spans="1:13">
      <c r="A204">
        <f t="shared" si="11"/>
        <v>202</v>
      </c>
      <c r="B204" s="5" t="s">
        <v>266</v>
      </c>
      <c r="C204" t="str">
        <f>VLOOKUP(B204,Recipes!A:B,2,0)</f>
        <v>Salad</v>
      </c>
      <c r="D204" t="str">
        <f>VLOOKUP(B204,Recipes!A:C,3,0)</f>
        <v>Without Meat</v>
      </c>
      <c r="E204" s="18">
        <f>VLOOKUP(B204,Recipes!A:J,10,0)</f>
        <v>0</v>
      </c>
      <c r="F204" s="18" t="str">
        <f>VLOOKUP(B204,Recipes!A:I,9,0)</f>
        <v>Kg</v>
      </c>
      <c r="G204" s="55">
        <f>SUMIF(Recipes!A:A,Consolidate!B204,Recipes!H:H)</f>
        <v>406.34598214285717</v>
      </c>
      <c r="H204" s="55">
        <f>SUMIFS(Recipes!$H:$H,Recipes!$D:$D,Consolidate!$E204,Recipes!$A:$A,Consolidate!$B204)</f>
        <v>0</v>
      </c>
      <c r="I204" s="56">
        <f t="shared" si="9"/>
        <v>406.34598214285717</v>
      </c>
      <c r="K204" s="57">
        <f>SUMIF(Recipes!A:A,Consolidate!B204,Recipes!L:L)</f>
        <v>388.60044642857144</v>
      </c>
      <c r="L204" s="59">
        <f>SUMIFS(Recipes!$L:$L,Recipes!$D:$D,Consolidate!$E204,Recipes!$A:$A,Consolidate!$B204)</f>
        <v>0</v>
      </c>
      <c r="M204" s="60">
        <f t="shared" si="10"/>
        <v>388.60044642857144</v>
      </c>
    </row>
    <row r="205" spans="1:13">
      <c r="A205">
        <f t="shared" si="11"/>
        <v>203</v>
      </c>
      <c r="B205" s="5" t="s">
        <v>636</v>
      </c>
      <c r="C205" t="str">
        <f>VLOOKUP(B205,Recipes!A:B,2,0)</f>
        <v>Beverages</v>
      </c>
      <c r="D205" t="str">
        <f>VLOOKUP(B205,Recipes!A:C,3,0)</f>
        <v>Detox Drink</v>
      </c>
      <c r="E205" s="18">
        <f>VLOOKUP(B205,Recipes!A:J,10,0)</f>
        <v>0</v>
      </c>
      <c r="F205" s="18" t="str">
        <f>VLOOKUP(B205,Recipes!A:I,9,0)</f>
        <v>Glass</v>
      </c>
      <c r="G205" s="55">
        <f>SUMIF(Recipes!A:A,Consolidate!B205,Recipes!H:H)</f>
        <v>10</v>
      </c>
      <c r="H205" s="55">
        <f>SUMIFS(Recipes!$H:$H,Recipes!$D:$D,Consolidate!$E205,Recipes!$A:$A,Consolidate!$B205)</f>
        <v>0</v>
      </c>
      <c r="I205" s="56">
        <f t="shared" si="9"/>
        <v>10</v>
      </c>
      <c r="K205" s="57">
        <f>SUMIF(Recipes!A:A,Consolidate!B205,Recipes!L:L)</f>
        <v>10</v>
      </c>
      <c r="L205" s="59">
        <f>SUMIFS(Recipes!$L:$L,Recipes!$D:$D,Consolidate!$E205,Recipes!$A:$A,Consolidate!$B205)</f>
        <v>0</v>
      </c>
      <c r="M205" s="60">
        <f t="shared" si="10"/>
        <v>10</v>
      </c>
    </row>
    <row r="206" spans="1:13">
      <c r="A206">
        <f t="shared" si="11"/>
        <v>204</v>
      </c>
      <c r="B206" s="5" t="s">
        <v>973</v>
      </c>
      <c r="C206" t="str">
        <f>VLOOKUP(B206,Recipes!A:B,2,0)</f>
        <v>Breakfast Item</v>
      </c>
      <c r="D206" t="str">
        <f>VLOOKUP(B206,Recipes!A:C,3,0)</f>
        <v>Honey - Jam - Butter</v>
      </c>
      <c r="E206" s="18">
        <f>VLOOKUP(B206,Recipes!A:J,10,0)</f>
        <v>0</v>
      </c>
      <c r="F206" s="18" t="str">
        <f>VLOOKUP(B206,Recipes!A:I,9,0)</f>
        <v>Nos</v>
      </c>
      <c r="G206" s="55">
        <f>SUMIF(Recipes!A:A,Consolidate!B206,Recipes!H:H)</f>
        <v>798.5</v>
      </c>
      <c r="H206" s="55">
        <f>SUMIFS(Recipes!$H:$H,Recipes!$D:$D,Consolidate!$E206,Recipes!$A:$A,Consolidate!$B206)</f>
        <v>0</v>
      </c>
      <c r="I206" s="56">
        <f t="shared" si="9"/>
        <v>798.5</v>
      </c>
      <c r="K206" s="57">
        <f>SUMIF(Recipes!A:A,Consolidate!B206,Recipes!L:L)</f>
        <v>803</v>
      </c>
      <c r="L206" s="59">
        <f>SUMIFS(Recipes!$L:$L,Recipes!$D:$D,Consolidate!$E206,Recipes!$A:$A,Consolidate!$B206)</f>
        <v>0</v>
      </c>
      <c r="M206" s="60">
        <f t="shared" si="10"/>
        <v>803</v>
      </c>
    </row>
    <row r="207" spans="1:13">
      <c r="A207">
        <f t="shared" si="11"/>
        <v>205</v>
      </c>
      <c r="B207" s="5" t="s">
        <v>123</v>
      </c>
      <c r="C207" t="str">
        <f>VLOOKUP(B207,Recipes!A:B,2,0)</f>
        <v>Soup</v>
      </c>
      <c r="D207" t="str">
        <f>VLOOKUP(B207,Recipes!A:C,3,0)</f>
        <v>Without Meat</v>
      </c>
      <c r="E207" s="18">
        <f>VLOOKUP(B207,Recipes!A:J,10,0)</f>
        <v>0</v>
      </c>
      <c r="F207" s="18" t="str">
        <f>VLOOKUP(B207,Recipes!A:I,9,0)</f>
        <v>Bowl</v>
      </c>
      <c r="G207" s="55">
        <f>SUMIF(Recipes!A:A,Consolidate!B207,Recipes!H:H)</f>
        <v>43.813000000000002</v>
      </c>
      <c r="H207" s="55">
        <f>SUMIFS(Recipes!$H:$H,Recipes!$D:$D,Consolidate!$E207,Recipes!$A:$A,Consolidate!$B207)</f>
        <v>0</v>
      </c>
      <c r="I207" s="56">
        <f t="shared" si="9"/>
        <v>43.813000000000002</v>
      </c>
      <c r="K207" s="57">
        <f>SUMIF(Recipes!A:A,Consolidate!B207,Recipes!L:L)</f>
        <v>39.051000000000002</v>
      </c>
      <c r="L207" s="59">
        <f>SUMIFS(Recipes!$L:$L,Recipes!$D:$D,Consolidate!$E207,Recipes!$A:$A,Consolidate!$B207)</f>
        <v>0</v>
      </c>
      <c r="M207" s="60">
        <f t="shared" si="10"/>
        <v>39.051000000000002</v>
      </c>
    </row>
    <row r="208" spans="1:13">
      <c r="A208">
        <f t="shared" si="11"/>
        <v>206</v>
      </c>
      <c r="B208" s="5" t="s">
        <v>267</v>
      </c>
      <c r="C208" t="str">
        <f>VLOOKUP(B208,Recipes!A:B,2,0)</f>
        <v>Salad</v>
      </c>
      <c r="D208" t="str">
        <f>VLOOKUP(B208,Recipes!A:C,3,0)</f>
        <v>Without Meat</v>
      </c>
      <c r="E208" s="18">
        <f>VLOOKUP(B208,Recipes!A:J,10,0)</f>
        <v>0</v>
      </c>
      <c r="F208" s="18" t="str">
        <f>VLOOKUP(B208,Recipes!A:I,9,0)</f>
        <v>Kg</v>
      </c>
      <c r="G208" s="55">
        <f>SUMIF(Recipes!A:A,Consolidate!B208,Recipes!H:H)</f>
        <v>648.91620000000012</v>
      </c>
      <c r="H208" s="55">
        <f>SUMIFS(Recipes!$H:$H,Recipes!$D:$D,Consolidate!$E208,Recipes!$A:$A,Consolidate!$B208)</f>
        <v>0</v>
      </c>
      <c r="I208" s="56">
        <f t="shared" si="9"/>
        <v>648.91620000000012</v>
      </c>
      <c r="K208" s="57">
        <f>SUMIF(Recipes!A:A,Consolidate!B208,Recipes!L:L)</f>
        <v>512.32500000000005</v>
      </c>
      <c r="L208" s="59">
        <f>SUMIFS(Recipes!$L:$L,Recipes!$D:$D,Consolidate!$E208,Recipes!$A:$A,Consolidate!$B208)</f>
        <v>0</v>
      </c>
      <c r="M208" s="60">
        <f t="shared" si="10"/>
        <v>512.32500000000005</v>
      </c>
    </row>
    <row r="209" spans="1:13">
      <c r="A209">
        <f t="shared" si="11"/>
        <v>207</v>
      </c>
      <c r="B209" s="5" t="s">
        <v>603</v>
      </c>
      <c r="C209" t="str">
        <f>VLOOKUP(B209,Recipes!A:B,2,0)</f>
        <v>Side Dish</v>
      </c>
      <c r="D209" t="str">
        <f>VLOOKUP(B209,Recipes!A:C,3,0)</f>
        <v>Daal / Chana</v>
      </c>
      <c r="E209" s="18">
        <f>VLOOKUP(B209,Recipes!A:J,10,0)</f>
        <v>0</v>
      </c>
      <c r="F209" s="18" t="str">
        <f>VLOOKUP(B209,Recipes!A:I,9,0)</f>
        <v>Kg</v>
      </c>
      <c r="G209" s="55">
        <f>SUMIF(Recipes!A:A,Consolidate!B209,Recipes!H:H)</f>
        <v>472.20499999999998</v>
      </c>
      <c r="H209" s="55">
        <f>SUMIFS(Recipes!$H:$H,Recipes!$D:$D,Consolidate!$E209,Recipes!$A:$A,Consolidate!$B209)</f>
        <v>0</v>
      </c>
      <c r="I209" s="56">
        <f t="shared" si="9"/>
        <v>472.20499999999998</v>
      </c>
      <c r="K209" s="57">
        <f>SUMIF(Recipes!A:A,Consolidate!B209,Recipes!L:L)</f>
        <v>455.66666666666663</v>
      </c>
      <c r="L209" s="59">
        <f>SUMIFS(Recipes!$L:$L,Recipes!$D:$D,Consolidate!$E209,Recipes!$A:$A,Consolidate!$B209)</f>
        <v>0</v>
      </c>
      <c r="M209" s="60">
        <f t="shared" si="10"/>
        <v>455.66666666666663</v>
      </c>
    </row>
    <row r="210" spans="1:13">
      <c r="A210">
        <f t="shared" si="11"/>
        <v>208</v>
      </c>
      <c r="B210" s="5" t="s">
        <v>403</v>
      </c>
      <c r="C210" t="str">
        <f>VLOOKUP(B210,Recipes!A:B,2,0)</f>
        <v>Dessert</v>
      </c>
      <c r="D210" t="str">
        <f>VLOOKUP(B210,Recipes!A:C,3,0)</f>
        <v>Ice Cream 9 Ltr</v>
      </c>
      <c r="E210" s="18">
        <f>VLOOKUP(B210,Recipes!A:J,10,0)</f>
        <v>0</v>
      </c>
      <c r="F210" s="18" t="str">
        <f>VLOOKUP(B210,Recipes!A:I,9,0)</f>
        <v>Box</v>
      </c>
      <c r="G210" s="55">
        <f>SUMIF(Recipes!A:A,Consolidate!B210,Recipes!H:H)</f>
        <v>1853.2777777777778</v>
      </c>
      <c r="H210" s="55">
        <f>SUMIFS(Recipes!$H:$H,Recipes!$D:$D,Consolidate!$E210,Recipes!$A:$A,Consolidate!$B210)</f>
        <v>0</v>
      </c>
      <c r="I210" s="56">
        <f t="shared" si="9"/>
        <v>1853.2777777777778</v>
      </c>
      <c r="K210" s="57">
        <f>SUMIF(Recipes!A:A,Consolidate!B210,Recipes!L:L)</f>
        <v>2831.166666666667</v>
      </c>
      <c r="L210" s="59">
        <f>SUMIFS(Recipes!$L:$L,Recipes!$D:$D,Consolidate!$E210,Recipes!$A:$A,Consolidate!$B210)</f>
        <v>0</v>
      </c>
      <c r="M210" s="60">
        <f t="shared" si="10"/>
        <v>2831.166666666667</v>
      </c>
    </row>
    <row r="211" spans="1:13">
      <c r="A211">
        <f t="shared" si="11"/>
        <v>209</v>
      </c>
      <c r="B211" s="5" t="s">
        <v>573</v>
      </c>
      <c r="C211" t="str">
        <f>VLOOKUP(B211,Recipes!A:B,2,0)</f>
        <v>Dessert</v>
      </c>
      <c r="D211" t="str">
        <f>VLOOKUP(B211,Recipes!A:C,3,0)</f>
        <v>Dessert</v>
      </c>
      <c r="E211" s="18">
        <f>VLOOKUP(B211,Recipes!A:J,10,0)</f>
        <v>0</v>
      </c>
      <c r="F211" s="18" t="str">
        <f>VLOOKUP(B211,Recipes!A:I,9,0)</f>
        <v>Kg</v>
      </c>
      <c r="G211" s="55">
        <f>SUMIF(Recipes!A:A,Consolidate!B211,Recipes!H:H)</f>
        <v>1334.2466666666667</v>
      </c>
      <c r="H211" s="55">
        <f>SUMIFS(Recipes!$H:$H,Recipes!$D:$D,Consolidate!$E211,Recipes!$A:$A,Consolidate!$B211)</f>
        <v>0</v>
      </c>
      <c r="I211" s="56">
        <f t="shared" si="9"/>
        <v>1334.2466666666667</v>
      </c>
      <c r="K211" s="57">
        <f>SUMIF(Recipes!A:A,Consolidate!B211,Recipes!L:L)</f>
        <v>1664.8128571428572</v>
      </c>
      <c r="L211" s="59">
        <f>SUMIFS(Recipes!$L:$L,Recipes!$D:$D,Consolidate!$E211,Recipes!$A:$A,Consolidate!$B211)</f>
        <v>0</v>
      </c>
      <c r="M211" s="60">
        <f t="shared" si="10"/>
        <v>1664.8128571428572</v>
      </c>
    </row>
    <row r="212" spans="1:13">
      <c r="A212">
        <f t="shared" si="11"/>
        <v>210</v>
      </c>
      <c r="B212" s="5" t="s">
        <v>669</v>
      </c>
      <c r="C212" t="str">
        <f>VLOOKUP(B212,Recipes!A:B,2,0)</f>
        <v>Dessert</v>
      </c>
      <c r="D212" t="str">
        <f>VLOOKUP(B212,Recipes!A:C,3,0)</f>
        <v>Ice Cream Ltr</v>
      </c>
      <c r="E212" s="18">
        <f>VLOOKUP(B212,Recipes!A:J,10,0)</f>
        <v>0</v>
      </c>
      <c r="F212" s="18" t="str">
        <f>VLOOKUP(B212,Recipes!A:I,9,0)</f>
        <v>Ltr</v>
      </c>
      <c r="G212" s="55">
        <f>SUMIF(Recipes!A:A,Consolidate!B212,Recipes!H:H)</f>
        <v>400</v>
      </c>
      <c r="H212" s="55">
        <f>SUMIFS(Recipes!$H:$H,Recipes!$D:$D,Consolidate!$E212,Recipes!$A:$A,Consolidate!$B212)</f>
        <v>0</v>
      </c>
      <c r="I212" s="56">
        <f t="shared" si="9"/>
        <v>400</v>
      </c>
      <c r="K212" s="57">
        <f>SUMIF(Recipes!A:A,Consolidate!B212,Recipes!L:L)</f>
        <v>400</v>
      </c>
      <c r="L212" s="59">
        <f>SUMIFS(Recipes!$L:$L,Recipes!$D:$D,Consolidate!$E212,Recipes!$A:$A,Consolidate!$B212)</f>
        <v>0</v>
      </c>
      <c r="M212" s="60">
        <f t="shared" si="10"/>
        <v>400</v>
      </c>
    </row>
    <row r="213" spans="1:13">
      <c r="A213">
        <f t="shared" si="11"/>
        <v>211</v>
      </c>
      <c r="B213" s="5" t="s">
        <v>387</v>
      </c>
      <c r="C213" t="str">
        <f>VLOOKUP(B213,Recipes!A:B,2,0)</f>
        <v>Chatni &amp; Sauces</v>
      </c>
      <c r="D213" t="str">
        <f>VLOOKUP(B213,Recipes!A:C,3,0)</f>
        <v>Chatni &amp; Sauces</v>
      </c>
      <c r="E213" s="18">
        <f>VLOOKUP(B213,Recipes!A:J,10,0)</f>
        <v>0</v>
      </c>
      <c r="F213" s="18" t="str">
        <f>VLOOKUP(B213,Recipes!A:I,9,0)</f>
        <v>Bowl</v>
      </c>
      <c r="G213" s="55">
        <f>SUMIF(Recipes!A:A,Consolidate!B213,Recipes!H:H)</f>
        <v>354.27499999999998</v>
      </c>
      <c r="H213" s="55">
        <f>SUMIFS(Recipes!$H:$H,Recipes!$D:$D,Consolidate!$E213,Recipes!$A:$A,Consolidate!$B213)</f>
        <v>0</v>
      </c>
      <c r="I213" s="56">
        <f t="shared" si="9"/>
        <v>354.27499999999998</v>
      </c>
      <c r="K213" s="57">
        <f>SUMIF(Recipes!A:A,Consolidate!B213,Recipes!L:L)</f>
        <v>337.17500000000001</v>
      </c>
      <c r="L213" s="59">
        <f>SUMIFS(Recipes!$L:$L,Recipes!$D:$D,Consolidate!$E213,Recipes!$A:$A,Consolidate!$B213)</f>
        <v>0</v>
      </c>
      <c r="M213" s="60">
        <f t="shared" si="10"/>
        <v>337.17500000000001</v>
      </c>
    </row>
    <row r="214" spans="1:13">
      <c r="A214">
        <f t="shared" si="11"/>
        <v>212</v>
      </c>
      <c r="B214" s="5" t="s">
        <v>275</v>
      </c>
      <c r="C214" t="str">
        <f>VLOOKUP(B214,Recipes!A:B,2,0)</f>
        <v>Chatni &amp; Sauces</v>
      </c>
      <c r="D214" t="str">
        <f>VLOOKUP(B214,Recipes!A:C,3,0)</f>
        <v>Chatni &amp; Sauces</v>
      </c>
      <c r="E214" s="18">
        <f>VLOOKUP(B214,Recipes!A:J,10,0)</f>
        <v>0</v>
      </c>
      <c r="F214" s="18" t="str">
        <f>VLOOKUP(B214,Recipes!A:I,9,0)</f>
        <v>Bowl</v>
      </c>
      <c r="G214" s="55">
        <f>SUMIF(Recipes!A:A,Consolidate!B214,Recipes!H:H)</f>
        <v>113.1125</v>
      </c>
      <c r="H214" s="55">
        <f>SUMIFS(Recipes!$H:$H,Recipes!$D:$D,Consolidate!$E214,Recipes!$A:$A,Consolidate!$B214)</f>
        <v>0</v>
      </c>
      <c r="I214" s="56">
        <f t="shared" si="9"/>
        <v>113.1125</v>
      </c>
      <c r="K214" s="57">
        <f>SUMIF(Recipes!A:A,Consolidate!B214,Recipes!L:L)</f>
        <v>118.41249999999999</v>
      </c>
      <c r="L214" s="59">
        <f>SUMIFS(Recipes!$L:$L,Recipes!$D:$D,Consolidate!$E214,Recipes!$A:$A,Consolidate!$B214)</f>
        <v>0</v>
      </c>
      <c r="M214" s="60">
        <f t="shared" si="10"/>
        <v>118.41249999999999</v>
      </c>
    </row>
    <row r="215" spans="1:13">
      <c r="A215">
        <f t="shared" si="11"/>
        <v>213</v>
      </c>
      <c r="B215" s="5" t="s">
        <v>129</v>
      </c>
      <c r="C215" t="str">
        <f>VLOOKUP(B215,Recipes!A:B,2,0)</f>
        <v>Main Course</v>
      </c>
      <c r="D215" t="str">
        <f>VLOOKUP(B215,Recipes!A:C,3,0)</f>
        <v>BBQ</v>
      </c>
      <c r="E215" s="18" t="str">
        <f>VLOOKUP(B215,Recipes!A:J,10,0)</f>
        <v>Chicken Boneless</v>
      </c>
      <c r="F215" s="18" t="str">
        <f>VLOOKUP(B215,Recipes!A:I,9,0)</f>
        <v>Kg</v>
      </c>
      <c r="G215" s="55">
        <f>SUMIF(Recipes!A:A,Consolidate!B215,Recipes!H:H)</f>
        <v>1095.1481044901961</v>
      </c>
      <c r="H215" s="55">
        <f>SUMIFS(Recipes!$H:$H,Recipes!$D:$D,Consolidate!$E215,Recipes!$A:$A,Consolidate!$B215)</f>
        <v>908</v>
      </c>
      <c r="I215" s="56">
        <f t="shared" si="9"/>
        <v>187.14810449019615</v>
      </c>
      <c r="K215" s="57">
        <f>SUMIF(Recipes!A:A,Consolidate!B215,Recipes!L:L)</f>
        <v>1017.0631736666667</v>
      </c>
      <c r="L215" s="59">
        <f>SUMIFS(Recipes!$L:$L,Recipes!$D:$D,Consolidate!$E215,Recipes!$A:$A,Consolidate!$B215)</f>
        <v>908</v>
      </c>
      <c r="M215" s="60">
        <f t="shared" si="10"/>
        <v>109.06317366666667</v>
      </c>
    </row>
    <row r="216" spans="1:13">
      <c r="A216">
        <f t="shared" si="11"/>
        <v>214</v>
      </c>
      <c r="B216" s="5" t="s">
        <v>366</v>
      </c>
      <c r="C216" t="str">
        <f>VLOOKUP(B216,Recipes!A:B,2,0)</f>
        <v>Main Course</v>
      </c>
      <c r="D216" t="str">
        <f>VLOOKUP(B216,Recipes!A:C,3,0)</f>
        <v>BBQ</v>
      </c>
      <c r="E216" s="18" t="str">
        <f>VLOOKUP(B216,Recipes!A:J,10,0)</f>
        <v>Beef Boneless</v>
      </c>
      <c r="F216" s="18" t="str">
        <f>VLOOKUP(B216,Recipes!A:I,9,0)</f>
        <v>Kg</v>
      </c>
      <c r="G216" s="55">
        <f>SUMIF(Recipes!A:A,Consolidate!B216,Recipes!H:H)</f>
        <v>1272.4167333333332</v>
      </c>
      <c r="H216" s="55">
        <f>SUMIFS(Recipes!$H:$H,Recipes!$D:$D,Consolidate!$E216,Recipes!$A:$A,Consolidate!$B216)</f>
        <v>1020</v>
      </c>
      <c r="I216" s="56">
        <f t="shared" si="9"/>
        <v>252.41673333333324</v>
      </c>
      <c r="K216" s="57">
        <f>SUMIF(Recipes!A:A,Consolidate!B216,Recipes!L:L)</f>
        <v>1257.4961999999998</v>
      </c>
      <c r="L216" s="59">
        <f>SUMIFS(Recipes!$L:$L,Recipes!$D:$D,Consolidate!$E216,Recipes!$A:$A,Consolidate!$B216)</f>
        <v>1000</v>
      </c>
      <c r="M216" s="60">
        <f t="shared" si="10"/>
        <v>257.49619999999982</v>
      </c>
    </row>
    <row r="217" spans="1:13">
      <c r="A217">
        <f t="shared" si="11"/>
        <v>215</v>
      </c>
      <c r="B217" s="5" t="s">
        <v>343</v>
      </c>
      <c r="C217" t="str">
        <f>VLOOKUP(B217,Recipes!A:B,2,0)</f>
        <v>Side Dish</v>
      </c>
      <c r="D217" t="str">
        <f>VLOOKUP(B217,Recipes!A:C,3,0)</f>
        <v>Rice</v>
      </c>
      <c r="E217" s="18">
        <f>VLOOKUP(B217,Recipes!A:J,10,0)</f>
        <v>0</v>
      </c>
      <c r="F217" s="18" t="str">
        <f>VLOOKUP(B217,Recipes!A:I,9,0)</f>
        <v>Kg</v>
      </c>
      <c r="G217" s="55">
        <f>SUMIF(Recipes!A:A,Consolidate!B217,Recipes!H:H)</f>
        <v>369.0686</v>
      </c>
      <c r="H217" s="55">
        <f>SUMIFS(Recipes!$H:$H,Recipes!$D:$D,Consolidate!$E217,Recipes!$A:$A,Consolidate!$B217)</f>
        <v>0</v>
      </c>
      <c r="I217" s="56">
        <f t="shared" si="9"/>
        <v>369.0686</v>
      </c>
      <c r="K217" s="57">
        <f>SUMIF(Recipes!A:A,Consolidate!B217,Recipes!L:L)</f>
        <v>373.07400000000001</v>
      </c>
      <c r="L217" s="59">
        <f>SUMIFS(Recipes!$L:$L,Recipes!$D:$D,Consolidate!$E217,Recipes!$A:$A,Consolidate!$B217)</f>
        <v>0</v>
      </c>
      <c r="M217" s="60">
        <f t="shared" si="10"/>
        <v>373.07400000000001</v>
      </c>
    </row>
    <row r="218" spans="1:13">
      <c r="A218">
        <f t="shared" si="11"/>
        <v>216</v>
      </c>
      <c r="B218" s="5" t="s">
        <v>650</v>
      </c>
      <c r="C218" t="str">
        <f>VLOOKUP(B218,Recipes!A:B,2,0)</f>
        <v>Main Course</v>
      </c>
      <c r="D218" t="str">
        <f>VLOOKUP(B218,Recipes!A:C,3,0)</f>
        <v>Grilled</v>
      </c>
      <c r="E218" s="18" t="str">
        <f>VLOOKUP(B218,Recipes!A:J,10,0)</f>
        <v>Chicken Bone In</v>
      </c>
      <c r="F218" s="18" t="str">
        <f>VLOOKUP(B218,Recipes!A:I,9,0)</f>
        <v>Kg</v>
      </c>
      <c r="G218" s="55">
        <f>SUMIF(Recipes!A:A,Consolidate!B218,Recipes!H:H)</f>
        <v>1049.8312999999998</v>
      </c>
      <c r="H218" s="55">
        <f>SUMIFS(Recipes!$H:$H,Recipes!$D:$D,Consolidate!$E218,Recipes!$A:$A,Consolidate!$B218)</f>
        <v>614</v>
      </c>
      <c r="I218" s="56">
        <f t="shared" si="9"/>
        <v>435.83129999999983</v>
      </c>
      <c r="K218" s="57">
        <f>SUMIF(Recipes!A:A,Consolidate!B218,Recipes!L:L)</f>
        <v>1219.74</v>
      </c>
      <c r="L218" s="59">
        <f>SUMIFS(Recipes!$L:$L,Recipes!$D:$D,Consolidate!$E218,Recipes!$A:$A,Consolidate!$B218)</f>
        <v>650</v>
      </c>
      <c r="M218" s="60">
        <f t="shared" si="10"/>
        <v>569.74</v>
      </c>
    </row>
    <row r="219" spans="1:13">
      <c r="A219">
        <f t="shared" si="11"/>
        <v>217</v>
      </c>
      <c r="B219" s="5" t="s">
        <v>623</v>
      </c>
      <c r="C219" t="str">
        <f>VLOOKUP(B219,Recipes!A:B,2,0)</f>
        <v>Breakfast Item</v>
      </c>
      <c r="D219" t="str">
        <f>VLOOKUP(B219,Recipes!A:C,3,0)</f>
        <v>Jam</v>
      </c>
      <c r="E219" s="18">
        <f>VLOOKUP(B219,Recipes!A:J,10,0)</f>
        <v>0</v>
      </c>
      <c r="F219" s="18" t="str">
        <f>VLOOKUP(B219,Recipes!A:I,9,0)</f>
        <v>Bottle</v>
      </c>
      <c r="G219" s="55">
        <f>SUMIF(Recipes!A:A,Consolidate!B219,Recipes!H:H)</f>
        <v>260</v>
      </c>
      <c r="H219" s="55">
        <f>SUMIFS(Recipes!$H:$H,Recipes!$D:$D,Consolidate!$E219,Recipes!$A:$A,Consolidate!$B219)</f>
        <v>0</v>
      </c>
      <c r="I219" s="56">
        <f t="shared" si="9"/>
        <v>260</v>
      </c>
      <c r="K219" s="57">
        <f>SUMIF(Recipes!A:A,Consolidate!B219,Recipes!L:L)</f>
        <v>300</v>
      </c>
      <c r="L219" s="59">
        <f>SUMIFS(Recipes!$L:$L,Recipes!$D:$D,Consolidate!$E219,Recipes!$A:$A,Consolidate!$B219)</f>
        <v>0</v>
      </c>
      <c r="M219" s="60">
        <f t="shared" si="10"/>
        <v>300</v>
      </c>
    </row>
    <row r="220" spans="1:13">
      <c r="A220">
        <f t="shared" si="11"/>
        <v>218</v>
      </c>
      <c r="B220" s="5" t="s">
        <v>131</v>
      </c>
      <c r="C220" t="str">
        <f>VLOOKUP(B220,Recipes!A:B,2,0)</f>
        <v>Main Course</v>
      </c>
      <c r="D220" t="str">
        <f>VLOOKUP(B220,Recipes!A:C,3,0)</f>
        <v>Grilled</v>
      </c>
      <c r="E220" s="18" t="str">
        <f>VLOOKUP(B220,Recipes!A:J,10,0)</f>
        <v>Prawn</v>
      </c>
      <c r="F220" s="18" t="str">
        <f>VLOOKUP(B220,Recipes!A:I,9,0)</f>
        <v>Kg</v>
      </c>
      <c r="G220" s="55">
        <f>SUMIF(Recipes!A:A,Consolidate!B220,Recipes!H:H)</f>
        <v>2029.28</v>
      </c>
      <c r="H220" s="55">
        <f>SUMIFS(Recipes!$H:$H,Recipes!$D:$D,Consolidate!$E220,Recipes!$A:$A,Consolidate!$B220)</f>
        <v>1890.54</v>
      </c>
      <c r="I220" s="56">
        <f t="shared" si="9"/>
        <v>138.74</v>
      </c>
      <c r="K220" s="57">
        <f>SUMIF(Recipes!A:A,Consolidate!B220,Recipes!L:L)</f>
        <v>1611.54</v>
      </c>
      <c r="L220" s="59">
        <f>SUMIFS(Recipes!$L:$L,Recipes!$D:$D,Consolidate!$E220,Recipes!$A:$A,Consolidate!$B220)</f>
        <v>1462.18</v>
      </c>
      <c r="M220" s="60">
        <f t="shared" si="10"/>
        <v>149.3599999999999</v>
      </c>
    </row>
    <row r="221" spans="1:13">
      <c r="A221">
        <f t="shared" si="11"/>
        <v>219</v>
      </c>
      <c r="B221" s="5" t="s">
        <v>407</v>
      </c>
      <c r="C221" t="str">
        <f>VLOOKUP(B221,Recipes!A:B,2,0)</f>
        <v>Roti &amp; Paratha</v>
      </c>
      <c r="D221" t="str">
        <f>VLOOKUP(B221,Recipes!A:C,3,0)</f>
        <v>Kachori</v>
      </c>
      <c r="E221" s="18">
        <f>VLOOKUP(B221,Recipes!A:J,10,0)</f>
        <v>0</v>
      </c>
      <c r="F221" s="18" t="str">
        <f>VLOOKUP(B221,Recipes!A:I,9,0)</f>
        <v>Nos</v>
      </c>
      <c r="G221" s="55">
        <f>SUMIF(Recipes!A:A,Consolidate!B221,Recipes!H:H)</f>
        <v>13.603860000000001</v>
      </c>
      <c r="H221" s="55">
        <f>SUMIFS(Recipes!$H:$H,Recipes!$D:$D,Consolidate!$E221,Recipes!$A:$A,Consolidate!$B221)</f>
        <v>0</v>
      </c>
      <c r="I221" s="56">
        <f t="shared" si="9"/>
        <v>13.603860000000001</v>
      </c>
      <c r="K221" s="57">
        <f>SUMIF(Recipes!A:A,Consolidate!B221,Recipes!L:L)</f>
        <v>13.867147500000002</v>
      </c>
      <c r="L221" s="59">
        <f>SUMIFS(Recipes!$L:$L,Recipes!$D:$D,Consolidate!$E221,Recipes!$A:$A,Consolidate!$B221)</f>
        <v>0</v>
      </c>
      <c r="M221" s="60">
        <f t="shared" si="10"/>
        <v>13.867147500000002</v>
      </c>
    </row>
    <row r="222" spans="1:13">
      <c r="A222">
        <f t="shared" si="11"/>
        <v>220</v>
      </c>
      <c r="B222" s="5" t="s">
        <v>383</v>
      </c>
      <c r="C222" t="str">
        <f>VLOOKUP(B222,Recipes!A:B,2,0)</f>
        <v>Chatni &amp; Sauces</v>
      </c>
      <c r="D222" t="str">
        <f>VLOOKUP(B222,Recipes!A:C,3,0)</f>
        <v>Kachumber Raita</v>
      </c>
      <c r="E222" s="18">
        <f>VLOOKUP(B222,Recipes!A:J,10,0)</f>
        <v>0</v>
      </c>
      <c r="F222" s="18" t="str">
        <f>VLOOKUP(B222,Recipes!A:I,9,0)</f>
        <v>Bowl</v>
      </c>
      <c r="G222" s="55">
        <f>SUMIF(Recipes!A:A,Consolidate!B222,Recipes!H:H)</f>
        <v>443.75</v>
      </c>
      <c r="H222" s="55">
        <f>SUMIFS(Recipes!$H:$H,Recipes!$D:$D,Consolidate!$E222,Recipes!$A:$A,Consolidate!$B222)</f>
        <v>0</v>
      </c>
      <c r="I222" s="56">
        <f t="shared" si="9"/>
        <v>443.75</v>
      </c>
      <c r="K222" s="57">
        <f>SUMIF(Recipes!A:A,Consolidate!B222,Recipes!L:L)</f>
        <v>397.25</v>
      </c>
      <c r="L222" s="59">
        <f>SUMIFS(Recipes!$L:$L,Recipes!$D:$D,Consolidate!$E222,Recipes!$A:$A,Consolidate!$B222)</f>
        <v>0</v>
      </c>
      <c r="M222" s="60">
        <f t="shared" si="10"/>
        <v>397.25</v>
      </c>
    </row>
    <row r="223" spans="1:13">
      <c r="A223">
        <f t="shared" si="11"/>
        <v>221</v>
      </c>
      <c r="B223" s="5" t="s">
        <v>378</v>
      </c>
      <c r="C223" t="str">
        <f>VLOOKUP(B223,Recipes!A:B,2,0)</f>
        <v>Salad</v>
      </c>
      <c r="D223" t="str">
        <f>VLOOKUP(B223,Recipes!A:C,3,0)</f>
        <v>Without Meat</v>
      </c>
      <c r="E223" s="18">
        <f>VLOOKUP(B223,Recipes!A:J,10,0)</f>
        <v>0</v>
      </c>
      <c r="F223" s="18" t="str">
        <f>VLOOKUP(B223,Recipes!A:I,9,0)</f>
        <v>Kg</v>
      </c>
      <c r="G223" s="55">
        <f>SUMIF(Recipes!A:A,Consolidate!B223,Recipes!H:H)</f>
        <v>792.57335675675677</v>
      </c>
      <c r="H223" s="55">
        <f>SUMIFS(Recipes!$H:$H,Recipes!$D:$D,Consolidate!$E223,Recipes!$A:$A,Consolidate!$B223)</f>
        <v>0</v>
      </c>
      <c r="I223" s="56">
        <f t="shared" si="9"/>
        <v>792.57335675675677</v>
      </c>
      <c r="K223" s="57">
        <f>SUMIF(Recipes!A:A,Consolidate!B223,Recipes!L:L)</f>
        <v>393.92972972972962</v>
      </c>
      <c r="L223" s="59">
        <f>SUMIFS(Recipes!$L:$L,Recipes!$D:$D,Consolidate!$E223,Recipes!$A:$A,Consolidate!$B223)</f>
        <v>0</v>
      </c>
      <c r="M223" s="60">
        <f t="shared" si="10"/>
        <v>393.92972972972962</v>
      </c>
    </row>
    <row r="224" spans="1:13">
      <c r="A224">
        <f t="shared" si="11"/>
        <v>222</v>
      </c>
      <c r="B224" s="5" t="s">
        <v>206</v>
      </c>
      <c r="C224" t="str">
        <f>VLOOKUP(B224,Recipes!A:B,2,0)</f>
        <v>Roti &amp; Paratha</v>
      </c>
      <c r="D224" t="str">
        <f>VLOOKUP(B224,Recipes!A:C,3,0)</f>
        <v>Naan</v>
      </c>
      <c r="E224" s="18">
        <f>VLOOKUP(B224,Recipes!A:J,10,0)</f>
        <v>0</v>
      </c>
      <c r="F224" s="18" t="str">
        <f>VLOOKUP(B224,Recipes!A:I,9,0)</f>
        <v>Pcs</v>
      </c>
      <c r="G224" s="55">
        <f>SUMIF(Recipes!A:A,Consolidate!B224,Recipes!H:H)</f>
        <v>57.708359999999999</v>
      </c>
      <c r="H224" s="55">
        <f>SUMIFS(Recipes!$H:$H,Recipes!$D:$D,Consolidate!$E224,Recipes!$A:$A,Consolidate!$B224)</f>
        <v>0</v>
      </c>
      <c r="I224" s="56">
        <f t="shared" si="9"/>
        <v>57.708359999999999</v>
      </c>
      <c r="K224" s="57">
        <f>SUMIF(Recipes!A:A,Consolidate!B224,Recipes!L:L)</f>
        <v>57.716927999999996</v>
      </c>
      <c r="L224" s="59">
        <f>SUMIFS(Recipes!$L:$L,Recipes!$D:$D,Consolidate!$E224,Recipes!$A:$A,Consolidate!$B224)</f>
        <v>0</v>
      </c>
      <c r="M224" s="60">
        <f t="shared" si="10"/>
        <v>57.716927999999996</v>
      </c>
    </row>
    <row r="225" spans="1:13">
      <c r="A225">
        <f t="shared" si="11"/>
        <v>223</v>
      </c>
      <c r="B225" s="5" t="s">
        <v>435</v>
      </c>
      <c r="C225" t="str">
        <f>VLOOKUP(B225,Recipes!A:B,2,0)</f>
        <v>Side Dish</v>
      </c>
      <c r="D225" t="str">
        <f>VLOOKUP(B225,Recipes!A:C,3,0)</f>
        <v>Gravy</v>
      </c>
      <c r="E225" s="18">
        <f>VLOOKUP(B225,Recipes!A:J,10,0)</f>
        <v>0</v>
      </c>
      <c r="F225" s="18" t="str">
        <f>VLOOKUP(B225,Recipes!A:I,9,0)</f>
        <v>Kg</v>
      </c>
      <c r="G225" s="55">
        <f>SUMIF(Recipes!A:A,Consolidate!B225,Recipes!H:H)</f>
        <v>954.07428571428591</v>
      </c>
      <c r="H225" s="55">
        <f>SUMIFS(Recipes!$H:$H,Recipes!$D:$D,Consolidate!$E225,Recipes!$A:$A,Consolidate!$B225)</f>
        <v>0</v>
      </c>
      <c r="I225" s="56">
        <f t="shared" si="9"/>
        <v>954.07428571428591</v>
      </c>
      <c r="K225" s="57">
        <f>SUMIF(Recipes!A:A,Consolidate!B225,Recipes!L:L)</f>
        <v>966.28571428571422</v>
      </c>
      <c r="L225" s="59">
        <f>SUMIFS(Recipes!$L:$L,Recipes!$D:$D,Consolidate!$E225,Recipes!$A:$A,Consolidate!$B225)</f>
        <v>0</v>
      </c>
      <c r="M225" s="60">
        <f t="shared" si="10"/>
        <v>966.28571428571422</v>
      </c>
    </row>
    <row r="226" spans="1:13">
      <c r="A226">
        <f t="shared" si="11"/>
        <v>224</v>
      </c>
      <c r="B226" s="5" t="s">
        <v>139</v>
      </c>
      <c r="C226" t="str">
        <f>VLOOKUP(B226,Recipes!A:B,2,0)</f>
        <v>Main Course</v>
      </c>
      <c r="D226" t="str">
        <f>VLOOKUP(B226,Recipes!A:C,3,0)</f>
        <v>Gravy</v>
      </c>
      <c r="E226" s="18">
        <f>VLOOKUP(B226,Recipes!A:J,10,0)</f>
        <v>0</v>
      </c>
      <c r="F226" s="18" t="str">
        <f>VLOOKUP(B226,Recipes!A:I,9,0)</f>
        <v>Plate</v>
      </c>
      <c r="G226" s="55">
        <f>SUMIF(Recipes!A:A,Consolidate!B226,Recipes!H:H)</f>
        <v>570.06290000000001</v>
      </c>
      <c r="H226" s="55">
        <f>SUMIFS(Recipes!$H:$H,Recipes!$D:$D,Consolidate!$E226,Recipes!$A:$A,Consolidate!$B226)</f>
        <v>0</v>
      </c>
      <c r="I226" s="56">
        <f t="shared" si="9"/>
        <v>570.06290000000001</v>
      </c>
      <c r="K226" s="57">
        <f>SUMIF(Recipes!A:A,Consolidate!B226,Recipes!L:L)</f>
        <v>734.85</v>
      </c>
      <c r="L226" s="59">
        <f>SUMIFS(Recipes!$L:$L,Recipes!$D:$D,Consolidate!$E226,Recipes!$A:$A,Consolidate!$B226)</f>
        <v>0</v>
      </c>
      <c r="M226" s="60">
        <f t="shared" si="10"/>
        <v>734.85</v>
      </c>
    </row>
    <row r="227" spans="1:13">
      <c r="A227">
        <f t="shared" si="11"/>
        <v>225</v>
      </c>
      <c r="B227" s="5" t="s">
        <v>612</v>
      </c>
      <c r="C227" t="str">
        <f>VLOOKUP(B227,Recipes!A:B,2,0)</f>
        <v>Chatni &amp; Sauces</v>
      </c>
      <c r="D227" t="str">
        <f>VLOOKUP(B227,Recipes!A:C,3,0)</f>
        <v>Ketchup</v>
      </c>
      <c r="E227" s="18">
        <f>VLOOKUP(B227,Recipes!A:J,10,0)</f>
        <v>0</v>
      </c>
      <c r="F227" s="18" t="str">
        <f>VLOOKUP(B227,Recipes!A:I,9,0)</f>
        <v>Kg</v>
      </c>
      <c r="G227" s="55">
        <f>SUMIF(Recipes!A:A,Consolidate!B227,Recipes!H:H)</f>
        <v>675</v>
      </c>
      <c r="H227" s="55">
        <f>SUMIFS(Recipes!$H:$H,Recipes!$D:$D,Consolidate!$E227,Recipes!$A:$A,Consolidate!$B227)</f>
        <v>0</v>
      </c>
      <c r="I227" s="56">
        <f t="shared" si="9"/>
        <v>675</v>
      </c>
      <c r="K227" s="57">
        <f>SUMIF(Recipes!A:A,Consolidate!B227,Recipes!L:L)</f>
        <v>675</v>
      </c>
      <c r="L227" s="59">
        <f>SUMIFS(Recipes!$L:$L,Recipes!$D:$D,Consolidate!$E227,Recipes!$A:$A,Consolidate!$B227)</f>
        <v>0</v>
      </c>
      <c r="M227" s="60">
        <f t="shared" si="10"/>
        <v>675</v>
      </c>
    </row>
    <row r="228" spans="1:13">
      <c r="A228">
        <f t="shared" si="11"/>
        <v>226</v>
      </c>
      <c r="B228" s="5" t="s">
        <v>234</v>
      </c>
      <c r="C228" t="str">
        <f>VLOOKUP(B228,Recipes!A:B,2,0)</f>
        <v>Dessert</v>
      </c>
      <c r="D228" t="str">
        <f>VLOOKUP(B228,Recipes!A:C,3,0)</f>
        <v>Dessert</v>
      </c>
      <c r="E228" s="18">
        <f>VLOOKUP(B228,Recipes!A:J,10,0)</f>
        <v>0</v>
      </c>
      <c r="F228" s="18" t="str">
        <f>VLOOKUP(B228,Recipes!A:I,9,0)</f>
        <v>Kg</v>
      </c>
      <c r="G228" s="55">
        <f>SUMIF(Recipes!A:A,Consolidate!B228,Recipes!H:H)</f>
        <v>448.86666666666662</v>
      </c>
      <c r="H228" s="55">
        <f>SUMIFS(Recipes!$H:$H,Recipes!$D:$D,Consolidate!$E228,Recipes!$A:$A,Consolidate!$B228)</f>
        <v>0</v>
      </c>
      <c r="I228" s="56">
        <f t="shared" si="9"/>
        <v>448.86666666666662</v>
      </c>
      <c r="K228" s="57">
        <f>SUMIF(Recipes!A:A,Consolidate!B228,Recipes!L:L)</f>
        <v>689.25</v>
      </c>
      <c r="L228" s="59">
        <f>SUMIFS(Recipes!$L:$L,Recipes!$D:$D,Consolidate!$E228,Recipes!$A:$A,Consolidate!$B228)</f>
        <v>0</v>
      </c>
      <c r="M228" s="60">
        <f t="shared" si="10"/>
        <v>689.25</v>
      </c>
    </row>
    <row r="229" spans="1:13">
      <c r="A229">
        <f t="shared" si="11"/>
        <v>227</v>
      </c>
      <c r="B229" s="5" t="s">
        <v>237</v>
      </c>
      <c r="C229" t="str">
        <f>VLOOKUP(B229,Recipes!A:B,2,0)</f>
        <v>Dessert</v>
      </c>
      <c r="D229" t="str">
        <f>VLOOKUP(B229,Recipes!A:C,3,0)</f>
        <v>Dessert</v>
      </c>
      <c r="E229" s="18">
        <f>VLOOKUP(B229,Recipes!A:J,10,0)</f>
        <v>0</v>
      </c>
      <c r="F229" s="18" t="str">
        <f>VLOOKUP(B229,Recipes!A:I,9,0)</f>
        <v>Kg</v>
      </c>
      <c r="G229" s="55">
        <f>SUMIF(Recipes!A:A,Consolidate!B229,Recipes!H:H)</f>
        <v>608.86666666666656</v>
      </c>
      <c r="H229" s="55">
        <f>SUMIFS(Recipes!$H:$H,Recipes!$D:$D,Consolidate!$E229,Recipes!$A:$A,Consolidate!$B229)</f>
        <v>0</v>
      </c>
      <c r="I229" s="56">
        <f t="shared" si="9"/>
        <v>608.86666666666656</v>
      </c>
      <c r="K229" s="57">
        <f>SUMIF(Recipes!A:A,Consolidate!B229,Recipes!L:L)</f>
        <v>799.25</v>
      </c>
      <c r="L229" s="59">
        <f>SUMIFS(Recipes!$L:$L,Recipes!$D:$D,Consolidate!$E229,Recipes!$A:$A,Consolidate!$B229)</f>
        <v>0</v>
      </c>
      <c r="M229" s="60">
        <f t="shared" si="10"/>
        <v>799.25</v>
      </c>
    </row>
    <row r="230" spans="1:13">
      <c r="A230">
        <f t="shared" si="11"/>
        <v>228</v>
      </c>
      <c r="B230" s="5" t="s">
        <v>580</v>
      </c>
      <c r="C230" t="str">
        <f>VLOOKUP(B230,Recipes!A:B,2,0)</f>
        <v>Main Course</v>
      </c>
      <c r="D230" t="str">
        <f>VLOOKUP(B230,Recipes!A:C,3,0)</f>
        <v>Dry</v>
      </c>
      <c r="E230" s="18" t="str">
        <f>VLOOKUP(B230,Recipes!A:J,10,0)</f>
        <v>Beef Boneless</v>
      </c>
      <c r="F230" s="18" t="str">
        <f>VLOOKUP(B230,Recipes!A:I,9,0)</f>
        <v>Kg</v>
      </c>
      <c r="G230" s="55">
        <f>SUMIF(Recipes!A:A,Consolidate!B230,Recipes!H:H)</f>
        <v>1249.7411055555556</v>
      </c>
      <c r="H230" s="55">
        <f>SUMIFS(Recipes!$H:$H,Recipes!$D:$D,Consolidate!$E230,Recipes!$A:$A,Consolidate!$B230)</f>
        <v>1020</v>
      </c>
      <c r="I230" s="56">
        <f t="shared" si="9"/>
        <v>229.74110555555558</v>
      </c>
      <c r="K230" s="57">
        <f>SUMIF(Recipes!A:A,Consolidate!B230,Recipes!L:L)</f>
        <v>1160.3843703703706</v>
      </c>
      <c r="L230" s="59">
        <f>SUMIFS(Recipes!$L:$L,Recipes!$D:$D,Consolidate!$E230,Recipes!$A:$A,Consolidate!$B230)</f>
        <v>1000</v>
      </c>
      <c r="M230" s="60">
        <f t="shared" si="10"/>
        <v>160.38437037037056</v>
      </c>
    </row>
    <row r="231" spans="1:13">
      <c r="A231">
        <f t="shared" si="11"/>
        <v>229</v>
      </c>
      <c r="B231" s="5" t="s">
        <v>605</v>
      </c>
      <c r="C231" t="str">
        <f>VLOOKUP(B231,Recipes!A:B,2,0)</f>
        <v>Side Dish</v>
      </c>
      <c r="D231" t="str">
        <f>VLOOKUP(B231,Recipes!A:C,3,0)</f>
        <v>Gravy</v>
      </c>
      <c r="E231" s="18">
        <f>VLOOKUP(B231,Recipes!A:J,10,0)</f>
        <v>0</v>
      </c>
      <c r="F231" s="18" t="str">
        <f>VLOOKUP(B231,Recipes!A:I,9,0)</f>
        <v>Kg</v>
      </c>
      <c r="G231" s="55">
        <f>SUMIF(Recipes!A:A,Consolidate!B231,Recipes!H:H)</f>
        <v>680.41800000000001</v>
      </c>
      <c r="H231" s="55">
        <f>SUMIFS(Recipes!$H:$H,Recipes!$D:$D,Consolidate!$E231,Recipes!$A:$A,Consolidate!$B231)</f>
        <v>0</v>
      </c>
      <c r="I231" s="56">
        <f t="shared" si="9"/>
        <v>680.41800000000001</v>
      </c>
      <c r="K231" s="57">
        <f>SUMIF(Recipes!A:A,Consolidate!B231,Recipes!L:L)</f>
        <v>680.09</v>
      </c>
      <c r="L231" s="59">
        <f>SUMIFS(Recipes!$L:$L,Recipes!$D:$D,Consolidate!$E231,Recipes!$A:$A,Consolidate!$B231)</f>
        <v>0</v>
      </c>
      <c r="M231" s="60">
        <f t="shared" si="10"/>
        <v>680.09</v>
      </c>
    </row>
    <row r="232" spans="1:13">
      <c r="A232">
        <f t="shared" si="11"/>
        <v>230</v>
      </c>
      <c r="B232" s="5" t="s">
        <v>670</v>
      </c>
      <c r="C232" t="str">
        <f>VLOOKUP(B232,Recipes!A:B,2,0)</f>
        <v>Dessert</v>
      </c>
      <c r="D232" t="str">
        <f>VLOOKUP(B232,Recipes!A:C,3,0)</f>
        <v>Kulfi</v>
      </c>
      <c r="E232" s="18">
        <f>VLOOKUP(B232,Recipes!A:J,10,0)</f>
        <v>0</v>
      </c>
      <c r="F232" s="18" t="str">
        <f>VLOOKUP(B232,Recipes!A:I,9,0)</f>
        <v>Pcs</v>
      </c>
      <c r="G232" s="55">
        <f>SUMIF(Recipes!A:A,Consolidate!B232,Recipes!H:H)</f>
        <v>70</v>
      </c>
      <c r="H232" s="55">
        <f>SUMIFS(Recipes!$H:$H,Recipes!$D:$D,Consolidate!$E232,Recipes!$A:$A,Consolidate!$B232)</f>
        <v>0</v>
      </c>
      <c r="I232" s="56">
        <f t="shared" si="9"/>
        <v>70</v>
      </c>
      <c r="K232" s="57">
        <f>SUMIF(Recipes!A:A,Consolidate!B232,Recipes!L:L)</f>
        <v>70</v>
      </c>
      <c r="L232" s="59">
        <f>SUMIFS(Recipes!$L:$L,Recipes!$D:$D,Consolidate!$E232,Recipes!$A:$A,Consolidate!$B232)</f>
        <v>0</v>
      </c>
      <c r="M232" s="60">
        <f t="shared" si="10"/>
        <v>70</v>
      </c>
    </row>
    <row r="233" spans="1:13">
      <c r="A233">
        <f t="shared" si="11"/>
        <v>231</v>
      </c>
      <c r="B233" s="5" t="s">
        <v>540</v>
      </c>
      <c r="C233" t="str">
        <f>VLOOKUP(B233,Recipes!A:B,2,0)</f>
        <v>Dessert</v>
      </c>
      <c r="D233" t="str">
        <f>VLOOKUP(B233,Recipes!A:C,3,0)</f>
        <v>Dry</v>
      </c>
      <c r="E233" s="18">
        <f>VLOOKUP(B233,Recipes!A:J,10,0)</f>
        <v>0</v>
      </c>
      <c r="F233" s="18" t="str">
        <f>VLOOKUP(B233,Recipes!A:I,9,0)</f>
        <v>Kg</v>
      </c>
      <c r="G233" s="55">
        <f>SUMIF(Recipes!A:A,Consolidate!B233,Recipes!H:H)</f>
        <v>1750.2733333333335</v>
      </c>
      <c r="H233" s="55">
        <f>SUMIFS(Recipes!$H:$H,Recipes!$D:$D,Consolidate!$E233,Recipes!$A:$A,Consolidate!$B233)</f>
        <v>0</v>
      </c>
      <c r="I233" s="56">
        <f t="shared" si="9"/>
        <v>1750.2733333333335</v>
      </c>
      <c r="K233" s="57">
        <f>SUMIF(Recipes!A:A,Consolidate!B233,Recipes!L:L)</f>
        <v>2171.5698730158733</v>
      </c>
      <c r="L233" s="59">
        <f>SUMIFS(Recipes!$L:$L,Recipes!$D:$D,Consolidate!$E233,Recipes!$A:$A,Consolidate!$B233)</f>
        <v>0</v>
      </c>
      <c r="M233" s="60">
        <f t="shared" si="10"/>
        <v>2171.5698730158733</v>
      </c>
    </row>
    <row r="234" spans="1:13">
      <c r="A234">
        <f t="shared" si="11"/>
        <v>232</v>
      </c>
      <c r="B234" s="5" t="s">
        <v>197</v>
      </c>
      <c r="C234" t="str">
        <f>VLOOKUP(B234,Recipes!A:B,2,0)</f>
        <v>Main Course</v>
      </c>
      <c r="D234" t="str">
        <f>VLOOKUP(B234,Recipes!A:C,3,0)</f>
        <v>Gravy</v>
      </c>
      <c r="E234" s="18" t="str">
        <f>VLOOKUP(B234,Recipes!A:J,10,0)</f>
        <v>Chicken Boneless</v>
      </c>
      <c r="F234" s="18" t="str">
        <f>VLOOKUP(B234,Recipes!A:I,9,0)</f>
        <v>Kg</v>
      </c>
      <c r="G234" s="55">
        <f>SUMIF(Recipes!A:A,Consolidate!B234,Recipes!H:H)</f>
        <v>1357.52125</v>
      </c>
      <c r="H234" s="55">
        <f>SUMIFS(Recipes!$H:$H,Recipes!$D:$D,Consolidate!$E234,Recipes!$A:$A,Consolidate!$B234)</f>
        <v>908</v>
      </c>
      <c r="I234" s="56">
        <f t="shared" si="9"/>
        <v>449.52125000000001</v>
      </c>
      <c r="K234" s="57">
        <f>SUMIF(Recipes!A:A,Consolidate!B234,Recipes!L:L)</f>
        <v>1916.3267500000002</v>
      </c>
      <c r="L234" s="59">
        <f>SUMIFS(Recipes!$L:$L,Recipes!$D:$D,Consolidate!$E234,Recipes!$A:$A,Consolidate!$B234)</f>
        <v>908</v>
      </c>
      <c r="M234" s="60">
        <f t="shared" si="10"/>
        <v>1008.3267500000002</v>
      </c>
    </row>
    <row r="235" spans="1:13">
      <c r="A235">
        <f t="shared" si="11"/>
        <v>233</v>
      </c>
      <c r="B235" s="5" t="s">
        <v>210</v>
      </c>
      <c r="C235" t="str">
        <f>VLOOKUP(B235,Recipes!A:B,2,0)</f>
        <v>Roti &amp; Paratha</v>
      </c>
      <c r="D235" t="str">
        <f>VLOOKUP(B235,Recipes!A:C,3,0)</f>
        <v>Chapati</v>
      </c>
      <c r="E235" s="18">
        <f>VLOOKUP(B235,Recipes!A:J,10,0)</f>
        <v>0</v>
      </c>
      <c r="F235" s="18" t="str">
        <f>VLOOKUP(B235,Recipes!A:I,9,0)</f>
        <v>Pcs</v>
      </c>
      <c r="G235" s="55">
        <f>SUMIF(Recipes!A:A,Consolidate!B235,Recipes!H:H)</f>
        <v>8.5751578947368419</v>
      </c>
      <c r="H235" s="55">
        <f>SUMIFS(Recipes!$H:$H,Recipes!$D:$D,Consolidate!$E235,Recipes!$A:$A,Consolidate!$B235)</f>
        <v>0</v>
      </c>
      <c r="I235" s="56">
        <f t="shared" si="9"/>
        <v>8.5751578947368419</v>
      </c>
      <c r="K235" s="57">
        <f>SUMIF(Recipes!A:A,Consolidate!B235,Recipes!L:L)</f>
        <v>8.6277894736842118</v>
      </c>
      <c r="L235" s="59">
        <f>SUMIFS(Recipes!$L:$L,Recipes!$D:$D,Consolidate!$E235,Recipes!$A:$A,Consolidate!$B235)</f>
        <v>0</v>
      </c>
      <c r="M235" s="60">
        <f t="shared" si="10"/>
        <v>8.6277894736842118</v>
      </c>
    </row>
    <row r="236" spans="1:13">
      <c r="A236">
        <f t="shared" si="11"/>
        <v>234</v>
      </c>
      <c r="B236" s="5" t="s">
        <v>241</v>
      </c>
      <c r="C236" t="str">
        <f>VLOOKUP(B236,Recipes!A:B,2,0)</f>
        <v>Dessert</v>
      </c>
      <c r="D236" t="str">
        <f>VLOOKUP(B236,Recipes!A:C,3,0)</f>
        <v>Dessert</v>
      </c>
      <c r="E236" s="18">
        <f>VLOOKUP(B236,Recipes!A:J,10,0)</f>
        <v>0</v>
      </c>
      <c r="F236" s="18" t="str">
        <f>VLOOKUP(B236,Recipes!A:I,9,0)</f>
        <v>Kg</v>
      </c>
      <c r="G236" s="55">
        <f>SUMIF(Recipes!A:A,Consolidate!B236,Recipes!H:H)</f>
        <v>1069.1166666666666</v>
      </c>
      <c r="H236" s="55">
        <f>SUMIFS(Recipes!$H:$H,Recipes!$D:$D,Consolidate!$E236,Recipes!$A:$A,Consolidate!$B236)</f>
        <v>0</v>
      </c>
      <c r="I236" s="56">
        <f t="shared" si="9"/>
        <v>1069.1166666666666</v>
      </c>
      <c r="K236" s="57">
        <f>SUMIF(Recipes!A:A,Consolidate!B236,Recipes!L:L)</f>
        <v>1052.8472857142858</v>
      </c>
      <c r="L236" s="59">
        <f>SUMIFS(Recipes!$L:$L,Recipes!$D:$D,Consolidate!$E236,Recipes!$A:$A,Consolidate!$B236)</f>
        <v>0</v>
      </c>
      <c r="M236" s="60">
        <f t="shared" si="10"/>
        <v>1052.8472857142858</v>
      </c>
    </row>
    <row r="237" spans="1:13">
      <c r="A237">
        <f t="shared" si="11"/>
        <v>235</v>
      </c>
      <c r="B237" s="5" t="s">
        <v>425</v>
      </c>
      <c r="C237" t="str">
        <f>VLOOKUP(B237,Recipes!A:B,2,0)</f>
        <v>Roti &amp; Paratha</v>
      </c>
      <c r="D237" t="str">
        <f>VLOOKUP(B237,Recipes!A:C,3,0)</f>
        <v>Paratha</v>
      </c>
      <c r="E237" s="18">
        <f>VLOOKUP(B237,Recipes!A:J,10,0)</f>
        <v>0</v>
      </c>
      <c r="F237" s="18" t="str">
        <f>VLOOKUP(B237,Recipes!A:I,9,0)</f>
        <v>Nos</v>
      </c>
      <c r="G237" s="55">
        <f>SUMIF(Recipes!A:A,Consolidate!B237,Recipes!H:H)</f>
        <v>21.658616666666667</v>
      </c>
      <c r="H237" s="55">
        <f>SUMIFS(Recipes!$H:$H,Recipes!$D:$D,Consolidate!$E237,Recipes!$A:$A,Consolidate!$B237)</f>
        <v>0</v>
      </c>
      <c r="I237" s="56">
        <f t="shared" si="9"/>
        <v>21.658616666666667</v>
      </c>
      <c r="K237" s="57">
        <f>SUMIF(Recipes!A:A,Consolidate!B237,Recipes!L:L)</f>
        <v>23.103999999999999</v>
      </c>
      <c r="L237" s="59">
        <f>SUMIFS(Recipes!$L:$L,Recipes!$D:$D,Consolidate!$E237,Recipes!$A:$A,Consolidate!$B237)</f>
        <v>0</v>
      </c>
      <c r="M237" s="60">
        <f t="shared" si="10"/>
        <v>23.103999999999999</v>
      </c>
    </row>
    <row r="238" spans="1:13">
      <c r="A238">
        <f t="shared" si="11"/>
        <v>236</v>
      </c>
      <c r="B238" s="5" t="s">
        <v>367</v>
      </c>
      <c r="C238" t="str">
        <f>VLOOKUP(B238,Recipes!A:B,2,0)</f>
        <v>Main Course</v>
      </c>
      <c r="D238" t="str">
        <f>VLOOKUP(B238,Recipes!A:C,3,0)</f>
        <v>Fried</v>
      </c>
      <c r="E238" s="18" t="str">
        <f>VLOOKUP(B238,Recipes!A:J,10,0)</f>
        <v>Mutton Cube</v>
      </c>
      <c r="F238" s="18" t="str">
        <f>VLOOKUP(B238,Recipes!A:I,9,0)</f>
        <v>Kg</v>
      </c>
      <c r="G238" s="55">
        <f>SUMIF(Recipes!A:A,Consolidate!B238,Recipes!H:H)</f>
        <v>1847.9809375</v>
      </c>
      <c r="H238" s="55">
        <f>SUMIFS(Recipes!$H:$H,Recipes!$D:$D,Consolidate!$E238,Recipes!$A:$A,Consolidate!$B238)</f>
        <v>1700</v>
      </c>
      <c r="I238" s="56">
        <f t="shared" si="9"/>
        <v>147.98093749999998</v>
      </c>
      <c r="K238" s="57">
        <f>SUMIF(Recipes!A:A,Consolidate!B238,Recipes!L:L)</f>
        <v>1973.015625</v>
      </c>
      <c r="L238" s="59">
        <f>SUMIFS(Recipes!$L:$L,Recipes!$D:$D,Consolidate!$E238,Recipes!$A:$A,Consolidate!$B238)</f>
        <v>1800</v>
      </c>
      <c r="M238" s="60">
        <f t="shared" si="10"/>
        <v>173.015625</v>
      </c>
    </row>
    <row r="239" spans="1:13">
      <c r="A239">
        <f t="shared" si="11"/>
        <v>237</v>
      </c>
      <c r="B239" s="5" t="s">
        <v>328</v>
      </c>
      <c r="C239" t="str">
        <f>VLOOKUP(B239,Recipes!A:B,2,0)</f>
        <v>Main Course</v>
      </c>
      <c r="D239" t="str">
        <f>VLOOKUP(B239,Recipes!A:C,3,0)</f>
        <v>Fried</v>
      </c>
      <c r="E239" s="18" t="str">
        <f>VLOOKUP(B239,Recipes!A:J,10,0)</f>
        <v>Fish</v>
      </c>
      <c r="F239" s="18" t="str">
        <f>VLOOKUP(B239,Recipes!A:I,9,0)</f>
        <v>Kg</v>
      </c>
      <c r="G239" s="55">
        <f>SUMIF(Recipes!A:A,Consolidate!B239,Recipes!H:H)</f>
        <v>1857.9530000000002</v>
      </c>
      <c r="H239" s="55">
        <f>SUMIFS(Recipes!$H:$H,Recipes!$D:$D,Consolidate!$E239,Recipes!$A:$A,Consolidate!$B239)</f>
        <v>1600</v>
      </c>
      <c r="I239" s="56">
        <f t="shared" si="9"/>
        <v>257.9530000000002</v>
      </c>
      <c r="K239" s="57">
        <f>SUMIF(Recipes!A:A,Consolidate!B239,Recipes!L:L)</f>
        <v>1779.4604999999999</v>
      </c>
      <c r="L239" s="59">
        <f>SUMIFS(Recipes!$L:$L,Recipes!$D:$D,Consolidate!$E239,Recipes!$A:$A,Consolidate!$B239)</f>
        <v>1514.78</v>
      </c>
      <c r="M239" s="60">
        <f t="shared" si="10"/>
        <v>264.68049999999994</v>
      </c>
    </row>
    <row r="240" spans="1:13">
      <c r="A240">
        <f t="shared" si="11"/>
        <v>238</v>
      </c>
      <c r="B240" s="5" t="s">
        <v>592</v>
      </c>
      <c r="C240" t="str">
        <f>VLOOKUP(B240,Recipes!A:B,2,0)</f>
        <v>Main Course</v>
      </c>
      <c r="D240" t="str">
        <f>VLOOKUP(B240,Recipes!A:C,3,0)</f>
        <v>BBQ</v>
      </c>
      <c r="E240" s="18" t="str">
        <f>VLOOKUP(B240,Recipes!A:J,10,0)</f>
        <v>Chicken Boneless</v>
      </c>
      <c r="F240" s="18" t="str">
        <f>VLOOKUP(B240,Recipes!A:I,9,0)</f>
        <v>Kg</v>
      </c>
      <c r="G240" s="55">
        <f>SUMIF(Recipes!A:A,Consolidate!B240,Recipes!H:H)</f>
        <v>1170.0772666666667</v>
      </c>
      <c r="H240" s="55">
        <f>SUMIFS(Recipes!$H:$H,Recipes!$D:$D,Consolidate!$E240,Recipes!$A:$A,Consolidate!$B240)</f>
        <v>908</v>
      </c>
      <c r="I240" s="56">
        <f t="shared" si="9"/>
        <v>262.07726666666667</v>
      </c>
      <c r="K240" s="57">
        <f>SUMIF(Recipes!A:A,Consolidate!B240,Recipes!L:L)</f>
        <v>1385.7866666666664</v>
      </c>
      <c r="L240" s="59">
        <f>SUMIFS(Recipes!$L:$L,Recipes!$D:$D,Consolidate!$E240,Recipes!$A:$A,Consolidate!$B240)</f>
        <v>908</v>
      </c>
      <c r="M240" s="60">
        <f t="shared" si="10"/>
        <v>477.78666666666641</v>
      </c>
    </row>
    <row r="241" spans="1:13">
      <c r="A241">
        <f t="shared" si="11"/>
        <v>239</v>
      </c>
      <c r="B241" s="5" t="s">
        <v>577</v>
      </c>
      <c r="C241" t="str">
        <f>VLOOKUP(B241,Recipes!A:B,2,0)</f>
        <v>Side Dish</v>
      </c>
      <c r="D241" t="str">
        <f>VLOOKUP(B241,Recipes!A:C,3,0)</f>
        <v>Gravy</v>
      </c>
      <c r="E241" s="18">
        <f>VLOOKUP(B241,Recipes!A:J,10,0)</f>
        <v>0</v>
      </c>
      <c r="F241" s="18" t="str">
        <f>VLOOKUP(B241,Recipes!A:I,9,0)</f>
        <v>Kg</v>
      </c>
      <c r="G241" s="55">
        <f>SUMIF(Recipes!A:A,Consolidate!B241,Recipes!H:H)</f>
        <v>1221.9389999999999</v>
      </c>
      <c r="H241" s="55">
        <f>SUMIFS(Recipes!$H:$H,Recipes!$D:$D,Consolidate!$E241,Recipes!$A:$A,Consolidate!$B241)</f>
        <v>0</v>
      </c>
      <c r="I241" s="56">
        <f t="shared" si="9"/>
        <v>1221.9389999999999</v>
      </c>
      <c r="K241" s="57">
        <f>SUMIF(Recipes!A:A,Consolidate!B241,Recipes!L:L)</f>
        <v>1034.55</v>
      </c>
      <c r="L241" s="59">
        <f>SUMIFS(Recipes!$L:$L,Recipes!$D:$D,Consolidate!$E241,Recipes!$A:$A,Consolidate!$B241)</f>
        <v>0</v>
      </c>
      <c r="M241" s="60">
        <f t="shared" si="10"/>
        <v>1034.55</v>
      </c>
    </row>
    <row r="242" spans="1:13">
      <c r="A242">
        <f t="shared" si="11"/>
        <v>240</v>
      </c>
      <c r="B242" s="5" t="s">
        <v>609</v>
      </c>
      <c r="C242" t="str">
        <f>VLOOKUP(B242,Recipes!A:B,2,0)</f>
        <v>Salad</v>
      </c>
      <c r="D242" t="str">
        <f>VLOOKUP(B242,Recipes!A:C,3,0)</f>
        <v>Without Meat</v>
      </c>
      <c r="E242" s="18">
        <f>VLOOKUP(B242,Recipes!A:J,10,0)</f>
        <v>0</v>
      </c>
      <c r="F242" s="18" t="str">
        <f>VLOOKUP(B242,Recipes!A:I,9,0)</f>
        <v>Kg</v>
      </c>
      <c r="G242" s="55">
        <f>SUMIF(Recipes!A:A,Consolidate!B242,Recipes!H:H)</f>
        <v>120</v>
      </c>
      <c r="H242" s="55">
        <f>SUMIFS(Recipes!$H:$H,Recipes!$D:$D,Consolidate!$E242,Recipes!$A:$A,Consolidate!$B242)</f>
        <v>0</v>
      </c>
      <c r="I242" s="56">
        <f t="shared" si="9"/>
        <v>120</v>
      </c>
      <c r="K242" s="57">
        <f>SUMIF(Recipes!A:A,Consolidate!B242,Recipes!L:L)</f>
        <v>120</v>
      </c>
      <c r="L242" s="59">
        <f>SUMIFS(Recipes!$L:$L,Recipes!$D:$D,Consolidate!$E242,Recipes!$A:$A,Consolidate!$B242)</f>
        <v>0</v>
      </c>
      <c r="M242" s="60">
        <f t="shared" si="10"/>
        <v>120</v>
      </c>
    </row>
    <row r="243" spans="1:13">
      <c r="A243">
        <f t="shared" si="11"/>
        <v>241</v>
      </c>
      <c r="B243" s="5" t="s">
        <v>442</v>
      </c>
      <c r="C243" t="str">
        <f>VLOOKUP(B243,Recipes!A:B,2,0)</f>
        <v>Dessert</v>
      </c>
      <c r="D243" t="str">
        <f>VLOOKUP(B243,Recipes!A:C,3,0)</f>
        <v>Dessert</v>
      </c>
      <c r="E243" s="18">
        <f>VLOOKUP(B243,Recipes!A:J,10,0)</f>
        <v>0</v>
      </c>
      <c r="F243" s="18" t="str">
        <f>VLOOKUP(B243,Recipes!A:I,9,0)</f>
        <v>Kg</v>
      </c>
      <c r="G243" s="55">
        <f>SUMIF(Recipes!A:A,Consolidate!B243,Recipes!H:H)</f>
        <v>640.74841666666669</v>
      </c>
      <c r="H243" s="55">
        <f>SUMIFS(Recipes!$H:$H,Recipes!$D:$D,Consolidate!$E243,Recipes!$A:$A,Consolidate!$B243)</f>
        <v>0</v>
      </c>
      <c r="I243" s="56">
        <f t="shared" si="9"/>
        <v>640.74841666666669</v>
      </c>
      <c r="K243" s="57">
        <f>SUMIF(Recipes!A:A,Consolidate!B243,Recipes!L:L)</f>
        <v>564.35</v>
      </c>
      <c r="L243" s="59">
        <f>SUMIFS(Recipes!$L:$L,Recipes!$D:$D,Consolidate!$E243,Recipes!$A:$A,Consolidate!$B243)</f>
        <v>0</v>
      </c>
      <c r="M243" s="60">
        <f t="shared" si="10"/>
        <v>564.35</v>
      </c>
    </row>
    <row r="244" spans="1:13">
      <c r="A244">
        <f t="shared" si="11"/>
        <v>242</v>
      </c>
      <c r="B244" s="5" t="s">
        <v>534</v>
      </c>
      <c r="C244" t="str">
        <f>VLOOKUP(B244,Recipes!A:B,2,0)</f>
        <v>Side Dish</v>
      </c>
      <c r="D244" t="str">
        <f>VLOOKUP(B244,Recipes!A:C,3,0)</f>
        <v>Dry</v>
      </c>
      <c r="E244" s="18">
        <f>VLOOKUP(B244,Recipes!A:J,10,0)</f>
        <v>0</v>
      </c>
      <c r="F244" s="18" t="str">
        <f>VLOOKUP(B244,Recipes!A:I,9,0)</f>
        <v>Kg</v>
      </c>
      <c r="G244" s="55">
        <f>SUMIF(Recipes!A:A,Consolidate!B244,Recipes!H:H)</f>
        <v>253.6</v>
      </c>
      <c r="H244" s="55">
        <f>SUMIFS(Recipes!$H:$H,Recipes!$D:$D,Consolidate!$E244,Recipes!$A:$A,Consolidate!$B244)</f>
        <v>0</v>
      </c>
      <c r="I244" s="56">
        <f t="shared" si="9"/>
        <v>253.6</v>
      </c>
      <c r="K244" s="57">
        <f>SUMIF(Recipes!A:A,Consolidate!B244,Recipes!L:L)</f>
        <v>241.96999999999997</v>
      </c>
      <c r="L244" s="59">
        <f>SUMIFS(Recipes!$L:$L,Recipes!$D:$D,Consolidate!$E244,Recipes!$A:$A,Consolidate!$B244)</f>
        <v>0</v>
      </c>
      <c r="M244" s="60">
        <f t="shared" si="10"/>
        <v>241.96999999999997</v>
      </c>
    </row>
    <row r="245" spans="1:13">
      <c r="A245">
        <f t="shared" si="11"/>
        <v>243</v>
      </c>
      <c r="B245" s="5" t="s">
        <v>245</v>
      </c>
      <c r="C245" t="str">
        <f>VLOOKUP(B245,Recipes!A:B,2,0)</f>
        <v>Dessert</v>
      </c>
      <c r="D245" t="str">
        <f>VLOOKUP(B245,Recipes!A:C,3,0)</f>
        <v>Bakery</v>
      </c>
      <c r="E245" s="18">
        <f>VLOOKUP(B245,Recipes!A:J,10,0)</f>
        <v>0</v>
      </c>
      <c r="F245" s="18" t="str">
        <f>VLOOKUP(B245,Recipes!A:I,9,0)</f>
        <v>Pcs</v>
      </c>
      <c r="G245" s="55">
        <f>SUMIF(Recipes!A:A,Consolidate!B245,Recipes!H:H)</f>
        <v>9.0463100000000001</v>
      </c>
      <c r="H245" s="55">
        <f>SUMIFS(Recipes!$H:$H,Recipes!$D:$D,Consolidate!$E245,Recipes!$A:$A,Consolidate!$B245)</f>
        <v>0</v>
      </c>
      <c r="I245" s="56">
        <f t="shared" si="9"/>
        <v>9.0463100000000001</v>
      </c>
      <c r="K245" s="57">
        <f>SUMIF(Recipes!A:A,Consolidate!B245,Recipes!L:L)</f>
        <v>14.709090000000002</v>
      </c>
      <c r="L245" s="59">
        <f>SUMIFS(Recipes!$L:$L,Recipes!$D:$D,Consolidate!$E245,Recipes!$A:$A,Consolidate!$B245)</f>
        <v>0</v>
      </c>
      <c r="M245" s="60">
        <f t="shared" si="10"/>
        <v>14.709090000000002</v>
      </c>
    </row>
    <row r="246" spans="1:13">
      <c r="A246">
        <f t="shared" si="11"/>
        <v>244</v>
      </c>
      <c r="B246" s="5" t="s">
        <v>495</v>
      </c>
      <c r="C246" t="str">
        <f>VLOOKUP(B246,Recipes!A:B,2,0)</f>
        <v>Appetizer</v>
      </c>
      <c r="D246" t="str">
        <f>VLOOKUP(B246,Recipes!A:C,3,0)</f>
        <v>With Meat</v>
      </c>
      <c r="E246" s="18">
        <f>VLOOKUP(B246,Recipes!A:J,10,0)</f>
        <v>0</v>
      </c>
      <c r="F246" s="18" t="str">
        <f>VLOOKUP(B246,Recipes!A:I,9,0)</f>
        <v>Pcs</v>
      </c>
      <c r="G246" s="55">
        <f>SUMIF(Recipes!A:A,Consolidate!B246,Recipes!H:H)</f>
        <v>23.750294117647059</v>
      </c>
      <c r="H246" s="55">
        <f>SUMIFS(Recipes!$H:$H,Recipes!$D:$D,Consolidate!$E246,Recipes!$A:$A,Consolidate!$B246)</f>
        <v>0</v>
      </c>
      <c r="I246" s="56">
        <f t="shared" si="9"/>
        <v>23.750294117647059</v>
      </c>
      <c r="K246" s="57">
        <f>SUMIF(Recipes!A:A,Consolidate!B246,Recipes!L:L)</f>
        <v>26.466176470588234</v>
      </c>
      <c r="L246" s="59">
        <f>SUMIFS(Recipes!$L:$L,Recipes!$D:$D,Consolidate!$E246,Recipes!$A:$A,Consolidate!$B246)</f>
        <v>0</v>
      </c>
      <c r="M246" s="60">
        <f t="shared" si="10"/>
        <v>26.466176470588234</v>
      </c>
    </row>
    <row r="247" spans="1:13">
      <c r="A247">
        <f t="shared" si="11"/>
        <v>245</v>
      </c>
      <c r="B247" s="5" t="s">
        <v>223</v>
      </c>
      <c r="C247" t="str">
        <f>VLOOKUP(B247,Recipes!A:B,2,0)</f>
        <v>Dessert</v>
      </c>
      <c r="D247" t="str">
        <f>VLOOKUP(B247,Recipes!A:C,3,0)</f>
        <v>Bakery</v>
      </c>
      <c r="E247" s="18">
        <f>VLOOKUP(B247,Recipes!A:J,10,0)</f>
        <v>0</v>
      </c>
      <c r="F247" s="18" t="str">
        <f>VLOOKUP(B247,Recipes!A:I,9,0)</f>
        <v>Tray</v>
      </c>
      <c r="G247" s="55">
        <f>SUMIF(Recipes!A:A,Consolidate!B247,Recipes!H:H)</f>
        <v>2211.5337599999998</v>
      </c>
      <c r="H247" s="55">
        <f>SUMIFS(Recipes!$H:$H,Recipes!$D:$D,Consolidate!$E247,Recipes!$A:$A,Consolidate!$B247)</f>
        <v>0</v>
      </c>
      <c r="I247" s="56">
        <f t="shared" si="9"/>
        <v>2211.5337599999998</v>
      </c>
      <c r="K247" s="57">
        <f>SUMIF(Recipes!A:A,Consolidate!B247,Recipes!L:L)</f>
        <v>2540.62104</v>
      </c>
      <c r="L247" s="59">
        <f>SUMIFS(Recipes!$L:$L,Recipes!$D:$D,Consolidate!$E247,Recipes!$A:$A,Consolidate!$B247)</f>
        <v>0</v>
      </c>
      <c r="M247" s="60">
        <f t="shared" si="10"/>
        <v>2540.62104</v>
      </c>
    </row>
    <row r="248" spans="1:13">
      <c r="A248">
        <f t="shared" si="11"/>
        <v>246</v>
      </c>
      <c r="B248" s="5" t="s">
        <v>656</v>
      </c>
      <c r="C248" t="str">
        <f>VLOOKUP(B248,Recipes!A:B,2,0)</f>
        <v>Salad</v>
      </c>
      <c r="D248" t="str">
        <f>VLOOKUP(B248,Recipes!A:C,3,0)</f>
        <v>Without Meat</v>
      </c>
      <c r="E248" s="18">
        <f>VLOOKUP(B248,Recipes!A:J,10,0)</f>
        <v>0</v>
      </c>
      <c r="F248" s="18" t="str">
        <f>VLOOKUP(B248,Recipes!A:I,9,0)</f>
        <v>Inner</v>
      </c>
      <c r="G248" s="55">
        <f>SUMIF(Recipes!A:A,Consolidate!B248,Recipes!H:H)</f>
        <v>1659.907882352941</v>
      </c>
      <c r="H248" s="55">
        <f>SUMIFS(Recipes!$H:$H,Recipes!$D:$D,Consolidate!$E248,Recipes!$A:$A,Consolidate!$B248)</f>
        <v>0</v>
      </c>
      <c r="I248" s="56">
        <f t="shared" si="9"/>
        <v>1659.907882352941</v>
      </c>
      <c r="K248" s="57">
        <f>SUMIF(Recipes!A:A,Consolidate!B248,Recipes!L:L)</f>
        <v>1581.6825000000001</v>
      </c>
      <c r="L248" s="59">
        <f>SUMIFS(Recipes!$L:$L,Recipes!$D:$D,Consolidate!$E248,Recipes!$A:$A,Consolidate!$B248)</f>
        <v>0</v>
      </c>
      <c r="M248" s="60">
        <f t="shared" si="10"/>
        <v>1581.6825000000001</v>
      </c>
    </row>
    <row r="249" spans="1:13">
      <c r="A249">
        <f t="shared" si="11"/>
        <v>247</v>
      </c>
      <c r="B249" s="5" t="s">
        <v>639</v>
      </c>
      <c r="C249" t="str">
        <f>VLOOKUP(B249,Recipes!A:B,2,0)</f>
        <v>Main Course</v>
      </c>
      <c r="D249" t="str">
        <f>VLOOKUP(B249,Recipes!A:C,3,0)</f>
        <v>Fast Food</v>
      </c>
      <c r="E249" s="18" t="str">
        <f>VLOOKUP(B249,Recipes!A:J,10,0)</f>
        <v>Beef Boneless</v>
      </c>
      <c r="F249" s="18" t="str">
        <f>VLOOKUP(B249,Recipes!A:I,9,0)</f>
        <v>Pcs</v>
      </c>
      <c r="G249" s="55">
        <f>SUMIF(Recipes!A:A,Consolidate!B249,Recipes!H:H)</f>
        <v>547.54999999999995</v>
      </c>
      <c r="H249" s="55">
        <f>SUMIFS(Recipes!$H:$H,Recipes!$D:$D,Consolidate!$E249,Recipes!$A:$A,Consolidate!$B249)</f>
        <v>459</v>
      </c>
      <c r="I249" s="56">
        <f t="shared" si="9"/>
        <v>88.549999999999955</v>
      </c>
      <c r="K249" s="57">
        <f>SUMIF(Recipes!A:A,Consolidate!B249,Recipes!L:L)</f>
        <v>534.25</v>
      </c>
      <c r="L249" s="59">
        <f>SUMIFS(Recipes!$L:$L,Recipes!$D:$D,Consolidate!$E249,Recipes!$A:$A,Consolidate!$B249)</f>
        <v>450</v>
      </c>
      <c r="M249" s="60">
        <f t="shared" si="10"/>
        <v>84.25</v>
      </c>
    </row>
    <row r="250" spans="1:13">
      <c r="A250">
        <f t="shared" si="11"/>
        <v>248</v>
      </c>
      <c r="B250" s="5" t="s">
        <v>392</v>
      </c>
      <c r="C250" t="str">
        <f>VLOOKUP(B250,Recipes!A:B,2,0)</f>
        <v>Beverages</v>
      </c>
      <c r="D250" t="str">
        <f>VLOOKUP(B250,Recipes!A:C,3,0)</f>
        <v>Water</v>
      </c>
      <c r="E250" s="18">
        <f>VLOOKUP(B250,Recipes!A:J,10,0)</f>
        <v>0</v>
      </c>
      <c r="F250" s="18" t="str">
        <f>VLOOKUP(B250,Recipes!A:I,9,0)</f>
        <v>Crate</v>
      </c>
      <c r="G250" s="55">
        <f>SUMIF(Recipes!A:A,Consolidate!B250,Recipes!H:H)</f>
        <v>454</v>
      </c>
      <c r="H250" s="55">
        <f>SUMIFS(Recipes!$H:$H,Recipes!$D:$D,Consolidate!$E250,Recipes!$A:$A,Consolidate!$B250)</f>
        <v>0</v>
      </c>
      <c r="I250" s="56">
        <f t="shared" si="9"/>
        <v>454</v>
      </c>
      <c r="K250" s="57">
        <f>SUMIF(Recipes!A:A,Consolidate!B250,Recipes!L:L)</f>
        <v>394</v>
      </c>
      <c r="L250" s="59">
        <f>SUMIFS(Recipes!$L:$L,Recipes!$D:$D,Consolidate!$E250,Recipes!$A:$A,Consolidate!$B250)</f>
        <v>0</v>
      </c>
      <c r="M250" s="60">
        <f t="shared" si="10"/>
        <v>394</v>
      </c>
    </row>
    <row r="251" spans="1:13">
      <c r="A251">
        <f t="shared" si="11"/>
        <v>249</v>
      </c>
      <c r="B251" s="5" t="s">
        <v>389</v>
      </c>
      <c r="C251" t="str">
        <f>VLOOKUP(B251,Recipes!A:B,2,0)</f>
        <v>Beverages</v>
      </c>
      <c r="D251" t="str">
        <f>VLOOKUP(B251,Recipes!A:C,3,0)</f>
        <v>Water</v>
      </c>
      <c r="E251" s="18">
        <f>VLOOKUP(B251,Recipes!A:J,10,0)</f>
        <v>0</v>
      </c>
      <c r="F251" s="18" t="str">
        <f>VLOOKUP(B251,Recipes!A:I,9,0)</f>
        <v>Bottle</v>
      </c>
      <c r="G251" s="55">
        <f>SUMIF(Recipes!A:A,Consolidate!B251,Recipes!H:H)</f>
        <v>422</v>
      </c>
      <c r="H251" s="55">
        <f>SUMIFS(Recipes!$H:$H,Recipes!$D:$D,Consolidate!$E251,Recipes!$A:$A,Consolidate!$B251)</f>
        <v>0</v>
      </c>
      <c r="I251" s="56">
        <f t="shared" si="9"/>
        <v>422</v>
      </c>
      <c r="K251" s="57">
        <f>SUMIF(Recipes!A:A,Consolidate!B251,Recipes!L:L)</f>
        <v>35</v>
      </c>
      <c r="L251" s="59">
        <f>SUMIFS(Recipes!$L:$L,Recipes!$D:$D,Consolidate!$E251,Recipes!$A:$A,Consolidate!$B251)</f>
        <v>0</v>
      </c>
      <c r="M251" s="60">
        <f t="shared" si="10"/>
        <v>35</v>
      </c>
    </row>
    <row r="252" spans="1:13">
      <c r="A252">
        <f t="shared" si="11"/>
        <v>250</v>
      </c>
      <c r="B252" s="5" t="s">
        <v>546</v>
      </c>
      <c r="C252" t="str">
        <f>VLOOKUP(B252,Recipes!A:B,2,0)</f>
        <v>Chatni &amp; Sauces</v>
      </c>
      <c r="D252" t="str">
        <f>VLOOKUP(B252,Recipes!A:C,3,0)</f>
        <v>Chatni &amp; Sauces</v>
      </c>
      <c r="E252" s="18">
        <f>VLOOKUP(B252,Recipes!A:J,10,0)</f>
        <v>0</v>
      </c>
      <c r="F252" s="18" t="str">
        <f>VLOOKUP(B252,Recipes!A:I,9,0)</f>
        <v>Bowl</v>
      </c>
      <c r="G252" s="55">
        <f>SUMIF(Recipes!A:A,Consolidate!B252,Recipes!H:H)</f>
        <v>343.08</v>
      </c>
      <c r="H252" s="55">
        <f>SUMIFS(Recipes!$H:$H,Recipes!$D:$D,Consolidate!$E252,Recipes!$A:$A,Consolidate!$B252)</f>
        <v>0</v>
      </c>
      <c r="I252" s="56">
        <f t="shared" si="9"/>
        <v>343.08</v>
      </c>
      <c r="K252" s="57">
        <f>SUMIF(Recipes!A:A,Consolidate!B252,Recipes!L:L)</f>
        <v>412.53499999999997</v>
      </c>
      <c r="L252" s="59">
        <f>SUMIFS(Recipes!$L:$L,Recipes!$D:$D,Consolidate!$E252,Recipes!$A:$A,Consolidate!$B252)</f>
        <v>0</v>
      </c>
      <c r="M252" s="60">
        <f t="shared" si="10"/>
        <v>412.53499999999997</v>
      </c>
    </row>
    <row r="253" spans="1:13">
      <c r="A253">
        <f t="shared" si="11"/>
        <v>251</v>
      </c>
      <c r="B253" s="5" t="s">
        <v>251</v>
      </c>
      <c r="C253" t="str">
        <f>VLOOKUP(B253,Recipes!A:B,2,0)</f>
        <v>Beverages</v>
      </c>
      <c r="D253" t="str">
        <f>VLOOKUP(B253,Recipes!A:C,3,0)</f>
        <v>Fresh Juice</v>
      </c>
      <c r="E253" s="18">
        <f>VLOOKUP(B253,Recipes!A:J,10,0)</f>
        <v>0</v>
      </c>
      <c r="F253" s="18" t="str">
        <f>VLOOKUP(B253,Recipes!A:I,9,0)</f>
        <v>Glass</v>
      </c>
      <c r="G253" s="55">
        <f>SUMIF(Recipes!A:A,Consolidate!B253,Recipes!H:H)</f>
        <v>37.83</v>
      </c>
      <c r="H253" s="55">
        <f>SUMIFS(Recipes!$H:$H,Recipes!$D:$D,Consolidate!$E253,Recipes!$A:$A,Consolidate!$B253)</f>
        <v>0</v>
      </c>
      <c r="I253" s="56">
        <f t="shared" si="9"/>
        <v>37.83</v>
      </c>
      <c r="K253" s="57">
        <f>SUMIF(Recipes!A:A,Consolidate!B253,Recipes!L:L)</f>
        <v>32.01</v>
      </c>
      <c r="L253" s="59">
        <f>SUMIFS(Recipes!$L:$L,Recipes!$D:$D,Consolidate!$E253,Recipes!$A:$A,Consolidate!$B253)</f>
        <v>0</v>
      </c>
      <c r="M253" s="60">
        <f t="shared" si="10"/>
        <v>32.01</v>
      </c>
    </row>
    <row r="254" spans="1:13">
      <c r="A254">
        <f t="shared" si="11"/>
        <v>252</v>
      </c>
      <c r="B254" s="5" t="s">
        <v>604</v>
      </c>
      <c r="C254" t="str">
        <f>VLOOKUP(B254,Recipes!A:B,2,0)</f>
        <v>Side Dish</v>
      </c>
      <c r="D254" t="str">
        <f>VLOOKUP(B254,Recipes!A:C,3,0)</f>
        <v>Rice</v>
      </c>
      <c r="E254" s="18">
        <f>VLOOKUP(B254,Recipes!A:J,10,0)</f>
        <v>0</v>
      </c>
      <c r="F254" s="18" t="str">
        <f>VLOOKUP(B254,Recipes!A:I,9,0)</f>
        <v>Kg</v>
      </c>
      <c r="G254" s="55">
        <f>SUMIF(Recipes!A:A,Consolidate!B254,Recipes!H:H)</f>
        <v>509.42499999999995</v>
      </c>
      <c r="H254" s="55">
        <f>SUMIFS(Recipes!$H:$H,Recipes!$D:$D,Consolidate!$E254,Recipes!$A:$A,Consolidate!$B254)</f>
        <v>0</v>
      </c>
      <c r="I254" s="56">
        <f t="shared" si="9"/>
        <v>509.42499999999995</v>
      </c>
      <c r="K254" s="57">
        <f>SUMIF(Recipes!A:A,Consolidate!B254,Recipes!L:L)</f>
        <v>532.15</v>
      </c>
      <c r="L254" s="59">
        <f>SUMIFS(Recipes!$L:$L,Recipes!$D:$D,Consolidate!$E254,Recipes!$A:$A,Consolidate!$B254)</f>
        <v>0</v>
      </c>
      <c r="M254" s="60">
        <f t="shared" si="10"/>
        <v>532.15</v>
      </c>
    </row>
    <row r="255" spans="1:13">
      <c r="A255">
        <f t="shared" si="11"/>
        <v>253</v>
      </c>
      <c r="B255" s="5" t="s">
        <v>811</v>
      </c>
      <c r="C255" t="str">
        <f>VLOOKUP(B255,Recipes!A:B,2,0)</f>
        <v>Side Dish</v>
      </c>
      <c r="D255" t="str">
        <f>VLOOKUP(B255,Recipes!A:C,3,0)</f>
        <v>Daal / Chana</v>
      </c>
      <c r="E255" s="18">
        <f>VLOOKUP(B255,Recipes!A:J,10,0)</f>
        <v>0</v>
      </c>
      <c r="F255" s="18" t="str">
        <f>VLOOKUP(B255,Recipes!A:I,9,0)</f>
        <v>Kg</v>
      </c>
      <c r="G255" s="55">
        <f>SUMIF(Recipes!A:A,Consolidate!B255,Recipes!H:H)</f>
        <v>558.39233333333334</v>
      </c>
      <c r="H255" s="55">
        <f>SUMIFS(Recipes!$H:$H,Recipes!$D:$D,Consolidate!$E255,Recipes!$A:$A,Consolidate!$B255)</f>
        <v>0</v>
      </c>
      <c r="I255" s="56">
        <f t="shared" si="9"/>
        <v>558.39233333333334</v>
      </c>
      <c r="K255" s="57">
        <f>SUMIF(Recipes!A:A,Consolidate!B255,Recipes!L:L)</f>
        <v>542.62833333333333</v>
      </c>
      <c r="L255" s="59">
        <f>SUMIFS(Recipes!$L:$L,Recipes!$D:$D,Consolidate!$E255,Recipes!$A:$A,Consolidate!$B255)</f>
        <v>0</v>
      </c>
      <c r="M255" s="60">
        <f t="shared" si="10"/>
        <v>542.62833333333333</v>
      </c>
    </row>
    <row r="256" spans="1:13">
      <c r="A256">
        <f t="shared" si="11"/>
        <v>254</v>
      </c>
      <c r="B256" s="5" t="s">
        <v>269</v>
      </c>
      <c r="C256" t="str">
        <f>VLOOKUP(B256,Recipes!A:B,2,0)</f>
        <v>Salad</v>
      </c>
      <c r="D256" t="str">
        <f>VLOOKUP(B256,Recipes!A:C,3,0)</f>
        <v>Without Meat</v>
      </c>
      <c r="E256" s="18">
        <f>VLOOKUP(B256,Recipes!A:J,10,0)</f>
        <v>0</v>
      </c>
      <c r="F256" s="18" t="str">
        <f>VLOOKUP(B256,Recipes!A:I,9,0)</f>
        <v>Inner</v>
      </c>
      <c r="G256" s="55">
        <f>SUMIF(Recipes!A:A,Consolidate!B256,Recipes!H:H)</f>
        <v>1678.925</v>
      </c>
      <c r="H256" s="55">
        <f>SUMIFS(Recipes!$H:$H,Recipes!$D:$D,Consolidate!$E256,Recipes!$A:$A,Consolidate!$B256)</f>
        <v>0</v>
      </c>
      <c r="I256" s="56">
        <f t="shared" si="9"/>
        <v>1678.925</v>
      </c>
      <c r="K256" s="57">
        <f>SUMIF(Recipes!A:A,Consolidate!B256,Recipes!L:L)</f>
        <v>609.755</v>
      </c>
      <c r="L256" s="59">
        <f>SUMIFS(Recipes!$L:$L,Recipes!$D:$D,Consolidate!$E256,Recipes!$A:$A,Consolidate!$B256)</f>
        <v>0</v>
      </c>
      <c r="M256" s="60">
        <f t="shared" si="10"/>
        <v>609.755</v>
      </c>
    </row>
    <row r="257" spans="1:13">
      <c r="A257">
        <f t="shared" si="11"/>
        <v>255</v>
      </c>
      <c r="B257" s="5" t="s">
        <v>145</v>
      </c>
      <c r="C257" t="str">
        <f>VLOOKUP(B257,Recipes!A:B,2,0)</f>
        <v>Side Dish</v>
      </c>
      <c r="D257" t="str">
        <f>VLOOKUP(B257,Recipes!A:C,3,0)</f>
        <v>Gravy</v>
      </c>
      <c r="E257" s="18">
        <f>VLOOKUP(B257,Recipes!A:J,10,0)</f>
        <v>0</v>
      </c>
      <c r="F257" s="18" t="str">
        <f>VLOOKUP(B257,Recipes!A:I,9,0)</f>
        <v>Kg</v>
      </c>
      <c r="G257" s="55">
        <f>SUMIF(Recipes!A:A,Consolidate!B257,Recipes!H:H)</f>
        <v>294.42599999999999</v>
      </c>
      <c r="H257" s="55">
        <f>SUMIFS(Recipes!$H:$H,Recipes!$D:$D,Consolidate!$E257,Recipes!$A:$A,Consolidate!$B257)</f>
        <v>0</v>
      </c>
      <c r="I257" s="56">
        <f t="shared" si="9"/>
        <v>294.42599999999999</v>
      </c>
      <c r="K257" s="57">
        <f>SUMIF(Recipes!A:A,Consolidate!B257,Recipes!L:L)</f>
        <v>298.83000000000004</v>
      </c>
      <c r="L257" s="59">
        <f>SUMIFS(Recipes!$L:$L,Recipes!$D:$D,Consolidate!$E257,Recipes!$A:$A,Consolidate!$B257)</f>
        <v>0</v>
      </c>
      <c r="M257" s="60">
        <f t="shared" si="10"/>
        <v>298.83000000000004</v>
      </c>
    </row>
    <row r="258" spans="1:13">
      <c r="A258">
        <f t="shared" si="11"/>
        <v>256</v>
      </c>
      <c r="B258" s="5" t="s">
        <v>560</v>
      </c>
      <c r="C258" t="str">
        <f>VLOOKUP(B258,Recipes!A:B,2,0)</f>
        <v>Salad</v>
      </c>
      <c r="D258" t="str">
        <f>VLOOKUP(B258,Recipes!A:C,3,0)</f>
        <v>Without Meat</v>
      </c>
      <c r="E258" s="18">
        <f>VLOOKUP(B258,Recipes!A:J,10,0)</f>
        <v>0</v>
      </c>
      <c r="F258" s="18" t="str">
        <f>VLOOKUP(B258,Recipes!A:I,9,0)</f>
        <v>Bowl</v>
      </c>
      <c r="G258" s="55">
        <f>SUMIF(Recipes!A:A,Consolidate!B258,Recipes!H:H)</f>
        <v>341.96949999999998</v>
      </c>
      <c r="H258" s="55">
        <f>SUMIFS(Recipes!$H:$H,Recipes!$D:$D,Consolidate!$E258,Recipes!$A:$A,Consolidate!$B258)</f>
        <v>0</v>
      </c>
      <c r="I258" s="56">
        <f t="shared" si="9"/>
        <v>341.96949999999998</v>
      </c>
      <c r="K258" s="57">
        <f>SUMIF(Recipes!A:A,Consolidate!B258,Recipes!L:L)</f>
        <v>324.875</v>
      </c>
      <c r="L258" s="59">
        <f>SUMIFS(Recipes!$L:$L,Recipes!$D:$D,Consolidate!$E258,Recipes!$A:$A,Consolidate!$B258)</f>
        <v>0</v>
      </c>
      <c r="M258" s="60">
        <f t="shared" si="10"/>
        <v>324.875</v>
      </c>
    </row>
    <row r="259" spans="1:13">
      <c r="A259">
        <f t="shared" si="11"/>
        <v>257</v>
      </c>
      <c r="B259" s="5" t="s">
        <v>559</v>
      </c>
      <c r="C259" t="str">
        <f>VLOOKUP(B259,Recipes!A:B,2,0)</f>
        <v>Side Dish</v>
      </c>
      <c r="D259" t="str">
        <f>VLOOKUP(B259,Recipes!A:C,3,0)</f>
        <v>Dry</v>
      </c>
      <c r="E259" s="18">
        <f>VLOOKUP(B259,Recipes!A:J,10,0)</f>
        <v>0</v>
      </c>
      <c r="F259" s="18" t="str">
        <f>VLOOKUP(B259,Recipes!A:I,9,0)</f>
        <v>Kg</v>
      </c>
      <c r="G259" s="55">
        <f>SUMIF(Recipes!A:A,Consolidate!B259,Recipes!H:H)</f>
        <v>259.35000000000002</v>
      </c>
      <c r="H259" s="55">
        <f>SUMIFS(Recipes!$H:$H,Recipes!$D:$D,Consolidate!$E259,Recipes!$A:$A,Consolidate!$B259)</f>
        <v>0</v>
      </c>
      <c r="I259" s="56">
        <f t="shared" si="9"/>
        <v>259.35000000000002</v>
      </c>
      <c r="K259" s="57">
        <f>SUMIF(Recipes!A:A,Consolidate!B259,Recipes!L:L)</f>
        <v>264.07499999999999</v>
      </c>
      <c r="L259" s="59">
        <f>SUMIFS(Recipes!$L:$L,Recipes!$D:$D,Consolidate!$E259,Recipes!$A:$A,Consolidate!$B259)</f>
        <v>0</v>
      </c>
      <c r="M259" s="60">
        <f t="shared" si="10"/>
        <v>264.07499999999999</v>
      </c>
    </row>
    <row r="260" spans="1:13">
      <c r="A260">
        <f t="shared" si="11"/>
        <v>258</v>
      </c>
      <c r="B260" s="5" t="s">
        <v>149</v>
      </c>
      <c r="C260" t="str">
        <f>VLOOKUP(B260,Recipes!A:B,2,0)</f>
        <v>Soup</v>
      </c>
      <c r="D260" t="str">
        <f>VLOOKUP(B260,Recipes!A:C,3,0)</f>
        <v>With Meat</v>
      </c>
      <c r="E260" s="18">
        <f>VLOOKUP(B260,Recipes!A:J,10,0)</f>
        <v>0</v>
      </c>
      <c r="F260" s="18" t="str">
        <f>VLOOKUP(B260,Recipes!A:I,9,0)</f>
        <v>Bowl</v>
      </c>
      <c r="G260" s="55">
        <f>SUMIF(Recipes!A:A,Consolidate!B260,Recipes!H:H)</f>
        <v>78.616250000000008</v>
      </c>
      <c r="H260" s="55">
        <f>SUMIFS(Recipes!$H:$H,Recipes!$D:$D,Consolidate!$E260,Recipes!$A:$A,Consolidate!$B260)</f>
        <v>0</v>
      </c>
      <c r="I260" s="56">
        <f t="shared" ref="I260:I323" si="12">G260-H260</f>
        <v>78.616250000000008</v>
      </c>
      <c r="K260" s="57">
        <f>SUMIF(Recipes!A:A,Consolidate!B260,Recipes!L:L)</f>
        <v>52.901249999999997</v>
      </c>
      <c r="L260" s="59">
        <f>SUMIFS(Recipes!$L:$L,Recipes!$D:$D,Consolidate!$E260,Recipes!$A:$A,Consolidate!$B260)</f>
        <v>0</v>
      </c>
      <c r="M260" s="60">
        <f t="shared" ref="M260:M323" si="13">K260-L260</f>
        <v>52.901249999999997</v>
      </c>
    </row>
    <row r="261" spans="1:13">
      <c r="A261">
        <f t="shared" ref="A261:A324" si="14">A260+1</f>
        <v>259</v>
      </c>
      <c r="B261" s="5" t="s">
        <v>794</v>
      </c>
      <c r="C261" t="str">
        <f>VLOOKUP(B261,Recipes!A:B,2,0)</f>
        <v>Main Course</v>
      </c>
      <c r="D261" t="str">
        <f>VLOOKUP(B261,Recipes!A:C,3,0)</f>
        <v>Gravy</v>
      </c>
      <c r="E261" s="18" t="str">
        <f>VLOOKUP(B261,Recipes!A:J,10,0)</f>
        <v>Chicken Bone In</v>
      </c>
      <c r="F261" s="18" t="str">
        <f>VLOOKUP(B261,Recipes!A:I,9,0)</f>
        <v>Kg</v>
      </c>
      <c r="G261" s="55">
        <f>SUMIF(Recipes!A:A,Consolidate!B261,Recipes!H:H)</f>
        <v>882.93799999999999</v>
      </c>
      <c r="H261" s="55">
        <f>SUMIFS(Recipes!$H:$H,Recipes!$D:$D,Consolidate!$E261,Recipes!$A:$A,Consolidate!$B261)</f>
        <v>614</v>
      </c>
      <c r="I261" s="56">
        <f t="shared" si="12"/>
        <v>268.93799999999999</v>
      </c>
      <c r="K261" s="57">
        <f>SUMIF(Recipes!A:A,Consolidate!B261,Recipes!L:L)</f>
        <v>942.02493749999996</v>
      </c>
      <c r="L261" s="59">
        <f>SUMIFS(Recipes!$L:$L,Recipes!$D:$D,Consolidate!$E261,Recipes!$A:$A,Consolidate!$B261)</f>
        <v>650</v>
      </c>
      <c r="M261" s="60">
        <f t="shared" si="13"/>
        <v>292.02493749999996</v>
      </c>
    </row>
    <row r="262" spans="1:13">
      <c r="A262">
        <f t="shared" si="14"/>
        <v>260</v>
      </c>
      <c r="B262" s="5" t="s">
        <v>443</v>
      </c>
      <c r="C262" t="str">
        <f>VLOOKUP(B262,Recipes!A:B,2,0)</f>
        <v>Dessert</v>
      </c>
      <c r="D262" t="str">
        <f>VLOOKUP(B262,Recipes!A:C,3,0)</f>
        <v>Dessert</v>
      </c>
      <c r="E262" s="18">
        <f>VLOOKUP(B262,Recipes!A:J,10,0)</f>
        <v>0</v>
      </c>
      <c r="F262" s="18" t="str">
        <f>VLOOKUP(B262,Recipes!A:I,9,0)</f>
        <v>Kg</v>
      </c>
      <c r="G262" s="55">
        <f>SUMIF(Recipes!A:A,Consolidate!B262,Recipes!H:H)</f>
        <v>2426.7517499999999</v>
      </c>
      <c r="H262" s="55">
        <f>SUMIFS(Recipes!$H:$H,Recipes!$D:$D,Consolidate!$E262,Recipes!$A:$A,Consolidate!$B262)</f>
        <v>0</v>
      </c>
      <c r="I262" s="56">
        <f t="shared" si="12"/>
        <v>2426.7517499999999</v>
      </c>
      <c r="K262" s="57">
        <f>SUMIF(Recipes!A:A,Consolidate!B262,Recipes!L:L)</f>
        <v>2106.8625000000002</v>
      </c>
      <c r="L262" s="59">
        <f>SUMIFS(Recipes!$L:$L,Recipes!$D:$D,Consolidate!$E262,Recipes!$A:$A,Consolidate!$B262)</f>
        <v>0</v>
      </c>
      <c r="M262" s="60">
        <f t="shared" si="13"/>
        <v>2106.8625000000002</v>
      </c>
    </row>
    <row r="263" spans="1:13">
      <c r="A263">
        <f t="shared" si="14"/>
        <v>261</v>
      </c>
      <c r="B263" s="5" t="s">
        <v>511</v>
      </c>
      <c r="C263" t="str">
        <f>VLOOKUP(B263,Recipes!A:B,2,0)</f>
        <v>Main Course</v>
      </c>
      <c r="D263" t="str">
        <f>VLOOKUP(B263,Recipes!A:C,3,0)</f>
        <v>Gravy</v>
      </c>
      <c r="E263" s="18" t="str">
        <f>VLOOKUP(B263,Recipes!A:J,10,0)</f>
        <v>Mutton Cube</v>
      </c>
      <c r="F263" s="18" t="str">
        <f>VLOOKUP(B263,Recipes!A:I,9,0)</f>
        <v>Kg</v>
      </c>
      <c r="G263" s="55">
        <f>SUMIF(Recipes!A:A,Consolidate!B263,Recipes!H:H)</f>
        <v>1973.5260000000001</v>
      </c>
      <c r="H263" s="55">
        <f>SUMIFS(Recipes!$H:$H,Recipes!$D:$D,Consolidate!$E263,Recipes!$A:$A,Consolidate!$B263)</f>
        <v>1700</v>
      </c>
      <c r="I263" s="56">
        <f t="shared" si="12"/>
        <v>273.52600000000007</v>
      </c>
      <c r="K263" s="57">
        <f>SUMIF(Recipes!A:A,Consolidate!B263,Recipes!L:L)</f>
        <v>2068.5749999999998</v>
      </c>
      <c r="L263" s="59">
        <f>SUMIFS(Recipes!$L:$L,Recipes!$D:$D,Consolidate!$E263,Recipes!$A:$A,Consolidate!$B263)</f>
        <v>1800</v>
      </c>
      <c r="M263" s="60">
        <f t="shared" si="13"/>
        <v>268.57499999999982</v>
      </c>
    </row>
    <row r="264" spans="1:13">
      <c r="A264">
        <f t="shared" si="14"/>
        <v>262</v>
      </c>
      <c r="B264" s="5" t="s">
        <v>535</v>
      </c>
      <c r="C264" t="str">
        <f>VLOOKUP(B264,Recipes!A:B,2,0)</f>
        <v>Main Course</v>
      </c>
      <c r="D264" t="str">
        <f>VLOOKUP(B264,Recipes!A:C,3,0)</f>
        <v>BBQ</v>
      </c>
      <c r="E264" s="18" t="str">
        <f>VLOOKUP(B264,Recipes!A:J,10,0)</f>
        <v>Mutton Boneless</v>
      </c>
      <c r="F264" s="18" t="str">
        <f>VLOOKUP(B264,Recipes!A:I,9,0)</f>
        <v>Kg</v>
      </c>
      <c r="G264" s="55">
        <f>SUMIF(Recipes!A:A,Consolidate!B264,Recipes!H:H)</f>
        <v>2075.1888888888889</v>
      </c>
      <c r="H264" s="55">
        <f>SUMIFS(Recipes!$H:$H,Recipes!$D:$D,Consolidate!$E264,Recipes!$A:$A,Consolidate!$B264)</f>
        <v>1957.5</v>
      </c>
      <c r="I264" s="56">
        <f t="shared" si="12"/>
        <v>117.68888888888887</v>
      </c>
      <c r="K264" s="57">
        <f>SUMIF(Recipes!A:A,Consolidate!B264,Recipes!L:L)</f>
        <v>2328.0222222222219</v>
      </c>
      <c r="L264" s="59">
        <f>SUMIFS(Recipes!$L:$L,Recipes!$D:$D,Consolidate!$E264,Recipes!$A:$A,Consolidate!$B264)</f>
        <v>2200</v>
      </c>
      <c r="M264" s="60">
        <f t="shared" si="13"/>
        <v>128.0222222222219</v>
      </c>
    </row>
    <row r="265" spans="1:13">
      <c r="A265">
        <f t="shared" si="14"/>
        <v>263</v>
      </c>
      <c r="B265" s="5" t="s">
        <v>673</v>
      </c>
      <c r="C265" t="str">
        <f>VLOOKUP(B265,Recipes!A:B,2,0)</f>
        <v>Main Course</v>
      </c>
      <c r="D265" t="str">
        <f>VLOOKUP(B265,Recipes!A:C,3,0)</f>
        <v>BBQ</v>
      </c>
      <c r="E265" s="18" t="str">
        <f>VLOOKUP(B265,Recipes!A:J,10,0)</f>
        <v>Mutton Boneless</v>
      </c>
      <c r="F265" s="18" t="str">
        <f>VLOOKUP(B265,Recipes!A:I,9,0)</f>
        <v>Kg</v>
      </c>
      <c r="G265" s="55">
        <f>SUMIF(Recipes!A:A,Consolidate!B265,Recipes!H:H)</f>
        <v>2255.62</v>
      </c>
      <c r="H265" s="55">
        <f>SUMIFS(Recipes!$H:$H,Recipes!$D:$D,Consolidate!$E265,Recipes!$A:$A,Consolidate!$B265)</f>
        <v>1957.5</v>
      </c>
      <c r="I265" s="56">
        <f t="shared" si="12"/>
        <v>298.11999999999989</v>
      </c>
      <c r="K265" s="57">
        <f>SUMIF(Recipes!A:A,Consolidate!B265,Recipes!L:L)</f>
        <v>2496.1200000000003</v>
      </c>
      <c r="L265" s="59">
        <f>SUMIFS(Recipes!$L:$L,Recipes!$D:$D,Consolidate!$E265,Recipes!$A:$A,Consolidate!$B265)</f>
        <v>2200</v>
      </c>
      <c r="M265" s="60">
        <f t="shared" si="13"/>
        <v>296.12000000000035</v>
      </c>
    </row>
    <row r="266" spans="1:13">
      <c r="A266">
        <f t="shared" si="14"/>
        <v>264</v>
      </c>
      <c r="B266" s="5" t="s">
        <v>330</v>
      </c>
      <c r="C266" t="str">
        <f>VLOOKUP(B266,Recipes!A:B,2,0)</f>
        <v>Main Course</v>
      </c>
      <c r="D266" t="str">
        <f>VLOOKUP(B266,Recipes!A:C,3,0)</f>
        <v>Gravy</v>
      </c>
      <c r="E266" s="18" t="str">
        <f>VLOOKUP(B266,Recipes!A:J,10,0)</f>
        <v>Mutton Cube</v>
      </c>
      <c r="F266" s="18" t="str">
        <f>VLOOKUP(B266,Recipes!A:I,9,0)</f>
        <v>Kg</v>
      </c>
      <c r="G266" s="55">
        <f>SUMIF(Recipes!A:A,Consolidate!B266,Recipes!H:H)</f>
        <v>2098.5890000000004</v>
      </c>
      <c r="H266" s="55">
        <f>SUMIFS(Recipes!$H:$H,Recipes!$D:$D,Consolidate!$E266,Recipes!$A:$A,Consolidate!$B266)</f>
        <v>1700</v>
      </c>
      <c r="I266" s="56">
        <f t="shared" si="12"/>
        <v>398.5890000000004</v>
      </c>
      <c r="K266" s="57">
        <f>SUMIF(Recipes!A:A,Consolidate!B266,Recipes!L:L)</f>
        <v>2231.9</v>
      </c>
      <c r="L266" s="59">
        <f>SUMIFS(Recipes!$L:$L,Recipes!$D:$D,Consolidate!$E266,Recipes!$A:$A,Consolidate!$B266)</f>
        <v>1800</v>
      </c>
      <c r="M266" s="60">
        <f t="shared" si="13"/>
        <v>431.90000000000009</v>
      </c>
    </row>
    <row r="267" spans="1:13">
      <c r="A267">
        <f t="shared" si="14"/>
        <v>265</v>
      </c>
      <c r="B267" s="5" t="s">
        <v>331</v>
      </c>
      <c r="C267" t="str">
        <f>VLOOKUP(B267,Recipes!A:B,2,0)</f>
        <v>Main Course</v>
      </c>
      <c r="D267" t="str">
        <f>VLOOKUP(B267,Recipes!A:C,3,0)</f>
        <v>Gravy</v>
      </c>
      <c r="E267" s="18" t="str">
        <f>VLOOKUP(B267,Recipes!A:J,10,0)</f>
        <v>Mutton Cube</v>
      </c>
      <c r="F267" s="18" t="str">
        <f>VLOOKUP(B267,Recipes!A:I,9,0)</f>
        <v>Kg</v>
      </c>
      <c r="G267" s="55">
        <f>SUMIF(Recipes!A:A,Consolidate!B267,Recipes!H:H)</f>
        <v>1866.2630000000001</v>
      </c>
      <c r="H267" s="55">
        <f>SUMIFS(Recipes!$H:$H,Recipes!$D:$D,Consolidate!$E267,Recipes!$A:$A,Consolidate!$B267)</f>
        <v>1700</v>
      </c>
      <c r="I267" s="56">
        <f t="shared" si="12"/>
        <v>166.26300000000015</v>
      </c>
      <c r="K267" s="57">
        <f>SUMIF(Recipes!A:A,Consolidate!B267,Recipes!L:L)</f>
        <v>1965.4099999999999</v>
      </c>
      <c r="L267" s="59">
        <f>SUMIFS(Recipes!$L:$L,Recipes!$D:$D,Consolidate!$E267,Recipes!$A:$A,Consolidate!$B267)</f>
        <v>1800</v>
      </c>
      <c r="M267" s="60">
        <f t="shared" si="13"/>
        <v>165.40999999999985</v>
      </c>
    </row>
    <row r="268" spans="1:13">
      <c r="A268">
        <f t="shared" si="14"/>
        <v>266</v>
      </c>
      <c r="B268" s="5" t="s">
        <v>285</v>
      </c>
      <c r="C268" t="str">
        <f>VLOOKUP(B268,Recipes!A:B,2,0)</f>
        <v>Main Course</v>
      </c>
      <c r="D268" t="str">
        <f>VLOOKUP(B268,Recipes!A:C,3,0)</f>
        <v>Rice</v>
      </c>
      <c r="E268" s="18" t="str">
        <f>VLOOKUP(B268,Recipes!A:J,10,0)</f>
        <v>Mutton Cube</v>
      </c>
      <c r="F268" s="18" t="str">
        <f>VLOOKUP(B268,Recipes!A:I,9,0)</f>
        <v>Kg</v>
      </c>
      <c r="G268" s="55">
        <f>SUMIF(Recipes!A:A,Consolidate!B268,Recipes!H:H)</f>
        <v>2409.6405405405412</v>
      </c>
      <c r="H268" s="55">
        <f>SUMIFS(Recipes!$H:$H,Recipes!$D:$D,Consolidate!$E268,Recipes!$A:$A,Consolidate!$B268)</f>
        <v>1700</v>
      </c>
      <c r="I268" s="56">
        <f t="shared" si="12"/>
        <v>709.64054054054122</v>
      </c>
      <c r="K268" s="57">
        <f>SUMIF(Recipes!A:A,Consolidate!B268,Recipes!L:L)</f>
        <v>2511.7607520564052</v>
      </c>
      <c r="L268" s="59">
        <f>SUMIFS(Recipes!$L:$L,Recipes!$D:$D,Consolidate!$E268,Recipes!$A:$A,Consolidate!$B268)</f>
        <v>1800</v>
      </c>
      <c r="M268" s="60">
        <f t="shared" si="13"/>
        <v>711.76075205640518</v>
      </c>
    </row>
    <row r="269" spans="1:13">
      <c r="A269">
        <f t="shared" si="14"/>
        <v>267</v>
      </c>
      <c r="B269" s="5" t="s">
        <v>150</v>
      </c>
      <c r="C269" t="str">
        <f>VLOOKUP(B269,Recipes!A:B,2,0)</f>
        <v>Main Course</v>
      </c>
      <c r="D269" t="str">
        <f>VLOOKUP(B269,Recipes!A:C,3,0)</f>
        <v>BBQ</v>
      </c>
      <c r="E269" s="18" t="str">
        <f>VLOOKUP(B269,Recipes!A:J,10,0)</f>
        <v>Mutton Boneless</v>
      </c>
      <c r="F269" s="18" t="str">
        <f>VLOOKUP(B269,Recipes!A:I,9,0)</f>
        <v>Kg</v>
      </c>
      <c r="G269" s="55">
        <f>SUMIF(Recipes!A:A,Consolidate!B269,Recipes!H:H)</f>
        <v>2192.1423333333332</v>
      </c>
      <c r="H269" s="55">
        <f>SUMIFS(Recipes!$H:$H,Recipes!$D:$D,Consolidate!$E269,Recipes!$A:$A,Consolidate!$B269)</f>
        <v>1957.5</v>
      </c>
      <c r="I269" s="56">
        <f t="shared" si="12"/>
        <v>234.64233333333323</v>
      </c>
      <c r="K269" s="57">
        <f>SUMIF(Recipes!A:A,Consolidate!B269,Recipes!L:L)</f>
        <v>2370.7833333333333</v>
      </c>
      <c r="L269" s="59">
        <f>SUMIFS(Recipes!$L:$L,Recipes!$D:$D,Consolidate!$E269,Recipes!$A:$A,Consolidate!$B269)</f>
        <v>2200</v>
      </c>
      <c r="M269" s="60">
        <f t="shared" si="13"/>
        <v>170.7833333333333</v>
      </c>
    </row>
    <row r="270" spans="1:13">
      <c r="A270">
        <f t="shared" si="14"/>
        <v>268</v>
      </c>
      <c r="B270" s="5" t="s">
        <v>446</v>
      </c>
      <c r="C270" t="str">
        <f>VLOOKUP(B270,Recipes!A:B,2,0)</f>
        <v>Main Course</v>
      </c>
      <c r="D270" t="str">
        <f>VLOOKUP(B270,Recipes!A:C,3,0)</f>
        <v>Fried</v>
      </c>
      <c r="E270" s="18" t="str">
        <f>VLOOKUP(B270,Recipes!A:J,10,0)</f>
        <v>Mutton Cube</v>
      </c>
      <c r="F270" s="18" t="str">
        <f>VLOOKUP(B270,Recipes!A:I,9,0)</f>
        <v>Kg</v>
      </c>
      <c r="G270" s="55">
        <f>SUMIF(Recipes!A:A,Consolidate!B270,Recipes!H:H)</f>
        <v>2248.1302000000001</v>
      </c>
      <c r="H270" s="55">
        <f>SUMIFS(Recipes!$H:$H,Recipes!$D:$D,Consolidate!$E270,Recipes!$A:$A,Consolidate!$B270)</f>
        <v>1700</v>
      </c>
      <c r="I270" s="56">
        <f t="shared" si="12"/>
        <v>548.13020000000006</v>
      </c>
      <c r="K270" s="57">
        <f>SUMIF(Recipes!A:A,Consolidate!B270,Recipes!L:L)</f>
        <v>2371.0104000000001</v>
      </c>
      <c r="L270" s="59">
        <f>SUMIFS(Recipes!$L:$L,Recipes!$D:$D,Consolidate!$E270,Recipes!$A:$A,Consolidate!$B270)</f>
        <v>1800</v>
      </c>
      <c r="M270" s="60">
        <f t="shared" si="13"/>
        <v>571.01040000000012</v>
      </c>
    </row>
    <row r="271" spans="1:13">
      <c r="A271">
        <f t="shared" si="14"/>
        <v>269</v>
      </c>
      <c r="B271" s="5" t="s">
        <v>151</v>
      </c>
      <c r="C271" t="str">
        <f>VLOOKUP(B271,Recipes!A:B,2,0)</f>
        <v>Main Course</v>
      </c>
      <c r="D271" t="str">
        <f>VLOOKUP(B271,Recipes!A:C,3,0)</f>
        <v>Grilled</v>
      </c>
      <c r="E271" s="18" t="str">
        <f>VLOOKUP(B271,Recipes!A:J,10,0)</f>
        <v>MUTTON RIBS/CHOPS</v>
      </c>
      <c r="F271" s="18" t="str">
        <f>VLOOKUP(B271,Recipes!A:I,9,0)</f>
        <v>Kg</v>
      </c>
      <c r="G271" s="55">
        <f>SUMIF(Recipes!A:A,Consolidate!B271,Recipes!H:H)</f>
        <v>1886.6444285714285</v>
      </c>
      <c r="H271" s="55">
        <f>SUMIFS(Recipes!$H:$H,Recipes!$D:$D,Consolidate!$E271,Recipes!$A:$A,Consolidate!$B271)</f>
        <v>1620</v>
      </c>
      <c r="I271" s="56">
        <f t="shared" si="12"/>
        <v>266.64442857142853</v>
      </c>
      <c r="K271" s="57">
        <f>SUMIF(Recipes!A:A,Consolidate!B271,Recipes!L:L)</f>
        <v>1974.0142857142857</v>
      </c>
      <c r="L271" s="59">
        <f>SUMIFS(Recipes!$L:$L,Recipes!$D:$D,Consolidate!$E271,Recipes!$A:$A,Consolidate!$B271)</f>
        <v>1800</v>
      </c>
      <c r="M271" s="60">
        <f t="shared" si="13"/>
        <v>174.01428571428573</v>
      </c>
    </row>
    <row r="272" spans="1:13">
      <c r="A272">
        <f t="shared" si="14"/>
        <v>270</v>
      </c>
      <c r="B272" s="5" t="s">
        <v>654</v>
      </c>
      <c r="C272" t="str">
        <f>VLOOKUP(B272,Recipes!A:B,2,0)</f>
        <v>Main Course</v>
      </c>
      <c r="D272" t="str">
        <f>VLOOKUP(B272,Recipes!A:C,3,0)</f>
        <v>Gravy</v>
      </c>
      <c r="E272" s="18" t="str">
        <f>VLOOKUP(B272,Recipes!A:J,10,0)</f>
        <v>Mutton Cube</v>
      </c>
      <c r="F272" s="18" t="str">
        <f>VLOOKUP(B272,Recipes!A:I,9,0)</f>
        <v>Kg</v>
      </c>
      <c r="G272" s="55">
        <f>SUMIF(Recipes!A:A,Consolidate!B272,Recipes!H:H)</f>
        <v>2036.6255999999998</v>
      </c>
      <c r="H272" s="55">
        <f>SUMIFS(Recipes!$H:$H,Recipes!$D:$D,Consolidate!$E272,Recipes!$A:$A,Consolidate!$B272)</f>
        <v>1700</v>
      </c>
      <c r="I272" s="56">
        <f t="shared" si="12"/>
        <v>336.62559999999985</v>
      </c>
      <c r="K272" s="57">
        <f>SUMIF(Recipes!A:A,Consolidate!B272,Recipes!L:L)</f>
        <v>2151.4</v>
      </c>
      <c r="L272" s="59">
        <f>SUMIFS(Recipes!$L:$L,Recipes!$D:$D,Consolidate!$E272,Recipes!$A:$A,Consolidate!$B272)</f>
        <v>1800</v>
      </c>
      <c r="M272" s="60">
        <f t="shared" si="13"/>
        <v>351.40000000000009</v>
      </c>
    </row>
    <row r="273" spans="1:13">
      <c r="A273">
        <f t="shared" si="14"/>
        <v>271</v>
      </c>
      <c r="B273" s="5" t="s">
        <v>152</v>
      </c>
      <c r="C273" t="str">
        <f>VLOOKUP(B273,Recipes!A:B,2,0)</f>
        <v>Main Course</v>
      </c>
      <c r="D273" t="str">
        <f>VLOOKUP(B273,Recipes!A:C,3,0)</f>
        <v>BBQ</v>
      </c>
      <c r="E273" s="18" t="str">
        <f>VLOOKUP(B273,Recipes!A:J,10,0)</f>
        <v>Mutton Boneless</v>
      </c>
      <c r="F273" s="18" t="str">
        <f>VLOOKUP(B273,Recipes!A:I,9,0)</f>
        <v>Kg</v>
      </c>
      <c r="G273" s="55">
        <f>SUMIF(Recipes!A:A,Consolidate!B273,Recipes!H:H)</f>
        <v>2286.6999999999998</v>
      </c>
      <c r="H273" s="55">
        <f>SUMIFS(Recipes!$H:$H,Recipes!$D:$D,Consolidate!$E273,Recipes!$A:$A,Consolidate!$B273)</f>
        <v>1957.5</v>
      </c>
      <c r="I273" s="56">
        <f t="shared" si="12"/>
        <v>329.19999999999982</v>
      </c>
      <c r="K273" s="57">
        <f>SUMIF(Recipes!A:A,Consolidate!B273,Recipes!L:L)</f>
        <v>2539.855</v>
      </c>
      <c r="L273" s="59">
        <f>SUMIFS(Recipes!$L:$L,Recipes!$D:$D,Consolidate!$E273,Recipes!$A:$A,Consolidate!$B273)</f>
        <v>2200</v>
      </c>
      <c r="M273" s="60">
        <f t="shared" si="13"/>
        <v>339.85500000000002</v>
      </c>
    </row>
    <row r="274" spans="1:13">
      <c r="A274">
        <f t="shared" si="14"/>
        <v>272</v>
      </c>
      <c r="B274" s="5" t="s">
        <v>439</v>
      </c>
      <c r="C274" t="str">
        <f>VLOOKUP(B274,Recipes!A:B,2,0)</f>
        <v>Main Course</v>
      </c>
      <c r="D274" t="str">
        <f>VLOOKUP(B274,Recipes!A:C,3,0)</f>
        <v>Grilled</v>
      </c>
      <c r="E274" s="18" t="str">
        <f>VLOOKUP(B274,Recipes!A:J,10,0)</f>
        <v>Mutton Cube</v>
      </c>
      <c r="F274" s="18" t="str">
        <f>VLOOKUP(B274,Recipes!A:I,9,0)</f>
        <v>Kg</v>
      </c>
      <c r="G274" s="55">
        <f>SUMIF(Recipes!A:A,Consolidate!B274,Recipes!H:H)</f>
        <v>1858.8841200000004</v>
      </c>
      <c r="H274" s="55">
        <f>SUMIFS(Recipes!$H:$H,Recipes!$D:$D,Consolidate!$E274,Recipes!$A:$A,Consolidate!$B274)</f>
        <v>1700</v>
      </c>
      <c r="I274" s="56">
        <f t="shared" si="12"/>
        <v>158.88412000000039</v>
      </c>
      <c r="K274" s="57">
        <f>SUMIF(Recipes!A:A,Consolidate!B274,Recipes!L:L)</f>
        <v>1963.9978524999999</v>
      </c>
      <c r="L274" s="59">
        <f>SUMIFS(Recipes!$L:$L,Recipes!$D:$D,Consolidate!$E274,Recipes!$A:$A,Consolidate!$B274)</f>
        <v>1800</v>
      </c>
      <c r="M274" s="60">
        <f t="shared" si="13"/>
        <v>163.99785249999991</v>
      </c>
    </row>
    <row r="275" spans="1:13">
      <c r="A275">
        <f t="shared" si="14"/>
        <v>273</v>
      </c>
      <c r="B275" s="5" t="s">
        <v>342</v>
      </c>
      <c r="C275" t="str">
        <f>VLOOKUP(B275,Recipes!A:B,2,0)</f>
        <v>Main Course</v>
      </c>
      <c r="D275" t="str">
        <f>VLOOKUP(B275,Recipes!A:C,3,0)</f>
        <v>BBQ</v>
      </c>
      <c r="E275" s="18" t="str">
        <f>VLOOKUP(B275,Recipes!A:J,10,0)</f>
        <v>Mutton Boneless</v>
      </c>
      <c r="F275" s="18" t="str">
        <f>VLOOKUP(B275,Recipes!A:I,9,0)</f>
        <v>Kg</v>
      </c>
      <c r="G275" s="55">
        <f>SUMIF(Recipes!A:A,Consolidate!B275,Recipes!H:H)</f>
        <v>1925.7199999999998</v>
      </c>
      <c r="H275" s="55">
        <f>SUMIFS(Recipes!$H:$H,Recipes!$D:$D,Consolidate!$E275,Recipes!$A:$A,Consolidate!$B275)</f>
        <v>1566</v>
      </c>
      <c r="I275" s="56">
        <f t="shared" si="12"/>
        <v>359.7199999999998</v>
      </c>
      <c r="K275" s="57">
        <f>SUMIF(Recipes!A:A,Consolidate!B275,Recipes!L:L)</f>
        <v>2132.5099999999993</v>
      </c>
      <c r="L275" s="59">
        <f>SUMIFS(Recipes!$L:$L,Recipes!$D:$D,Consolidate!$E275,Recipes!$A:$A,Consolidate!$B275)</f>
        <v>1760</v>
      </c>
      <c r="M275" s="60">
        <f t="shared" si="13"/>
        <v>372.50999999999931</v>
      </c>
    </row>
    <row r="276" spans="1:13">
      <c r="A276">
        <f t="shared" si="14"/>
        <v>274</v>
      </c>
      <c r="B276" s="5" t="s">
        <v>153</v>
      </c>
      <c r="C276" t="str">
        <f>VLOOKUP(B276,Recipes!A:B,2,0)</f>
        <v>Main Course</v>
      </c>
      <c r="D276" t="str">
        <f>VLOOKUP(B276,Recipes!A:C,3,0)</f>
        <v>BBQ</v>
      </c>
      <c r="E276" s="18" t="str">
        <f>VLOOKUP(B276,Recipes!A:J,10,0)</f>
        <v>Mutton Boneless</v>
      </c>
      <c r="F276" s="18" t="str">
        <f>VLOOKUP(B276,Recipes!A:I,9,0)</f>
        <v>Kg</v>
      </c>
      <c r="G276" s="55">
        <f>SUMIF(Recipes!A:A,Consolidate!B276,Recipes!H:H)</f>
        <v>2142.5479999999998</v>
      </c>
      <c r="H276" s="55">
        <f>SUMIFS(Recipes!$H:$H,Recipes!$D:$D,Consolidate!$E276,Recipes!$A:$A,Consolidate!$B276)</f>
        <v>1957.5</v>
      </c>
      <c r="I276" s="56">
        <f t="shared" si="12"/>
        <v>185.04799999999977</v>
      </c>
      <c r="K276" s="57">
        <f>SUMIF(Recipes!A:A,Consolidate!B276,Recipes!L:L)</f>
        <v>2395.654</v>
      </c>
      <c r="L276" s="59">
        <f>SUMIFS(Recipes!$L:$L,Recipes!$D:$D,Consolidate!$E276,Recipes!$A:$A,Consolidate!$B276)</f>
        <v>2200</v>
      </c>
      <c r="M276" s="60">
        <f t="shared" si="13"/>
        <v>195.654</v>
      </c>
    </row>
    <row r="277" spans="1:13">
      <c r="A277">
        <f t="shared" si="14"/>
        <v>275</v>
      </c>
      <c r="B277" s="5" t="s">
        <v>416</v>
      </c>
      <c r="C277" t="str">
        <f>VLOOKUP(B277,Recipes!A:B,2,0)</f>
        <v>Main Course</v>
      </c>
      <c r="D277" t="str">
        <f>VLOOKUP(B277,Recipes!A:C,3,0)</f>
        <v>Rice</v>
      </c>
      <c r="E277" s="18" t="str">
        <f>VLOOKUP(B277,Recipes!A:J,10,0)</f>
        <v>Mutton Cube</v>
      </c>
      <c r="F277" s="18" t="str">
        <f>VLOOKUP(B277,Recipes!A:I,9,0)</f>
        <v>Kg</v>
      </c>
      <c r="G277" s="55">
        <f>SUMIF(Recipes!A:A,Consolidate!B277,Recipes!H:H)</f>
        <v>2248.9097750000001</v>
      </c>
      <c r="H277" s="55">
        <f>SUMIFS(Recipes!$H:$H,Recipes!$D:$D,Consolidate!$E277,Recipes!$A:$A,Consolidate!$B277)</f>
        <v>1700</v>
      </c>
      <c r="I277" s="56">
        <f t="shared" si="12"/>
        <v>548.90977500000008</v>
      </c>
      <c r="K277" s="57">
        <f>SUMIF(Recipes!A:A,Consolidate!B277,Recipes!L:L)</f>
        <v>2345.9408250000001</v>
      </c>
      <c r="L277" s="59">
        <f>SUMIFS(Recipes!$L:$L,Recipes!$D:$D,Consolidate!$E277,Recipes!$A:$A,Consolidate!$B277)</f>
        <v>1800</v>
      </c>
      <c r="M277" s="60">
        <f t="shared" si="13"/>
        <v>545.94082500000013</v>
      </c>
    </row>
    <row r="278" spans="1:13">
      <c r="A278">
        <f t="shared" si="14"/>
        <v>276</v>
      </c>
      <c r="B278" s="5" t="s">
        <v>154</v>
      </c>
      <c r="C278" t="str">
        <f>VLOOKUP(B278,Recipes!A:B,2,0)</f>
        <v>Main Course</v>
      </c>
      <c r="D278" t="str">
        <f>VLOOKUP(B278,Recipes!A:C,3,0)</f>
        <v>Gravy</v>
      </c>
      <c r="E278" s="18" t="str">
        <f>VLOOKUP(B278,Recipes!A:J,10,0)</f>
        <v>Mutton Cube</v>
      </c>
      <c r="F278" s="18" t="str">
        <f>VLOOKUP(B278,Recipes!A:I,9,0)</f>
        <v>Kg</v>
      </c>
      <c r="G278" s="55">
        <f>SUMIF(Recipes!A:A,Consolidate!B278,Recipes!H:H)</f>
        <v>1901.645</v>
      </c>
      <c r="H278" s="55">
        <f>SUMIFS(Recipes!$H:$H,Recipes!$D:$D,Consolidate!$E278,Recipes!$A:$A,Consolidate!$B278)</f>
        <v>1700</v>
      </c>
      <c r="I278" s="56">
        <f t="shared" si="12"/>
        <v>201.64499999999998</v>
      </c>
      <c r="K278" s="57">
        <f>SUMIF(Recipes!A:A,Consolidate!B278,Recipes!L:L)</f>
        <v>2009.1125</v>
      </c>
      <c r="L278" s="59">
        <f>SUMIFS(Recipes!$L:$L,Recipes!$D:$D,Consolidate!$E278,Recipes!$A:$A,Consolidate!$B278)</f>
        <v>1800</v>
      </c>
      <c r="M278" s="60">
        <f t="shared" si="13"/>
        <v>209.11249999999995</v>
      </c>
    </row>
    <row r="279" spans="1:13">
      <c r="A279">
        <f t="shared" si="14"/>
        <v>277</v>
      </c>
      <c r="B279" s="5" t="s">
        <v>422</v>
      </c>
      <c r="C279" t="str">
        <f>VLOOKUP(B279,Recipes!A:B,2,0)</f>
        <v>Main Course</v>
      </c>
      <c r="D279" t="str">
        <f>VLOOKUP(B279,Recipes!A:C,3,0)</f>
        <v>Gravy</v>
      </c>
      <c r="E279" s="18" t="str">
        <f>VLOOKUP(B279,Recipes!A:J,10,0)</f>
        <v>Mutton Cube</v>
      </c>
      <c r="F279" s="18" t="str">
        <f>VLOOKUP(B279,Recipes!A:I,9,0)</f>
        <v>Kg</v>
      </c>
      <c r="G279" s="55">
        <f>SUMIF(Recipes!A:A,Consolidate!B279,Recipes!H:H)</f>
        <v>2256.2649000000001</v>
      </c>
      <c r="H279" s="55">
        <f>SUMIFS(Recipes!$H:$H,Recipes!$D:$D,Consolidate!$E279,Recipes!$A:$A,Consolidate!$B279)</f>
        <v>1700</v>
      </c>
      <c r="I279" s="56">
        <f t="shared" si="12"/>
        <v>556.26490000000013</v>
      </c>
      <c r="K279" s="57">
        <f>SUMIF(Recipes!A:A,Consolidate!B279,Recipes!L:L)</f>
        <v>2364.5992999999999</v>
      </c>
      <c r="L279" s="59">
        <f>SUMIFS(Recipes!$L:$L,Recipes!$D:$D,Consolidate!$E279,Recipes!$A:$A,Consolidate!$B279)</f>
        <v>1800</v>
      </c>
      <c r="M279" s="60">
        <f t="shared" si="13"/>
        <v>564.59929999999986</v>
      </c>
    </row>
    <row r="280" spans="1:13">
      <c r="A280">
        <f t="shared" si="14"/>
        <v>278</v>
      </c>
      <c r="B280" s="5" t="s">
        <v>333</v>
      </c>
      <c r="C280" t="str">
        <f>VLOOKUP(B280,Recipes!A:B,2,0)</f>
        <v>Main Course</v>
      </c>
      <c r="D280" t="str">
        <f>VLOOKUP(B280,Recipes!A:C,3,0)</f>
        <v>Gravy</v>
      </c>
      <c r="E280" s="18" t="str">
        <f>VLOOKUP(B280,Recipes!A:J,10,0)</f>
        <v>Mutton Cube</v>
      </c>
      <c r="F280" s="18" t="str">
        <f>VLOOKUP(B280,Recipes!A:I,9,0)</f>
        <v>Kg</v>
      </c>
      <c r="G280" s="55">
        <f>SUMIF(Recipes!A:A,Consolidate!B280,Recipes!H:H)</f>
        <v>1962.7648000000002</v>
      </c>
      <c r="H280" s="55">
        <f>SUMIFS(Recipes!$H:$H,Recipes!$D:$D,Consolidate!$E280,Recipes!$A:$A,Consolidate!$B280)</f>
        <v>1700</v>
      </c>
      <c r="I280" s="56">
        <f t="shared" si="12"/>
        <v>262.76480000000015</v>
      </c>
      <c r="K280" s="57">
        <f>SUMIF(Recipes!A:A,Consolidate!B280,Recipes!L:L)</f>
        <v>2044.57</v>
      </c>
      <c r="L280" s="59">
        <f>SUMIFS(Recipes!$L:$L,Recipes!$D:$D,Consolidate!$E280,Recipes!$A:$A,Consolidate!$B280)</f>
        <v>1800</v>
      </c>
      <c r="M280" s="60">
        <f t="shared" si="13"/>
        <v>244.56999999999994</v>
      </c>
    </row>
    <row r="281" spans="1:13">
      <c r="A281">
        <f t="shared" si="14"/>
        <v>279</v>
      </c>
      <c r="B281" s="5" t="s">
        <v>155</v>
      </c>
      <c r="C281" t="str">
        <f>VLOOKUP(B281,Recipes!A:B,2,0)</f>
        <v>Main Course</v>
      </c>
      <c r="D281" t="str">
        <f>VLOOKUP(B281,Recipes!A:C,3,0)</f>
        <v>Grilled</v>
      </c>
      <c r="E281" s="18" t="str">
        <f>VLOOKUP(B281,Recipes!A:J,10,0)</f>
        <v>Mutton Cube</v>
      </c>
      <c r="F281" s="18" t="str">
        <f>VLOOKUP(B281,Recipes!A:I,9,0)</f>
        <v>Kg</v>
      </c>
      <c r="G281" s="55">
        <f>SUMIF(Recipes!A:A,Consolidate!B281,Recipes!H:H)</f>
        <v>1727.9035714285715</v>
      </c>
      <c r="H281" s="55">
        <f>SUMIFS(Recipes!$H:$H,Recipes!$D:$D,Consolidate!$E281,Recipes!$A:$A,Consolidate!$B281)</f>
        <v>1700</v>
      </c>
      <c r="I281" s="56">
        <f t="shared" si="12"/>
        <v>27.903571428571468</v>
      </c>
      <c r="K281" s="57">
        <f>SUMIF(Recipes!A:A,Consolidate!B281,Recipes!L:L)</f>
        <v>1831.8857142857144</v>
      </c>
      <c r="L281" s="59">
        <f>SUMIFS(Recipes!$L:$L,Recipes!$D:$D,Consolidate!$E281,Recipes!$A:$A,Consolidate!$B281)</f>
        <v>1800</v>
      </c>
      <c r="M281" s="60">
        <f t="shared" si="13"/>
        <v>31.885714285714357</v>
      </c>
    </row>
    <row r="282" spans="1:13">
      <c r="A282">
        <f t="shared" si="14"/>
        <v>280</v>
      </c>
      <c r="B282" s="5" t="s">
        <v>420</v>
      </c>
      <c r="C282" t="str">
        <f>VLOOKUP(B282,Recipes!A:B,2,0)</f>
        <v>Main Course</v>
      </c>
      <c r="D282" t="str">
        <f>VLOOKUP(B282,Recipes!A:C,3,0)</f>
        <v>Fried</v>
      </c>
      <c r="E282" s="18" t="str">
        <f>VLOOKUP(B282,Recipes!A:J,10,0)</f>
        <v>MUTTON RIBS/CHOPS</v>
      </c>
      <c r="F282" s="18" t="str">
        <f>VLOOKUP(B282,Recipes!A:I,9,0)</f>
        <v>Kg</v>
      </c>
      <c r="G282" s="55">
        <f>SUMIF(Recipes!A:A,Consolidate!B282,Recipes!H:H)</f>
        <v>1930.7945</v>
      </c>
      <c r="H282" s="55">
        <f>SUMIFS(Recipes!$H:$H,Recipes!$D:$D,Consolidate!$E282,Recipes!$A:$A,Consolidate!$B282)</f>
        <v>1620</v>
      </c>
      <c r="I282" s="56">
        <f t="shared" si="12"/>
        <v>310.79449999999997</v>
      </c>
      <c r="K282" s="57">
        <f>SUMIF(Recipes!A:A,Consolidate!B282,Recipes!L:L)</f>
        <v>2169.4</v>
      </c>
      <c r="L282" s="59">
        <f>SUMIFS(Recipes!$L:$L,Recipes!$D:$D,Consolidate!$E282,Recipes!$A:$A,Consolidate!$B282)</f>
        <v>1800</v>
      </c>
      <c r="M282" s="60">
        <f t="shared" si="13"/>
        <v>369.40000000000009</v>
      </c>
    </row>
    <row r="283" spans="1:13">
      <c r="A283">
        <f t="shared" si="14"/>
        <v>281</v>
      </c>
      <c r="B283" s="5" t="s">
        <v>449</v>
      </c>
      <c r="C283" t="str">
        <f>VLOOKUP(B283,Recipes!A:B,2,0)</f>
        <v>Main Course</v>
      </c>
      <c r="D283" t="str">
        <f>VLOOKUP(B283,Recipes!A:C,3,0)</f>
        <v>Gravy</v>
      </c>
      <c r="E283" s="18" t="str">
        <f>VLOOKUP(B283,Recipes!A:J,10,0)</f>
        <v>Mutton Boneless</v>
      </c>
      <c r="F283" s="18" t="str">
        <f>VLOOKUP(B283,Recipes!A:I,9,0)</f>
        <v>Kg</v>
      </c>
      <c r="G283" s="55">
        <f>SUMIF(Recipes!A:A,Consolidate!B283,Recipes!H:H)</f>
        <v>2397.4634999999998</v>
      </c>
      <c r="H283" s="55">
        <f>SUMIFS(Recipes!$H:$H,Recipes!$D:$D,Consolidate!$E283,Recipes!$A:$A,Consolidate!$B283)</f>
        <v>1957.5</v>
      </c>
      <c r="I283" s="56">
        <f t="shared" si="12"/>
        <v>439.96349999999984</v>
      </c>
      <c r="K283" s="57">
        <f>SUMIF(Recipes!A:A,Consolidate!B283,Recipes!L:L)</f>
        <v>3089.9125000000004</v>
      </c>
      <c r="L283" s="59">
        <f>SUMIFS(Recipes!$L:$L,Recipes!$D:$D,Consolidate!$E283,Recipes!$A:$A,Consolidate!$B283)</f>
        <v>2200</v>
      </c>
      <c r="M283" s="60">
        <f t="shared" si="13"/>
        <v>889.91250000000036</v>
      </c>
    </row>
    <row r="284" spans="1:13">
      <c r="A284">
        <f t="shared" si="14"/>
        <v>282</v>
      </c>
      <c r="B284" s="5" t="s">
        <v>368</v>
      </c>
      <c r="C284" t="str">
        <f>VLOOKUP(B284,Recipes!A:B,2,0)</f>
        <v>Main Course</v>
      </c>
      <c r="D284" t="str">
        <f>VLOOKUP(B284,Recipes!A:C,3,0)</f>
        <v>Rice</v>
      </c>
      <c r="E284" s="18" t="str">
        <f>VLOOKUP(B284,Recipes!A:J,10,0)</f>
        <v>Mutton Cube</v>
      </c>
      <c r="F284" s="18" t="str">
        <f>VLOOKUP(B284,Recipes!A:I,9,0)</f>
        <v>Kg</v>
      </c>
      <c r="G284" s="55">
        <f>SUMIF(Recipes!A:A,Consolidate!B284,Recipes!H:H)</f>
        <v>2539.0016000000001</v>
      </c>
      <c r="H284" s="55">
        <f>SUMIFS(Recipes!$H:$H,Recipes!$D:$D,Consolidate!$E284,Recipes!$A:$A,Consolidate!$B284)</f>
        <v>1700</v>
      </c>
      <c r="I284" s="56">
        <f t="shared" si="12"/>
        <v>839.00160000000005</v>
      </c>
      <c r="K284" s="57">
        <f>SUMIF(Recipes!A:A,Consolidate!B284,Recipes!L:L)</f>
        <v>2678.3</v>
      </c>
      <c r="L284" s="59">
        <f>SUMIFS(Recipes!$L:$L,Recipes!$D:$D,Consolidate!$E284,Recipes!$A:$A,Consolidate!$B284)</f>
        <v>1800</v>
      </c>
      <c r="M284" s="60">
        <f t="shared" si="13"/>
        <v>878.30000000000018</v>
      </c>
    </row>
    <row r="285" spans="1:13">
      <c r="A285">
        <f t="shared" si="14"/>
        <v>283</v>
      </c>
      <c r="B285" s="5" t="s">
        <v>493</v>
      </c>
      <c r="C285" t="str">
        <f>VLOOKUP(B285,Recipes!A:B,2,0)</f>
        <v>Main Course</v>
      </c>
      <c r="D285" t="str">
        <f>VLOOKUP(B285,Recipes!A:C,3,0)</f>
        <v>Gravy</v>
      </c>
      <c r="E285" s="18" t="str">
        <f>VLOOKUP(B285,Recipes!A:J,10,0)</f>
        <v>Mutton Cube</v>
      </c>
      <c r="F285" s="18" t="str">
        <f>VLOOKUP(B285,Recipes!A:I,9,0)</f>
        <v>Kg</v>
      </c>
      <c r="G285" s="55">
        <f>SUMIF(Recipes!A:A,Consolidate!B285,Recipes!H:H)</f>
        <v>1850.5287499999999</v>
      </c>
      <c r="H285" s="55">
        <f>SUMIFS(Recipes!$H:$H,Recipes!$D:$D,Consolidate!$E285,Recipes!$A:$A,Consolidate!$B285)</f>
        <v>1700</v>
      </c>
      <c r="I285" s="56">
        <f t="shared" si="12"/>
        <v>150.52874999999995</v>
      </c>
      <c r="K285" s="57">
        <f>SUMIF(Recipes!A:A,Consolidate!B285,Recipes!L:L)</f>
        <v>1959.71875</v>
      </c>
      <c r="L285" s="59">
        <f>SUMIFS(Recipes!$L:$L,Recipes!$D:$D,Consolidate!$E285,Recipes!$A:$A,Consolidate!$B285)</f>
        <v>1800</v>
      </c>
      <c r="M285" s="60">
        <f t="shared" si="13"/>
        <v>159.71875</v>
      </c>
    </row>
    <row r="286" spans="1:13">
      <c r="A286">
        <f t="shared" si="14"/>
        <v>284</v>
      </c>
      <c r="B286" s="5" t="s">
        <v>445</v>
      </c>
      <c r="C286" t="str">
        <f>VLOOKUP(B286,Recipes!A:B,2,0)</f>
        <v>Main Course</v>
      </c>
      <c r="D286" t="str">
        <f>VLOOKUP(B286,Recipes!A:C,3,0)</f>
        <v>Gravy</v>
      </c>
      <c r="E286" s="18" t="str">
        <f>VLOOKUP(B286,Recipes!A:J,10,0)</f>
        <v>Mutton Paya</v>
      </c>
      <c r="F286" s="18" t="str">
        <f>VLOOKUP(B286,Recipes!A:I,9,0)</f>
        <v>Doz</v>
      </c>
      <c r="G286" s="55">
        <f>SUMIF(Recipes!A:A,Consolidate!B286,Recipes!H:H)</f>
        <v>1241.2829999999999</v>
      </c>
      <c r="H286" s="55">
        <f>SUMIFS(Recipes!$H:$H,Recipes!$D:$D,Consolidate!$E286,Recipes!$A:$A,Consolidate!$B286)</f>
        <v>1100</v>
      </c>
      <c r="I286" s="56">
        <f t="shared" si="12"/>
        <v>141.2829999999999</v>
      </c>
      <c r="K286" s="57">
        <f>SUMIF(Recipes!A:A,Consolidate!B286,Recipes!L:L)</f>
        <v>670.59999999999991</v>
      </c>
      <c r="L286" s="59">
        <f>SUMIFS(Recipes!$L:$L,Recipes!$D:$D,Consolidate!$E286,Recipes!$A:$A,Consolidate!$B286)</f>
        <v>480</v>
      </c>
      <c r="M286" s="60">
        <f t="shared" si="13"/>
        <v>190.59999999999991</v>
      </c>
    </row>
    <row r="287" spans="1:13">
      <c r="A287">
        <f t="shared" si="14"/>
        <v>285</v>
      </c>
      <c r="B287" s="5" t="s">
        <v>526</v>
      </c>
      <c r="C287" t="str">
        <f>VLOOKUP(B287,Recipes!A:B,2,0)</f>
        <v>Main Course</v>
      </c>
      <c r="D287" t="str">
        <f>VLOOKUP(B287,Recipes!A:C,3,0)</f>
        <v>Rice</v>
      </c>
      <c r="E287" s="18" t="str">
        <f>VLOOKUP(B287,Recipes!A:J,10,0)</f>
        <v>Mutton Cube</v>
      </c>
      <c r="F287" s="18" t="str">
        <f>VLOOKUP(B287,Recipes!A:I,9,0)</f>
        <v>Kg</v>
      </c>
      <c r="G287" s="55">
        <f>SUMIF(Recipes!A:A,Consolidate!B287,Recipes!H:H)</f>
        <v>2707.2755999999999</v>
      </c>
      <c r="H287" s="55">
        <f>SUMIFS(Recipes!$H:$H,Recipes!$D:$D,Consolidate!$E287,Recipes!$A:$A,Consolidate!$B287)</f>
        <v>1700</v>
      </c>
      <c r="I287" s="56">
        <f t="shared" si="12"/>
        <v>1007.2755999999999</v>
      </c>
      <c r="K287" s="57">
        <f>SUMIF(Recipes!A:A,Consolidate!B287,Recipes!L:L)</f>
        <v>2689.4</v>
      </c>
      <c r="L287" s="59">
        <f>SUMIFS(Recipes!$L:$L,Recipes!$D:$D,Consolidate!$E287,Recipes!$A:$A,Consolidate!$B287)</f>
        <v>1800</v>
      </c>
      <c r="M287" s="60">
        <f t="shared" si="13"/>
        <v>889.40000000000009</v>
      </c>
    </row>
    <row r="288" spans="1:13">
      <c r="A288">
        <f t="shared" si="14"/>
        <v>286</v>
      </c>
      <c r="B288" s="5" t="s">
        <v>318</v>
      </c>
      <c r="C288" t="str">
        <f>VLOOKUP(B288,Recipes!A:B,2,0)</f>
        <v>Main Course</v>
      </c>
      <c r="D288" t="str">
        <f>VLOOKUP(B288,Recipes!A:C,3,0)</f>
        <v>Gravy</v>
      </c>
      <c r="E288" s="18" t="str">
        <f>VLOOKUP(B288,Recipes!A:J,10,0)</f>
        <v>Mutton Cube</v>
      </c>
      <c r="F288" s="18" t="str">
        <f>VLOOKUP(B288,Recipes!A:I,9,0)</f>
        <v>Kg</v>
      </c>
      <c r="G288" s="55">
        <f>SUMIF(Recipes!A:A,Consolidate!B288,Recipes!H:H)</f>
        <v>2192.3304076190479</v>
      </c>
      <c r="H288" s="55">
        <f>SUMIFS(Recipes!$H:$H,Recipes!$D:$D,Consolidate!$E288,Recipes!$A:$A,Consolidate!$B288)</f>
        <v>1700</v>
      </c>
      <c r="I288" s="56">
        <f t="shared" si="12"/>
        <v>492.33040761904795</v>
      </c>
      <c r="K288" s="57">
        <f>SUMIF(Recipes!A:A,Consolidate!B288,Recipes!L:L)</f>
        <v>2269.2251428571431</v>
      </c>
      <c r="L288" s="59">
        <f>SUMIFS(Recipes!$L:$L,Recipes!$D:$D,Consolidate!$E288,Recipes!$A:$A,Consolidate!$B288)</f>
        <v>1800</v>
      </c>
      <c r="M288" s="60">
        <f t="shared" si="13"/>
        <v>469.22514285714306</v>
      </c>
    </row>
    <row r="289" spans="1:13">
      <c r="A289">
        <f t="shared" si="14"/>
        <v>287</v>
      </c>
      <c r="B289" s="5" t="s">
        <v>156</v>
      </c>
      <c r="C289" t="str">
        <f>VLOOKUP(B289,Recipes!A:B,2,0)</f>
        <v>Main Course</v>
      </c>
      <c r="D289" t="str">
        <f>VLOOKUP(B289,Recipes!A:C,3,0)</f>
        <v>Grilled</v>
      </c>
      <c r="E289" s="18" t="str">
        <f>VLOOKUP(B289,Recipes!A:J,10,0)</f>
        <v>MUTTON RIBS/CHOPS</v>
      </c>
      <c r="F289" s="18" t="str">
        <f>VLOOKUP(B289,Recipes!A:I,9,0)</f>
        <v>Kg</v>
      </c>
      <c r="G289" s="55">
        <f>SUMIF(Recipes!A:A,Consolidate!B289,Recipes!H:H)</f>
        <v>1646.1071428571429</v>
      </c>
      <c r="H289" s="55">
        <f>SUMIFS(Recipes!$H:$H,Recipes!$D:$D,Consolidate!$E289,Recipes!$A:$A,Consolidate!$B289)</f>
        <v>1620</v>
      </c>
      <c r="I289" s="56">
        <f t="shared" si="12"/>
        <v>26.10714285714289</v>
      </c>
      <c r="K289" s="57">
        <f>SUMIF(Recipes!A:A,Consolidate!B289,Recipes!L:L)</f>
        <v>1830.6014285714284</v>
      </c>
      <c r="L289" s="59">
        <f>SUMIFS(Recipes!$L:$L,Recipes!$D:$D,Consolidate!$E289,Recipes!$A:$A,Consolidate!$B289)</f>
        <v>1800</v>
      </c>
      <c r="M289" s="60">
        <f t="shared" si="13"/>
        <v>30.601428571428414</v>
      </c>
    </row>
    <row r="290" spans="1:13">
      <c r="A290">
        <f t="shared" si="14"/>
        <v>288</v>
      </c>
      <c r="B290" s="5" t="s">
        <v>503</v>
      </c>
      <c r="C290" t="str">
        <f>VLOOKUP(B290,Recipes!A:B,2,0)</f>
        <v>Main Course</v>
      </c>
      <c r="D290" t="str">
        <f>VLOOKUP(B290,Recipes!A:C,3,0)</f>
        <v>BBQ</v>
      </c>
      <c r="E290" s="18" t="str">
        <f>VLOOKUP(B290,Recipes!A:J,10,0)</f>
        <v>Mutton Boneless</v>
      </c>
      <c r="F290" s="18" t="str">
        <f>VLOOKUP(B290,Recipes!A:I,9,0)</f>
        <v>Kg</v>
      </c>
      <c r="G290" s="55">
        <f>SUMIF(Recipes!A:A,Consolidate!B290,Recipes!H:H)</f>
        <v>2702.7466666666669</v>
      </c>
      <c r="H290" s="55">
        <f>SUMIFS(Recipes!$H:$H,Recipes!$D:$D,Consolidate!$E290,Recipes!$A:$A,Consolidate!$B290)</f>
        <v>1957.5</v>
      </c>
      <c r="I290" s="56">
        <f t="shared" si="12"/>
        <v>745.2466666666669</v>
      </c>
      <c r="K290" s="57">
        <f>SUMIF(Recipes!A:A,Consolidate!B290,Recipes!L:L)</f>
        <v>2957.8119999999999</v>
      </c>
      <c r="L290" s="59">
        <f>SUMIFS(Recipes!$L:$L,Recipes!$D:$D,Consolidate!$E290,Recipes!$A:$A,Consolidate!$B290)</f>
        <v>2200</v>
      </c>
      <c r="M290" s="60">
        <f t="shared" si="13"/>
        <v>757.8119999999999</v>
      </c>
    </row>
    <row r="291" spans="1:13">
      <c r="A291">
        <f t="shared" si="14"/>
        <v>289</v>
      </c>
      <c r="B291" s="5" t="s">
        <v>790</v>
      </c>
      <c r="C291" t="str">
        <f>VLOOKUP(B291,Recipes!A:B,2,0)</f>
        <v>Main Course</v>
      </c>
      <c r="D291" t="str">
        <f>VLOOKUP(B291,Recipes!A:C,3,0)</f>
        <v>Dry</v>
      </c>
      <c r="E291" s="18" t="str">
        <f>VLOOKUP(B291,Recipes!A:J,10,0)</f>
        <v>Mutton Cube</v>
      </c>
      <c r="F291" s="18" t="str">
        <f>VLOOKUP(B291,Recipes!A:I,9,0)</f>
        <v>Kg</v>
      </c>
      <c r="G291" s="55">
        <f>SUMIF(Recipes!A:A,Consolidate!B291,Recipes!H:H)</f>
        <v>1919.963</v>
      </c>
      <c r="H291" s="55">
        <f>SUMIFS(Recipes!$H:$H,Recipes!$D:$D,Consolidate!$E291,Recipes!$A:$A,Consolidate!$B291)</f>
        <v>1700</v>
      </c>
      <c r="I291" s="56">
        <f t="shared" si="12"/>
        <v>219.96299999999997</v>
      </c>
      <c r="K291" s="57">
        <f>SUMIF(Recipes!A:A,Consolidate!B291,Recipes!L:L)</f>
        <v>2016.65</v>
      </c>
      <c r="L291" s="59">
        <f>SUMIFS(Recipes!$L:$L,Recipes!$D:$D,Consolidate!$E291,Recipes!$A:$A,Consolidate!$B291)</f>
        <v>1800</v>
      </c>
      <c r="M291" s="60">
        <f t="shared" si="13"/>
        <v>216.65000000000009</v>
      </c>
    </row>
    <row r="292" spans="1:13">
      <c r="A292">
        <f t="shared" si="14"/>
        <v>290</v>
      </c>
      <c r="B292" s="5" t="s">
        <v>600</v>
      </c>
      <c r="C292" t="str">
        <f>VLOOKUP(B292,Recipes!A:B,2,0)</f>
        <v>Main Course</v>
      </c>
      <c r="D292" t="str">
        <f>VLOOKUP(B292,Recipes!A:C,3,0)</f>
        <v>Gravy</v>
      </c>
      <c r="E292" s="18" t="str">
        <f>VLOOKUP(B292,Recipes!A:J,10,0)</f>
        <v>Mutton Cube</v>
      </c>
      <c r="F292" s="18" t="str">
        <f>VLOOKUP(B292,Recipes!A:I,9,0)</f>
        <v>Kg</v>
      </c>
      <c r="G292" s="55">
        <f>SUMIF(Recipes!A:A,Consolidate!B292,Recipes!H:H)</f>
        <v>2573.0312000000008</v>
      </c>
      <c r="H292" s="55">
        <f>SUMIFS(Recipes!$H:$H,Recipes!$D:$D,Consolidate!$E292,Recipes!$A:$A,Consolidate!$B292)</f>
        <v>1700</v>
      </c>
      <c r="I292" s="56">
        <f t="shared" si="12"/>
        <v>873.03120000000081</v>
      </c>
      <c r="K292" s="57">
        <f>SUMIF(Recipes!A:A,Consolidate!B292,Recipes!L:L)</f>
        <v>2630.9265000000005</v>
      </c>
      <c r="L292" s="59">
        <f>SUMIFS(Recipes!$L:$L,Recipes!$D:$D,Consolidate!$E292,Recipes!$A:$A,Consolidate!$B292)</f>
        <v>1800</v>
      </c>
      <c r="M292" s="60">
        <f t="shared" si="13"/>
        <v>830.92650000000049</v>
      </c>
    </row>
    <row r="293" spans="1:13">
      <c r="A293">
        <f t="shared" si="14"/>
        <v>291</v>
      </c>
      <c r="B293" s="5" t="s">
        <v>284</v>
      </c>
      <c r="C293" t="str">
        <f>VLOOKUP(B293,Recipes!A:B,2,0)</f>
        <v>Main Course</v>
      </c>
      <c r="D293" t="str">
        <f>VLOOKUP(B293,Recipes!A:C,3,0)</f>
        <v>Gravy</v>
      </c>
      <c r="E293" s="18" t="str">
        <f>VLOOKUP(B293,Recipes!A:J,10,0)</f>
        <v>Mutton Cube</v>
      </c>
      <c r="F293" s="18" t="str">
        <f>VLOOKUP(B293,Recipes!A:I,9,0)</f>
        <v>Kg</v>
      </c>
      <c r="G293" s="55">
        <f>SUMIF(Recipes!A:A,Consolidate!B293,Recipes!H:H)</f>
        <v>1951.3850057142859</v>
      </c>
      <c r="H293" s="55">
        <f>SUMIFS(Recipes!$H:$H,Recipes!$D:$D,Consolidate!$E293,Recipes!$A:$A,Consolidate!$B293)</f>
        <v>1700</v>
      </c>
      <c r="I293" s="56">
        <f t="shared" si="12"/>
        <v>251.38500571428585</v>
      </c>
      <c r="K293" s="57">
        <f>SUMIF(Recipes!A:A,Consolidate!B293,Recipes!L:L)</f>
        <v>2052.0822857142857</v>
      </c>
      <c r="L293" s="59">
        <f>SUMIFS(Recipes!$L:$L,Recipes!$D:$D,Consolidate!$E293,Recipes!$A:$A,Consolidate!$B293)</f>
        <v>1800</v>
      </c>
      <c r="M293" s="60">
        <f t="shared" si="13"/>
        <v>252.08228571428572</v>
      </c>
    </row>
    <row r="294" spans="1:13">
      <c r="A294">
        <f t="shared" si="14"/>
        <v>292</v>
      </c>
      <c r="B294" s="5" t="s">
        <v>523</v>
      </c>
      <c r="C294" t="str">
        <f>VLOOKUP(B294,Recipes!A:B,2,0)</f>
        <v>Roti &amp; Paratha</v>
      </c>
      <c r="D294" t="str">
        <f>VLOOKUP(B294,Recipes!A:C,3,0)</f>
        <v>Naan</v>
      </c>
      <c r="E294" s="18">
        <f>VLOOKUP(B294,Recipes!A:J,10,0)</f>
        <v>0</v>
      </c>
      <c r="F294" s="18" t="str">
        <f>VLOOKUP(B294,Recipes!A:I,9,0)</f>
        <v>Pcs</v>
      </c>
      <c r="G294" s="55">
        <f>SUMIF(Recipes!A:A,Consolidate!B294,Recipes!H:H)</f>
        <v>17.334</v>
      </c>
      <c r="H294" s="55">
        <f>SUMIFS(Recipes!$H:$H,Recipes!$D:$D,Consolidate!$E294,Recipes!$A:$A,Consolidate!$B294)</f>
        <v>0</v>
      </c>
      <c r="I294" s="56">
        <f t="shared" si="12"/>
        <v>17.334</v>
      </c>
      <c r="K294" s="57">
        <f>SUMIF(Recipes!A:A,Consolidate!B294,Recipes!L:L)</f>
        <v>17.120625</v>
      </c>
      <c r="L294" s="59">
        <f>SUMIFS(Recipes!$L:$L,Recipes!$D:$D,Consolidate!$E294,Recipes!$A:$A,Consolidate!$B294)</f>
        <v>0</v>
      </c>
      <c r="M294" s="60">
        <f t="shared" si="13"/>
        <v>17.120625</v>
      </c>
    </row>
    <row r="295" spans="1:13">
      <c r="A295">
        <f t="shared" si="14"/>
        <v>293</v>
      </c>
      <c r="B295" s="5" t="s">
        <v>360</v>
      </c>
      <c r="C295" t="str">
        <f>VLOOKUP(B295,Recipes!A:B,2,0)</f>
        <v>Beverages</v>
      </c>
      <c r="D295" t="str">
        <f>VLOOKUP(B295,Recipes!A:C,3,0)</f>
        <v>Lassi</v>
      </c>
      <c r="E295" s="18">
        <f>VLOOKUP(B295,Recipes!A:J,10,0)</f>
        <v>0</v>
      </c>
      <c r="F295" s="18" t="str">
        <f>VLOOKUP(B295,Recipes!A:I,9,0)</f>
        <v>Kg</v>
      </c>
      <c r="G295" s="55">
        <f>SUMIF(Recipes!A:A,Consolidate!B295,Recipes!H:H)</f>
        <v>534.46666666666658</v>
      </c>
      <c r="H295" s="55">
        <f>SUMIFS(Recipes!$H:$H,Recipes!$D:$D,Consolidate!$E295,Recipes!$A:$A,Consolidate!$B295)</f>
        <v>0</v>
      </c>
      <c r="I295" s="56">
        <f t="shared" si="12"/>
        <v>534.46666666666658</v>
      </c>
      <c r="K295" s="57">
        <f>SUMIF(Recipes!A:A,Consolidate!B295,Recipes!L:L)</f>
        <v>644.29999999999995</v>
      </c>
      <c r="L295" s="59">
        <f>SUMIFS(Recipes!$L:$L,Recipes!$D:$D,Consolidate!$E295,Recipes!$A:$A,Consolidate!$B295)</f>
        <v>0</v>
      </c>
      <c r="M295" s="60">
        <f t="shared" si="13"/>
        <v>644.29999999999995</v>
      </c>
    </row>
    <row r="296" spans="1:13">
      <c r="A296">
        <f t="shared" si="14"/>
        <v>294</v>
      </c>
      <c r="B296" s="5" t="s">
        <v>996</v>
      </c>
      <c r="C296" t="str">
        <f>VLOOKUP(B296,Recipes!A:B,2,0)</f>
        <v>Beverages</v>
      </c>
      <c r="D296" t="str">
        <f>VLOOKUP(B296,Recipes!A:C,3,0)</f>
        <v>Nestle Juice 1 Ltr</v>
      </c>
      <c r="E296" s="18">
        <f>VLOOKUP(B296,Recipes!A:J,10,0)</f>
        <v>0</v>
      </c>
      <c r="F296" s="18" t="str">
        <f>VLOOKUP(B296,Recipes!A:I,9,0)</f>
        <v>Bottle</v>
      </c>
      <c r="G296" s="55">
        <f>SUMIF(Recipes!A:A,Consolidate!B296,Recipes!H:H)</f>
        <v>260</v>
      </c>
      <c r="H296" s="55">
        <f>SUMIFS(Recipes!$H:$H,Recipes!$D:$D,Consolidate!$E296,Recipes!$A:$A,Consolidate!$B296)</f>
        <v>0</v>
      </c>
      <c r="I296" s="56">
        <f t="shared" si="12"/>
        <v>260</v>
      </c>
      <c r="K296" s="57">
        <f>SUMIF(Recipes!A:A,Consolidate!B296,Recipes!L:L)</f>
        <v>260</v>
      </c>
      <c r="L296" s="59">
        <f>SUMIFS(Recipes!$L:$L,Recipes!$D:$D,Consolidate!$E296,Recipes!$A:$A,Consolidate!$B296)</f>
        <v>0</v>
      </c>
      <c r="M296" s="60">
        <f t="shared" si="13"/>
        <v>260</v>
      </c>
    </row>
    <row r="297" spans="1:13">
      <c r="A297">
        <f t="shared" si="14"/>
        <v>295</v>
      </c>
      <c r="B297" s="5" t="s">
        <v>802</v>
      </c>
      <c r="C297" t="str">
        <f>VLOOKUP(B297,Recipes!A:B,2,0)</f>
        <v>Beverages</v>
      </c>
      <c r="D297" t="str">
        <f>VLOOKUP(B297,Recipes!A:C,3,0)</f>
        <v>Nestle Juice 250ml</v>
      </c>
      <c r="E297" s="18">
        <f>VLOOKUP(B297,Recipes!A:J,10,0)</f>
        <v>0</v>
      </c>
      <c r="F297" s="18" t="str">
        <f>VLOOKUP(B297,Recipes!A:I,9,0)</f>
        <v>Pkt</v>
      </c>
      <c r="G297" s="55">
        <f>SUMIF(Recipes!A:A,Consolidate!B297,Recipes!H:H)</f>
        <v>45</v>
      </c>
      <c r="H297" s="55">
        <f>SUMIFS(Recipes!$H:$H,Recipes!$D:$D,Consolidate!$E297,Recipes!$A:$A,Consolidate!$B297)</f>
        <v>0</v>
      </c>
      <c r="I297" s="56">
        <f t="shared" si="12"/>
        <v>45</v>
      </c>
      <c r="K297" s="57">
        <f>SUMIF(Recipes!A:A,Consolidate!B297,Recipes!L:L)</f>
        <v>45</v>
      </c>
      <c r="L297" s="59">
        <f>SUMIFS(Recipes!$L:$L,Recipes!$D:$D,Consolidate!$E297,Recipes!$A:$A,Consolidate!$B297)</f>
        <v>0</v>
      </c>
      <c r="M297" s="60">
        <f t="shared" si="13"/>
        <v>45</v>
      </c>
    </row>
    <row r="298" spans="1:13">
      <c r="A298">
        <f t="shared" si="14"/>
        <v>296</v>
      </c>
      <c r="B298" s="5" t="s">
        <v>567</v>
      </c>
      <c r="C298" t="str">
        <f>VLOOKUP(B298,Recipes!A:B,2,0)</f>
        <v>Dessert</v>
      </c>
      <c r="D298" t="str">
        <f>VLOOKUP(B298,Recipes!A:C,3,0)</f>
        <v>Dessert</v>
      </c>
      <c r="E298" s="18">
        <f>VLOOKUP(B298,Recipes!A:J,10,0)</f>
        <v>0</v>
      </c>
      <c r="F298" s="18" t="str">
        <f>VLOOKUP(B298,Recipes!A:I,9,0)</f>
        <v>Kg</v>
      </c>
      <c r="G298" s="55">
        <f>SUMIF(Recipes!A:A,Consolidate!B298,Recipes!H:H)</f>
        <v>1156.76874</v>
      </c>
      <c r="H298" s="55">
        <f>SUMIFS(Recipes!$H:$H,Recipes!$D:$D,Consolidate!$E298,Recipes!$A:$A,Consolidate!$B298)</f>
        <v>0</v>
      </c>
      <c r="I298" s="56">
        <f t="shared" si="12"/>
        <v>1156.76874</v>
      </c>
      <c r="K298" s="57">
        <f>SUMIF(Recipes!A:A,Consolidate!B298,Recipes!L:L)</f>
        <v>1260.6480899999997</v>
      </c>
      <c r="L298" s="59">
        <f>SUMIFS(Recipes!$L:$L,Recipes!$D:$D,Consolidate!$E298,Recipes!$A:$A,Consolidate!$B298)</f>
        <v>0</v>
      </c>
      <c r="M298" s="60">
        <f t="shared" si="13"/>
        <v>1260.6480899999997</v>
      </c>
    </row>
    <row r="299" spans="1:13">
      <c r="A299">
        <f t="shared" si="14"/>
        <v>297</v>
      </c>
      <c r="B299" s="5" t="s">
        <v>159</v>
      </c>
      <c r="C299" t="str">
        <f>VLOOKUP(B299,Recipes!A:B,2,0)</f>
        <v>Side Dish</v>
      </c>
      <c r="D299" t="str">
        <f>VLOOKUP(B299,Recipes!A:C,3,0)</f>
        <v>Dry</v>
      </c>
      <c r="E299" s="18">
        <f>VLOOKUP(B299,Recipes!A:J,10,0)</f>
        <v>0</v>
      </c>
      <c r="F299" s="18" t="str">
        <f>VLOOKUP(B299,Recipes!A:I,9,0)</f>
        <v>Kg</v>
      </c>
      <c r="G299" s="55">
        <f>SUMIF(Recipes!A:A,Consolidate!B299,Recipes!H:H)</f>
        <v>356.10847999999999</v>
      </c>
      <c r="H299" s="55">
        <f>SUMIFS(Recipes!$H:$H,Recipes!$D:$D,Consolidate!$E299,Recipes!$A:$A,Consolidate!$B299)</f>
        <v>0</v>
      </c>
      <c r="I299" s="56">
        <f t="shared" si="12"/>
        <v>356.10847999999999</v>
      </c>
      <c r="K299" s="57">
        <f>SUMIF(Recipes!A:A,Consolidate!B299,Recipes!L:L)</f>
        <v>700.94564000000003</v>
      </c>
      <c r="L299" s="59">
        <f>SUMIFS(Recipes!$L:$L,Recipes!$D:$D,Consolidate!$E299,Recipes!$A:$A,Consolidate!$B299)</f>
        <v>0</v>
      </c>
      <c r="M299" s="60">
        <f t="shared" si="13"/>
        <v>700.94564000000003</v>
      </c>
    </row>
    <row r="300" spans="1:13">
      <c r="A300">
        <f t="shared" si="14"/>
        <v>298</v>
      </c>
      <c r="B300" s="5" t="s">
        <v>441</v>
      </c>
      <c r="C300" t="str">
        <f>VLOOKUP(B300,Recipes!A:B,2,0)</f>
        <v>Side Dish</v>
      </c>
      <c r="D300" t="str">
        <f>VLOOKUP(B300,Recipes!A:C,3,0)</f>
        <v>Gravy</v>
      </c>
      <c r="E300" s="18">
        <f>VLOOKUP(B300,Recipes!A:J,10,0)</f>
        <v>0</v>
      </c>
      <c r="F300" s="18" t="str">
        <f>VLOOKUP(B300,Recipes!A:I,9,0)</f>
        <v>Kg</v>
      </c>
      <c r="G300" s="55">
        <f>SUMIF(Recipes!A:A,Consolidate!B300,Recipes!H:H)</f>
        <v>570.48800000000006</v>
      </c>
      <c r="H300" s="55">
        <f>SUMIFS(Recipes!$H:$H,Recipes!$D:$D,Consolidate!$E300,Recipes!$A:$A,Consolidate!$B300)</f>
        <v>0</v>
      </c>
      <c r="I300" s="56">
        <f t="shared" si="12"/>
        <v>570.48800000000006</v>
      </c>
      <c r="K300" s="57">
        <f>SUMIF(Recipes!A:A,Consolidate!B300,Recipes!L:L)</f>
        <v>616.29999999999995</v>
      </c>
      <c r="L300" s="59">
        <f>SUMIFS(Recipes!$L:$L,Recipes!$D:$D,Consolidate!$E300,Recipes!$A:$A,Consolidate!$B300)</f>
        <v>0</v>
      </c>
      <c r="M300" s="60">
        <f t="shared" si="13"/>
        <v>616.29999999999995</v>
      </c>
    </row>
    <row r="301" spans="1:13">
      <c r="A301">
        <f t="shared" si="14"/>
        <v>299</v>
      </c>
      <c r="B301" s="5" t="s">
        <v>339</v>
      </c>
      <c r="C301" t="str">
        <f>VLOOKUP(B301,Recipes!A:B,2,0)</f>
        <v>Main Course</v>
      </c>
      <c r="D301" t="str">
        <f>VLOOKUP(B301,Recipes!A:C,3,0)</f>
        <v>Gravy</v>
      </c>
      <c r="E301" s="18" t="str">
        <f>VLOOKUP(B301,Recipes!A:J,10,0)</f>
        <v>Chicken Boneless</v>
      </c>
      <c r="F301" s="18" t="str">
        <f>VLOOKUP(B301,Recipes!A:I,9,0)</f>
        <v>Kg</v>
      </c>
      <c r="G301" s="55">
        <f>SUMIF(Recipes!A:A,Consolidate!B301,Recipes!H:H)</f>
        <v>1206.4421666666667</v>
      </c>
      <c r="H301" s="55">
        <f>SUMIFS(Recipes!$H:$H,Recipes!$D:$D,Consolidate!$E301,Recipes!$A:$A,Consolidate!$B301)</f>
        <v>908</v>
      </c>
      <c r="I301" s="56">
        <f t="shared" si="12"/>
        <v>298.44216666666671</v>
      </c>
      <c r="K301" s="57">
        <f>SUMIF(Recipes!A:A,Consolidate!B301,Recipes!L:L)</f>
        <v>1415.5832499999999</v>
      </c>
      <c r="L301" s="59">
        <f>SUMIFS(Recipes!$L:$L,Recipes!$D:$D,Consolidate!$E301,Recipes!$A:$A,Consolidate!$B301)</f>
        <v>908</v>
      </c>
      <c r="M301" s="60">
        <f t="shared" si="13"/>
        <v>507.58324999999991</v>
      </c>
    </row>
    <row r="302" spans="1:13">
      <c r="A302">
        <f t="shared" si="14"/>
        <v>300</v>
      </c>
      <c r="B302" s="5" t="s">
        <v>371</v>
      </c>
      <c r="C302" t="str">
        <f>VLOOKUP(B302,Recipes!A:B,2,0)</f>
        <v>Roti &amp; Paratha</v>
      </c>
      <c r="D302" t="str">
        <f>VLOOKUP(B302,Recipes!A:C,3,0)</f>
        <v>Paratha</v>
      </c>
      <c r="E302" s="18">
        <f>VLOOKUP(B302,Recipes!A:J,10,0)</f>
        <v>0</v>
      </c>
      <c r="F302" s="18" t="str">
        <f>VLOOKUP(B302,Recipes!A:I,9,0)</f>
        <v>Pcs</v>
      </c>
      <c r="G302" s="55">
        <f>SUMIF(Recipes!A:A,Consolidate!B302,Recipes!H:H)</f>
        <v>21.891259090909092</v>
      </c>
      <c r="H302" s="55">
        <f>SUMIFS(Recipes!$H:$H,Recipes!$D:$D,Consolidate!$E302,Recipes!$A:$A,Consolidate!$B302)</f>
        <v>0</v>
      </c>
      <c r="I302" s="56">
        <f t="shared" si="12"/>
        <v>21.891259090909092</v>
      </c>
      <c r="K302" s="57">
        <f>SUMIF(Recipes!A:A,Consolidate!B302,Recipes!L:L)</f>
        <v>22.15779090909091</v>
      </c>
      <c r="L302" s="59">
        <f>SUMIFS(Recipes!$L:$L,Recipes!$D:$D,Consolidate!$E302,Recipes!$A:$A,Consolidate!$B302)</f>
        <v>0</v>
      </c>
      <c r="M302" s="60">
        <f t="shared" si="13"/>
        <v>22.15779090909091</v>
      </c>
    </row>
    <row r="303" spans="1:13">
      <c r="A303">
        <f t="shared" si="14"/>
        <v>301</v>
      </c>
      <c r="B303" s="5" t="s">
        <v>211</v>
      </c>
      <c r="C303" t="str">
        <f>VLOOKUP(B303,Recipes!A:B,2,0)</f>
        <v>Dessert</v>
      </c>
      <c r="D303" t="str">
        <f>VLOOKUP(B303,Recipes!A:C,3,0)</f>
        <v>Bakery</v>
      </c>
      <c r="E303" s="18">
        <f>VLOOKUP(B303,Recipes!A:J,10,0)</f>
        <v>0</v>
      </c>
      <c r="F303" s="18" t="str">
        <f>VLOOKUP(B303,Recipes!A:I,9,0)</f>
        <v>Pcs</v>
      </c>
      <c r="G303" s="55">
        <f>SUMIF(Recipes!A:A,Consolidate!B303,Recipes!H:H)</f>
        <v>8.5463100000000001</v>
      </c>
      <c r="H303" s="55">
        <f>SUMIFS(Recipes!$H:$H,Recipes!$D:$D,Consolidate!$E303,Recipes!$A:$A,Consolidate!$B303)</f>
        <v>0</v>
      </c>
      <c r="I303" s="56">
        <f t="shared" si="12"/>
        <v>8.5463100000000001</v>
      </c>
      <c r="K303" s="57">
        <f>SUMIF(Recipes!A:A,Consolidate!B303,Recipes!L:L)</f>
        <v>14.709090000000002</v>
      </c>
      <c r="L303" s="59">
        <f>SUMIFS(Recipes!$L:$L,Recipes!$D:$D,Consolidate!$E303,Recipes!$A:$A,Consolidate!$B303)</f>
        <v>0</v>
      </c>
      <c r="M303" s="60">
        <f t="shared" si="13"/>
        <v>14.709090000000002</v>
      </c>
    </row>
    <row r="304" spans="1:13">
      <c r="A304">
        <f t="shared" si="14"/>
        <v>302</v>
      </c>
      <c r="B304" s="5" t="s">
        <v>264</v>
      </c>
      <c r="C304" t="str">
        <f>VLOOKUP(B304,Recipes!A:B,2,0)</f>
        <v>Salad</v>
      </c>
      <c r="D304" t="str">
        <f>VLOOKUP(B304,Recipes!A:C,3,0)</f>
        <v>Without Meat</v>
      </c>
      <c r="E304" s="18">
        <f>VLOOKUP(B304,Recipes!A:J,10,0)</f>
        <v>0</v>
      </c>
      <c r="F304" s="18" t="str">
        <f>VLOOKUP(B304,Recipes!A:I,9,0)</f>
        <v>Inner</v>
      </c>
      <c r="G304" s="55">
        <f>SUMIF(Recipes!A:A,Consolidate!B304,Recipes!H:H)</f>
        <v>3081.2</v>
      </c>
      <c r="H304" s="55">
        <f>SUMIFS(Recipes!$H:$H,Recipes!$D:$D,Consolidate!$E304,Recipes!$A:$A,Consolidate!$B304)</f>
        <v>0</v>
      </c>
      <c r="I304" s="56">
        <f t="shared" si="12"/>
        <v>3081.2</v>
      </c>
      <c r="K304" s="57">
        <f>SUMIF(Recipes!A:A,Consolidate!B304,Recipes!L:L)</f>
        <v>1839.605</v>
      </c>
      <c r="L304" s="59">
        <f>SUMIFS(Recipes!$L:$L,Recipes!$D:$D,Consolidate!$E304,Recipes!$A:$A,Consolidate!$B304)</f>
        <v>0</v>
      </c>
      <c r="M304" s="60">
        <f t="shared" si="13"/>
        <v>1839.605</v>
      </c>
    </row>
    <row r="305" spans="1:13">
      <c r="A305">
        <f t="shared" si="14"/>
        <v>303</v>
      </c>
      <c r="B305" s="5" t="s">
        <v>180</v>
      </c>
      <c r="C305" t="str">
        <f>VLOOKUP(B305,Recipes!A:B,2,0)</f>
        <v>Appetizer</v>
      </c>
      <c r="D305" t="str">
        <f>VLOOKUP(B305,Recipes!A:C,3,0)</f>
        <v>With Meat</v>
      </c>
      <c r="E305" s="18">
        <f>VLOOKUP(B305,Recipes!A:J,10,0)</f>
        <v>0</v>
      </c>
      <c r="F305" s="18" t="str">
        <f>VLOOKUP(B305,Recipes!A:I,9,0)</f>
        <v>Pcs</v>
      </c>
      <c r="G305" s="55">
        <f>SUMIF(Recipes!A:A,Consolidate!B305,Recipes!H:H)</f>
        <v>21.602306249999998</v>
      </c>
      <c r="H305" s="55">
        <f>SUMIFS(Recipes!$H:$H,Recipes!$D:$D,Consolidate!$E305,Recipes!$A:$A,Consolidate!$B305)</f>
        <v>0</v>
      </c>
      <c r="I305" s="56">
        <f t="shared" si="12"/>
        <v>21.602306249999998</v>
      </c>
      <c r="K305" s="57">
        <f>SUMIF(Recipes!A:A,Consolidate!B305,Recipes!L:L)</f>
        <v>21.712443750000002</v>
      </c>
      <c r="L305" s="59">
        <f>SUMIFS(Recipes!$L:$L,Recipes!$D:$D,Consolidate!$E305,Recipes!$A:$A,Consolidate!$B305)</f>
        <v>0</v>
      </c>
      <c r="M305" s="60">
        <f t="shared" si="13"/>
        <v>21.712443750000002</v>
      </c>
    </row>
    <row r="306" spans="1:13">
      <c r="A306">
        <f t="shared" si="14"/>
        <v>304</v>
      </c>
      <c r="B306" s="5" t="s">
        <v>563</v>
      </c>
      <c r="C306" t="str">
        <f>VLOOKUP(B306,Recipes!A:B,2,0)</f>
        <v>Chatni &amp; Sauces</v>
      </c>
      <c r="D306" t="str">
        <f>VLOOKUP(B306,Recipes!A:C,3,0)</f>
        <v>Chatni &amp; Sauces</v>
      </c>
      <c r="E306" s="18">
        <f>VLOOKUP(B306,Recipes!A:J,10,0)</f>
        <v>0</v>
      </c>
      <c r="F306" s="18" t="str">
        <f>VLOOKUP(B306,Recipes!A:I,9,0)</f>
        <v>Bowl</v>
      </c>
      <c r="G306" s="55">
        <f>SUMIF(Recipes!A:A,Consolidate!B306,Recipes!H:H)</f>
        <v>1159.6345000000001</v>
      </c>
      <c r="H306" s="55">
        <f>SUMIFS(Recipes!$H:$H,Recipes!$D:$D,Consolidate!$E306,Recipes!$A:$A,Consolidate!$B306)</f>
        <v>0</v>
      </c>
      <c r="I306" s="56">
        <f t="shared" si="12"/>
        <v>1159.6345000000001</v>
      </c>
      <c r="K306" s="57">
        <f>SUMIF(Recipes!A:A,Consolidate!B306,Recipes!L:L)</f>
        <v>1305.96225</v>
      </c>
      <c r="L306" s="59">
        <f>SUMIFS(Recipes!$L:$L,Recipes!$D:$D,Consolidate!$E306,Recipes!$A:$A,Consolidate!$B306)</f>
        <v>0</v>
      </c>
      <c r="M306" s="60">
        <f t="shared" si="13"/>
        <v>1305.96225</v>
      </c>
    </row>
    <row r="307" spans="1:13">
      <c r="A307">
        <f t="shared" si="14"/>
        <v>305</v>
      </c>
      <c r="B307" s="5" t="s">
        <v>548</v>
      </c>
      <c r="C307" t="str">
        <f>VLOOKUP(B307,Recipes!A:B,2,0)</f>
        <v>Side Dish</v>
      </c>
      <c r="D307" t="str">
        <f>VLOOKUP(B307,Recipes!A:C,3,0)</f>
        <v>Daal / Chana</v>
      </c>
      <c r="E307" s="18">
        <f>VLOOKUP(B307,Recipes!A:J,10,0)</f>
        <v>0</v>
      </c>
      <c r="F307" s="18" t="str">
        <f>VLOOKUP(B307,Recipes!A:I,9,0)</f>
        <v>Kg</v>
      </c>
      <c r="G307" s="55">
        <f>SUMIF(Recipes!A:A,Consolidate!B307,Recipes!H:H)</f>
        <v>532.46699999999998</v>
      </c>
      <c r="H307" s="55">
        <f>SUMIFS(Recipes!$H:$H,Recipes!$D:$D,Consolidate!$E307,Recipes!$A:$A,Consolidate!$B307)</f>
        <v>0</v>
      </c>
      <c r="I307" s="56">
        <f t="shared" si="12"/>
        <v>532.46699999999998</v>
      </c>
      <c r="K307" s="57">
        <f>SUMIF(Recipes!A:A,Consolidate!B307,Recipes!L:L)</f>
        <v>482.43374999999997</v>
      </c>
      <c r="L307" s="59">
        <f>SUMIFS(Recipes!$L:$L,Recipes!$D:$D,Consolidate!$E307,Recipes!$A:$A,Consolidate!$B307)</f>
        <v>0</v>
      </c>
      <c r="M307" s="60">
        <f t="shared" si="13"/>
        <v>482.43374999999997</v>
      </c>
    </row>
    <row r="308" spans="1:13">
      <c r="A308">
        <f t="shared" si="14"/>
        <v>306</v>
      </c>
      <c r="B308" s="5" t="s">
        <v>549</v>
      </c>
      <c r="C308" t="str">
        <f>VLOOKUP(B308,Recipes!A:B,2,0)</f>
        <v>Salad</v>
      </c>
      <c r="D308" t="str">
        <f>VLOOKUP(B308,Recipes!A:C,3,0)</f>
        <v>With Meat</v>
      </c>
      <c r="E308" s="18">
        <f>VLOOKUP(B308,Recipes!A:J,10,0)</f>
        <v>0</v>
      </c>
      <c r="F308" s="18" t="str">
        <f>VLOOKUP(B308,Recipes!A:I,9,0)</f>
        <v>Bowl</v>
      </c>
      <c r="G308" s="55">
        <f>SUMIF(Recipes!A:A,Consolidate!B308,Recipes!H:H)</f>
        <v>3012.2043333333336</v>
      </c>
      <c r="H308" s="55">
        <f>SUMIFS(Recipes!$H:$H,Recipes!$D:$D,Consolidate!$E308,Recipes!$A:$A,Consolidate!$B308)</f>
        <v>0</v>
      </c>
      <c r="I308" s="56">
        <f t="shared" si="12"/>
        <v>3012.2043333333336</v>
      </c>
      <c r="K308" s="57">
        <f>SUMIF(Recipes!A:A,Consolidate!B308,Recipes!L:L)</f>
        <v>2360.8233333333333</v>
      </c>
      <c r="L308" s="59">
        <f>SUMIFS(Recipes!$L:$L,Recipes!$D:$D,Consolidate!$E308,Recipes!$A:$A,Consolidate!$B308)</f>
        <v>0</v>
      </c>
      <c r="M308" s="60">
        <f t="shared" si="13"/>
        <v>2360.8233333333333</v>
      </c>
    </row>
    <row r="309" spans="1:13">
      <c r="A309">
        <f t="shared" si="14"/>
        <v>307</v>
      </c>
      <c r="B309" s="5" t="s">
        <v>547</v>
      </c>
      <c r="C309" t="str">
        <f>VLOOKUP(B309,Recipes!A:B,2,0)</f>
        <v>Side Dish</v>
      </c>
      <c r="D309" t="str">
        <f>VLOOKUP(B309,Recipes!A:C,3,0)</f>
        <v>Rice</v>
      </c>
      <c r="E309" s="18">
        <f>VLOOKUP(B309,Recipes!A:J,10,0)</f>
        <v>0</v>
      </c>
      <c r="F309" s="18" t="str">
        <f>VLOOKUP(B309,Recipes!A:I,9,0)</f>
        <v>Kg</v>
      </c>
      <c r="G309" s="55">
        <f>SUMIF(Recipes!A:A,Consolidate!B309,Recipes!H:H)</f>
        <v>952.23275000000001</v>
      </c>
      <c r="H309" s="55">
        <f>SUMIFS(Recipes!$H:$H,Recipes!$D:$D,Consolidate!$E309,Recipes!$A:$A,Consolidate!$B309)</f>
        <v>0</v>
      </c>
      <c r="I309" s="56">
        <f t="shared" si="12"/>
        <v>952.23275000000001</v>
      </c>
      <c r="K309" s="57">
        <f>SUMIF(Recipes!A:A,Consolidate!B309,Recipes!L:L)</f>
        <v>863.4</v>
      </c>
      <c r="L309" s="59">
        <f>SUMIFS(Recipes!$L:$L,Recipes!$D:$D,Consolidate!$E309,Recipes!$A:$A,Consolidate!$B309)</f>
        <v>0</v>
      </c>
      <c r="M309" s="60">
        <f t="shared" si="13"/>
        <v>863.4</v>
      </c>
    </row>
    <row r="310" spans="1:13">
      <c r="A310">
        <f t="shared" si="14"/>
        <v>308</v>
      </c>
      <c r="B310" s="5" t="s">
        <v>593</v>
      </c>
      <c r="C310" t="str">
        <f>VLOOKUP(B310,Recipes!A:B,2,0)</f>
        <v>Side Dish</v>
      </c>
      <c r="D310" t="str">
        <f>VLOOKUP(B310,Recipes!A:C,3,0)</f>
        <v>Rice</v>
      </c>
      <c r="E310" s="18">
        <f>VLOOKUP(B310,Recipes!A:J,10,0)</f>
        <v>0</v>
      </c>
      <c r="F310" s="18" t="str">
        <f>VLOOKUP(B310,Recipes!A:I,9,0)</f>
        <v>Kg</v>
      </c>
      <c r="G310" s="55">
        <f>SUMIF(Recipes!A:A,Consolidate!B310,Recipes!H:H)</f>
        <v>355.01260000000002</v>
      </c>
      <c r="H310" s="55">
        <f>SUMIFS(Recipes!$H:$H,Recipes!$D:$D,Consolidate!$E310,Recipes!$A:$A,Consolidate!$B310)</f>
        <v>0</v>
      </c>
      <c r="I310" s="56">
        <f t="shared" si="12"/>
        <v>355.01260000000002</v>
      </c>
      <c r="K310" s="57">
        <f>SUMIF(Recipes!A:A,Consolidate!B310,Recipes!L:L)</f>
        <v>356.1</v>
      </c>
      <c r="L310" s="59">
        <f>SUMIFS(Recipes!$L:$L,Recipes!$D:$D,Consolidate!$E310,Recipes!$A:$A,Consolidate!$B310)</f>
        <v>0</v>
      </c>
      <c r="M310" s="60">
        <f t="shared" si="13"/>
        <v>356.1</v>
      </c>
    </row>
    <row r="311" spans="1:13">
      <c r="A311">
        <f t="shared" si="14"/>
        <v>309</v>
      </c>
      <c r="B311" s="5" t="s">
        <v>385</v>
      </c>
      <c r="C311" t="str">
        <f>VLOOKUP(B311,Recipes!A:B,2,0)</f>
        <v>Chatni &amp; Sauces</v>
      </c>
      <c r="D311" t="str">
        <f>VLOOKUP(B311,Recipes!A:C,3,0)</f>
        <v>Chatni &amp; Sauces</v>
      </c>
      <c r="E311" s="18">
        <f>VLOOKUP(B311,Recipes!A:J,10,0)</f>
        <v>0</v>
      </c>
      <c r="F311" s="18" t="str">
        <f>VLOOKUP(B311,Recipes!A:I,9,0)</f>
        <v>Bowl</v>
      </c>
      <c r="G311" s="55">
        <f>SUMIF(Recipes!A:A,Consolidate!B311,Recipes!H:H)</f>
        <v>336.39593908629445</v>
      </c>
      <c r="H311" s="55">
        <f>SUMIFS(Recipes!$H:$H,Recipes!$D:$D,Consolidate!$E311,Recipes!$A:$A,Consolidate!$B311)</f>
        <v>0</v>
      </c>
      <c r="I311" s="56">
        <f t="shared" si="12"/>
        <v>336.39593908629445</v>
      </c>
      <c r="K311" s="57">
        <f>SUMIF(Recipes!A:A,Consolidate!B311,Recipes!L:L)</f>
        <v>347.94416243654831</v>
      </c>
      <c r="L311" s="59">
        <f>SUMIFS(Recipes!$L:$L,Recipes!$D:$D,Consolidate!$E311,Recipes!$A:$A,Consolidate!$B311)</f>
        <v>0</v>
      </c>
      <c r="M311" s="60">
        <f t="shared" si="13"/>
        <v>347.94416243654831</v>
      </c>
    </row>
    <row r="312" spans="1:13">
      <c r="A312">
        <f t="shared" si="14"/>
        <v>310</v>
      </c>
      <c r="B312" s="5" t="s">
        <v>394</v>
      </c>
      <c r="C312" t="str">
        <f>VLOOKUP(B312,Recipes!A:B,2,0)</f>
        <v>Beverages</v>
      </c>
      <c r="D312" t="str">
        <f>VLOOKUP(B312,Recipes!A:C,3,0)</f>
        <v>Fresh Juice</v>
      </c>
      <c r="E312" s="18">
        <f>VLOOKUP(B312,Recipes!A:J,10,0)</f>
        <v>0</v>
      </c>
      <c r="F312" s="18" t="str">
        <f>VLOOKUP(B312,Recipes!A:I,9,0)</f>
        <v>Glass</v>
      </c>
      <c r="G312" s="55">
        <f>SUMIF(Recipes!A:A,Consolidate!B312,Recipes!H:H)</f>
        <v>46.047285714285714</v>
      </c>
      <c r="H312" s="55">
        <f>SUMIFS(Recipes!$H:$H,Recipes!$D:$D,Consolidate!$E312,Recipes!$A:$A,Consolidate!$B312)</f>
        <v>0</v>
      </c>
      <c r="I312" s="56">
        <f t="shared" si="12"/>
        <v>46.047285714285714</v>
      </c>
      <c r="K312" s="57">
        <f>SUMIF(Recipes!A:A,Consolidate!B312,Recipes!L:L)</f>
        <v>48.740857142857138</v>
      </c>
      <c r="L312" s="59">
        <f>SUMIFS(Recipes!$L:$L,Recipes!$D:$D,Consolidate!$E312,Recipes!$A:$A,Consolidate!$B312)</f>
        <v>0</v>
      </c>
      <c r="M312" s="60">
        <f t="shared" si="13"/>
        <v>48.740857142857138</v>
      </c>
    </row>
    <row r="313" spans="1:13">
      <c r="A313">
        <f t="shared" si="14"/>
        <v>311</v>
      </c>
      <c r="B313" s="5" t="s">
        <v>570</v>
      </c>
      <c r="C313" t="str">
        <f>VLOOKUP(B313,Recipes!A:B,2,0)</f>
        <v>Side Dish</v>
      </c>
      <c r="D313" t="str">
        <f>VLOOKUP(B313,Recipes!A:C,3,0)</f>
        <v>Fried</v>
      </c>
      <c r="E313" s="18">
        <f>VLOOKUP(B313,Recipes!A:J,10,0)</f>
        <v>0</v>
      </c>
      <c r="F313" s="18" t="str">
        <f>VLOOKUP(B313,Recipes!A:I,9,0)</f>
        <v>12 Pcs</v>
      </c>
      <c r="G313" s="55">
        <f>SUMIF(Recipes!A:A,Consolidate!B313,Recipes!H:H)</f>
        <v>430.71780000000001</v>
      </c>
      <c r="H313" s="55">
        <f>SUMIFS(Recipes!$H:$H,Recipes!$D:$D,Consolidate!$E313,Recipes!$A:$A,Consolidate!$B313)</f>
        <v>0</v>
      </c>
      <c r="I313" s="56">
        <f t="shared" si="12"/>
        <v>430.71780000000001</v>
      </c>
      <c r="K313" s="57">
        <f>SUMIF(Recipes!A:A,Consolidate!B313,Recipes!L:L)</f>
        <v>441.82000000000005</v>
      </c>
      <c r="L313" s="59">
        <f>SUMIFS(Recipes!$L:$L,Recipes!$D:$D,Consolidate!$E313,Recipes!$A:$A,Consolidate!$B313)</f>
        <v>0</v>
      </c>
      <c r="M313" s="60">
        <f t="shared" si="13"/>
        <v>441.82000000000005</v>
      </c>
    </row>
    <row r="314" spans="1:13">
      <c r="A314">
        <f t="shared" si="14"/>
        <v>312</v>
      </c>
      <c r="B314" s="5" t="s">
        <v>633</v>
      </c>
      <c r="C314" t="str">
        <f>VLOOKUP(B314,Recipes!A:B,2,0)</f>
        <v>Side Dish</v>
      </c>
      <c r="D314" t="str">
        <f>VLOOKUP(B314,Recipes!A:C,3,0)</f>
        <v>Fried</v>
      </c>
      <c r="E314" s="18">
        <f>VLOOKUP(B314,Recipes!A:J,10,0)</f>
        <v>0</v>
      </c>
      <c r="F314" s="18" t="str">
        <f>VLOOKUP(B314,Recipes!A:I,9,0)</f>
        <v>2 Pcs</v>
      </c>
      <c r="G314" s="55">
        <f>SUMIF(Recipes!A:A,Consolidate!B314,Recipes!H:H)</f>
        <v>39.241299999999995</v>
      </c>
      <c r="H314" s="55">
        <f>SUMIFS(Recipes!$H:$H,Recipes!$D:$D,Consolidate!$E314,Recipes!$A:$A,Consolidate!$B314)</f>
        <v>0</v>
      </c>
      <c r="I314" s="56">
        <f t="shared" si="12"/>
        <v>39.241299999999995</v>
      </c>
      <c r="K314" s="57">
        <f>SUMIF(Recipes!A:A,Consolidate!B314,Recipes!L:L)</f>
        <v>39.349999999999994</v>
      </c>
      <c r="L314" s="59">
        <f>SUMIFS(Recipes!$L:$L,Recipes!$D:$D,Consolidate!$E314,Recipes!$A:$A,Consolidate!$B314)</f>
        <v>0</v>
      </c>
      <c r="M314" s="60">
        <f t="shared" si="13"/>
        <v>39.349999999999994</v>
      </c>
    </row>
    <row r="315" spans="1:13">
      <c r="A315">
        <f t="shared" si="14"/>
        <v>313</v>
      </c>
      <c r="B315" s="5" t="s">
        <v>336</v>
      </c>
      <c r="C315" t="str">
        <f>VLOOKUP(B315,Recipes!A:B,2,0)</f>
        <v>Main Course</v>
      </c>
      <c r="D315" t="str">
        <f>VLOOKUP(B315,Recipes!A:C,3,0)</f>
        <v>Rice</v>
      </c>
      <c r="E315" s="18" t="str">
        <f>VLOOKUP(B315,Recipes!A:J,10,0)</f>
        <v>Prawn</v>
      </c>
      <c r="F315" s="18" t="str">
        <f>VLOOKUP(B315,Recipes!A:I,9,0)</f>
        <v>Kg</v>
      </c>
      <c r="G315" s="55">
        <f>SUMIF(Recipes!A:A,Consolidate!B315,Recipes!H:H)</f>
        <v>2500.5406250000001</v>
      </c>
      <c r="H315" s="55">
        <f>SUMIFS(Recipes!$H:$H,Recipes!$D:$D,Consolidate!$E315,Recipes!$A:$A,Consolidate!$B315)</f>
        <v>1890.54</v>
      </c>
      <c r="I315" s="56">
        <f t="shared" si="12"/>
        <v>610.00062500000013</v>
      </c>
      <c r="K315" s="57">
        <f>SUMIF(Recipes!A:A,Consolidate!B315,Recipes!L:L)</f>
        <v>2062.8050000000003</v>
      </c>
      <c r="L315" s="59">
        <f>SUMIFS(Recipes!$L:$L,Recipes!$D:$D,Consolidate!$E315,Recipes!$A:$A,Consolidate!$B315)</f>
        <v>1462.18</v>
      </c>
      <c r="M315" s="60">
        <f t="shared" si="13"/>
        <v>600.62500000000023</v>
      </c>
    </row>
    <row r="316" spans="1:13">
      <c r="A316">
        <f t="shared" si="14"/>
        <v>314</v>
      </c>
      <c r="B316" s="5" t="s">
        <v>325</v>
      </c>
      <c r="C316" t="str">
        <f>VLOOKUP(B316,Recipes!A:B,2,0)</f>
        <v>Main Course</v>
      </c>
      <c r="D316" t="str">
        <f>VLOOKUP(B316,Recipes!A:C,3,0)</f>
        <v>Gravy</v>
      </c>
      <c r="E316" s="18" t="str">
        <f>VLOOKUP(B316,Recipes!A:J,10,0)</f>
        <v>Prawn</v>
      </c>
      <c r="F316" s="18" t="str">
        <f>VLOOKUP(B316,Recipes!A:I,9,0)</f>
        <v>Kg</v>
      </c>
      <c r="G316" s="55">
        <f>SUMIF(Recipes!A:A,Consolidate!B316,Recipes!H:H)</f>
        <v>2120.4677000000001</v>
      </c>
      <c r="H316" s="55">
        <f>SUMIFS(Recipes!$H:$H,Recipes!$D:$D,Consolidate!$E316,Recipes!$A:$A,Consolidate!$B316)</f>
        <v>1890.54</v>
      </c>
      <c r="I316" s="56">
        <f t="shared" si="12"/>
        <v>229.92770000000019</v>
      </c>
      <c r="K316" s="57">
        <f>SUMIF(Recipes!A:A,Consolidate!B316,Recipes!L:L)</f>
        <v>1691.2103499999996</v>
      </c>
      <c r="L316" s="59">
        <f>SUMIFS(Recipes!$L:$L,Recipes!$D:$D,Consolidate!$E316,Recipes!$A:$A,Consolidate!$B316)</f>
        <v>1462.18</v>
      </c>
      <c r="M316" s="60">
        <f t="shared" si="13"/>
        <v>229.03034999999954</v>
      </c>
    </row>
    <row r="317" spans="1:13">
      <c r="A317">
        <f t="shared" si="14"/>
        <v>315</v>
      </c>
      <c r="B317" s="5" t="s">
        <v>404</v>
      </c>
      <c r="C317" t="str">
        <f>VLOOKUP(B317,Recipes!A:B,2,0)</f>
        <v>Main Course</v>
      </c>
      <c r="D317" t="str">
        <f>VLOOKUP(B317,Recipes!A:C,3,0)</f>
        <v>Gravy</v>
      </c>
      <c r="E317" s="18" t="str">
        <f>VLOOKUP(B317,Recipes!A:J,10,0)</f>
        <v>Prawn</v>
      </c>
      <c r="F317" s="18" t="str">
        <f>VLOOKUP(B317,Recipes!A:I,9,0)</f>
        <v>Kg</v>
      </c>
      <c r="G317" s="55">
        <f>SUMIF(Recipes!A:A,Consolidate!B317,Recipes!H:H)</f>
        <v>2084.0158750000001</v>
      </c>
      <c r="H317" s="55">
        <f>SUMIFS(Recipes!$H:$H,Recipes!$D:$D,Consolidate!$E317,Recipes!$A:$A,Consolidate!$B317)</f>
        <v>1890.54</v>
      </c>
      <c r="I317" s="56">
        <f t="shared" si="12"/>
        <v>193.47587500000009</v>
      </c>
      <c r="K317" s="57">
        <f>SUMIF(Recipes!A:A,Consolidate!B317,Recipes!L:L)</f>
        <v>1931.7126249999999</v>
      </c>
      <c r="L317" s="59">
        <f>SUMIFS(Recipes!$L:$L,Recipes!$D:$D,Consolidate!$E317,Recipes!$A:$A,Consolidate!$B317)</f>
        <v>1462.18</v>
      </c>
      <c r="M317" s="60">
        <f t="shared" si="13"/>
        <v>469.53262499999983</v>
      </c>
    </row>
    <row r="318" spans="1:13">
      <c r="A318">
        <f t="shared" si="14"/>
        <v>316</v>
      </c>
      <c r="B318" s="5" t="s">
        <v>161</v>
      </c>
      <c r="C318" t="str">
        <f>VLOOKUP(B318,Recipes!A:B,2,0)</f>
        <v>Main Course</v>
      </c>
      <c r="D318" t="str">
        <f>VLOOKUP(B318,Recipes!A:C,3,0)</f>
        <v>Fried</v>
      </c>
      <c r="E318" s="18" t="str">
        <f>VLOOKUP(B318,Recipes!A:J,10,0)</f>
        <v>Prawn</v>
      </c>
      <c r="F318" s="18" t="str">
        <f>VLOOKUP(B318,Recipes!A:I,9,0)</f>
        <v>Kg</v>
      </c>
      <c r="G318" s="55">
        <f>SUMIF(Recipes!A:A,Consolidate!B318,Recipes!H:H)</f>
        <v>3075.0396666666666</v>
      </c>
      <c r="H318" s="55">
        <f>SUMIFS(Recipes!$H:$H,Recipes!$D:$D,Consolidate!$E318,Recipes!$A:$A,Consolidate!$B318)</f>
        <v>1890.54</v>
      </c>
      <c r="I318" s="56">
        <f t="shared" si="12"/>
        <v>1184.4996666666666</v>
      </c>
      <c r="K318" s="57">
        <f>SUMIF(Recipes!A:A,Consolidate!B318,Recipes!L:L)</f>
        <v>3170.8649999999998</v>
      </c>
      <c r="L318" s="59">
        <f>SUMIFS(Recipes!$L:$L,Recipes!$D:$D,Consolidate!$E318,Recipes!$A:$A,Consolidate!$B318)</f>
        <v>1462.18</v>
      </c>
      <c r="M318" s="60">
        <f t="shared" si="13"/>
        <v>1708.6849999999997</v>
      </c>
    </row>
    <row r="319" spans="1:13">
      <c r="A319">
        <f t="shared" si="14"/>
        <v>317</v>
      </c>
      <c r="B319" s="5" t="s">
        <v>162</v>
      </c>
      <c r="C319" t="str">
        <f>VLOOKUP(B319,Recipes!A:B,2,0)</f>
        <v>Main Course</v>
      </c>
      <c r="D319" t="str">
        <f>VLOOKUP(B319,Recipes!A:C,3,0)</f>
        <v>Gravy</v>
      </c>
      <c r="E319" s="18" t="str">
        <f>VLOOKUP(B319,Recipes!A:J,10,0)</f>
        <v>Prawn</v>
      </c>
      <c r="F319" s="18" t="str">
        <f>VLOOKUP(B319,Recipes!A:I,9,0)</f>
        <v>Kg</v>
      </c>
      <c r="G319" s="55">
        <f>SUMIF(Recipes!A:A,Consolidate!B319,Recipes!H:H)</f>
        <v>2072.0585714285712</v>
      </c>
      <c r="H319" s="55">
        <f>SUMIFS(Recipes!$H:$H,Recipes!$D:$D,Consolidate!$E319,Recipes!$A:$A,Consolidate!$B319)</f>
        <v>1890.54</v>
      </c>
      <c r="I319" s="56">
        <f t="shared" si="12"/>
        <v>181.51857142857125</v>
      </c>
      <c r="K319" s="57">
        <f>SUMIF(Recipes!A:A,Consolidate!B319,Recipes!L:L)</f>
        <v>1648.2514285714287</v>
      </c>
      <c r="L319" s="59">
        <f>SUMIFS(Recipes!$L:$L,Recipes!$D:$D,Consolidate!$E319,Recipes!$A:$A,Consolidate!$B319)</f>
        <v>1462.18</v>
      </c>
      <c r="M319" s="60">
        <f t="shared" si="13"/>
        <v>186.07142857142867</v>
      </c>
    </row>
    <row r="320" spans="1:13">
      <c r="A320">
        <f t="shared" si="14"/>
        <v>318</v>
      </c>
      <c r="B320" s="5" t="s">
        <v>406</v>
      </c>
      <c r="C320" t="str">
        <f>VLOOKUP(B320,Recipes!A:B,2,0)</f>
        <v>Roti &amp; Paratha</v>
      </c>
      <c r="D320" t="str">
        <f>VLOOKUP(B320,Recipes!A:C,3,0)</f>
        <v>Puri</v>
      </c>
      <c r="E320" s="18">
        <f>VLOOKUP(B320,Recipes!A:J,10,0)</f>
        <v>0</v>
      </c>
      <c r="F320" s="18" t="str">
        <f>VLOOKUP(B320,Recipes!A:I,9,0)</f>
        <v>Nos</v>
      </c>
      <c r="G320" s="55">
        <f>SUMIF(Recipes!A:A,Consolidate!B320,Recipes!H:H)</f>
        <v>18.64423</v>
      </c>
      <c r="H320" s="55">
        <f>SUMIFS(Recipes!$H:$H,Recipes!$D:$D,Consolidate!$E320,Recipes!$A:$A,Consolidate!$B320)</f>
        <v>0</v>
      </c>
      <c r="I320" s="56">
        <f t="shared" si="12"/>
        <v>18.64423</v>
      </c>
      <c r="K320" s="57">
        <f>SUMIF(Recipes!A:A,Consolidate!B320,Recipes!L:L)</f>
        <v>19.171999999999997</v>
      </c>
      <c r="L320" s="59">
        <f>SUMIFS(Recipes!$L:$L,Recipes!$D:$D,Consolidate!$E320,Recipes!$A:$A,Consolidate!$B320)</f>
        <v>0</v>
      </c>
      <c r="M320" s="60">
        <f t="shared" si="13"/>
        <v>19.171999999999997</v>
      </c>
    </row>
    <row r="321" spans="1:13">
      <c r="A321">
        <f t="shared" si="14"/>
        <v>319</v>
      </c>
      <c r="B321" s="5" t="s">
        <v>411</v>
      </c>
      <c r="C321" t="str">
        <f>VLOOKUP(B321,Recipes!A:B,2,0)</f>
        <v>Dessert</v>
      </c>
      <c r="D321" t="str">
        <f>VLOOKUP(B321,Recipes!A:C,3,0)</f>
        <v>Dessert</v>
      </c>
      <c r="E321" s="18">
        <f>VLOOKUP(B321,Recipes!A:J,10,0)</f>
        <v>0</v>
      </c>
      <c r="F321" s="18" t="str">
        <f>VLOOKUP(B321,Recipes!A:I,9,0)</f>
        <v>Kg</v>
      </c>
      <c r="G321" s="55">
        <f>SUMIF(Recipes!A:A,Consolidate!B321,Recipes!H:H)</f>
        <v>841.08933333333334</v>
      </c>
      <c r="H321" s="55">
        <f>SUMIFS(Recipes!$H:$H,Recipes!$D:$D,Consolidate!$E321,Recipes!$A:$A,Consolidate!$B321)</f>
        <v>0</v>
      </c>
      <c r="I321" s="56">
        <f t="shared" si="12"/>
        <v>841.08933333333334</v>
      </c>
      <c r="K321" s="57">
        <f>SUMIF(Recipes!A:A,Consolidate!B321,Recipes!L:L)</f>
        <v>1179.1253333333334</v>
      </c>
      <c r="L321" s="59">
        <f>SUMIFS(Recipes!$L:$L,Recipes!$D:$D,Consolidate!$E321,Recipes!$A:$A,Consolidate!$B321)</f>
        <v>0</v>
      </c>
      <c r="M321" s="60">
        <f t="shared" si="13"/>
        <v>1179.1253333333334</v>
      </c>
    </row>
    <row r="322" spans="1:13">
      <c r="A322">
        <f t="shared" si="14"/>
        <v>320</v>
      </c>
      <c r="B322" s="5" t="s">
        <v>274</v>
      </c>
      <c r="C322" t="str">
        <f>VLOOKUP(B322,Recipes!A:B,2,0)</f>
        <v>Chatni &amp; Sauces</v>
      </c>
      <c r="D322" t="str">
        <f>VLOOKUP(B322,Recipes!A:C,3,0)</f>
        <v>Raita</v>
      </c>
      <c r="E322" s="18">
        <f>VLOOKUP(B322,Recipes!A:J,10,0)</f>
        <v>0</v>
      </c>
      <c r="F322" s="18" t="str">
        <f>VLOOKUP(B322,Recipes!A:I,9,0)</f>
        <v>Kg</v>
      </c>
      <c r="G322" s="55">
        <f>SUMIF(Recipes!A:A,Consolidate!B322,Recipes!H:H)</f>
        <v>381.16666666666663</v>
      </c>
      <c r="H322" s="55">
        <f>SUMIFS(Recipes!$H:$H,Recipes!$D:$D,Consolidate!$E322,Recipes!$A:$A,Consolidate!$B322)</f>
        <v>0</v>
      </c>
      <c r="I322" s="56">
        <f t="shared" si="12"/>
        <v>381.16666666666663</v>
      </c>
      <c r="K322" s="57">
        <f>SUMIF(Recipes!A:A,Consolidate!B322,Recipes!L:L)</f>
        <v>366.83333333333337</v>
      </c>
      <c r="L322" s="59">
        <f>SUMIFS(Recipes!$L:$L,Recipes!$D:$D,Consolidate!$E322,Recipes!$A:$A,Consolidate!$B322)</f>
        <v>0</v>
      </c>
      <c r="M322" s="60">
        <f t="shared" si="13"/>
        <v>366.83333333333337</v>
      </c>
    </row>
    <row r="323" spans="1:13">
      <c r="A323">
        <f t="shared" si="14"/>
        <v>321</v>
      </c>
      <c r="B323" s="5" t="s">
        <v>590</v>
      </c>
      <c r="C323" t="str">
        <f>VLOOKUP(B323,Recipes!A:B,2,0)</f>
        <v>Dessert</v>
      </c>
      <c r="D323" t="str">
        <f>VLOOKUP(B323,Recipes!A:C,3,0)</f>
        <v>Dessert</v>
      </c>
      <c r="E323" s="18">
        <f>VLOOKUP(B323,Recipes!A:J,10,0)</f>
        <v>0</v>
      </c>
      <c r="F323" s="18" t="str">
        <f>VLOOKUP(B323,Recipes!A:I,9,0)</f>
        <v>Kg</v>
      </c>
      <c r="G323" s="55">
        <f>SUMIF(Recipes!A:A,Consolidate!B323,Recipes!H:H)</f>
        <v>1137.2302</v>
      </c>
      <c r="H323" s="55">
        <f>SUMIFS(Recipes!$H:$H,Recipes!$D:$D,Consolidate!$E323,Recipes!$A:$A,Consolidate!$B323)</f>
        <v>0</v>
      </c>
      <c r="I323" s="56">
        <f t="shared" si="12"/>
        <v>1137.2302</v>
      </c>
      <c r="K323" s="57">
        <f>SUMIF(Recipes!A:A,Consolidate!B323,Recipes!L:L)</f>
        <v>1422.6889000000001</v>
      </c>
      <c r="L323" s="59">
        <f>SUMIFS(Recipes!$L:$L,Recipes!$D:$D,Consolidate!$E323,Recipes!$A:$A,Consolidate!$B323)</f>
        <v>0</v>
      </c>
      <c r="M323" s="60">
        <f t="shared" si="13"/>
        <v>1422.6889000000001</v>
      </c>
    </row>
    <row r="324" spans="1:13">
      <c r="A324">
        <f t="shared" si="14"/>
        <v>322</v>
      </c>
      <c r="B324" s="5" t="s">
        <v>628</v>
      </c>
      <c r="C324" t="str">
        <f>VLOOKUP(B324,Recipes!A:B,2,0)</f>
        <v>Side Dish</v>
      </c>
      <c r="D324" t="str">
        <f>VLOOKUP(B324,Recipes!A:C,3,0)</f>
        <v>Daal / Chana</v>
      </c>
      <c r="E324" s="18">
        <f>VLOOKUP(B324,Recipes!A:J,10,0)</f>
        <v>0</v>
      </c>
      <c r="F324" s="18" t="str">
        <f>VLOOKUP(B324,Recipes!A:I,9,0)</f>
        <v>Kg</v>
      </c>
      <c r="G324" s="55">
        <f>SUMIF(Recipes!A:A,Consolidate!B324,Recipes!H:H)</f>
        <v>703.97840000000008</v>
      </c>
      <c r="H324" s="55">
        <f>SUMIFS(Recipes!$H:$H,Recipes!$D:$D,Consolidate!$E324,Recipes!$A:$A,Consolidate!$B324)</f>
        <v>0</v>
      </c>
      <c r="I324" s="56">
        <f t="shared" ref="I324:I380" si="15">G324-H324</f>
        <v>703.97840000000008</v>
      </c>
      <c r="K324" s="57">
        <f>SUMIF(Recipes!A:A,Consolidate!B324,Recipes!L:L)</f>
        <v>610.94220000000007</v>
      </c>
      <c r="L324" s="59">
        <f>SUMIFS(Recipes!$L:$L,Recipes!$D:$D,Consolidate!$E324,Recipes!$A:$A,Consolidate!$B324)</f>
        <v>0</v>
      </c>
      <c r="M324" s="60">
        <f t="shared" ref="M324:M380" si="16">K324-L324</f>
        <v>610.94220000000007</v>
      </c>
    </row>
    <row r="325" spans="1:13">
      <c r="A325">
        <f t="shared" ref="A325:A415" si="17">A324+1</f>
        <v>323</v>
      </c>
      <c r="B325" s="5" t="s">
        <v>163</v>
      </c>
      <c r="C325" t="str">
        <f>VLOOKUP(B325,Recipes!A:B,2,0)</f>
        <v>Main Course</v>
      </c>
      <c r="D325" t="str">
        <f>VLOOKUP(B325,Recipes!A:C,3,0)</f>
        <v>Fried</v>
      </c>
      <c r="E325" s="18" t="str">
        <f>VLOOKUP(B325,Recipes!A:J,10,0)</f>
        <v>Fish</v>
      </c>
      <c r="F325" s="18" t="str">
        <f>VLOOKUP(B325,Recipes!A:I,9,0)</f>
        <v>Kg</v>
      </c>
      <c r="G325" s="55">
        <f>SUMIF(Recipes!A:A,Consolidate!B325,Recipes!H:H)</f>
        <v>1233.9432977777778</v>
      </c>
      <c r="H325" s="55">
        <f>SUMIFS(Recipes!$H:$H,Recipes!$D:$D,Consolidate!$E325,Recipes!$A:$A,Consolidate!$B325)</f>
        <v>0</v>
      </c>
      <c r="I325" s="56">
        <f t="shared" si="15"/>
        <v>1233.9432977777778</v>
      </c>
      <c r="K325" s="57">
        <f>SUMIF(Recipes!A:A,Consolidate!B325,Recipes!L:L)</f>
        <v>1420.4308888888888</v>
      </c>
      <c r="L325" s="59">
        <f>SUMIFS(Recipes!$L:$L,Recipes!$D:$D,Consolidate!$E325,Recipes!$A:$A,Consolidate!$B325)</f>
        <v>0</v>
      </c>
      <c r="M325" s="60">
        <f t="shared" si="16"/>
        <v>1420.4308888888888</v>
      </c>
    </row>
    <row r="326" spans="1:13">
      <c r="A326">
        <f t="shared" si="17"/>
        <v>324</v>
      </c>
      <c r="B326" s="5" t="s">
        <v>209</v>
      </c>
      <c r="C326" t="str">
        <f>VLOOKUP(B326,Recipes!A:B,2,0)</f>
        <v>Roti &amp; Paratha</v>
      </c>
      <c r="D326" t="str">
        <f>VLOOKUP(B326,Recipes!A:C,3,0)</f>
        <v>Naan</v>
      </c>
      <c r="E326" s="18">
        <f>VLOOKUP(B326,Recipes!A:J,10,0)</f>
        <v>0</v>
      </c>
      <c r="F326" s="18" t="str">
        <f>VLOOKUP(B326,Recipes!A:I,9,0)</f>
        <v>Pcs</v>
      </c>
      <c r="G326" s="55">
        <f>SUMIF(Recipes!A:A,Consolidate!B326,Recipes!H:H)</f>
        <v>41.316564342857134</v>
      </c>
      <c r="H326" s="55">
        <f>SUMIFS(Recipes!$H:$H,Recipes!$D:$D,Consolidate!$E326,Recipes!$A:$A,Consolidate!$B326)</f>
        <v>0</v>
      </c>
      <c r="I326" s="56">
        <f t="shared" si="15"/>
        <v>41.316564342857134</v>
      </c>
      <c r="K326" s="57">
        <f>SUMIF(Recipes!A:A,Consolidate!B326,Recipes!L:L)</f>
        <v>41.304783085714284</v>
      </c>
      <c r="L326" s="59">
        <f>SUMIFS(Recipes!$L:$L,Recipes!$D:$D,Consolidate!$E326,Recipes!$A:$A,Consolidate!$B326)</f>
        <v>0</v>
      </c>
      <c r="M326" s="60">
        <f t="shared" si="16"/>
        <v>41.304783085714284</v>
      </c>
    </row>
    <row r="327" spans="1:13">
      <c r="A327">
        <f t="shared" si="17"/>
        <v>325</v>
      </c>
      <c r="B327" s="5" t="s">
        <v>382</v>
      </c>
      <c r="C327" t="str">
        <f>VLOOKUP(B327,Recipes!A:B,2,0)</f>
        <v>Salad</v>
      </c>
      <c r="D327" t="str">
        <f>VLOOKUP(B327,Recipes!A:C,3,0)</f>
        <v>Without Meat</v>
      </c>
      <c r="E327" s="18">
        <f>VLOOKUP(B327,Recipes!A:J,10,0)</f>
        <v>0</v>
      </c>
      <c r="F327" s="18" t="str">
        <f>VLOOKUP(B327,Recipes!A:I,9,0)</f>
        <v>Kg</v>
      </c>
      <c r="G327" s="55">
        <f>SUMIF(Recipes!A:A,Consolidate!B327,Recipes!H:H)</f>
        <v>441.85499999999996</v>
      </c>
      <c r="H327" s="55">
        <f>SUMIFS(Recipes!$H:$H,Recipes!$D:$D,Consolidate!$E327,Recipes!$A:$A,Consolidate!$B327)</f>
        <v>0</v>
      </c>
      <c r="I327" s="56">
        <f t="shared" si="15"/>
        <v>441.85499999999996</v>
      </c>
      <c r="K327" s="57">
        <f>SUMIF(Recipes!A:A,Consolidate!B327,Recipes!L:L)</f>
        <v>415.60499999999996</v>
      </c>
      <c r="L327" s="59">
        <f>SUMIFS(Recipes!$L:$L,Recipes!$D:$D,Consolidate!$E327,Recipes!$A:$A,Consolidate!$B327)</f>
        <v>0</v>
      </c>
      <c r="M327" s="60">
        <f t="shared" si="16"/>
        <v>415.60499999999996</v>
      </c>
    </row>
    <row r="328" spans="1:13">
      <c r="A328">
        <f t="shared" si="17"/>
        <v>326</v>
      </c>
      <c r="B328" s="5" t="s">
        <v>201</v>
      </c>
      <c r="C328" t="str">
        <f>VLOOKUP(B328,Recipes!A:B,2,0)</f>
        <v>Main Course</v>
      </c>
      <c r="D328" t="str">
        <f>VLOOKUP(B328,Recipes!A:C,3,0)</f>
        <v>Gravy</v>
      </c>
      <c r="E328" s="18" t="str">
        <f>VLOOKUP(B328,Recipes!A:J,10,0)</f>
        <v>Chicken Bone In</v>
      </c>
      <c r="F328" s="18" t="str">
        <f>VLOOKUP(B328,Recipes!A:I,9,0)</f>
        <v>Kg</v>
      </c>
      <c r="G328" s="55">
        <f>SUMIF(Recipes!A:A,Consolidate!B328,Recipes!H:H)</f>
        <v>1394.79125</v>
      </c>
      <c r="H328" s="55">
        <f>SUMIFS(Recipes!$H:$H,Recipes!$D:$D,Consolidate!$E328,Recipes!$A:$A,Consolidate!$B328)</f>
        <v>0</v>
      </c>
      <c r="I328" s="56">
        <f t="shared" si="15"/>
        <v>1394.79125</v>
      </c>
      <c r="K328" s="57">
        <f>SUMIF(Recipes!A:A,Consolidate!B328,Recipes!L:L)</f>
        <v>1409.1824999999999</v>
      </c>
      <c r="L328" s="59">
        <f>SUMIFS(Recipes!$L:$L,Recipes!$D:$D,Consolidate!$E328,Recipes!$A:$A,Consolidate!$B328)</f>
        <v>0</v>
      </c>
      <c r="M328" s="60">
        <f t="shared" si="16"/>
        <v>1409.1824999999999</v>
      </c>
    </row>
    <row r="329" spans="1:13">
      <c r="A329">
        <f t="shared" si="17"/>
        <v>327</v>
      </c>
      <c r="B329" s="5" t="s">
        <v>679</v>
      </c>
      <c r="C329" t="str">
        <f>VLOOKUP(B329,Recipes!A:B,2,0)</f>
        <v>Side Dish</v>
      </c>
      <c r="D329" t="str">
        <f>VLOOKUP(B329,Recipes!A:C,3,0)</f>
        <v>Daal / Chana</v>
      </c>
      <c r="E329" s="18">
        <f>VLOOKUP(B329,Recipes!A:J,10,0)</f>
        <v>0</v>
      </c>
      <c r="F329" s="18" t="str">
        <f>VLOOKUP(B329,Recipes!A:I,9,0)</f>
        <v>Kg</v>
      </c>
      <c r="G329" s="55">
        <f>SUMIF(Recipes!A:A,Consolidate!B329,Recipes!H:H)</f>
        <v>745.04559999999992</v>
      </c>
      <c r="H329" s="55">
        <f>SUMIFS(Recipes!$H:$H,Recipes!$D:$D,Consolidate!$E329,Recipes!$A:$A,Consolidate!$B329)</f>
        <v>0</v>
      </c>
      <c r="I329" s="56">
        <f t="shared" si="15"/>
        <v>745.04559999999992</v>
      </c>
      <c r="K329" s="57">
        <f>SUMIF(Recipes!A:A,Consolidate!B329,Recipes!L:L)</f>
        <v>704.7700000000001</v>
      </c>
      <c r="L329" s="59">
        <f>SUMIFS(Recipes!$L:$L,Recipes!$D:$D,Consolidate!$E329,Recipes!$A:$A,Consolidate!$B329)</f>
        <v>0</v>
      </c>
      <c r="M329" s="60">
        <f t="shared" si="16"/>
        <v>704.7700000000001</v>
      </c>
    </row>
    <row r="330" spans="1:13">
      <c r="A330">
        <f t="shared" si="17"/>
        <v>328</v>
      </c>
      <c r="B330" s="5" t="s">
        <v>676</v>
      </c>
      <c r="C330" t="str">
        <f>VLOOKUP(B330,Recipes!A:B,2,0)</f>
        <v>Side Dish</v>
      </c>
      <c r="D330" t="str">
        <f>VLOOKUP(B330,Recipes!A:C,3,0)</f>
        <v>Gravy</v>
      </c>
      <c r="E330" s="18">
        <f>VLOOKUP(B330,Recipes!A:J,10,0)</f>
        <v>0</v>
      </c>
      <c r="F330" s="18" t="str">
        <f>VLOOKUP(B330,Recipes!A:I,9,0)</f>
        <v>10 Pax</v>
      </c>
      <c r="G330" s="55">
        <f>SUMIF(Recipes!A:A,Consolidate!B330,Recipes!H:H)</f>
        <v>739.00289999999995</v>
      </c>
      <c r="H330" s="55">
        <f>SUMIFS(Recipes!$H:$H,Recipes!$D:$D,Consolidate!$E330,Recipes!$A:$A,Consolidate!$B330)</f>
        <v>0</v>
      </c>
      <c r="I330" s="56">
        <f t="shared" si="15"/>
        <v>739.00289999999995</v>
      </c>
      <c r="K330" s="57">
        <f>SUMIF(Recipes!A:A,Consolidate!B330,Recipes!L:L)</f>
        <v>979.86000000000013</v>
      </c>
      <c r="L330" s="59">
        <f>SUMIFS(Recipes!$L:$L,Recipes!$D:$D,Consolidate!$E330,Recipes!$A:$A,Consolidate!$B330)</f>
        <v>0</v>
      </c>
      <c r="M330" s="60">
        <f t="shared" si="16"/>
        <v>979.86000000000013</v>
      </c>
    </row>
    <row r="331" spans="1:13">
      <c r="A331">
        <f t="shared" si="17"/>
        <v>329</v>
      </c>
      <c r="B331" s="5" t="s">
        <v>556</v>
      </c>
      <c r="C331" t="str">
        <f>VLOOKUP(B331,Recipes!A:B,2,0)</f>
        <v>Dessert</v>
      </c>
      <c r="D331" t="str">
        <f>VLOOKUP(B331,Recipes!A:C,3,0)</f>
        <v>Dessert</v>
      </c>
      <c r="E331" s="18">
        <f>VLOOKUP(B331,Recipes!A:J,10,0)</f>
        <v>0</v>
      </c>
      <c r="F331" s="18" t="str">
        <f>VLOOKUP(B331,Recipes!A:I,9,0)</f>
        <v>Kg</v>
      </c>
      <c r="G331" s="55">
        <f>SUMIF(Recipes!A:A,Consolidate!B331,Recipes!H:H)</f>
        <v>556.98143333333326</v>
      </c>
      <c r="H331" s="55">
        <f>SUMIFS(Recipes!$H:$H,Recipes!$D:$D,Consolidate!$E331,Recipes!$A:$A,Consolidate!$B331)</f>
        <v>0</v>
      </c>
      <c r="I331" s="56">
        <f t="shared" si="15"/>
        <v>556.98143333333326</v>
      </c>
      <c r="K331" s="57">
        <f>SUMIF(Recipes!A:A,Consolidate!B331,Recipes!L:L)</f>
        <v>654.78649999999993</v>
      </c>
      <c r="L331" s="59">
        <f>SUMIFS(Recipes!$L:$L,Recipes!$D:$D,Consolidate!$E331,Recipes!$A:$A,Consolidate!$B331)</f>
        <v>0</v>
      </c>
      <c r="M331" s="60">
        <f t="shared" si="16"/>
        <v>654.78649999999993</v>
      </c>
    </row>
    <row r="332" spans="1:13">
      <c r="A332">
        <f t="shared" si="17"/>
        <v>330</v>
      </c>
      <c r="B332" s="5" t="s">
        <v>239</v>
      </c>
      <c r="C332" t="str">
        <f>VLOOKUP(B332,Recipes!A:B,2,0)</f>
        <v>Dessert</v>
      </c>
      <c r="D332" t="str">
        <f>VLOOKUP(B332,Recipes!A:C,3,0)</f>
        <v>Dessert</v>
      </c>
      <c r="E332" s="18">
        <f>VLOOKUP(B332,Recipes!A:J,10,0)</f>
        <v>0</v>
      </c>
      <c r="F332" s="18" t="str">
        <f>VLOOKUP(B332,Recipes!A:I,9,0)</f>
        <v>Kg</v>
      </c>
      <c r="G332" s="55">
        <f>SUMIF(Recipes!A:A,Consolidate!B332,Recipes!H:H)</f>
        <v>374.26666666666665</v>
      </c>
      <c r="H332" s="55">
        <f>SUMIFS(Recipes!$H:$H,Recipes!$D:$D,Consolidate!$E332,Recipes!$A:$A,Consolidate!$B332)</f>
        <v>0</v>
      </c>
      <c r="I332" s="56">
        <f t="shared" si="15"/>
        <v>374.26666666666665</v>
      </c>
      <c r="K332" s="57">
        <f>SUMIF(Recipes!A:A,Consolidate!B332,Recipes!L:L)</f>
        <v>495.67857142857144</v>
      </c>
      <c r="L332" s="59">
        <f>SUMIFS(Recipes!$L:$L,Recipes!$D:$D,Consolidate!$E332,Recipes!$A:$A,Consolidate!$B332)</f>
        <v>0</v>
      </c>
      <c r="M332" s="60">
        <f t="shared" si="16"/>
        <v>495.67857142857144</v>
      </c>
    </row>
    <row r="333" spans="1:13">
      <c r="A333">
        <f t="shared" si="17"/>
        <v>331</v>
      </c>
      <c r="B333" s="5" t="s">
        <v>648</v>
      </c>
      <c r="C333" t="str">
        <f>VLOOKUP(B333,Recipes!A:B,2,0)</f>
        <v>Salad</v>
      </c>
      <c r="D333" t="str">
        <f>VLOOKUP(B333,Recipes!A:C,3,0)</f>
        <v>Without Meat</v>
      </c>
      <c r="E333" s="18">
        <f>VLOOKUP(B333,Recipes!A:J,10,0)</f>
        <v>0</v>
      </c>
      <c r="F333" s="18" t="str">
        <f>VLOOKUP(B333,Recipes!A:I,9,0)</f>
        <v>Inner</v>
      </c>
      <c r="G333" s="55">
        <f>SUMIF(Recipes!A:A,Consolidate!B333,Recipes!H:H)</f>
        <v>1058.9166666666665</v>
      </c>
      <c r="H333" s="55">
        <f>SUMIFS(Recipes!$H:$H,Recipes!$D:$D,Consolidate!$E333,Recipes!$A:$A,Consolidate!$B333)</f>
        <v>0</v>
      </c>
      <c r="I333" s="56">
        <f t="shared" si="15"/>
        <v>1058.9166666666665</v>
      </c>
      <c r="K333" s="57">
        <f>SUMIF(Recipes!A:A,Consolidate!B333,Recipes!L:L)</f>
        <v>739.73333333333323</v>
      </c>
      <c r="L333" s="59">
        <f>SUMIFS(Recipes!$L:$L,Recipes!$D:$D,Consolidate!$E333,Recipes!$A:$A,Consolidate!$B333)</f>
        <v>0</v>
      </c>
      <c r="M333" s="60">
        <f t="shared" si="16"/>
        <v>739.73333333333323</v>
      </c>
    </row>
    <row r="334" spans="1:13">
      <c r="A334">
        <f t="shared" si="17"/>
        <v>332</v>
      </c>
      <c r="B334" s="5" t="s">
        <v>617</v>
      </c>
      <c r="C334" t="str">
        <f>VLOOKUP(B334,Recipes!A:B,2,0)</f>
        <v>Side Dish</v>
      </c>
      <c r="D334" t="str">
        <f>VLOOKUP(B334,Recipes!A:C,3,0)</f>
        <v>Singaporean Rice</v>
      </c>
      <c r="E334" s="18" t="str">
        <f>VLOOKUP(B334,Recipes!A:J,10,0)</f>
        <v>Chicken Boneless</v>
      </c>
      <c r="F334" s="18" t="str">
        <f>VLOOKUP(B334,Recipes!A:I,9,0)</f>
        <v>Kg</v>
      </c>
      <c r="G334" s="55">
        <f>SUMIF(Recipes!A:A,Consolidate!B334,Recipes!H:H)</f>
        <v>1314.6131600000001</v>
      </c>
      <c r="H334" s="55">
        <f>SUMIFS(Recipes!$H:$H,Recipes!$D:$D,Consolidate!$E334,Recipes!$A:$A,Consolidate!$B334)</f>
        <v>0</v>
      </c>
      <c r="I334" s="56">
        <f t="shared" si="15"/>
        <v>1314.6131600000001</v>
      </c>
      <c r="K334" s="57">
        <f>SUMIF(Recipes!A:A,Consolidate!B334,Recipes!L:L)</f>
        <v>1274.18128</v>
      </c>
      <c r="L334" s="59">
        <f>SUMIFS(Recipes!$L:$L,Recipes!$D:$D,Consolidate!$E334,Recipes!$A:$A,Consolidate!$B334)</f>
        <v>0</v>
      </c>
      <c r="M334" s="60">
        <f t="shared" si="16"/>
        <v>1274.18128</v>
      </c>
    </row>
    <row r="335" spans="1:13">
      <c r="A335">
        <f t="shared" si="17"/>
        <v>333</v>
      </c>
      <c r="B335" s="5" t="s">
        <v>595</v>
      </c>
      <c r="C335" t="str">
        <f>VLOOKUP(B335,Recipes!A:B,2,0)</f>
        <v>Main Course</v>
      </c>
      <c r="D335" t="str">
        <f>VLOOKUP(B335,Recipes!A:C,3,0)</f>
        <v>Rice</v>
      </c>
      <c r="E335" s="18" t="str">
        <f>VLOOKUP(B335,Recipes!A:J,10,0)</f>
        <v>Chicken Boneless</v>
      </c>
      <c r="F335" s="18" t="str">
        <f>VLOOKUP(B335,Recipes!A:I,9,0)</f>
        <v>Kg</v>
      </c>
      <c r="G335" s="55">
        <f>SUMIF(Recipes!A:A,Consolidate!B335,Recipes!H:H)</f>
        <v>2222.6131600000003</v>
      </c>
      <c r="H335" s="55">
        <f>SUMIFS(Recipes!$H:$H,Recipes!$D:$D,Consolidate!$E335,Recipes!$A:$A,Consolidate!$B335)</f>
        <v>908</v>
      </c>
      <c r="I335" s="56">
        <f t="shared" si="15"/>
        <v>1314.6131600000003</v>
      </c>
      <c r="K335" s="57">
        <f>SUMIF(Recipes!A:A,Consolidate!B335,Recipes!L:L)</f>
        <v>2182.1812800000002</v>
      </c>
      <c r="L335" s="59">
        <f>SUMIFS(Recipes!$L:$L,Recipes!$D:$D,Consolidate!$E335,Recipes!$A:$A,Consolidate!$B335)</f>
        <v>908</v>
      </c>
      <c r="M335" s="60">
        <f t="shared" si="16"/>
        <v>1274.1812800000002</v>
      </c>
    </row>
    <row r="336" spans="1:13">
      <c r="A336">
        <f t="shared" si="17"/>
        <v>334</v>
      </c>
      <c r="B336" s="5" t="s">
        <v>781</v>
      </c>
      <c r="C336" t="str">
        <f>VLOOKUP(B336,Recipes!A:B,2,0)</f>
        <v>Appetizer</v>
      </c>
      <c r="D336" t="str">
        <f>VLOOKUP(B336,Recipes!A:C,3,0)</f>
        <v>Without Meat</v>
      </c>
      <c r="E336" s="18">
        <f>VLOOKUP(B336,Recipes!A:J,10,0)</f>
        <v>0</v>
      </c>
      <c r="F336" s="18" t="str">
        <f>VLOOKUP(B336,Recipes!A:I,9,0)</f>
        <v>Pcs</v>
      </c>
      <c r="G336" s="55">
        <f>SUMIF(Recipes!A:A,Consolidate!B336,Recipes!H:H)</f>
        <v>20.173175000000008</v>
      </c>
      <c r="H336" s="55">
        <f>SUMIFS(Recipes!$H:$H,Recipes!$D:$D,Consolidate!$E336,Recipes!$A:$A,Consolidate!$B336)</f>
        <v>0</v>
      </c>
      <c r="I336" s="56">
        <f t="shared" si="15"/>
        <v>20.173175000000008</v>
      </c>
      <c r="K336" s="57">
        <f>SUMIF(Recipes!A:A,Consolidate!B336,Recipes!L:L)</f>
        <v>19.550833333333333</v>
      </c>
      <c r="L336" s="59">
        <f>SUMIFS(Recipes!$L:$L,Recipes!$D:$D,Consolidate!$E336,Recipes!$A:$A,Consolidate!$B336)</f>
        <v>0</v>
      </c>
      <c r="M336" s="60">
        <f t="shared" si="16"/>
        <v>19.550833333333333</v>
      </c>
    </row>
    <row r="337" spans="1:13">
      <c r="A337">
        <f t="shared" si="17"/>
        <v>335</v>
      </c>
      <c r="B337" s="5" t="s">
        <v>561</v>
      </c>
      <c r="C337" t="str">
        <f>VLOOKUP(B337,Recipes!A:B,2,0)</f>
        <v>Chatni &amp; Sauces</v>
      </c>
      <c r="D337" t="str">
        <f>VLOOKUP(B337,Recipes!A:C,3,0)</f>
        <v>Chatni &amp; Sauces</v>
      </c>
      <c r="E337" s="18">
        <f>VLOOKUP(B337,Recipes!A:J,10,0)</f>
        <v>0</v>
      </c>
      <c r="F337" s="18" t="str">
        <f>VLOOKUP(B337,Recipes!A:I,9,0)</f>
        <v>Bowl</v>
      </c>
      <c r="G337" s="55">
        <f>SUMIF(Recipes!A:A,Consolidate!B337,Recipes!H:H)</f>
        <v>481.21250000000003</v>
      </c>
      <c r="H337" s="55">
        <f>SUMIFS(Recipes!$H:$H,Recipes!$D:$D,Consolidate!$E337,Recipes!$A:$A,Consolidate!$B337)</f>
        <v>0</v>
      </c>
      <c r="I337" s="56">
        <f t="shared" si="15"/>
        <v>481.21250000000003</v>
      </c>
      <c r="K337" s="57">
        <f>SUMIF(Recipes!A:A,Consolidate!B337,Recipes!L:L)</f>
        <v>488.05416666666673</v>
      </c>
      <c r="L337" s="59">
        <f>SUMIFS(Recipes!$L:$L,Recipes!$D:$D,Consolidate!$E337,Recipes!$A:$A,Consolidate!$B337)</f>
        <v>0</v>
      </c>
      <c r="M337" s="60">
        <f t="shared" si="16"/>
        <v>488.05416666666673</v>
      </c>
    </row>
    <row r="338" spans="1:13">
      <c r="A338">
        <f t="shared" si="17"/>
        <v>336</v>
      </c>
      <c r="B338" s="5" t="s">
        <v>584</v>
      </c>
      <c r="C338" t="str">
        <f>VLOOKUP(B338,Recipes!A:B,2,0)</f>
        <v>Side Dish</v>
      </c>
      <c r="D338" t="str">
        <f>VLOOKUP(B338,Recipes!A:C,3,0)</f>
        <v>Dry</v>
      </c>
      <c r="E338" s="18">
        <f>VLOOKUP(B338,Recipes!A:J,10,0)</f>
        <v>0</v>
      </c>
      <c r="F338" s="18" t="str">
        <f>VLOOKUP(B338,Recipes!A:I,9,0)</f>
        <v>Kg</v>
      </c>
      <c r="G338" s="55">
        <f>SUMIF(Recipes!A:A,Consolidate!B338,Recipes!H:H)</f>
        <v>2378.04</v>
      </c>
      <c r="H338" s="55">
        <f>SUMIFS(Recipes!$H:$H,Recipes!$D:$D,Consolidate!$E338,Recipes!$A:$A,Consolidate!$B338)</f>
        <v>0</v>
      </c>
      <c r="I338" s="56">
        <f t="shared" si="15"/>
        <v>2378.04</v>
      </c>
      <c r="K338" s="57">
        <f>SUMIF(Recipes!A:A,Consolidate!B338,Recipes!L:L)</f>
        <v>1520.8199999999997</v>
      </c>
      <c r="L338" s="59">
        <f>SUMIFS(Recipes!$L:$L,Recipes!$D:$D,Consolidate!$E338,Recipes!$A:$A,Consolidate!$B338)</f>
        <v>0</v>
      </c>
      <c r="M338" s="60">
        <f t="shared" si="16"/>
        <v>1520.8199999999997</v>
      </c>
    </row>
    <row r="339" spans="1:13">
      <c r="A339">
        <f t="shared" si="17"/>
        <v>337</v>
      </c>
      <c r="B339" s="5" t="s">
        <v>369</v>
      </c>
      <c r="C339" t="str">
        <f>VLOOKUP(B339,Recipes!A:B,2,0)</f>
        <v>Beverages</v>
      </c>
      <c r="D339" t="str">
        <f>VLOOKUP(B339,Recipes!A:C,3,0)</f>
        <v>Fresh Juice</v>
      </c>
      <c r="E339" s="18">
        <f>VLOOKUP(B339,Recipes!A:J,10,0)</f>
        <v>0</v>
      </c>
      <c r="F339" s="18" t="str">
        <f>VLOOKUP(B339,Recipes!A:I,9,0)</f>
        <v>Glass</v>
      </c>
      <c r="G339" s="55">
        <f>SUMIF(Recipes!A:A,Consolidate!B339,Recipes!H:H)</f>
        <v>85.307999999999993</v>
      </c>
      <c r="H339" s="55">
        <f>SUMIFS(Recipes!$H:$H,Recipes!$D:$D,Consolidate!$E339,Recipes!$A:$A,Consolidate!$B339)</f>
        <v>0</v>
      </c>
      <c r="I339" s="56">
        <f t="shared" si="15"/>
        <v>85.307999999999993</v>
      </c>
      <c r="K339" s="57">
        <f>SUMIF(Recipes!A:A,Consolidate!B339,Recipes!L:L)</f>
        <v>52.997999999999998</v>
      </c>
      <c r="L339" s="59">
        <f>SUMIFS(Recipes!$L:$L,Recipes!$D:$D,Consolidate!$E339,Recipes!$A:$A,Consolidate!$B339)</f>
        <v>0</v>
      </c>
      <c r="M339" s="60">
        <f t="shared" si="16"/>
        <v>52.997999999999998</v>
      </c>
    </row>
    <row r="340" spans="1:13">
      <c r="A340">
        <f t="shared" si="17"/>
        <v>338</v>
      </c>
      <c r="B340" s="5" t="s">
        <v>278</v>
      </c>
      <c r="C340" t="str">
        <f>VLOOKUP(B340,Recipes!A:B,2,0)</f>
        <v>Dessert</v>
      </c>
      <c r="D340" t="str">
        <f>VLOOKUP(B340,Recipes!A:C,3,0)</f>
        <v>Dessert</v>
      </c>
      <c r="E340" s="18">
        <f>VLOOKUP(B340,Recipes!A:J,10,0)</f>
        <v>0</v>
      </c>
      <c r="F340" s="18" t="str">
        <f>VLOOKUP(B340,Recipes!A:I,9,0)</f>
        <v>Kg</v>
      </c>
      <c r="G340" s="55">
        <f>SUMIF(Recipes!A:A,Consolidate!B340,Recipes!H:H)</f>
        <v>1805.0050000000001</v>
      </c>
      <c r="H340" s="55">
        <f>SUMIFS(Recipes!$H:$H,Recipes!$D:$D,Consolidate!$E340,Recipes!$A:$A,Consolidate!$B340)</f>
        <v>0</v>
      </c>
      <c r="I340" s="56">
        <f t="shared" si="15"/>
        <v>1805.0050000000001</v>
      </c>
      <c r="K340" s="57">
        <f>SUMIF(Recipes!A:A,Consolidate!B340,Recipes!L:L)</f>
        <v>1705.37625</v>
      </c>
      <c r="L340" s="59">
        <f>SUMIFS(Recipes!$L:$L,Recipes!$D:$D,Consolidate!$E340,Recipes!$A:$A,Consolidate!$B340)</f>
        <v>0</v>
      </c>
      <c r="M340" s="60">
        <f t="shared" si="16"/>
        <v>1705.37625</v>
      </c>
    </row>
    <row r="341" spans="1:13">
      <c r="A341">
        <f t="shared" si="17"/>
        <v>339</v>
      </c>
      <c r="B341" s="5" t="s">
        <v>255</v>
      </c>
      <c r="C341" t="str">
        <f>VLOOKUP(B341,Recipes!A:B,2,0)</f>
        <v>Beverages</v>
      </c>
      <c r="D341" t="str">
        <f>VLOOKUP(B341,Recipes!A:C,3,0)</f>
        <v>Lassi</v>
      </c>
      <c r="E341" s="18">
        <f>VLOOKUP(B341,Recipes!A:J,10,0)</f>
        <v>0</v>
      </c>
      <c r="F341" s="18" t="str">
        <f>VLOOKUP(B341,Recipes!A:I,9,0)</f>
        <v>Kg</v>
      </c>
      <c r="G341" s="55">
        <f>SUMIF(Recipes!A:A,Consolidate!B341,Recipes!H:H)</f>
        <v>546.58333333333326</v>
      </c>
      <c r="H341" s="55">
        <f>SUMIFS(Recipes!$H:$H,Recipes!$D:$D,Consolidate!$E341,Recipes!$A:$A,Consolidate!$B341)</f>
        <v>0</v>
      </c>
      <c r="I341" s="56">
        <f t="shared" si="15"/>
        <v>546.58333333333326</v>
      </c>
      <c r="K341" s="57">
        <f>SUMIF(Recipes!A:A,Consolidate!B341,Recipes!L:L)</f>
        <v>654</v>
      </c>
      <c r="L341" s="59">
        <f>SUMIFS(Recipes!$L:$L,Recipes!$D:$D,Consolidate!$E341,Recipes!$A:$A,Consolidate!$B341)</f>
        <v>0</v>
      </c>
      <c r="M341" s="60">
        <f t="shared" si="16"/>
        <v>654</v>
      </c>
    </row>
    <row r="342" spans="1:13">
      <c r="A342">
        <f t="shared" si="17"/>
        <v>340</v>
      </c>
      <c r="B342" s="5" t="s">
        <v>496</v>
      </c>
      <c r="C342" t="str">
        <f>VLOOKUP(B342,Recipes!A:B,2,0)</f>
        <v>Salad</v>
      </c>
      <c r="D342" t="str">
        <f>VLOOKUP(B342,Recipes!A:C,3,0)</f>
        <v>Without Meat</v>
      </c>
      <c r="E342" s="18">
        <f>VLOOKUP(B342,Recipes!A:J,10,0)</f>
        <v>0</v>
      </c>
      <c r="F342" s="18" t="str">
        <f>VLOOKUP(B342,Recipes!A:I,9,0)</f>
        <v>Kg</v>
      </c>
      <c r="G342" s="55">
        <f>SUMIF(Recipes!A:A,Consolidate!B342,Recipes!H:H)</f>
        <v>814.62700000000007</v>
      </c>
      <c r="H342" s="55">
        <f>SUMIFS(Recipes!$H:$H,Recipes!$D:$D,Consolidate!$E342,Recipes!$A:$A,Consolidate!$B342)</f>
        <v>0</v>
      </c>
      <c r="I342" s="56">
        <f t="shared" si="15"/>
        <v>814.62700000000007</v>
      </c>
      <c r="K342" s="57">
        <f>SUMIF(Recipes!A:A,Consolidate!B342,Recipes!L:L)</f>
        <v>592.6</v>
      </c>
      <c r="L342" s="59">
        <f>SUMIFS(Recipes!$L:$L,Recipes!$D:$D,Consolidate!$E342,Recipes!$A:$A,Consolidate!$B342)</f>
        <v>0</v>
      </c>
      <c r="M342" s="60">
        <f t="shared" si="16"/>
        <v>592.6</v>
      </c>
    </row>
    <row r="343" spans="1:13">
      <c r="A343">
        <f t="shared" si="17"/>
        <v>341</v>
      </c>
      <c r="B343" s="5" t="s">
        <v>98</v>
      </c>
      <c r="C343" t="str">
        <f>VLOOKUP(B343,Recipes!A:B,2,0)</f>
        <v>Chatni &amp; Sauces</v>
      </c>
      <c r="D343" t="str">
        <f>VLOOKUP(B343,Recipes!A:C,3,0)</f>
        <v>Chatni &amp; Sauces</v>
      </c>
      <c r="E343" s="18">
        <f>VLOOKUP(B343,Recipes!A:J,10,0)</f>
        <v>0</v>
      </c>
      <c r="F343" s="18" t="str">
        <f>VLOOKUP(B343,Recipes!A:I,9,0)</f>
        <v>Kg</v>
      </c>
      <c r="G343" s="55">
        <f>SUMIF(Recipes!A:A,Consolidate!B343,Recipes!H:H)</f>
        <v>1375</v>
      </c>
      <c r="H343" s="55">
        <f>SUMIFS(Recipes!$H:$H,Recipes!$D:$D,Consolidate!$E343,Recipes!$A:$A,Consolidate!$B343)</f>
        <v>0</v>
      </c>
      <c r="I343" s="56">
        <f t="shared" si="15"/>
        <v>1375</v>
      </c>
      <c r="K343" s="57">
        <f>SUMIF(Recipes!A:A,Consolidate!B343,Recipes!L:L)</f>
        <v>1300</v>
      </c>
      <c r="L343" s="59">
        <f>SUMIFS(Recipes!$L:$L,Recipes!$D:$D,Consolidate!$E343,Recipes!$A:$A,Consolidate!$B343)</f>
        <v>0</v>
      </c>
      <c r="M343" s="60">
        <f t="shared" si="16"/>
        <v>1300</v>
      </c>
    </row>
    <row r="344" spans="1:13">
      <c r="A344">
        <f t="shared" si="17"/>
        <v>342</v>
      </c>
      <c r="B344" s="5" t="s">
        <v>566</v>
      </c>
      <c r="C344" t="str">
        <f>VLOOKUP(B344,Recipes!A:B,2,0)</f>
        <v>Chatni &amp; Sauces</v>
      </c>
      <c r="D344" t="str">
        <f>VLOOKUP(B344,Recipes!A:C,3,0)</f>
        <v>Chatni &amp; Sauces</v>
      </c>
      <c r="E344" s="18">
        <f>VLOOKUP(B344,Recipes!A:J,10,0)</f>
        <v>0</v>
      </c>
      <c r="F344" s="18" t="str">
        <f>VLOOKUP(B344,Recipes!A:I,9,0)</f>
        <v>25 Pax</v>
      </c>
      <c r="G344" s="55">
        <f>SUMIF(Recipes!A:A,Consolidate!B344,Recipes!H:H)</f>
        <v>400.77500000000003</v>
      </c>
      <c r="H344" s="55">
        <f>SUMIFS(Recipes!$H:$H,Recipes!$D:$D,Consolidate!$E344,Recipes!$A:$A,Consolidate!$B344)</f>
        <v>0</v>
      </c>
      <c r="I344" s="56">
        <f t="shared" si="15"/>
        <v>400.77500000000003</v>
      </c>
      <c r="K344" s="57">
        <f>SUMIF(Recipes!A:A,Consolidate!B344,Recipes!L:L)</f>
        <v>422.86250000000007</v>
      </c>
      <c r="L344" s="59">
        <f>SUMIFS(Recipes!$L:$L,Recipes!$D:$D,Consolidate!$E344,Recipes!$A:$A,Consolidate!$B344)</f>
        <v>0</v>
      </c>
      <c r="M344" s="60">
        <f t="shared" si="16"/>
        <v>422.86250000000007</v>
      </c>
    </row>
    <row r="345" spans="1:13">
      <c r="A345">
        <f t="shared" si="17"/>
        <v>343</v>
      </c>
      <c r="B345" s="5" t="s">
        <v>991</v>
      </c>
      <c r="C345" t="str">
        <f>VLOOKUP(B345,Recipes!A:B,2,0)</f>
        <v>Beverages</v>
      </c>
      <c r="D345" t="str">
        <f>VLOOKUP(B345,Recipes!A:C,3,0)</f>
        <v>Mix Tea</v>
      </c>
      <c r="E345" s="18">
        <f>VLOOKUP(B345,Recipes!A:J,10,0)</f>
        <v>0</v>
      </c>
      <c r="F345" s="18" t="str">
        <f>VLOOKUP(B345,Recipes!A:I,9,0)</f>
        <v>Cup</v>
      </c>
      <c r="G345" s="55">
        <f>SUMIF(Recipes!A:A,Consolidate!B345,Recipes!H:H)</f>
        <v>25.868333333333332</v>
      </c>
      <c r="H345" s="55">
        <f>SUMIFS(Recipes!$H:$H,Recipes!$D:$D,Consolidate!$E345,Recipes!$A:$A,Consolidate!$B345)</f>
        <v>0</v>
      </c>
      <c r="I345" s="56">
        <f t="shared" si="15"/>
        <v>25.868333333333332</v>
      </c>
      <c r="K345" s="57">
        <f>SUMIF(Recipes!A:A,Consolidate!B345,Recipes!L:L)</f>
        <v>32.792500000000004</v>
      </c>
      <c r="L345" s="59">
        <f>SUMIFS(Recipes!$L:$L,Recipes!$D:$D,Consolidate!$E345,Recipes!$A:$A,Consolidate!$B345)</f>
        <v>0</v>
      </c>
      <c r="M345" s="60">
        <f t="shared" si="16"/>
        <v>32.792500000000004</v>
      </c>
    </row>
    <row r="346" spans="1:13">
      <c r="A346">
        <f t="shared" si="17"/>
        <v>344</v>
      </c>
      <c r="B346" s="5" t="s">
        <v>519</v>
      </c>
      <c r="C346" t="str">
        <f>VLOOKUP(B346,Recipes!A:B,2,0)</f>
        <v>Beverages</v>
      </c>
      <c r="D346" t="str">
        <f>VLOOKUP(B346,Recipes!A:C,3,0)</f>
        <v>Tea Doodh Patti</v>
      </c>
      <c r="E346" s="18">
        <f>VLOOKUP(B346,Recipes!A:J,10,0)</f>
        <v>0</v>
      </c>
      <c r="F346" s="18" t="str">
        <f>VLOOKUP(B346,Recipes!A:I,9,0)</f>
        <v>Cup</v>
      </c>
      <c r="G346" s="55">
        <f>SUMIF(Recipes!A:A,Consolidate!B346,Recipes!H:H)</f>
        <v>44.201666666666668</v>
      </c>
      <c r="H346" s="55">
        <f>SUMIFS(Recipes!$H:$H,Recipes!$D:$D,Consolidate!$E346,Recipes!$A:$A,Consolidate!$B346)</f>
        <v>0</v>
      </c>
      <c r="I346" s="56">
        <f t="shared" si="15"/>
        <v>44.201666666666668</v>
      </c>
      <c r="K346" s="57">
        <f>SUMIF(Recipes!A:A,Consolidate!B346,Recipes!L:L)</f>
        <v>60.292499999999997</v>
      </c>
      <c r="L346" s="59">
        <f>SUMIFS(Recipes!$L:$L,Recipes!$D:$D,Consolidate!$E346,Recipes!$A:$A,Consolidate!$B346)</f>
        <v>0</v>
      </c>
      <c r="M346" s="60">
        <f t="shared" si="16"/>
        <v>60.292499999999997</v>
      </c>
    </row>
    <row r="347" spans="1:13">
      <c r="A347">
        <f t="shared" si="17"/>
        <v>345</v>
      </c>
      <c r="B347" s="5" t="s">
        <v>167</v>
      </c>
      <c r="C347" t="str">
        <f>VLOOKUP(B347,Recipes!A:B,2,0)</f>
        <v>Main Course</v>
      </c>
      <c r="D347" t="str">
        <f>VLOOKUP(B347,Recipes!A:C,3,0)</f>
        <v>Grilled</v>
      </c>
      <c r="E347" s="18" t="str">
        <f>VLOOKUP(B347,Recipes!A:J,10,0)</f>
        <v>Beef Boneless</v>
      </c>
      <c r="F347" s="18" t="str">
        <f>VLOOKUP(B347,Recipes!A:I,9,0)</f>
        <v>Kg</v>
      </c>
      <c r="G347" s="55">
        <f>SUMIF(Recipes!A:A,Consolidate!B347,Recipes!H:H)</f>
        <v>1380.3508076923076</v>
      </c>
      <c r="H347" s="55">
        <f>SUMIFS(Recipes!$H:$H,Recipes!$D:$D,Consolidate!$E347,Recipes!$A:$A,Consolidate!$B347)</f>
        <v>1020</v>
      </c>
      <c r="I347" s="56">
        <f t="shared" si="15"/>
        <v>360.35080769230763</v>
      </c>
      <c r="K347" s="57">
        <f>SUMIF(Recipes!A:A,Consolidate!B347,Recipes!L:L)</f>
        <v>1256.6038461538462</v>
      </c>
      <c r="L347" s="59">
        <f>SUMIFS(Recipes!$L:$L,Recipes!$D:$D,Consolidate!$E347,Recipes!$A:$A,Consolidate!$B347)</f>
        <v>1000</v>
      </c>
      <c r="M347" s="60">
        <f t="shared" si="16"/>
        <v>256.60384615384623</v>
      </c>
    </row>
    <row r="348" spans="1:13">
      <c r="A348">
        <f t="shared" si="17"/>
        <v>346</v>
      </c>
      <c r="B348" s="5" t="s">
        <v>667</v>
      </c>
      <c r="C348" t="str">
        <f>VLOOKUP(B348,Recipes!A:B,2,0)</f>
        <v>Side Dish</v>
      </c>
      <c r="D348" t="str">
        <f>VLOOKUP(B348,Recipes!A:C,3,0)</f>
        <v>Dry</v>
      </c>
      <c r="E348" s="18">
        <f>VLOOKUP(B348,Recipes!A:J,10,0)</f>
        <v>0</v>
      </c>
      <c r="F348" s="18" t="str">
        <f>VLOOKUP(B348,Recipes!A:I,9,0)</f>
        <v>Pkt</v>
      </c>
      <c r="G348" s="55">
        <f>SUMIF(Recipes!A:A,Consolidate!B348,Recipes!H:H)</f>
        <v>871.23059999999987</v>
      </c>
      <c r="H348" s="55">
        <f>SUMIFS(Recipes!$H:$H,Recipes!$D:$D,Consolidate!$E348,Recipes!$A:$A,Consolidate!$B348)</f>
        <v>0</v>
      </c>
      <c r="I348" s="56">
        <f t="shared" si="15"/>
        <v>871.23059999999987</v>
      </c>
      <c r="K348" s="57">
        <f>SUMIF(Recipes!A:A,Consolidate!B348,Recipes!L:L)</f>
        <v>1131.0023000000001</v>
      </c>
      <c r="L348" s="59">
        <f>SUMIFS(Recipes!$L:$L,Recipes!$D:$D,Consolidate!$E348,Recipes!$A:$A,Consolidate!$B348)</f>
        <v>0</v>
      </c>
      <c r="M348" s="60">
        <f t="shared" si="16"/>
        <v>1131.0023000000001</v>
      </c>
    </row>
    <row r="349" spans="1:13">
      <c r="A349">
        <f t="shared" si="17"/>
        <v>347</v>
      </c>
      <c r="B349" s="5" t="s">
        <v>168</v>
      </c>
      <c r="C349" t="str">
        <f>VLOOKUP(B349,Recipes!A:B,2,0)</f>
        <v>Soup</v>
      </c>
      <c r="D349" t="str">
        <f>VLOOKUP(B349,Recipes!A:C,3,0)</f>
        <v>With Meat</v>
      </c>
      <c r="E349" s="18">
        <f>VLOOKUP(B349,Recipes!A:J,10,0)</f>
        <v>0</v>
      </c>
      <c r="F349" s="18" t="str">
        <f>VLOOKUP(B349,Recipes!A:I,9,0)</f>
        <v>Bowl</v>
      </c>
      <c r="G349" s="55">
        <f>SUMIF(Recipes!A:A,Consolidate!B349,Recipes!H:H)</f>
        <v>93.489399999999989</v>
      </c>
      <c r="H349" s="55">
        <f>SUMIFS(Recipes!$H:$H,Recipes!$D:$D,Consolidate!$E349,Recipes!$A:$A,Consolidate!$B349)</f>
        <v>0</v>
      </c>
      <c r="I349" s="56">
        <f t="shared" si="15"/>
        <v>93.489399999999989</v>
      </c>
      <c r="K349" s="57">
        <f>SUMIF(Recipes!A:A,Consolidate!B349,Recipes!L:L)</f>
        <v>100.25919999999999</v>
      </c>
      <c r="L349" s="59">
        <f>SUMIFS(Recipes!$L:$L,Recipes!$D:$D,Consolidate!$E349,Recipes!$A:$A,Consolidate!$B349)</f>
        <v>0</v>
      </c>
      <c r="M349" s="60">
        <f t="shared" si="16"/>
        <v>100.25919999999999</v>
      </c>
    </row>
    <row r="350" spans="1:13">
      <c r="A350">
        <f t="shared" si="17"/>
        <v>348</v>
      </c>
      <c r="B350" s="5" t="s">
        <v>674</v>
      </c>
      <c r="C350" t="str">
        <f>VLOOKUP(B350,Recipes!A:B,2,0)</f>
        <v>Dessert</v>
      </c>
      <c r="D350" t="str">
        <f>VLOOKUP(B350,Recipes!A:C,3,0)</f>
        <v>Bakery</v>
      </c>
      <c r="E350" s="18">
        <f>VLOOKUP(B350,Recipes!A:J,10,0)</f>
        <v>0</v>
      </c>
      <c r="F350" s="18" t="str">
        <f>VLOOKUP(B350,Recipes!A:I,9,0)</f>
        <v>Pcs</v>
      </c>
      <c r="G350" s="55">
        <f>SUMIF(Recipes!A:A,Consolidate!B350,Recipes!H:H)</f>
        <v>158</v>
      </c>
      <c r="H350" s="55">
        <f>SUMIFS(Recipes!$H:$H,Recipes!$D:$D,Consolidate!$E350,Recipes!$A:$A,Consolidate!$B350)</f>
        <v>0</v>
      </c>
      <c r="I350" s="56">
        <f t="shared" si="15"/>
        <v>158</v>
      </c>
      <c r="K350" s="57">
        <f>SUMIF(Recipes!A:A,Consolidate!B350,Recipes!L:L)</f>
        <v>158</v>
      </c>
      <c r="L350" s="59">
        <f>SUMIFS(Recipes!$L:$L,Recipes!$D:$D,Consolidate!$E350,Recipes!$A:$A,Consolidate!$B350)</f>
        <v>0</v>
      </c>
      <c r="M350" s="60">
        <f t="shared" si="16"/>
        <v>158</v>
      </c>
    </row>
    <row r="351" spans="1:13">
      <c r="A351">
        <f t="shared" si="17"/>
        <v>349</v>
      </c>
      <c r="B351" s="5" t="s">
        <v>645</v>
      </c>
      <c r="C351" t="str">
        <f>VLOOKUP(B351,Recipes!A:B,2,0)</f>
        <v>Side Dish</v>
      </c>
      <c r="D351" t="str">
        <f>VLOOKUP(B351,Recipes!A:C,3,0)</f>
        <v>Rice</v>
      </c>
      <c r="E351" s="18">
        <f>VLOOKUP(B351,Recipes!A:J,10,0)</f>
        <v>0</v>
      </c>
      <c r="F351" s="18" t="str">
        <f>VLOOKUP(B351,Recipes!A:I,9,0)</f>
        <v>Kg</v>
      </c>
      <c r="G351" s="55">
        <f>SUMIF(Recipes!A:A,Consolidate!B351,Recipes!H:H)</f>
        <v>620.25</v>
      </c>
      <c r="H351" s="55">
        <f>SUMIFS(Recipes!$H:$H,Recipes!$D:$D,Consolidate!$E351,Recipes!$A:$A,Consolidate!$B351)</f>
        <v>0</v>
      </c>
      <c r="I351" s="56">
        <f t="shared" si="15"/>
        <v>620.25</v>
      </c>
      <c r="K351" s="57">
        <f>SUMIF(Recipes!A:A,Consolidate!B351,Recipes!L:L)</f>
        <v>628.125</v>
      </c>
      <c r="L351" s="59">
        <f>SUMIFS(Recipes!$L:$L,Recipes!$D:$D,Consolidate!$E351,Recipes!$A:$A,Consolidate!$B351)</f>
        <v>0</v>
      </c>
      <c r="M351" s="60">
        <f t="shared" si="16"/>
        <v>628.125</v>
      </c>
    </row>
    <row r="352" spans="1:13">
      <c r="A352">
        <f t="shared" si="17"/>
        <v>350</v>
      </c>
      <c r="B352" s="5" t="s">
        <v>655</v>
      </c>
      <c r="C352" t="str">
        <f>VLOOKUP(B352,Recipes!A:B,2,0)</f>
        <v>Main Course</v>
      </c>
      <c r="D352" t="str">
        <f>VLOOKUP(B352,Recipes!A:C,3,0)</f>
        <v>BBQ</v>
      </c>
      <c r="E352" s="18" t="str">
        <f>VLOOKUP(B352,Recipes!A:J,10,0)</f>
        <v>Chicken Boneless</v>
      </c>
      <c r="F352" s="18" t="str">
        <f>VLOOKUP(B352,Recipes!A:I,9,0)</f>
        <v>Kg</v>
      </c>
      <c r="G352" s="55">
        <f>SUMIF(Recipes!A:A,Consolidate!B352,Recipes!H:H)</f>
        <v>1142.3694989999999</v>
      </c>
      <c r="H352" s="55">
        <f>SUMIFS(Recipes!$H:$H,Recipes!$D:$D,Consolidate!$E352,Recipes!$A:$A,Consolidate!$B352)</f>
        <v>908</v>
      </c>
      <c r="I352" s="56">
        <f t="shared" si="15"/>
        <v>234.36949899999991</v>
      </c>
      <c r="K352" s="57">
        <f>SUMIF(Recipes!A:A,Consolidate!B352,Recipes!L:L)</f>
        <v>1149.1409000000001</v>
      </c>
      <c r="L352" s="59">
        <f>SUMIFS(Recipes!$L:$L,Recipes!$D:$D,Consolidate!$E352,Recipes!$A:$A,Consolidate!$B352)</f>
        <v>908</v>
      </c>
      <c r="M352" s="60">
        <f t="shared" si="16"/>
        <v>241.1409000000001</v>
      </c>
    </row>
    <row r="353" spans="1:13">
      <c r="A353">
        <f t="shared" si="17"/>
        <v>351</v>
      </c>
      <c r="B353" s="5" t="s">
        <v>536</v>
      </c>
      <c r="C353" t="str">
        <f>VLOOKUP(B353,Recipes!A:B,2,0)</f>
        <v>Side Dish</v>
      </c>
      <c r="D353" t="str">
        <f>VLOOKUP(B353,Recipes!A:C,3,0)</f>
        <v>Daal / Chana</v>
      </c>
      <c r="E353" s="18">
        <f>VLOOKUP(B353,Recipes!A:J,10,0)</f>
        <v>0</v>
      </c>
      <c r="F353" s="18" t="str">
        <f>VLOOKUP(B353,Recipes!A:I,9,0)</f>
        <v>Kg</v>
      </c>
      <c r="G353" s="55">
        <f>SUMIF(Recipes!A:A,Consolidate!B353,Recipes!H:H)</f>
        <v>532.46699999999998</v>
      </c>
      <c r="H353" s="55">
        <f>SUMIFS(Recipes!$H:$H,Recipes!$D:$D,Consolidate!$E353,Recipes!$A:$A,Consolidate!$B353)</f>
        <v>0</v>
      </c>
      <c r="I353" s="56">
        <f t="shared" si="15"/>
        <v>532.46699999999998</v>
      </c>
      <c r="K353" s="57">
        <f>SUMIF(Recipes!A:A,Consolidate!B353,Recipes!L:L)</f>
        <v>482.43374999999997</v>
      </c>
      <c r="L353" s="59">
        <f>SUMIFS(Recipes!$L:$L,Recipes!$D:$D,Consolidate!$E353,Recipes!$A:$A,Consolidate!$B353)</f>
        <v>0</v>
      </c>
      <c r="M353" s="60">
        <f t="shared" si="16"/>
        <v>482.43374999999997</v>
      </c>
    </row>
    <row r="354" spans="1:13">
      <c r="A354">
        <f t="shared" si="17"/>
        <v>352</v>
      </c>
      <c r="B354" s="5" t="s">
        <v>537</v>
      </c>
      <c r="C354" t="str">
        <f>VLOOKUP(B354,Recipes!A:B,2,0)</f>
        <v>Side Dish</v>
      </c>
      <c r="D354" t="str">
        <f>VLOOKUP(B354,Recipes!A:C,3,0)</f>
        <v>Rice</v>
      </c>
      <c r="E354" s="18">
        <f>VLOOKUP(B354,Recipes!A:J,10,0)</f>
        <v>0</v>
      </c>
      <c r="F354" s="18" t="str">
        <f>VLOOKUP(B354,Recipes!A:I,9,0)</f>
        <v>Kg</v>
      </c>
      <c r="G354" s="55">
        <f>SUMIF(Recipes!A:A,Consolidate!B354,Recipes!H:H)</f>
        <v>2071.62273</v>
      </c>
      <c r="H354" s="55">
        <f>SUMIFS(Recipes!$H:$H,Recipes!$D:$D,Consolidate!$E354,Recipes!$A:$A,Consolidate!$B354)</f>
        <v>0</v>
      </c>
      <c r="I354" s="56">
        <f t="shared" si="15"/>
        <v>2071.62273</v>
      </c>
      <c r="K354" s="57">
        <f>SUMIF(Recipes!A:A,Consolidate!B354,Recipes!L:L)</f>
        <v>1616.9704285714286</v>
      </c>
      <c r="L354" s="59">
        <f>SUMIFS(Recipes!$L:$L,Recipes!$D:$D,Consolidate!$E354,Recipes!$A:$A,Consolidate!$B354)</f>
        <v>0</v>
      </c>
      <c r="M354" s="60">
        <f t="shared" si="16"/>
        <v>1616.9704285714286</v>
      </c>
    </row>
    <row r="355" spans="1:13">
      <c r="A355">
        <f t="shared" si="17"/>
        <v>353</v>
      </c>
      <c r="B355" s="5" t="s">
        <v>499</v>
      </c>
      <c r="C355" t="str">
        <f>VLOOKUP(B355,Recipes!A:B,2,0)</f>
        <v>Salad</v>
      </c>
      <c r="D355" t="str">
        <f>VLOOKUP(B355,Recipes!A:C,3,0)</f>
        <v>Without Meat</v>
      </c>
      <c r="E355" s="18">
        <f>VLOOKUP(B355,Recipes!A:J,10,0)</f>
        <v>0</v>
      </c>
      <c r="F355" s="18" t="str">
        <f>VLOOKUP(B355,Recipes!A:I,9,0)</f>
        <v>Kg</v>
      </c>
      <c r="G355" s="55">
        <f>SUMIF(Recipes!A:A,Consolidate!B355,Recipes!H:H)</f>
        <v>431.19581117021283</v>
      </c>
      <c r="H355" s="55">
        <f>SUMIFS(Recipes!$H:$H,Recipes!$D:$D,Consolidate!$E355,Recipes!$A:$A,Consolidate!$B355)</f>
        <v>0</v>
      </c>
      <c r="I355" s="56">
        <f t="shared" si="15"/>
        <v>431.19581117021283</v>
      </c>
      <c r="K355" s="57">
        <f>SUMIF(Recipes!A:A,Consolidate!B355,Recipes!L:L)</f>
        <v>310.21565824468092</v>
      </c>
      <c r="L355" s="59">
        <f>SUMIFS(Recipes!$L:$L,Recipes!$D:$D,Consolidate!$E355,Recipes!$A:$A,Consolidate!$B355)</f>
        <v>0</v>
      </c>
      <c r="M355" s="60">
        <f t="shared" si="16"/>
        <v>310.21565824468092</v>
      </c>
    </row>
    <row r="356" spans="1:13">
      <c r="A356">
        <f t="shared" si="17"/>
        <v>354</v>
      </c>
      <c r="B356" s="5" t="s">
        <v>784</v>
      </c>
      <c r="C356" t="str">
        <f>VLOOKUP(B356,Recipes!A:B,2,0)</f>
        <v>Salad</v>
      </c>
      <c r="D356" t="str">
        <f>VLOOKUP(B356,Recipes!A:C,3,0)</f>
        <v>Without Meat</v>
      </c>
      <c r="E356" s="18">
        <f>VLOOKUP(B356,Recipes!A:J,10,0)</f>
        <v>0</v>
      </c>
      <c r="F356" s="18" t="str">
        <f>VLOOKUP(B356,Recipes!A:I,9,0)</f>
        <v>Kg</v>
      </c>
      <c r="G356" s="55">
        <f>SUMIF(Recipes!A:A,Consolidate!B356,Recipes!H:H)</f>
        <v>553.2032058823529</v>
      </c>
      <c r="H356" s="55">
        <f>SUMIFS(Recipes!$H:$H,Recipes!$D:$D,Consolidate!$E356,Recipes!$A:$A,Consolidate!$B356)</f>
        <v>0</v>
      </c>
      <c r="I356" s="56">
        <f t="shared" si="15"/>
        <v>553.2032058823529</v>
      </c>
      <c r="K356" s="57">
        <f>SUMIF(Recipes!A:A,Consolidate!B356,Recipes!L:L)</f>
        <v>424.37790000000007</v>
      </c>
      <c r="L356" s="59">
        <f>SUMIFS(Recipes!$L:$L,Recipes!$D:$D,Consolidate!$E356,Recipes!$A:$A,Consolidate!$B356)</f>
        <v>0</v>
      </c>
      <c r="M356" s="60">
        <f t="shared" si="16"/>
        <v>424.37790000000007</v>
      </c>
    </row>
    <row r="357" spans="1:13">
      <c r="A357">
        <f t="shared" si="17"/>
        <v>355</v>
      </c>
      <c r="B357" s="5" t="s">
        <v>800</v>
      </c>
      <c r="C357" t="str">
        <f>VLOOKUP(B357,Recipes!A:B,2,0)</f>
        <v>Side Dish</v>
      </c>
      <c r="D357" t="str">
        <f>VLOOKUP(B357,Recipes!A:C,3,0)</f>
        <v>Dry</v>
      </c>
      <c r="E357" s="18">
        <f>VLOOKUP(B357,Recipes!A:J,10,0)</f>
        <v>0</v>
      </c>
      <c r="F357" s="18" t="str">
        <f>VLOOKUP(B357,Recipes!A:I,9,0)</f>
        <v>Kg</v>
      </c>
      <c r="G357" s="55">
        <f>SUMIF(Recipes!A:A,Consolidate!B357,Recipes!H:H)</f>
        <v>281.43600000000004</v>
      </c>
      <c r="H357" s="55">
        <f>SUMIFS(Recipes!$H:$H,Recipes!$D:$D,Consolidate!$E357,Recipes!$A:$A,Consolidate!$B357)</f>
        <v>0</v>
      </c>
      <c r="I357" s="56">
        <f t="shared" si="15"/>
        <v>281.43600000000004</v>
      </c>
      <c r="K357" s="57">
        <f>SUMIF(Recipes!A:A,Consolidate!B357,Recipes!L:L)</f>
        <v>283.91000000000003</v>
      </c>
      <c r="L357" s="59">
        <f>SUMIFS(Recipes!$L:$L,Recipes!$D:$D,Consolidate!$E357,Recipes!$A:$A,Consolidate!$B357)</f>
        <v>0</v>
      </c>
      <c r="M357" s="60">
        <f t="shared" si="16"/>
        <v>283.91000000000003</v>
      </c>
    </row>
    <row r="358" spans="1:13">
      <c r="A358">
        <f t="shared" si="17"/>
        <v>356</v>
      </c>
      <c r="B358" s="5" t="s">
        <v>581</v>
      </c>
      <c r="C358" t="str">
        <f>VLOOKUP(B358,Recipes!A:B,2,0)</f>
        <v>Side Dish</v>
      </c>
      <c r="D358" t="str">
        <f>VLOOKUP(B358,Recipes!A:C,3,0)</f>
        <v>Dry</v>
      </c>
      <c r="E358" s="18">
        <f>VLOOKUP(B358,Recipes!A:J,10,0)</f>
        <v>0</v>
      </c>
      <c r="F358" s="18" t="str">
        <f>VLOOKUP(B358,Recipes!A:I,9,0)</f>
        <v>Kg</v>
      </c>
      <c r="G358" s="55">
        <f>SUMIF(Recipes!A:A,Consolidate!B358,Recipes!H:H)</f>
        <v>974.05050000000006</v>
      </c>
      <c r="H358" s="55">
        <f>SUMIFS(Recipes!$H:$H,Recipes!$D:$D,Consolidate!$E358,Recipes!$A:$A,Consolidate!$B358)</f>
        <v>0</v>
      </c>
      <c r="I358" s="56">
        <f t="shared" si="15"/>
        <v>974.05050000000006</v>
      </c>
      <c r="K358" s="57">
        <f>SUMIF(Recipes!A:A,Consolidate!B358,Recipes!L:L)</f>
        <v>786.41150000000005</v>
      </c>
      <c r="L358" s="59">
        <f>SUMIFS(Recipes!$L:$L,Recipes!$D:$D,Consolidate!$E358,Recipes!$A:$A,Consolidate!$B358)</f>
        <v>0</v>
      </c>
      <c r="M358" s="60">
        <f t="shared" si="16"/>
        <v>786.41150000000005</v>
      </c>
    </row>
    <row r="359" spans="1:13">
      <c r="A359">
        <f t="shared" si="17"/>
        <v>357</v>
      </c>
      <c r="B359" s="5" t="s">
        <v>597</v>
      </c>
      <c r="C359" t="str">
        <f>VLOOKUP(B359,Recipes!A:B,2,0)</f>
        <v>Appetizer</v>
      </c>
      <c r="D359" t="str">
        <f>VLOOKUP(B359,Recipes!A:C,3,0)</f>
        <v>Without Meat</v>
      </c>
      <c r="E359" s="18">
        <f>VLOOKUP(B359,Recipes!A:J,10,0)</f>
        <v>0</v>
      </c>
      <c r="F359" s="18" t="str">
        <f>VLOOKUP(B359,Recipes!A:I,9,0)</f>
        <v>Pcs</v>
      </c>
      <c r="G359" s="55">
        <f>SUMIF(Recipes!A:A,Consolidate!B359,Recipes!H:H)</f>
        <v>31.890160000000005</v>
      </c>
      <c r="H359" s="55">
        <f>SUMIFS(Recipes!$H:$H,Recipes!$D:$D,Consolidate!$E359,Recipes!$A:$A,Consolidate!$B359)</f>
        <v>0</v>
      </c>
      <c r="I359" s="56">
        <f t="shared" si="15"/>
        <v>31.890160000000005</v>
      </c>
      <c r="K359" s="57">
        <f>SUMIF(Recipes!A:A,Consolidate!B359,Recipes!L:L)</f>
        <v>27.008799999999997</v>
      </c>
      <c r="L359" s="59">
        <f>SUMIFS(Recipes!$L:$L,Recipes!$D:$D,Consolidate!$E359,Recipes!$A:$A,Consolidate!$B359)</f>
        <v>0</v>
      </c>
      <c r="M359" s="60">
        <f t="shared" si="16"/>
        <v>27.008799999999997</v>
      </c>
    </row>
    <row r="360" spans="1:13">
      <c r="A360">
        <f t="shared" si="17"/>
        <v>358</v>
      </c>
      <c r="B360" s="5" t="s">
        <v>530</v>
      </c>
      <c r="C360" t="str">
        <f>VLOOKUP(B360,Recipes!A:B,2,0)</f>
        <v>Side Dish</v>
      </c>
      <c r="D360" t="str">
        <f>VLOOKUP(B360,Recipes!A:C,3,0)</f>
        <v>Rice</v>
      </c>
      <c r="E360" s="18">
        <f>VLOOKUP(B360,Recipes!A:J,10,0)</f>
        <v>0</v>
      </c>
      <c r="F360" s="18" t="str">
        <f>VLOOKUP(B360,Recipes!A:I,9,0)</f>
        <v>Kg</v>
      </c>
      <c r="G360" s="55">
        <f>SUMIF(Recipes!A:A,Consolidate!B360,Recipes!H:H)</f>
        <v>551.03150000000005</v>
      </c>
      <c r="H360" s="55">
        <f>SUMIFS(Recipes!$H:$H,Recipes!$D:$D,Consolidate!$E360,Recipes!$A:$A,Consolidate!$B360)</f>
        <v>0</v>
      </c>
      <c r="I360" s="56">
        <f t="shared" si="15"/>
        <v>551.03150000000005</v>
      </c>
      <c r="K360" s="57">
        <f>SUMIF(Recipes!A:A,Consolidate!B360,Recipes!L:L)</f>
        <v>517.13</v>
      </c>
      <c r="L360" s="59">
        <f>SUMIFS(Recipes!$L:$L,Recipes!$D:$D,Consolidate!$E360,Recipes!$A:$A,Consolidate!$B360)</f>
        <v>0</v>
      </c>
      <c r="M360" s="60">
        <f t="shared" si="16"/>
        <v>517.13</v>
      </c>
    </row>
    <row r="361" spans="1:13">
      <c r="A361">
        <f t="shared" si="17"/>
        <v>359</v>
      </c>
      <c r="B361" s="5" t="s">
        <v>630</v>
      </c>
      <c r="C361" t="str">
        <f>VLOOKUP(B361,Recipes!A:B,2,0)</f>
        <v>Main Course</v>
      </c>
      <c r="D361" t="str">
        <f>VLOOKUP(B361,Recipes!A:C,3,0)</f>
        <v>Dry</v>
      </c>
      <c r="E361" s="18">
        <f>VLOOKUP(B361,Recipes!A:J,10,0)</f>
        <v>0</v>
      </c>
      <c r="F361" s="18" t="str">
        <f>VLOOKUP(B361,Recipes!A:I,9,0)</f>
        <v>Pcs</v>
      </c>
      <c r="G361" s="55">
        <f>SUMIF(Recipes!A:A,Consolidate!B361,Recipes!H:H)</f>
        <v>22.255416666666665</v>
      </c>
      <c r="H361" s="55">
        <f>SUMIFS(Recipes!$H:$H,Recipes!$D:$D,Consolidate!$E361,Recipes!$A:$A,Consolidate!$B361)</f>
        <v>0</v>
      </c>
      <c r="I361" s="56">
        <f t="shared" si="15"/>
        <v>22.255416666666665</v>
      </c>
      <c r="K361" s="57">
        <f>SUMIF(Recipes!A:A,Consolidate!B361,Recipes!L:L)</f>
        <v>22.412916666666664</v>
      </c>
      <c r="L361" s="59">
        <f>SUMIFS(Recipes!$L:$L,Recipes!$D:$D,Consolidate!$E361,Recipes!$A:$A,Consolidate!$B361)</f>
        <v>0</v>
      </c>
      <c r="M361" s="60">
        <f t="shared" si="16"/>
        <v>22.412916666666664</v>
      </c>
    </row>
    <row r="362" spans="1:13">
      <c r="A362">
        <f t="shared" si="17"/>
        <v>360</v>
      </c>
      <c r="B362" s="5" t="s">
        <v>172</v>
      </c>
      <c r="C362" t="str">
        <f>VLOOKUP(B362,Recipes!A:B,2,0)</f>
        <v>Side Dish</v>
      </c>
      <c r="D362" t="str">
        <f>VLOOKUP(B362,Recipes!A:C,3,0)</f>
        <v>BBQ</v>
      </c>
      <c r="E362" s="18">
        <f>VLOOKUP(B362,Recipes!A:J,10,0)</f>
        <v>0</v>
      </c>
      <c r="F362" s="18" t="str">
        <f>VLOOKUP(B362,Recipes!A:I,9,0)</f>
        <v>Kg</v>
      </c>
      <c r="G362" s="55">
        <f>SUMIF(Recipes!A:A,Consolidate!B362,Recipes!H:H)</f>
        <v>140.86795999999998</v>
      </c>
      <c r="H362" s="55">
        <f>SUMIFS(Recipes!$H:$H,Recipes!$D:$D,Consolidate!$E362,Recipes!$A:$A,Consolidate!$B362)</f>
        <v>0</v>
      </c>
      <c r="I362" s="56">
        <f t="shared" si="15"/>
        <v>140.86795999999998</v>
      </c>
      <c r="K362" s="57">
        <f>SUMIF(Recipes!A:A,Consolidate!B362,Recipes!L:L)</f>
        <v>186.5522</v>
      </c>
      <c r="L362" s="59">
        <f>SUMIFS(Recipes!$L:$L,Recipes!$D:$D,Consolidate!$E362,Recipes!$A:$A,Consolidate!$B362)</f>
        <v>0</v>
      </c>
      <c r="M362" s="60">
        <f t="shared" si="16"/>
        <v>186.5522</v>
      </c>
    </row>
    <row r="363" spans="1:13">
      <c r="A363">
        <f t="shared" si="17"/>
        <v>361</v>
      </c>
      <c r="B363" s="5" t="s">
        <v>453</v>
      </c>
      <c r="C363" t="str">
        <f>VLOOKUP(B363,Recipes!A:B,2,0)</f>
        <v>Dessert</v>
      </c>
      <c r="D363" t="str">
        <f>VLOOKUP(B363,Recipes!A:C,3,0)</f>
        <v>Dessert</v>
      </c>
      <c r="E363" s="18">
        <f>VLOOKUP(B363,Recipes!A:J,10,0)</f>
        <v>0</v>
      </c>
      <c r="F363" s="18" t="str">
        <f>VLOOKUP(B363,Recipes!A:I,9,0)</f>
        <v>Kg</v>
      </c>
      <c r="G363" s="55">
        <f>SUMIF(Recipes!A:A,Consolidate!B363,Recipes!H:H)</f>
        <v>1390</v>
      </c>
      <c r="H363" s="55">
        <f>SUMIFS(Recipes!$H:$H,Recipes!$D:$D,Consolidate!$E363,Recipes!$A:$A,Consolidate!$B363)</f>
        <v>0</v>
      </c>
      <c r="I363" s="56">
        <f t="shared" si="15"/>
        <v>1390</v>
      </c>
      <c r="K363" s="57">
        <f>SUMIF(Recipes!A:A,Consolidate!B363,Recipes!L:L)</f>
        <v>1251.5714285714287</v>
      </c>
      <c r="L363" s="59">
        <f>SUMIFS(Recipes!$L:$L,Recipes!$D:$D,Consolidate!$E363,Recipes!$A:$A,Consolidate!$B363)</f>
        <v>0</v>
      </c>
      <c r="M363" s="60">
        <f t="shared" si="16"/>
        <v>1251.5714285714287</v>
      </c>
    </row>
    <row r="364" spans="1:13">
      <c r="A364">
        <f t="shared" si="17"/>
        <v>362</v>
      </c>
      <c r="B364" s="5" t="s">
        <v>329</v>
      </c>
      <c r="C364" t="str">
        <f>VLOOKUP(B364,Recipes!A:B,2,0)</f>
        <v>Main Course</v>
      </c>
      <c r="D364" t="str">
        <f>VLOOKUP(B364,Recipes!A:C,3,0)</f>
        <v>Gravy</v>
      </c>
      <c r="E364" s="18" t="str">
        <f>VLOOKUP(B364,Recipes!A:J,10,0)</f>
        <v>Chicken Bone In</v>
      </c>
      <c r="F364" s="18" t="str">
        <f>VLOOKUP(B364,Recipes!A:I,9,0)</f>
        <v>Kg</v>
      </c>
      <c r="G364" s="55">
        <f>SUMIF(Recipes!A:A,Consolidate!B364,Recipes!H:H)</f>
        <v>797.07447500000001</v>
      </c>
      <c r="H364" s="55">
        <f>SUMIFS(Recipes!$H:$H,Recipes!$D:$D,Consolidate!$E364,Recipes!$A:$A,Consolidate!$B364)</f>
        <v>614</v>
      </c>
      <c r="I364" s="56">
        <f t="shared" si="15"/>
        <v>183.07447500000001</v>
      </c>
      <c r="K364" s="57">
        <f>SUMIF(Recipes!A:A,Consolidate!B364,Recipes!L:L)</f>
        <v>871.92579999999998</v>
      </c>
      <c r="L364" s="59">
        <f>SUMIFS(Recipes!$L:$L,Recipes!$D:$D,Consolidate!$E364,Recipes!$A:$A,Consolidate!$B364)</f>
        <v>650</v>
      </c>
      <c r="M364" s="60">
        <f t="shared" si="16"/>
        <v>221.92579999999998</v>
      </c>
    </row>
    <row r="365" spans="1:13">
      <c r="A365">
        <f t="shared" si="17"/>
        <v>363</v>
      </c>
      <c r="B365" s="5" t="s">
        <v>819</v>
      </c>
      <c r="C365" t="str">
        <f>VLOOKUP(B365,Recipes!A:B,2,0)</f>
        <v>Side Dish</v>
      </c>
      <c r="D365" t="str">
        <f>VLOOKUP(B365,Recipes!A:C,3,0)</f>
        <v>Daal / Chana</v>
      </c>
      <c r="E365" s="18">
        <f>VLOOKUP(B365,Recipes!A:J,10,0)</f>
        <v>0</v>
      </c>
      <c r="F365" s="18" t="str">
        <f>VLOOKUP(B365,Recipes!A:I,9,0)</f>
        <v>Kg</v>
      </c>
      <c r="G365" s="55">
        <f>SUMIF(Recipes!A:A,Consolidate!B365,Recipes!H:H)</f>
        <v>745.3112000000001</v>
      </c>
      <c r="H365" s="55">
        <f>SUMIFS(Recipes!$H:$H,Recipes!$D:$D,Consolidate!$E365,Recipes!$A:$A,Consolidate!$B365)</f>
        <v>0</v>
      </c>
      <c r="I365" s="56">
        <f t="shared" si="15"/>
        <v>745.3112000000001</v>
      </c>
      <c r="K365" s="57">
        <f>SUMIF(Recipes!A:A,Consolidate!B365,Recipes!L:L)</f>
        <v>759.39999999999986</v>
      </c>
      <c r="L365" s="59">
        <f>SUMIFS(Recipes!$L:$L,Recipes!$D:$D,Consolidate!$E365,Recipes!$A:$A,Consolidate!$B365)</f>
        <v>0</v>
      </c>
      <c r="M365" s="60">
        <f t="shared" si="16"/>
        <v>759.39999999999986</v>
      </c>
    </row>
    <row r="366" spans="1:13">
      <c r="A366">
        <f t="shared" si="17"/>
        <v>364</v>
      </c>
      <c r="B366" s="5" t="s">
        <v>809</v>
      </c>
      <c r="C366" t="str">
        <f>VLOOKUP(B366,Recipes!A:B,2,0)</f>
        <v>Side Dish</v>
      </c>
      <c r="D366" t="str">
        <f>VLOOKUP(B366,Recipes!A:C,3,0)</f>
        <v>Rice</v>
      </c>
      <c r="E366" s="18">
        <f>VLOOKUP(B366,Recipes!A:J,10,0)</f>
        <v>0</v>
      </c>
      <c r="F366" s="18" t="str">
        <f>VLOOKUP(B366,Recipes!A:I,9,0)</f>
        <v>Kg</v>
      </c>
      <c r="G366" s="55">
        <f>SUMIF(Recipes!A:A,Consolidate!B366,Recipes!H:H)</f>
        <v>371.53149999999999</v>
      </c>
      <c r="H366" s="55">
        <f>SUMIFS(Recipes!$H:$H,Recipes!$D:$D,Consolidate!$E366,Recipes!$A:$A,Consolidate!$B366)</f>
        <v>0</v>
      </c>
      <c r="I366" s="56">
        <f t="shared" si="15"/>
        <v>371.53149999999999</v>
      </c>
      <c r="K366" s="57">
        <f>SUMIF(Recipes!A:A,Consolidate!B366,Recipes!L:L)</f>
        <v>374.25</v>
      </c>
      <c r="L366" s="59">
        <f>SUMIFS(Recipes!$L:$L,Recipes!$D:$D,Consolidate!$E366,Recipes!$A:$A,Consolidate!$B366)</f>
        <v>0</v>
      </c>
      <c r="M366" s="60">
        <f t="shared" si="16"/>
        <v>374.25</v>
      </c>
    </row>
    <row r="367" spans="1:13">
      <c r="A367">
        <f t="shared" si="17"/>
        <v>365</v>
      </c>
      <c r="B367" s="5" t="s">
        <v>651</v>
      </c>
      <c r="C367" t="str">
        <f>VLOOKUP(B367,Recipes!A:B,2,0)</f>
        <v>Appetizer</v>
      </c>
      <c r="D367" t="str">
        <f>VLOOKUP(B367,Recipes!A:C,3,0)</f>
        <v>With Meat</v>
      </c>
      <c r="E367" s="18">
        <f>VLOOKUP(B367,Recipes!A:J,10,0)</f>
        <v>0</v>
      </c>
      <c r="F367" s="18" t="str">
        <f>VLOOKUP(B367,Recipes!A:I,9,0)</f>
        <v>Pcs</v>
      </c>
      <c r="G367" s="55">
        <f>SUMIF(Recipes!A:A,Consolidate!B367,Recipes!H:H)</f>
        <v>17.005266666666664</v>
      </c>
      <c r="H367" s="55">
        <f>SUMIFS(Recipes!$H:$H,Recipes!$D:$D,Consolidate!$E367,Recipes!$A:$A,Consolidate!$B367)</f>
        <v>0</v>
      </c>
      <c r="I367" s="56">
        <f t="shared" si="15"/>
        <v>17.005266666666664</v>
      </c>
      <c r="K367" s="57">
        <f>SUMIF(Recipes!A:A,Consolidate!B367,Recipes!L:L)</f>
        <v>16.058083333333332</v>
      </c>
      <c r="L367" s="59">
        <f>SUMIFS(Recipes!$L:$L,Recipes!$D:$D,Consolidate!$E367,Recipes!$A:$A,Consolidate!$B367)</f>
        <v>0</v>
      </c>
      <c r="M367" s="60">
        <f t="shared" si="16"/>
        <v>16.058083333333332</v>
      </c>
    </row>
    <row r="368" spans="1:13">
      <c r="A368">
        <f t="shared" si="17"/>
        <v>366</v>
      </c>
      <c r="B368" s="5" t="s">
        <v>433</v>
      </c>
      <c r="C368" t="str">
        <f>VLOOKUP(B368,Recipes!A:B,2,0)</f>
        <v>Dessert</v>
      </c>
      <c r="D368" t="str">
        <f>VLOOKUP(B368,Recipes!A:C,3,0)</f>
        <v>Dessert</v>
      </c>
      <c r="E368" s="18">
        <f>VLOOKUP(B368,Recipes!A:J,10,0)</f>
        <v>0</v>
      </c>
      <c r="F368" s="18" t="str">
        <f>VLOOKUP(B368,Recipes!A:I,9,0)</f>
        <v>Kg</v>
      </c>
      <c r="G368" s="55">
        <f>SUMIF(Recipes!A:A,Consolidate!B368,Recipes!H:H)</f>
        <v>1205.6943333333334</v>
      </c>
      <c r="H368" s="55">
        <f>SUMIFS(Recipes!$H:$H,Recipes!$D:$D,Consolidate!$E368,Recipes!$A:$A,Consolidate!$B368)</f>
        <v>0</v>
      </c>
      <c r="I368" s="56">
        <f t="shared" si="15"/>
        <v>1205.6943333333334</v>
      </c>
      <c r="K368" s="57">
        <f>SUMIF(Recipes!A:A,Consolidate!B368,Recipes!L:L)</f>
        <v>1116.0687500000001</v>
      </c>
      <c r="L368" s="59">
        <f>SUMIFS(Recipes!$L:$L,Recipes!$D:$D,Consolidate!$E368,Recipes!$A:$A,Consolidate!$B368)</f>
        <v>0</v>
      </c>
      <c r="M368" s="60">
        <f t="shared" si="16"/>
        <v>1116.0687500000001</v>
      </c>
    </row>
    <row r="369" spans="1:13">
      <c r="A369">
        <f t="shared" si="17"/>
        <v>367</v>
      </c>
      <c r="B369" s="5" t="s">
        <v>632</v>
      </c>
      <c r="C369" t="str">
        <f>VLOOKUP(B369,Recipes!A:B,2,0)</f>
        <v>Side Dish</v>
      </c>
      <c r="D369" t="str">
        <f>VLOOKUP(B369,Recipes!A:C,3,0)</f>
        <v>Rice</v>
      </c>
      <c r="E369" s="18">
        <f>VLOOKUP(B369,Recipes!A:J,10,0)</f>
        <v>0</v>
      </c>
      <c r="F369" s="18" t="str">
        <f>VLOOKUP(B369,Recipes!A:I,9,0)</f>
        <v>Kg</v>
      </c>
      <c r="G369" s="55">
        <f>SUMIF(Recipes!A:A,Consolidate!B369,Recipes!H:H)</f>
        <v>475.01260000000002</v>
      </c>
      <c r="H369" s="55">
        <f>SUMIFS(Recipes!$H:$H,Recipes!$D:$D,Consolidate!$E369,Recipes!$A:$A,Consolidate!$B369)</f>
        <v>0</v>
      </c>
      <c r="I369" s="56">
        <f t="shared" si="15"/>
        <v>475.01260000000002</v>
      </c>
      <c r="K369" s="57">
        <f>SUMIF(Recipes!A:A,Consolidate!B369,Recipes!L:L)</f>
        <v>436.1</v>
      </c>
      <c r="L369" s="59">
        <f>SUMIFS(Recipes!$L:$L,Recipes!$D:$D,Consolidate!$E369,Recipes!$A:$A,Consolidate!$B369)</f>
        <v>0</v>
      </c>
      <c r="M369" s="60">
        <f t="shared" si="16"/>
        <v>436.1</v>
      </c>
    </row>
    <row r="370" spans="1:13">
      <c r="A370">
        <f t="shared" si="17"/>
        <v>368</v>
      </c>
      <c r="B370" t="s">
        <v>976</v>
      </c>
      <c r="C370" t="str">
        <f>VLOOKUP(B370,Recipes!A:B,2,0)</f>
        <v>Roti &amp; Paratha</v>
      </c>
      <c r="D370" t="str">
        <f>VLOOKUP(B370,Recipes!A:C,3,0)</f>
        <v>Garlic Bread</v>
      </c>
      <c r="E370" s="18">
        <f>VLOOKUP(B370,Recipes!A:J,10,0)</f>
        <v>0</v>
      </c>
      <c r="F370" s="18" t="str">
        <f>VLOOKUP(B370,Recipes!A:I,9,0)</f>
        <v>Slice</v>
      </c>
      <c r="G370" s="55">
        <f>SUMIF(Recipes!A:A,Consolidate!B370,Recipes!H:H)</f>
        <v>10.405625000000001</v>
      </c>
      <c r="H370" s="55">
        <f>SUMIFS(Recipes!$H:$H,Recipes!$D:$D,Consolidate!$E370,Recipes!$A:$A,Consolidate!$B370)</f>
        <v>0</v>
      </c>
      <c r="I370" s="56">
        <f t="shared" si="15"/>
        <v>10.405625000000001</v>
      </c>
      <c r="K370" s="57">
        <f>SUMIF(Recipes!A:A,Consolidate!B370,Recipes!L:L)</f>
        <v>10.203333333333331</v>
      </c>
      <c r="L370" s="59">
        <f>SUMIFS(Recipes!$L:$L,Recipes!$D:$D,Consolidate!$E370,Recipes!$A:$A,Consolidate!$B370)</f>
        <v>0</v>
      </c>
      <c r="M370" s="60">
        <f t="shared" si="16"/>
        <v>10.203333333333331</v>
      </c>
    </row>
    <row r="371" spans="1:13">
      <c r="A371">
        <f t="shared" si="17"/>
        <v>369</v>
      </c>
      <c r="B371" t="s">
        <v>978</v>
      </c>
      <c r="C371" t="str">
        <f>VLOOKUP(B371,Recipes!A:B,2,0)</f>
        <v>Roti &amp; Paratha</v>
      </c>
      <c r="D371" t="str">
        <f>VLOOKUP(B371,Recipes!A:C,3,0)</f>
        <v>Chicken Paratha</v>
      </c>
      <c r="E371" s="18" t="str">
        <f>VLOOKUP(B371,Recipes!A:J,10,0)</f>
        <v>Chicken Boneless</v>
      </c>
      <c r="F371" s="18" t="str">
        <f>VLOOKUP(B371,Recipes!A:I,9,0)</f>
        <v>Pcs</v>
      </c>
      <c r="G371" s="55">
        <f>SUMIF(Recipes!A:A,Consolidate!B371,Recipes!H:H)</f>
        <v>180.14991666666666</v>
      </c>
      <c r="H371" s="55">
        <f>SUMIFS(Recipes!$H:$H,Recipes!$D:$D,Consolidate!$E371,Recipes!$A:$A,Consolidate!$B371)</f>
        <v>108.96</v>
      </c>
      <c r="I371" s="56">
        <f t="shared" si="15"/>
        <v>71.189916666666662</v>
      </c>
      <c r="K371" s="57">
        <f>SUMIF(Recipes!A:A,Consolidate!B371,Recipes!L:L)</f>
        <v>183.29300000000001</v>
      </c>
      <c r="L371" s="59">
        <f>SUMIFS(Recipes!$L:$L,Recipes!$D:$D,Consolidate!$E371,Recipes!$A:$A,Consolidate!$B371)</f>
        <v>108.96</v>
      </c>
      <c r="M371" s="60">
        <f t="shared" si="16"/>
        <v>74.333000000000013</v>
      </c>
    </row>
    <row r="372" spans="1:13">
      <c r="A372">
        <f t="shared" si="17"/>
        <v>370</v>
      </c>
      <c r="B372" t="s">
        <v>981</v>
      </c>
      <c r="C372" t="str">
        <f>VLOOKUP(B372,Recipes!A:B,2,0)</f>
        <v>Main Course</v>
      </c>
      <c r="D372" t="str">
        <f>VLOOKUP(B372,Recipes!A:C,3,0)</f>
        <v>Gravy</v>
      </c>
      <c r="E372" s="18" t="str">
        <f>VLOOKUP(B372,Recipes!A:J,10,0)</f>
        <v>Chicken Boneless</v>
      </c>
      <c r="F372" s="18" t="str">
        <f>VLOOKUP(B372,Recipes!A:I,9,0)</f>
        <v>6 Pax</v>
      </c>
      <c r="G372" s="55">
        <f>SUMIF(Recipes!A:A,Consolidate!B372,Recipes!H:H)</f>
        <v>920.50407437500007</v>
      </c>
      <c r="H372" s="55">
        <f>SUMIFS(Recipes!$H:$H,Recipes!$D:$D,Consolidate!$E372,Recipes!$A:$A,Consolidate!$B372)</f>
        <v>408.6</v>
      </c>
      <c r="I372" s="56">
        <f t="shared" si="15"/>
        <v>511.90407437500005</v>
      </c>
      <c r="K372" s="57">
        <f>SUMIF(Recipes!A:A,Consolidate!B372,Recipes!L:L)</f>
        <v>1453.4723981250002</v>
      </c>
      <c r="L372" s="59">
        <f>SUMIFS(Recipes!$L:$L,Recipes!$D:$D,Consolidate!$E372,Recipes!$A:$A,Consolidate!$B372)</f>
        <v>408.6</v>
      </c>
      <c r="M372" s="60">
        <f t="shared" si="16"/>
        <v>1044.872398125</v>
      </c>
    </row>
    <row r="373" spans="1:13">
      <c r="A373">
        <f t="shared" si="17"/>
        <v>371</v>
      </c>
      <c r="B373" t="s">
        <v>982</v>
      </c>
      <c r="C373" t="str">
        <f>VLOOKUP(B373,Recipes!A:B,2,0)</f>
        <v>Main Course</v>
      </c>
      <c r="D373" t="str">
        <f>VLOOKUP(B373,Recipes!A:C,3,0)</f>
        <v>Gravy</v>
      </c>
      <c r="E373" s="18" t="str">
        <f>VLOOKUP(B373,Recipes!A:J,10,0)</f>
        <v>Beef Boneless</v>
      </c>
      <c r="F373" s="18" t="str">
        <f>VLOOKUP(B373,Recipes!A:I,9,0)</f>
        <v>Kg</v>
      </c>
      <c r="G373" s="55">
        <f>SUMIF(Recipes!A:A,Consolidate!B373,Recipes!H:H)</f>
        <v>1345.3849666666667</v>
      </c>
      <c r="H373" s="55">
        <f>SUMIFS(Recipes!$H:$H,Recipes!$D:$D,Consolidate!$E373,Recipes!$A:$A,Consolidate!$B373)</f>
        <v>1020</v>
      </c>
      <c r="I373" s="56">
        <f t="shared" si="15"/>
        <v>325.38496666666674</v>
      </c>
      <c r="K373" s="57">
        <f>SUMIF(Recipes!A:A,Consolidate!B373,Recipes!L:L)</f>
        <v>1330.8232333333337</v>
      </c>
      <c r="L373" s="59">
        <f>SUMIFS(Recipes!$L:$L,Recipes!$D:$D,Consolidate!$E373,Recipes!$A:$A,Consolidate!$B373)</f>
        <v>1000</v>
      </c>
      <c r="M373" s="60">
        <f t="shared" si="16"/>
        <v>330.82323333333375</v>
      </c>
    </row>
    <row r="374" spans="1:13">
      <c r="A374">
        <f t="shared" si="17"/>
        <v>372</v>
      </c>
      <c r="B374" t="s">
        <v>983</v>
      </c>
      <c r="C374" t="str">
        <f>VLOOKUP(B374,Recipes!A:B,2,0)</f>
        <v>Appetizer</v>
      </c>
      <c r="D374" t="str">
        <f>VLOOKUP(B374,Recipes!A:C,3,0)</f>
        <v>With Meat</v>
      </c>
      <c r="E374" s="18">
        <f>VLOOKUP(B374,Recipes!A:J,10,0)</f>
        <v>0</v>
      </c>
      <c r="F374" s="18" t="str">
        <f>VLOOKUP(B374,Recipes!A:I,9,0)</f>
        <v>Pcs</v>
      </c>
      <c r="G374" s="55">
        <f>SUMIF(Recipes!A:A,Consolidate!B374,Recipes!H:H)</f>
        <v>36.159999999999997</v>
      </c>
      <c r="H374" s="55">
        <f>SUMIFS(Recipes!$H:$H,Recipes!$D:$D,Consolidate!$E374,Recipes!$A:$A,Consolidate!$B374)</f>
        <v>0</v>
      </c>
      <c r="I374" s="56">
        <f t="shared" si="15"/>
        <v>36.159999999999997</v>
      </c>
      <c r="K374" s="57">
        <f>SUMIF(Recipes!A:A,Consolidate!B374,Recipes!L:L)</f>
        <v>36.159999999999997</v>
      </c>
      <c r="L374" s="59">
        <f>SUMIFS(Recipes!$L:$L,Recipes!$D:$D,Consolidate!$E374,Recipes!$A:$A,Consolidate!$B374)</f>
        <v>0</v>
      </c>
      <c r="M374" s="60">
        <f t="shared" si="16"/>
        <v>36.159999999999997</v>
      </c>
    </row>
    <row r="375" spans="1:13">
      <c r="A375">
        <f t="shared" si="17"/>
        <v>373</v>
      </c>
      <c r="B375" t="s">
        <v>1004</v>
      </c>
      <c r="C375" t="str">
        <f>VLOOKUP(B375,Recipes!A:B,2,0)</f>
        <v>Side Dish</v>
      </c>
      <c r="D375" t="str">
        <f>VLOOKUP(B375,Recipes!A:C,3,0)</f>
        <v>Rice</v>
      </c>
      <c r="E375" s="18">
        <f>VLOOKUP(B375,Recipes!A:J,10,0)</f>
        <v>0</v>
      </c>
      <c r="F375" s="18" t="str">
        <f>VLOOKUP(B375,Recipes!A:I,9,0)</f>
        <v>Kg</v>
      </c>
      <c r="G375" s="55">
        <f>SUMIF(Recipes!A:A,Consolidate!B375,Recipes!H:H)</f>
        <v>545.41899999999998</v>
      </c>
      <c r="H375" s="55">
        <f>SUMIFS(Recipes!$H:$H,Recipes!$D:$D,Consolidate!$E375,Recipes!$A:$A,Consolidate!$B375)</f>
        <v>0</v>
      </c>
      <c r="I375" s="56">
        <f t="shared" si="15"/>
        <v>545.41899999999998</v>
      </c>
      <c r="K375" s="57">
        <f>SUMIF(Recipes!A:A,Consolidate!B375,Recipes!L:L)</f>
        <v>539.20000000000005</v>
      </c>
      <c r="L375" s="59">
        <f>SUMIFS(Recipes!$L:$L,Recipes!$D:$D,Consolidate!$E375,Recipes!$A:$A,Consolidate!$B375)</f>
        <v>0</v>
      </c>
      <c r="M375" s="60">
        <f t="shared" si="16"/>
        <v>539.20000000000005</v>
      </c>
    </row>
    <row r="376" spans="1:13">
      <c r="A376">
        <f t="shared" si="17"/>
        <v>374</v>
      </c>
      <c r="B376" t="s">
        <v>1005</v>
      </c>
      <c r="C376" t="str">
        <f>VLOOKUP(B376,Recipes!A:B,2,0)</f>
        <v>Side Dish</v>
      </c>
      <c r="D376" t="str">
        <f>VLOOKUP(B376,Recipes!A:C,3,0)</f>
        <v>Rice</v>
      </c>
      <c r="E376" s="18">
        <f>VLOOKUP(B376,Recipes!A:J,10,0)</f>
        <v>0</v>
      </c>
      <c r="F376" s="18" t="str">
        <f>VLOOKUP(B376,Recipes!A:I,9,0)</f>
        <v>Kg</v>
      </c>
      <c r="G376" s="55">
        <f>SUMIF(Recipes!A:A,Consolidate!B376,Recipes!H:H)</f>
        <v>761.80375000000015</v>
      </c>
      <c r="H376" s="55">
        <f>SUMIFS(Recipes!$H:$H,Recipes!$D:$D,Consolidate!$E376,Recipes!$A:$A,Consolidate!$B376)</f>
        <v>0</v>
      </c>
      <c r="I376" s="56">
        <f t="shared" si="15"/>
        <v>761.80375000000015</v>
      </c>
      <c r="J376" s="52"/>
      <c r="K376" s="57">
        <f>SUMIF(Recipes!A:A,Consolidate!B376,Recipes!L:L)</f>
        <v>748.84999999999991</v>
      </c>
      <c r="L376" s="59">
        <f>SUMIFS(Recipes!$L:$L,Recipes!$D:$D,Consolidate!$E376,Recipes!$A:$A,Consolidate!$B376)</f>
        <v>0</v>
      </c>
      <c r="M376" s="60">
        <f t="shared" si="16"/>
        <v>748.84999999999991</v>
      </c>
    </row>
    <row r="377" spans="1:13">
      <c r="A377">
        <f t="shared" si="17"/>
        <v>375</v>
      </c>
      <c r="B377" t="s">
        <v>1006</v>
      </c>
      <c r="C377" t="str">
        <f>VLOOKUP(B377,Recipes!A:B,2,0)</f>
        <v>Salad</v>
      </c>
      <c r="D377" t="str">
        <f>VLOOKUP(B377,Recipes!A:C,3,0)</f>
        <v>Without Meat</v>
      </c>
      <c r="E377" s="18">
        <f>VLOOKUP(B377,Recipes!A:J,10,0)</f>
        <v>0</v>
      </c>
      <c r="F377" s="18" t="str">
        <f>VLOOKUP(B377,Recipes!A:I,9,0)</f>
        <v>Kg</v>
      </c>
      <c r="G377" s="55">
        <f>SUMIF(Recipes!A:A,Consolidate!B377,Recipes!H:H)</f>
        <v>1672.9311764705881</v>
      </c>
      <c r="H377" s="55">
        <f>SUMIFS(Recipes!$H:$H,Recipes!$D:$D,Consolidate!$E377,Recipes!$A:$A,Consolidate!$B377)</f>
        <v>0</v>
      </c>
      <c r="I377" s="56">
        <f t="shared" si="15"/>
        <v>1672.9311764705881</v>
      </c>
      <c r="K377" s="57">
        <f>SUMIF(Recipes!A:A,Consolidate!B377,Recipes!L:L)</f>
        <v>1468.5745999999997</v>
      </c>
      <c r="L377" s="59">
        <f>SUMIFS(Recipes!$L:$L,Recipes!$D:$D,Consolidate!$E377,Recipes!$A:$A,Consolidate!$B377)</f>
        <v>0</v>
      </c>
      <c r="M377" s="60">
        <f t="shared" si="16"/>
        <v>1468.5745999999997</v>
      </c>
    </row>
    <row r="378" spans="1:13">
      <c r="A378">
        <f t="shared" si="17"/>
        <v>376</v>
      </c>
      <c r="B378" t="s">
        <v>1010</v>
      </c>
      <c r="C378" t="str">
        <f>VLOOKUP(B378,Recipes!A:B,2,0)</f>
        <v>Main Course</v>
      </c>
      <c r="D378" t="str">
        <f>VLOOKUP(B378,Recipes!A:C,3,0)</f>
        <v>Dry</v>
      </c>
      <c r="E378" s="18" t="str">
        <f>VLOOKUP(B378,Recipes!A:J,10,0)</f>
        <v>Beef Boneless</v>
      </c>
      <c r="F378" s="18" t="str">
        <f>VLOOKUP(B378,Recipes!A:I,9,0)</f>
        <v>Pcs</v>
      </c>
      <c r="G378" s="55">
        <f>SUMIF(Recipes!A:A,Consolidate!B378,Recipes!H:H)</f>
        <v>119.29295883801454</v>
      </c>
      <c r="H378" s="55">
        <f>SUMIFS(Recipes!$H:$H,Recipes!$D:$D,Consolidate!$E378,Recipes!$A:$A,Consolidate!$B378)</f>
        <v>57.374282821464732</v>
      </c>
      <c r="I378" s="56">
        <f t="shared" si="15"/>
        <v>61.91867601654981</v>
      </c>
      <c r="K378" s="57">
        <f>SUMIF(Recipes!A:A,Consolidate!B378,Recipes!L:L)</f>
        <v>118.30039624504694</v>
      </c>
      <c r="L378" s="59">
        <f>SUMIFS(Recipes!$L:$L,Recipes!$D:$D,Consolidate!$E378,Recipes!$A:$A,Consolidate!$B378)</f>
        <v>56.249296883788958</v>
      </c>
      <c r="M378" s="60">
        <f t="shared" si="16"/>
        <v>62.051099361257982</v>
      </c>
    </row>
    <row r="379" spans="1:13">
      <c r="A379">
        <f t="shared" si="17"/>
        <v>377</v>
      </c>
      <c r="B379" t="s">
        <v>1012</v>
      </c>
      <c r="C379" t="str">
        <f>VLOOKUP(B379,Recipes!A:B,2,0)</f>
        <v>Main Course</v>
      </c>
      <c r="D379" t="str">
        <f>VLOOKUP(B379,Recipes!A:C,3,0)</f>
        <v>Gravy</v>
      </c>
      <c r="E379" s="18" t="str">
        <f>VLOOKUP(B379,Recipes!A:J,10,0)</f>
        <v>Mutton Cube</v>
      </c>
      <c r="F379" s="18" t="str">
        <f>VLOOKUP(B379,Recipes!A:I,9,0)</f>
        <v>Kg</v>
      </c>
      <c r="G379" s="55">
        <f>SUMIF(Recipes!A:A,Consolidate!B379,Recipes!H:H)</f>
        <v>1880.9075</v>
      </c>
      <c r="H379" s="55">
        <f>SUMIFS(Recipes!$H:$H,Recipes!$D:$D,Consolidate!$E379,Recipes!$A:$A,Consolidate!$B379)</f>
        <v>1700</v>
      </c>
      <c r="I379" s="56">
        <f t="shared" si="15"/>
        <v>180.90750000000003</v>
      </c>
      <c r="K379" s="57">
        <f>SUMIF(Recipes!A:A,Consolidate!B379,Recipes!L:L)</f>
        <v>1988.2083333333333</v>
      </c>
      <c r="L379" s="59">
        <f>SUMIFS(Recipes!$L:$L,Recipes!$D:$D,Consolidate!$E379,Recipes!$A:$A,Consolidate!$B379)</f>
        <v>1800</v>
      </c>
      <c r="M379" s="60">
        <f t="shared" si="16"/>
        <v>188.20833333333326</v>
      </c>
    </row>
    <row r="380" spans="1:13">
      <c r="A380">
        <f t="shared" si="17"/>
        <v>378</v>
      </c>
      <c r="B380" t="s">
        <v>1013</v>
      </c>
      <c r="C380" t="str">
        <f>VLOOKUP(B380,Recipes!A:B,2,0)</f>
        <v>Main Course</v>
      </c>
      <c r="D380" t="str">
        <f>VLOOKUP(B380,Recipes!A:C,3,0)</f>
        <v>Fish</v>
      </c>
      <c r="E380" s="18" t="str">
        <f>VLOOKUP(B380,Recipes!A:J,10,0)</f>
        <v>Fish</v>
      </c>
      <c r="F380" s="18" t="str">
        <f>VLOOKUP(B380,Recipes!A:I,9,0)</f>
        <v>Kg</v>
      </c>
      <c r="G380" s="55">
        <f>SUMIF(Recipes!A:A,Consolidate!B380,Recipes!H:H)</f>
        <v>2006.0578</v>
      </c>
      <c r="H380" s="55">
        <f>SUMIFS(Recipes!$H:$H,Recipes!$D:$D,Consolidate!$E380,Recipes!$A:$A,Consolidate!$B380)</f>
        <v>1600</v>
      </c>
      <c r="I380" s="56">
        <f t="shared" si="15"/>
        <v>406.05780000000004</v>
      </c>
      <c r="K380" s="57">
        <f>SUMIF(Recipes!A:A,Consolidate!B380,Recipes!L:L)</f>
        <v>1948.0867999999998</v>
      </c>
      <c r="L380" s="59">
        <f>SUMIFS(Recipes!$L:$L,Recipes!$D:$D,Consolidate!$E380,Recipes!$A:$A,Consolidate!$B380)</f>
        <v>1514.78</v>
      </c>
      <c r="M380" s="60">
        <f t="shared" si="16"/>
        <v>433.30679999999984</v>
      </c>
    </row>
    <row r="381" spans="1:13">
      <c r="A381">
        <f t="shared" si="17"/>
        <v>379</v>
      </c>
      <c r="B381" t="s">
        <v>1017</v>
      </c>
      <c r="C381" t="str">
        <f>VLOOKUP(B381,Recipes!A:B,2,0)</f>
        <v>Main Course</v>
      </c>
      <c r="D381" t="str">
        <f>VLOOKUP(B381,Recipes!A:C,3,0)</f>
        <v>Grilled</v>
      </c>
      <c r="E381" s="18" t="str">
        <f>VLOOKUP(B381,Recipes!A:J,10,0)</f>
        <v>Chicken Boneless</v>
      </c>
      <c r="F381" s="18" t="str">
        <f>VLOOKUP(B381,Recipes!A:I,9,0)</f>
        <v>Kg</v>
      </c>
      <c r="G381" s="55">
        <f>SUMIF(Recipes!A:A,Consolidate!B381,Recipes!H:H)</f>
        <v>1201.7438718999999</v>
      </c>
      <c r="H381" s="55">
        <f>SUMIFS(Recipes!$H:$H,Recipes!$D:$D,Consolidate!$E381,Recipes!$A:$A,Consolidate!$B381)</f>
        <v>908.9079999999999</v>
      </c>
      <c r="I381" s="56">
        <f t="shared" ref="I381" si="18">G381-H381</f>
        <v>292.83587190000003</v>
      </c>
      <c r="K381" s="57">
        <f>SUMIF(Recipes!A:A,Consolidate!B381,Recipes!L:L)</f>
        <v>1239.9906805000001</v>
      </c>
      <c r="L381" s="59">
        <f>SUMIFS(Recipes!$L:$L,Recipes!$D:$D,Consolidate!$E381,Recipes!$A:$A,Consolidate!$B381)</f>
        <v>908.9079999999999</v>
      </c>
      <c r="M381" s="60">
        <f t="shared" ref="M381" si="19">K381-L381</f>
        <v>331.08268050000015</v>
      </c>
    </row>
    <row r="382" spans="1:13">
      <c r="A382">
        <f t="shared" si="17"/>
        <v>380</v>
      </c>
      <c r="B382" t="s">
        <v>108</v>
      </c>
      <c r="C382" t="str">
        <f>VLOOKUP(B382,Recipes!A:B,2,0)</f>
        <v>Main Course</v>
      </c>
      <c r="D382" t="str">
        <f>VLOOKUP(B382,Recipes!A:C,3,0)</f>
        <v>Fried</v>
      </c>
      <c r="E382" s="18" t="str">
        <f>VLOOKUP(B382,Recipes!A:J,10,0)</f>
        <v>Chicken Bone In</v>
      </c>
      <c r="F382" s="18" t="str">
        <f>VLOOKUP(B382,Recipes!A:I,9,0)</f>
        <v>Kg</v>
      </c>
      <c r="G382" s="55">
        <f>SUMIF(Recipes!A:A,Consolidate!B382,Recipes!H:H)</f>
        <v>786.36722500000019</v>
      </c>
      <c r="H382" s="55">
        <f>SUMIFS(Recipes!$H:$H,Recipes!$D:$D,Consolidate!$E382,Recipes!$A:$A,Consolidate!$B382)</f>
        <v>0</v>
      </c>
      <c r="I382" s="56">
        <f t="shared" ref="I382:I384" si="20">G382-H382</f>
        <v>786.36722500000019</v>
      </c>
      <c r="K382" s="57">
        <f>SUMIF(Recipes!A:A,Consolidate!B382,Recipes!L:L)</f>
        <v>806.57175000000007</v>
      </c>
      <c r="L382" s="59">
        <f>SUMIFS(Recipes!$L:$L,Recipes!$D:$D,Consolidate!$E382,Recipes!$A:$A,Consolidate!$B382)</f>
        <v>0</v>
      </c>
      <c r="M382" s="60">
        <f t="shared" ref="M382:M384" si="21">K382-L382</f>
        <v>806.57175000000007</v>
      </c>
    </row>
    <row r="383" spans="1:13">
      <c r="A383">
        <f t="shared" si="17"/>
        <v>381</v>
      </c>
      <c r="B383" t="s">
        <v>1024</v>
      </c>
      <c r="C383" t="str">
        <f>VLOOKUP(B383,Recipes!A:B,2,0)</f>
        <v>Beverages</v>
      </c>
      <c r="D383" t="str">
        <f>VLOOKUP(B383,Recipes!A:C,3,0)</f>
        <v>Shakes</v>
      </c>
      <c r="E383" s="18">
        <f>VLOOKUP(B383,Recipes!A:J,10,0)</f>
        <v>0</v>
      </c>
      <c r="F383" s="18" t="str">
        <f>VLOOKUP(B383,Recipes!A:I,9,0)</f>
        <v>Glass</v>
      </c>
      <c r="G383" s="55">
        <f>SUMIF(Recipes!A:A,Consolidate!B383,Recipes!H:H)</f>
        <v>131.67713024282563</v>
      </c>
      <c r="H383" s="55">
        <f>SUMIFS(Recipes!$H:$H,Recipes!$D:$D,Consolidate!$E383,Recipes!$A:$A,Consolidate!$B383)</f>
        <v>0</v>
      </c>
      <c r="I383" s="56">
        <f t="shared" si="20"/>
        <v>131.67713024282563</v>
      </c>
      <c r="K383" s="57">
        <f>SUMIF(Recipes!A:A,Consolidate!B383,Recipes!L:L)</f>
        <v>131.55713024282562</v>
      </c>
      <c r="L383" s="59">
        <f>SUMIFS(Recipes!$L:$L,Recipes!$D:$D,Consolidate!$E383,Recipes!$A:$A,Consolidate!$B383)</f>
        <v>0</v>
      </c>
      <c r="M383" s="60">
        <f t="shared" si="21"/>
        <v>131.55713024282562</v>
      </c>
    </row>
    <row r="384" spans="1:13">
      <c r="A384">
        <f t="shared" si="17"/>
        <v>382</v>
      </c>
      <c r="B384" t="s">
        <v>1027</v>
      </c>
      <c r="C384" t="str">
        <f>VLOOKUP(B384,Recipes!A:B,2,0)</f>
        <v>Beverages</v>
      </c>
      <c r="D384" t="str">
        <f>VLOOKUP(B384,Recipes!A:C,3,0)</f>
        <v>Shakes</v>
      </c>
      <c r="E384" s="18">
        <f>VLOOKUP(B384,Recipes!A:J,10,0)</f>
        <v>0</v>
      </c>
      <c r="F384" s="18" t="str">
        <f>VLOOKUP(B384,Recipes!A:I,9,0)</f>
        <v>Glass</v>
      </c>
      <c r="G384" s="55">
        <f>SUMIF(Recipes!A:A,Consolidate!B384,Recipes!H:H)</f>
        <v>112.20962962962962</v>
      </c>
      <c r="H384" s="55">
        <f>SUMIFS(Recipes!$H:$H,Recipes!$D:$D,Consolidate!$E384,Recipes!$A:$A,Consolidate!$B384)</f>
        <v>0</v>
      </c>
      <c r="I384" s="56">
        <f t="shared" si="20"/>
        <v>112.20962962962962</v>
      </c>
      <c r="K384" s="57">
        <f>SUMIF(Recipes!A:A,Consolidate!B384,Recipes!L:L)</f>
        <v>104.12666666666665</v>
      </c>
      <c r="L384" s="59">
        <f>SUMIFS(Recipes!$L:$L,Recipes!$D:$D,Consolidate!$E384,Recipes!$A:$A,Consolidate!$B384)</f>
        <v>0</v>
      </c>
      <c r="M384" s="60">
        <f t="shared" si="21"/>
        <v>104.12666666666665</v>
      </c>
    </row>
    <row r="385" spans="1:13">
      <c r="A385">
        <f t="shared" si="17"/>
        <v>383</v>
      </c>
      <c r="B385" t="s">
        <v>1028</v>
      </c>
      <c r="C385" t="str">
        <f>VLOOKUP(B385,Recipes!A:B,2,0)</f>
        <v>Side Dish</v>
      </c>
      <c r="D385" t="str">
        <f>VLOOKUP(B385,Recipes!A:C,3,0)</f>
        <v>Gravy</v>
      </c>
      <c r="E385" s="18">
        <f>VLOOKUP(B385,Recipes!A:J,10,0)</f>
        <v>0</v>
      </c>
      <c r="F385" s="18" t="str">
        <f>VLOOKUP(B385,Recipes!A:I,9,0)</f>
        <v>Kg</v>
      </c>
      <c r="G385" s="55">
        <f>SUMIF(Recipes!A:A,Consolidate!B385,Recipes!H:H)</f>
        <v>398.3852</v>
      </c>
      <c r="H385" s="55">
        <f>SUMIFS(Recipes!$H:$H,Recipes!$D:$D,Consolidate!$E385,Recipes!$A:$A,Consolidate!$B385)</f>
        <v>0</v>
      </c>
      <c r="I385" s="56">
        <f t="shared" ref="I385" si="22">G385-H385</f>
        <v>398.3852</v>
      </c>
      <c r="K385" s="57">
        <f>SUMIF(Recipes!A:A,Consolidate!B385,Recipes!L:L)</f>
        <v>414.46440000000007</v>
      </c>
      <c r="L385" s="59">
        <f>SUMIFS(Recipes!$L:$L,Recipes!$D:$D,Consolidate!$E385,Recipes!$A:$A,Consolidate!$B385)</f>
        <v>0</v>
      </c>
      <c r="M385" s="60">
        <f t="shared" ref="M385" si="23">K385-L385</f>
        <v>414.46440000000007</v>
      </c>
    </row>
    <row r="386" spans="1:13">
      <c r="A386">
        <f t="shared" si="17"/>
        <v>384</v>
      </c>
      <c r="B386" s="21" t="s">
        <v>1029</v>
      </c>
      <c r="C386" t="str">
        <f>VLOOKUP(B386,Recipes!A:B,2,0)</f>
        <v>Main Course</v>
      </c>
      <c r="D386" t="str">
        <f>VLOOKUP(B386,Recipes!A:C,3,0)</f>
        <v>Grilled</v>
      </c>
      <c r="E386" s="18" t="str">
        <f>VLOOKUP(B386,Recipes!A:J,10,0)</f>
        <v>Chicken Bone In</v>
      </c>
      <c r="F386" s="18" t="str">
        <f>VLOOKUP(B386,Recipes!A:I,9,0)</f>
        <v>Kg</v>
      </c>
      <c r="G386" s="55">
        <f>SUMIF(Recipes!A:A,Consolidate!B386,Recipes!H:H)</f>
        <v>808.99653256704983</v>
      </c>
      <c r="H386" s="55">
        <f>SUMIFS(Recipes!$H:$H,Recipes!$D:$D,Consolidate!$E386,Recipes!$A:$A,Consolidate!$B386)</f>
        <v>614</v>
      </c>
      <c r="I386" s="56">
        <f t="shared" ref="I386" si="24">G386-H386</f>
        <v>194.99653256704983</v>
      </c>
      <c r="K386" s="57">
        <f>SUMIF(Recipes!A:A,Consolidate!B386,Recipes!L:L)</f>
        <v>846.42720306513434</v>
      </c>
      <c r="L386" s="59">
        <f>SUMIFS(Recipes!$L:$L,Recipes!$D:$D,Consolidate!$E386,Recipes!$A:$A,Consolidate!$B386)</f>
        <v>650</v>
      </c>
      <c r="M386" s="60">
        <f t="shared" ref="M386" si="25">K386-L386</f>
        <v>196.42720306513434</v>
      </c>
    </row>
    <row r="387" spans="1:13">
      <c r="A387">
        <f t="shared" si="17"/>
        <v>385</v>
      </c>
      <c r="B387" s="21" t="s">
        <v>1030</v>
      </c>
      <c r="C387" t="str">
        <f>VLOOKUP(B387,Recipes!A:B,2,0)</f>
        <v>Main Course</v>
      </c>
      <c r="D387" t="str">
        <f>VLOOKUP(B387,Recipes!A:C,3,0)</f>
        <v>Grilled</v>
      </c>
      <c r="E387" s="18" t="str">
        <f>VLOOKUP(B387,Recipes!A:J,10,0)</f>
        <v>Chicken Bone In</v>
      </c>
      <c r="F387" s="18" t="str">
        <f>VLOOKUP(B387,Recipes!A:I,9,0)</f>
        <v>Kg</v>
      </c>
      <c r="G387" s="55">
        <f>SUMIF(Recipes!A:A,Consolidate!B387,Recipes!H:H)</f>
        <v>1100.9332199999999</v>
      </c>
      <c r="H387" s="55">
        <f>SUMIFS(Recipes!$H:$H,Recipes!$D:$D,Consolidate!$E387,Recipes!$A:$A,Consolidate!$B387)</f>
        <v>614</v>
      </c>
      <c r="I387" s="56">
        <f t="shared" ref="I387" si="26">G387-H387</f>
        <v>486.93321999999989</v>
      </c>
      <c r="K387" s="57">
        <f>SUMIF(Recipes!A:A,Consolidate!B387,Recipes!L:L)</f>
        <v>1095.182</v>
      </c>
      <c r="L387" s="59">
        <f>SUMIFS(Recipes!$L:$L,Recipes!$D:$D,Consolidate!$E387,Recipes!$A:$A,Consolidate!$B387)</f>
        <v>650</v>
      </c>
      <c r="M387" s="60">
        <f t="shared" ref="M387" si="27">K387-L387</f>
        <v>445.18200000000002</v>
      </c>
    </row>
    <row r="388" spans="1:13">
      <c r="A388">
        <f t="shared" si="17"/>
        <v>386</v>
      </c>
      <c r="B388" t="s">
        <v>1032</v>
      </c>
      <c r="C388" t="str">
        <f>VLOOKUP(B388,Recipes!A:B,2,0)</f>
        <v>Main Course</v>
      </c>
      <c r="D388" t="str">
        <f>VLOOKUP(B388,Recipes!A:C,3,0)</f>
        <v>Gravy</v>
      </c>
      <c r="E388" s="18" t="str">
        <f>VLOOKUP(B388,Recipes!A:J,10,0)</f>
        <v>Mutton Cube</v>
      </c>
      <c r="F388" s="18" t="str">
        <f>VLOOKUP(B388,Recipes!A:I,9,0)</f>
        <v>Kg</v>
      </c>
      <c r="G388" s="55">
        <f>SUMIF(Recipes!A:A,Consolidate!B388,Recipes!H:H)</f>
        <v>1892.8030834000001</v>
      </c>
      <c r="H388" s="55">
        <f>SUMIFS(Recipes!$H:$H,Recipes!$D:$D,Consolidate!$E388,Recipes!$A:$A,Consolidate!$B388)</f>
        <v>1703.4</v>
      </c>
      <c r="I388" s="56">
        <f t="shared" ref="I388" si="28">G388-H388</f>
        <v>189.40308340000001</v>
      </c>
      <c r="K388" s="57">
        <f>SUMIF(Recipes!A:A,Consolidate!B388,Recipes!L:L)</f>
        <v>2083.3795421999998</v>
      </c>
      <c r="L388" s="59">
        <f>SUMIFS(Recipes!$L:$L,Recipes!$D:$D,Consolidate!$E388,Recipes!$A:$A,Consolidate!$B388)</f>
        <v>1803.6</v>
      </c>
      <c r="M388" s="60">
        <f t="shared" ref="M388" si="29">K388-L388</f>
        <v>279.77954219999992</v>
      </c>
    </row>
    <row r="389" spans="1:13">
      <c r="A389">
        <f t="shared" si="17"/>
        <v>387</v>
      </c>
      <c r="B389" s="21" t="s">
        <v>1033</v>
      </c>
      <c r="C389" t="str">
        <f>VLOOKUP(B389,Recipes!A:B,2,0)</f>
        <v>Main Course</v>
      </c>
      <c r="D389" t="str">
        <f>VLOOKUP(B389,Recipes!A:C,3,0)</f>
        <v>Grilled</v>
      </c>
      <c r="E389" s="18" t="str">
        <f>VLOOKUP(B389,Recipes!A:J,10,0)</f>
        <v>Chicken Bone In</v>
      </c>
      <c r="F389" s="18" t="str">
        <f>VLOOKUP(B389,Recipes!A:I,9,0)</f>
        <v>Kg</v>
      </c>
      <c r="G389" s="55">
        <f>SUMIF(Recipes!A:A,Consolidate!B389,Recipes!H:H)</f>
        <v>702.98260000000005</v>
      </c>
      <c r="H389" s="55">
        <f>SUMIFS(Recipes!$H:$H,Recipes!$D:$D,Consolidate!$E389,Recipes!$A:$A,Consolidate!$B389)</f>
        <v>552.6</v>
      </c>
      <c r="I389" s="56">
        <f t="shared" ref="I389" si="30">G389-H389</f>
        <v>150.38260000000002</v>
      </c>
      <c r="K389" s="57">
        <f>SUMIF(Recipes!A:A,Consolidate!B389,Recipes!L:L)</f>
        <v>753.19499999999994</v>
      </c>
      <c r="L389" s="59">
        <f>SUMIFS(Recipes!$L:$L,Recipes!$D:$D,Consolidate!$E389,Recipes!$A:$A,Consolidate!$B389)</f>
        <v>585</v>
      </c>
      <c r="M389" s="60">
        <f t="shared" ref="M389" si="31">K389-L389</f>
        <v>168.19499999999994</v>
      </c>
    </row>
    <row r="390" spans="1:13">
      <c r="A390">
        <f t="shared" si="17"/>
        <v>388</v>
      </c>
      <c r="B390" s="71" t="s">
        <v>1035</v>
      </c>
      <c r="C390" t="str">
        <f>VLOOKUP(B390,Recipes!A:B,2,0)</f>
        <v>Main Course</v>
      </c>
      <c r="D390" t="str">
        <f>VLOOKUP(B390,Recipes!A:C,3,0)</f>
        <v>Rice</v>
      </c>
      <c r="E390" s="18" t="str">
        <f>VLOOKUP(B390,Recipes!A:J,10,0)</f>
        <v>Chicken Bone In</v>
      </c>
      <c r="F390" s="18" t="str">
        <f>VLOOKUP(B390,Recipes!A:I,9,0)</f>
        <v>Kg</v>
      </c>
      <c r="G390" s="55">
        <f>SUMIF(Recipes!A:A,Consolidate!B390,Recipes!H:H)</f>
        <v>2349.3583333333336</v>
      </c>
      <c r="H390" s="55">
        <f>SUMIFS(Recipes!$H:$H,Recipes!$D:$D,Consolidate!$E390,Recipes!$A:$A,Consolidate!$B390)</f>
        <v>0</v>
      </c>
      <c r="I390" s="56">
        <f t="shared" ref="I390" si="32">G390-H390</f>
        <v>2349.3583333333336</v>
      </c>
      <c r="K390" s="57">
        <f>SUMIF(Recipes!A:A,Consolidate!B390,Recipes!L:L)</f>
        <v>2499.2749999999996</v>
      </c>
      <c r="L390" s="59">
        <f>SUMIFS(Recipes!$L:$L,Recipes!$D:$D,Consolidate!$E390,Recipes!$A:$A,Consolidate!$B390)</f>
        <v>0</v>
      </c>
      <c r="M390" s="60">
        <f t="shared" ref="M390" si="33">K390-L390</f>
        <v>2499.2749999999996</v>
      </c>
    </row>
    <row r="391" spans="1:13">
      <c r="A391">
        <f t="shared" si="17"/>
        <v>389</v>
      </c>
      <c r="B391" t="s">
        <v>1036</v>
      </c>
      <c r="C391" t="str">
        <f>VLOOKUP(B391,Recipes!A:B,2,0)</f>
        <v>Main Course</v>
      </c>
      <c r="D391" t="str">
        <f>VLOOKUP(B391,Recipes!A:C,3,0)</f>
        <v>Gravy</v>
      </c>
      <c r="E391" s="18" t="str">
        <f>VLOOKUP(B391,Recipes!A:J,10,0)</f>
        <v>Mutton Cube</v>
      </c>
      <c r="F391" s="18" t="str">
        <f>VLOOKUP(B391,Recipes!A:I,9,0)</f>
        <v>Kg</v>
      </c>
      <c r="G391" s="55">
        <f>SUMIF(Recipes!A:A,Consolidate!B391,Recipes!H:H)</f>
        <v>1911.2630000000001</v>
      </c>
      <c r="H391" s="55">
        <f>SUMIFS(Recipes!$H:$H,Recipes!$D:$D,Consolidate!$E391,Recipes!$A:$A,Consolidate!$B391)</f>
        <v>1700</v>
      </c>
      <c r="I391" s="56">
        <f t="shared" ref="I391" si="34">G391-H391</f>
        <v>211.26300000000015</v>
      </c>
      <c r="K391" s="57">
        <f>SUMIF(Recipes!A:A,Consolidate!B391,Recipes!L:L)</f>
        <v>2015.4099999999999</v>
      </c>
      <c r="L391" s="59">
        <f>SUMIFS(Recipes!$L:$L,Recipes!$D:$D,Consolidate!$E391,Recipes!$A:$A,Consolidate!$B391)</f>
        <v>1800</v>
      </c>
      <c r="M391" s="60">
        <f t="shared" ref="M391" si="35">K391-L391</f>
        <v>215.40999999999985</v>
      </c>
    </row>
    <row r="392" spans="1:13">
      <c r="A392">
        <f t="shared" si="17"/>
        <v>390</v>
      </c>
      <c r="B392" t="s">
        <v>1037</v>
      </c>
      <c r="C392" t="str">
        <f>VLOOKUP(B392,Recipes!A:B,2,0)</f>
        <v>Main Course</v>
      </c>
      <c r="D392" t="str">
        <f>VLOOKUP(B392,Recipes!A:C,3,0)</f>
        <v>Gravy</v>
      </c>
      <c r="E392" s="18" t="str">
        <f>VLOOKUP(B392,Recipes!A:J,10,0)</f>
        <v>Mutton Cube</v>
      </c>
      <c r="F392" s="18" t="str">
        <f>VLOOKUP(B392,Recipes!A:I,9,0)</f>
        <v>Kg</v>
      </c>
      <c r="G392" s="55">
        <f>SUMIF(Recipes!A:A,Consolidate!B392,Recipes!H:H)</f>
        <v>1831.2630000000001</v>
      </c>
      <c r="H392" s="55">
        <f>SUMIFS(Recipes!$H:$H,Recipes!$D:$D,Consolidate!$E392,Recipes!$A:$A,Consolidate!$B392)</f>
        <v>1700</v>
      </c>
      <c r="I392" s="56">
        <f t="shared" ref="I392" si="36">G392-H392</f>
        <v>131.26300000000015</v>
      </c>
      <c r="K392" s="57">
        <f>SUMIF(Recipes!A:A,Consolidate!B392,Recipes!L:L)</f>
        <v>1940.4099999999999</v>
      </c>
      <c r="L392" s="59">
        <f>SUMIFS(Recipes!$L:$L,Recipes!$D:$D,Consolidate!$E392,Recipes!$A:$A,Consolidate!$B392)</f>
        <v>1800</v>
      </c>
      <c r="M392" s="60">
        <f t="shared" ref="M392" si="37">K392-L392</f>
        <v>140.40999999999985</v>
      </c>
    </row>
    <row r="393" spans="1:13">
      <c r="A393">
        <f t="shared" si="17"/>
        <v>391</v>
      </c>
      <c r="B393" s="21" t="s">
        <v>1038</v>
      </c>
      <c r="C393" t="str">
        <f>VLOOKUP(B393,Recipes!A:B,2,0)</f>
        <v>Main Course</v>
      </c>
      <c r="D393" t="str">
        <f>VLOOKUP(B393,Recipes!A:C,3,0)</f>
        <v>Grilled</v>
      </c>
      <c r="E393" s="18" t="str">
        <f>VLOOKUP(B393,Recipes!A:J,10,0)</f>
        <v>Chicken Boneless</v>
      </c>
      <c r="F393" s="18" t="str">
        <f>VLOOKUP(B393,Recipes!A:I,9,0)</f>
        <v>Kg</v>
      </c>
      <c r="G393" s="55">
        <f>SUMIF(Recipes!A:A,Consolidate!B393,Recipes!H:H)</f>
        <v>1424.22516</v>
      </c>
      <c r="H393" s="55">
        <f>SUMIFS(Recipes!$H:$H,Recipes!$D:$D,Consolidate!$E393,Recipes!$A:$A,Consolidate!$B393)</f>
        <v>908</v>
      </c>
      <c r="I393" s="56">
        <f t="shared" ref="I393" si="38">G393-H393</f>
        <v>516.22515999999996</v>
      </c>
      <c r="K393" s="57">
        <f>SUMIF(Recipes!A:A,Consolidate!B393,Recipes!L:L)</f>
        <v>1549.0992799999999</v>
      </c>
      <c r="L393" s="59">
        <f>SUMIFS(Recipes!$L:$L,Recipes!$D:$D,Consolidate!$E393,Recipes!$A:$A,Consolidate!$B393)</f>
        <v>908</v>
      </c>
      <c r="M393" s="60">
        <f t="shared" ref="M393" si="39">K393-L393</f>
        <v>641.09927999999991</v>
      </c>
    </row>
    <row r="394" spans="1:13">
      <c r="A394">
        <f t="shared" si="17"/>
        <v>392</v>
      </c>
      <c r="B394" s="21" t="s">
        <v>1039</v>
      </c>
      <c r="C394" t="str">
        <f>VLOOKUP(B394,Recipes!A:B,2,0)</f>
        <v>Side Dish</v>
      </c>
      <c r="D394" t="str">
        <f>VLOOKUP(B394,Recipes!A:C,3,0)</f>
        <v>Gravy</v>
      </c>
      <c r="E394" s="18">
        <f>VLOOKUP(B394,Recipes!A:J,10,0)</f>
        <v>0</v>
      </c>
      <c r="F394" s="18" t="str">
        <f>VLOOKUP(B394,Recipes!A:I,9,0)</f>
        <v>Kg</v>
      </c>
      <c r="G394" s="55">
        <f>SUMIF(Recipes!A:A,Consolidate!B394,Recipes!H:H)</f>
        <v>306.37292000000008</v>
      </c>
      <c r="H394" s="55">
        <f>SUMIFS(Recipes!$H:$H,Recipes!$D:$D,Consolidate!$E394,Recipes!$A:$A,Consolidate!$B394)</f>
        <v>0</v>
      </c>
      <c r="I394" s="56">
        <f t="shared" ref="I394" si="40">G394-H394</f>
        <v>306.37292000000008</v>
      </c>
      <c r="K394" s="57">
        <f>SUMIF(Recipes!A:A,Consolidate!B394,Recipes!L:L)</f>
        <v>323.18</v>
      </c>
      <c r="L394" s="59">
        <f>SUMIFS(Recipes!$L:$L,Recipes!$D:$D,Consolidate!$E394,Recipes!$A:$A,Consolidate!$B394)</f>
        <v>0</v>
      </c>
      <c r="M394" s="60">
        <f t="shared" ref="M394" si="41">K394-L394</f>
        <v>323.18</v>
      </c>
    </row>
    <row r="395" spans="1:13">
      <c r="A395">
        <f t="shared" si="17"/>
        <v>393</v>
      </c>
      <c r="B395" s="71" t="s">
        <v>1040</v>
      </c>
      <c r="C395" t="str">
        <f>VLOOKUP(B395,Recipes!A:B,2,0)</f>
        <v>Main Course</v>
      </c>
      <c r="D395" t="str">
        <f>VLOOKUP(B395,Recipes!A:C,3,0)</f>
        <v>Dry</v>
      </c>
      <c r="E395" s="18" t="str">
        <f>VLOOKUP(B395,Recipes!A:J,10,0)</f>
        <v>Mutton Cube</v>
      </c>
      <c r="F395" s="18" t="str">
        <f>VLOOKUP(B395,Recipes!A:I,9,0)</f>
        <v>Kg</v>
      </c>
      <c r="G395" s="55">
        <f>SUMIF(Recipes!A:A,Consolidate!B395,Recipes!H:H)</f>
        <v>1834.0128000000002</v>
      </c>
      <c r="H395" s="55">
        <f>SUMIFS(Recipes!$H:$H,Recipes!$D:$D,Consolidate!$E395,Recipes!$A:$A,Consolidate!$B395)</f>
        <v>1700</v>
      </c>
      <c r="I395" s="56">
        <f t="shared" ref="I395" si="42">G395-H395</f>
        <v>134.0128000000002</v>
      </c>
      <c r="K395" s="57">
        <f>SUMIF(Recipes!A:A,Consolidate!B395,Recipes!L:L)</f>
        <v>1988.03</v>
      </c>
      <c r="L395" s="59">
        <f>SUMIFS(Recipes!$L:$L,Recipes!$D:$D,Consolidate!$E395,Recipes!$A:$A,Consolidate!$B395)</f>
        <v>1800</v>
      </c>
      <c r="M395" s="60">
        <f t="shared" ref="M395" si="43">K395-L395</f>
        <v>188.02999999999997</v>
      </c>
    </row>
    <row r="396" spans="1:13">
      <c r="A396">
        <f t="shared" si="17"/>
        <v>394</v>
      </c>
      <c r="B396" s="71" t="s">
        <v>1041</v>
      </c>
      <c r="C396" t="str">
        <f>VLOOKUP(B396,Recipes!A:B,2,0)</f>
        <v>Main Course</v>
      </c>
      <c r="D396" t="str">
        <f>VLOOKUP(B396,Recipes!A:C,3,0)</f>
        <v>Dry</v>
      </c>
      <c r="E396" s="18" t="str">
        <f>VLOOKUP(B396,Recipes!A:J,10,0)</f>
        <v>Chicken Boneless</v>
      </c>
      <c r="F396" s="18" t="str">
        <f>VLOOKUP(B396,Recipes!A:I,9,0)</f>
        <v>Kg</v>
      </c>
      <c r="G396" s="55">
        <f>SUMIF(Recipes!A:A,Consolidate!B396,Recipes!H:H)</f>
        <v>1427.1126458333333</v>
      </c>
      <c r="H396" s="55">
        <f>SUMIFS(Recipes!$H:$H,Recipes!$D:$D,Consolidate!$E396,Recipes!$A:$A,Consolidate!$B396)</f>
        <v>217.92</v>
      </c>
      <c r="I396" s="56">
        <f t="shared" ref="I396" si="44">G396-H396</f>
        <v>1209.1926458333332</v>
      </c>
      <c r="K396" s="57">
        <f>SUMIF(Recipes!A:A,Consolidate!B396,Recipes!L:L)</f>
        <v>1634.2947750000003</v>
      </c>
      <c r="L396" s="59">
        <f>SUMIFS(Recipes!$L:$L,Recipes!$D:$D,Consolidate!$E396,Recipes!$A:$A,Consolidate!$B396)</f>
        <v>217.92</v>
      </c>
      <c r="M396" s="60">
        <f t="shared" ref="M396" si="45">K396-L396</f>
        <v>1416.3747750000002</v>
      </c>
    </row>
    <row r="397" spans="1:13">
      <c r="A397">
        <f t="shared" si="17"/>
        <v>395</v>
      </c>
      <c r="B397" s="21" t="s">
        <v>1043</v>
      </c>
      <c r="C397" t="str">
        <f>VLOOKUP(B397,Recipes!A:B,2,0)</f>
        <v>Main Course</v>
      </c>
      <c r="D397" t="str">
        <f>VLOOKUP(B397,Recipes!A:C,3,0)</f>
        <v>Dry</v>
      </c>
      <c r="E397" s="18" t="str">
        <f>VLOOKUP(B397,Recipes!A:J,10,0)</f>
        <v>Mutton Cube</v>
      </c>
      <c r="F397" s="18" t="str">
        <f>VLOOKUP(B397,Recipes!A:I,9,0)</f>
        <v>Kg</v>
      </c>
      <c r="G397" s="55">
        <f>SUMIF(Recipes!A:A,Consolidate!B397,Recipes!H:H)</f>
        <v>1910.9456000000002</v>
      </c>
      <c r="H397" s="55">
        <f>SUMIFS(Recipes!$H:$H,Recipes!$D:$D,Consolidate!$E397,Recipes!$A:$A,Consolidate!$B397)</f>
        <v>1700</v>
      </c>
      <c r="I397" s="56">
        <f t="shared" ref="I397" si="46">G397-H397</f>
        <v>210.94560000000024</v>
      </c>
      <c r="K397" s="57">
        <f>SUMIF(Recipes!A:A,Consolidate!B397,Recipes!L:L)</f>
        <v>2026.19</v>
      </c>
      <c r="L397" s="59">
        <f>SUMIFS(Recipes!$L:$L,Recipes!$D:$D,Consolidate!$E397,Recipes!$A:$A,Consolidate!$B397)</f>
        <v>1800</v>
      </c>
      <c r="M397" s="60">
        <f t="shared" ref="M397" si="47">K397-L397</f>
        <v>226.19000000000005</v>
      </c>
    </row>
    <row r="398" spans="1:13">
      <c r="A398">
        <f t="shared" si="17"/>
        <v>396</v>
      </c>
      <c r="B398" s="71" t="s">
        <v>1044</v>
      </c>
      <c r="C398" t="str">
        <f>VLOOKUP(B398,Recipes!A:B,2,0)</f>
        <v>Main Course</v>
      </c>
      <c r="D398" t="str">
        <f>VLOOKUP(B398,Recipes!A:C,3,0)</f>
        <v>Dry</v>
      </c>
      <c r="E398" s="18" t="str">
        <f>VLOOKUP(B398,Recipes!A:J,10,0)</f>
        <v>Chicken Boneless</v>
      </c>
      <c r="F398" s="18" t="str">
        <f>VLOOKUP(B398,Recipes!A:I,9,0)</f>
        <v>Kg</v>
      </c>
      <c r="G398" s="55">
        <f>SUMIF(Recipes!A:A,Consolidate!B398,Recipes!H:H)</f>
        <v>1416.5077999999999</v>
      </c>
      <c r="H398" s="55">
        <f>SUMIFS(Recipes!$H:$H,Recipes!$D:$D,Consolidate!$E398,Recipes!$A:$A,Consolidate!$B398)</f>
        <v>817.2</v>
      </c>
      <c r="I398" s="56">
        <f t="shared" ref="I398" si="48">G398-H398</f>
        <v>599.30779999999982</v>
      </c>
      <c r="K398" s="57">
        <f>SUMIF(Recipes!A:A,Consolidate!B398,Recipes!L:L)</f>
        <v>1433.6000000000001</v>
      </c>
      <c r="L398" s="59">
        <f>SUMIFS(Recipes!$L:$L,Recipes!$D:$D,Consolidate!$E398,Recipes!$A:$A,Consolidate!$B398)</f>
        <v>817.2</v>
      </c>
      <c r="M398" s="60">
        <f t="shared" ref="M398" si="49">K398-L398</f>
        <v>616.40000000000009</v>
      </c>
    </row>
    <row r="399" spans="1:13">
      <c r="A399">
        <f t="shared" si="17"/>
        <v>397</v>
      </c>
      <c r="B399" t="s">
        <v>1049</v>
      </c>
      <c r="C399" t="str">
        <f>VLOOKUP(B399,Recipes!A:B,2,0)</f>
        <v>Main Course</v>
      </c>
      <c r="D399" t="str">
        <f>VLOOKUP(B399,Recipes!A:C,3,0)</f>
        <v>Gravy</v>
      </c>
      <c r="E399" s="18" t="str">
        <f>VLOOKUP(B399,Recipes!A:J,10,0)</f>
        <v>Mutton Boneless</v>
      </c>
      <c r="F399" s="18" t="str">
        <f>VLOOKUP(B399,Recipes!A:I,9,0)</f>
        <v>Kg</v>
      </c>
      <c r="G399" s="55">
        <f>SUMIF(Recipes!A:A,Consolidate!B399,Recipes!H:H)</f>
        <v>2283.384966666667</v>
      </c>
      <c r="H399" s="55">
        <f>SUMIFS(Recipes!$H:$H,Recipes!$D:$D,Consolidate!$E399,Recipes!$A:$A,Consolidate!$B399)</f>
        <v>1958</v>
      </c>
      <c r="I399" s="56">
        <f t="shared" ref="I399" si="50">G399-H399</f>
        <v>325.38496666666697</v>
      </c>
      <c r="K399" s="57">
        <f>SUMIF(Recipes!A:A,Consolidate!B399,Recipes!L:L)</f>
        <v>2530.8232333333331</v>
      </c>
      <c r="L399" s="59">
        <f>SUMIFS(Recipes!$L:$L,Recipes!$D:$D,Consolidate!$E399,Recipes!$A:$A,Consolidate!$B399)</f>
        <v>2200</v>
      </c>
      <c r="M399" s="60">
        <f t="shared" ref="M399" si="51">K399-L399</f>
        <v>330.82323333333306</v>
      </c>
    </row>
    <row r="400" spans="1:13">
      <c r="A400">
        <f t="shared" si="17"/>
        <v>398</v>
      </c>
      <c r="B400" s="71" t="s">
        <v>1050</v>
      </c>
      <c r="C400" t="str">
        <f>VLOOKUP(B400,Recipes!A:B,2,0)</f>
        <v>Main Course</v>
      </c>
      <c r="D400" t="str">
        <f>VLOOKUP(B400,Recipes!A:C,3,0)</f>
        <v>Dry</v>
      </c>
      <c r="E400" s="18" t="str">
        <f>VLOOKUP(B400,Recipes!A:J,10,0)</f>
        <v>Chicken Boneless</v>
      </c>
      <c r="F400" s="18" t="str">
        <f>VLOOKUP(B400,Recipes!A:I,9,0)</f>
        <v>Kg</v>
      </c>
      <c r="G400" s="55">
        <f>SUMIF(Recipes!A:A,Consolidate!B400,Recipes!H:H)</f>
        <v>1042.0128</v>
      </c>
      <c r="H400" s="55">
        <f>SUMIFS(Recipes!$H:$H,Recipes!$D:$D,Consolidate!$E400,Recipes!$A:$A,Consolidate!$B400)</f>
        <v>908</v>
      </c>
      <c r="I400" s="56">
        <f t="shared" ref="I400" si="52">G400-H400</f>
        <v>134.01279999999997</v>
      </c>
      <c r="K400" s="57">
        <f>SUMIF(Recipes!A:A,Consolidate!B400,Recipes!L:L)</f>
        <v>1096.03</v>
      </c>
      <c r="L400" s="59">
        <f>SUMIFS(Recipes!$L:$L,Recipes!$D:$D,Consolidate!$E400,Recipes!$A:$A,Consolidate!$B400)</f>
        <v>908</v>
      </c>
      <c r="M400" s="60">
        <f t="shared" ref="M400" si="53">K400-L400</f>
        <v>188.02999999999997</v>
      </c>
    </row>
    <row r="401" spans="1:13">
      <c r="A401">
        <f t="shared" si="17"/>
        <v>399</v>
      </c>
      <c r="B401" s="71" t="s">
        <v>1052</v>
      </c>
      <c r="C401" t="str">
        <f>VLOOKUP(B401,Recipes!A:B,2,0)</f>
        <v>Main Course</v>
      </c>
      <c r="D401" t="str">
        <f>VLOOKUP(B401,Recipes!A:C,3,0)</f>
        <v>Gravy</v>
      </c>
      <c r="E401" s="18" t="str">
        <f>VLOOKUP(B401,Recipes!A:J,10,0)</f>
        <v>Mutton Cube</v>
      </c>
      <c r="F401" s="18" t="str">
        <f>VLOOKUP(B401,Recipes!A:I,9,0)</f>
        <v>Kg</v>
      </c>
      <c r="G401" s="55">
        <f>SUMIF(Recipes!A:A,Consolidate!B401,Recipes!H:H)</f>
        <v>1773.7350000000001</v>
      </c>
      <c r="H401" s="55">
        <f>SUMIFS(Recipes!$H:$H,Recipes!$D:$D,Consolidate!$E401,Recipes!$A:$A,Consolidate!$B401)</f>
        <v>1700</v>
      </c>
      <c r="I401" s="56">
        <f t="shared" ref="I401" si="54">G401-H401</f>
        <v>73.735000000000127</v>
      </c>
      <c r="K401" s="57">
        <f>SUMIF(Recipes!A:A,Consolidate!B401,Recipes!L:L)</f>
        <v>1875.5650000000001</v>
      </c>
      <c r="L401" s="59">
        <f>SUMIFS(Recipes!$L:$L,Recipes!$D:$D,Consolidate!$E401,Recipes!$A:$A,Consolidate!$B401)</f>
        <v>1800</v>
      </c>
      <c r="M401" s="60">
        <f t="shared" ref="M401" si="55">K401-L401</f>
        <v>75.565000000000055</v>
      </c>
    </row>
    <row r="402" spans="1:13">
      <c r="A402">
        <f t="shared" si="17"/>
        <v>400</v>
      </c>
      <c r="B402" s="71" t="s">
        <v>1053</v>
      </c>
      <c r="C402" t="str">
        <f>VLOOKUP(B402,Recipes!A:B,2,0)</f>
        <v>Main Course</v>
      </c>
      <c r="D402" t="str">
        <f>VLOOKUP(B402,Recipes!A:C,3,0)</f>
        <v>Gravy</v>
      </c>
      <c r="E402" s="18" t="str">
        <f>VLOOKUP(B402,Recipes!A:J,10,0)</f>
        <v>Mutton Boneless</v>
      </c>
      <c r="F402" s="18" t="str">
        <f>VLOOKUP(B402,Recipes!A:I,9,0)</f>
        <v>Kg</v>
      </c>
      <c r="G402" s="55">
        <f>SUMIF(Recipes!A:A,Consolidate!B402,Recipes!H:H)</f>
        <v>2243.1945000000001</v>
      </c>
      <c r="H402" s="55">
        <f>SUMIFS(Recipes!$H:$H,Recipes!$D:$D,Consolidate!$E402,Recipes!$A:$A,Consolidate!$B402)</f>
        <v>1958</v>
      </c>
      <c r="I402" s="56">
        <f t="shared" ref="I402" si="56">G402-H402</f>
        <v>285.19450000000006</v>
      </c>
      <c r="K402" s="57">
        <f>SUMIF(Recipes!A:A,Consolidate!B402,Recipes!L:L)</f>
        <v>2472.3500000000004</v>
      </c>
      <c r="L402" s="59">
        <f>SUMIFS(Recipes!$L:$L,Recipes!$D:$D,Consolidate!$E402,Recipes!$A:$A,Consolidate!$B402)</f>
        <v>2200</v>
      </c>
      <c r="M402" s="60">
        <f t="shared" ref="M402" si="57">K402-L402</f>
        <v>272.35000000000036</v>
      </c>
    </row>
    <row r="403" spans="1:13">
      <c r="A403">
        <f t="shared" si="17"/>
        <v>401</v>
      </c>
      <c r="B403" s="71" t="s">
        <v>1054</v>
      </c>
      <c r="C403" t="str">
        <f>VLOOKUP(B403,Recipes!A:B,2,0)</f>
        <v>Main Course</v>
      </c>
      <c r="D403" t="str">
        <f>VLOOKUP(B403,Recipes!A:C,3,0)</f>
        <v>Dry</v>
      </c>
      <c r="E403" s="18" t="str">
        <f>VLOOKUP(B403,Recipes!A:J,10,0)</f>
        <v>Chicken Bone In</v>
      </c>
      <c r="F403" s="18" t="str">
        <f>VLOOKUP(B403,Recipes!A:I,9,0)</f>
        <v>Kg</v>
      </c>
      <c r="G403" s="55">
        <f>SUMIF(Recipes!A:A,Consolidate!B403,Recipes!H:H)</f>
        <v>783.26930000000004</v>
      </c>
      <c r="H403" s="55">
        <f>SUMIFS(Recipes!$H:$H,Recipes!$D:$D,Consolidate!$E403,Recipes!$A:$A,Consolidate!$B403)</f>
        <v>614</v>
      </c>
      <c r="I403" s="56">
        <f t="shared" ref="I403" si="58">G403-H403</f>
        <v>169.26930000000004</v>
      </c>
      <c r="K403" s="57">
        <f>SUMIF(Recipes!A:A,Consolidate!B403,Recipes!L:L)</f>
        <v>847.16</v>
      </c>
      <c r="L403" s="59">
        <f>SUMIFS(Recipes!$L:$L,Recipes!$D:$D,Consolidate!$E403,Recipes!$A:$A,Consolidate!$B403)</f>
        <v>650</v>
      </c>
      <c r="M403" s="60">
        <f t="shared" ref="M403" si="59">K403-L403</f>
        <v>197.15999999999997</v>
      </c>
    </row>
    <row r="404" spans="1:13">
      <c r="A404">
        <f t="shared" si="17"/>
        <v>402</v>
      </c>
      <c r="B404" t="s">
        <v>1057</v>
      </c>
      <c r="C404" t="str">
        <f>VLOOKUP(B404,Recipes!A:B,2,0)</f>
        <v>Salad</v>
      </c>
      <c r="D404" t="str">
        <f>VLOOKUP(B404,Recipes!A:C,3,0)</f>
        <v>Without Meat</v>
      </c>
      <c r="E404" s="18">
        <f>VLOOKUP(B404,Recipes!A:J,10,0)</f>
        <v>0</v>
      </c>
      <c r="F404" s="18" t="str">
        <f>VLOOKUP(B404,Recipes!A:I,9,0)</f>
        <v>Kg</v>
      </c>
      <c r="G404" s="55">
        <f>SUMIF(Recipes!A:A,Consolidate!B404,Recipes!H:H)</f>
        <v>376.47899999999998</v>
      </c>
      <c r="H404" s="55">
        <f>SUMIFS(Recipes!$H:$H,Recipes!$D:$D,Consolidate!$E404,Recipes!$A:$A,Consolidate!$B404)</f>
        <v>0</v>
      </c>
      <c r="I404" s="56">
        <f t="shared" ref="I404" si="60">G404-H404</f>
        <v>376.47899999999998</v>
      </c>
      <c r="K404" s="57">
        <f>SUMIF(Recipes!A:A,Consolidate!B404,Recipes!L:L)</f>
        <v>338.42300000000006</v>
      </c>
      <c r="L404" s="59">
        <f>SUMIFS(Recipes!$L:$L,Recipes!$D:$D,Consolidate!$E404,Recipes!$A:$A,Consolidate!$B404)</f>
        <v>0</v>
      </c>
      <c r="M404" s="60">
        <f t="shared" ref="M404" si="61">K404-L404</f>
        <v>338.42300000000006</v>
      </c>
    </row>
    <row r="405" spans="1:13">
      <c r="A405">
        <f t="shared" si="17"/>
        <v>403</v>
      </c>
      <c r="B405" t="s">
        <v>1058</v>
      </c>
      <c r="C405" t="str">
        <f>VLOOKUP(B405,Recipes!A:B,2,0)</f>
        <v>Side Dish</v>
      </c>
      <c r="D405" t="str">
        <f>VLOOKUP(B405,Recipes!A:C,3,0)</f>
        <v>Dry</v>
      </c>
      <c r="E405" s="18">
        <f>VLOOKUP(B405,Recipes!A:J,10,0)</f>
        <v>0</v>
      </c>
      <c r="F405" s="18" t="str">
        <f>VLOOKUP(B405,Recipes!A:I,9,0)</f>
        <v>Kg</v>
      </c>
      <c r="G405" s="55">
        <f>SUMIF(Recipes!A:A,Consolidate!B405,Recipes!H:H)</f>
        <v>192.17777777777775</v>
      </c>
      <c r="H405" s="55">
        <f>SUMIFS(Recipes!$H:$H,Recipes!$D:$D,Consolidate!$E405,Recipes!$A:$A,Consolidate!$B405)</f>
        <v>0</v>
      </c>
      <c r="I405" s="56">
        <f t="shared" ref="I405" si="62">G405-H405</f>
        <v>192.17777777777775</v>
      </c>
      <c r="K405" s="57">
        <f>SUMIF(Recipes!A:A,Consolidate!B405,Recipes!L:L)</f>
        <v>206.7128888888889</v>
      </c>
      <c r="L405" s="59">
        <f>SUMIFS(Recipes!$L:$L,Recipes!$D:$D,Consolidate!$E405,Recipes!$A:$A,Consolidate!$B405)</f>
        <v>0</v>
      </c>
      <c r="M405" s="60">
        <f t="shared" ref="M405" si="63">K405-L405</f>
        <v>206.7128888888889</v>
      </c>
    </row>
    <row r="406" spans="1:13">
      <c r="A406">
        <f t="shared" si="17"/>
        <v>404</v>
      </c>
      <c r="B406" t="s">
        <v>473</v>
      </c>
      <c r="C406" t="str">
        <f>VLOOKUP(B406,Recipes!A:B,2,0)</f>
        <v>Dessert</v>
      </c>
      <c r="D406" t="str">
        <f>VLOOKUP(B406,Recipes!A:C,3,0)</f>
        <v>Dessert</v>
      </c>
      <c r="E406" s="18">
        <f>VLOOKUP(B406,Recipes!A:J,10,0)</f>
        <v>0</v>
      </c>
      <c r="F406" s="18" t="str">
        <f>VLOOKUP(B406,Recipes!A:I,9,0)</f>
        <v>Kg</v>
      </c>
      <c r="G406" s="55">
        <f>SUMIF(Recipes!A:A,Consolidate!B406,Recipes!H:H)</f>
        <v>1900</v>
      </c>
      <c r="H406" s="55">
        <f>SUMIFS(Recipes!$H:$H,Recipes!$D:$D,Consolidate!$E406,Recipes!$A:$A,Consolidate!$B406)</f>
        <v>0</v>
      </c>
      <c r="I406" s="56">
        <f t="shared" ref="I406" si="64">G406-H406</f>
        <v>1900</v>
      </c>
      <c r="K406" s="57">
        <f>SUMIF(Recipes!A:A,Consolidate!B406,Recipes!L:L)</f>
        <v>1900</v>
      </c>
      <c r="L406" s="59">
        <f>SUMIFS(Recipes!$L:$L,Recipes!$D:$D,Consolidate!$E406,Recipes!$A:$A,Consolidate!$B406)</f>
        <v>0</v>
      </c>
      <c r="M406" s="60">
        <f t="shared" ref="M406" si="65">K406-L406</f>
        <v>1900</v>
      </c>
    </row>
    <row r="407" spans="1:13">
      <c r="A407">
        <f t="shared" si="17"/>
        <v>405</v>
      </c>
      <c r="B407" t="s">
        <v>1059</v>
      </c>
      <c r="C407" t="str">
        <f>VLOOKUP(B407,Recipes!A:B,2,0)</f>
        <v>Main Course</v>
      </c>
      <c r="D407" t="str">
        <f>VLOOKUP(B407,Recipes!A:C,3,0)</f>
        <v>Fast Food</v>
      </c>
      <c r="E407" s="18" t="str">
        <f>VLOOKUP(B407,Recipes!A:J,10,0)</f>
        <v>Chicken Boneless</v>
      </c>
      <c r="F407" s="18" t="str">
        <f>VLOOKUP(B407,Recipes!A:I,9,0)</f>
        <v>Pcs</v>
      </c>
      <c r="G407" s="55">
        <f>SUMIF(Recipes!A:A,Consolidate!B407,Recipes!H:H)</f>
        <v>207.51573992424238</v>
      </c>
      <c r="H407" s="55">
        <f>SUMIFS(Recipes!$H:$H,Recipes!$D:$D,Consolidate!$E407,Recipes!$A:$A,Consolidate!$B407)</f>
        <v>113.5</v>
      </c>
      <c r="I407" s="56">
        <f t="shared" ref="I407" si="66">G407-H407</f>
        <v>94.015739924242382</v>
      </c>
      <c r="K407" s="57">
        <f>SUMIF(Recipes!A:A,Consolidate!B407,Recipes!L:L)</f>
        <v>206.25519340909091</v>
      </c>
      <c r="L407" s="59">
        <f>SUMIFS(Recipes!$L:$L,Recipes!$D:$D,Consolidate!$E407,Recipes!$A:$A,Consolidate!$B407)</f>
        <v>113.5</v>
      </c>
      <c r="M407" s="60">
        <f t="shared" ref="M407" si="67">K407-L407</f>
        <v>92.755193409090907</v>
      </c>
    </row>
    <row r="408" spans="1:13">
      <c r="A408">
        <f t="shared" si="17"/>
        <v>406</v>
      </c>
      <c r="B408" t="s">
        <v>1060</v>
      </c>
      <c r="C408" t="str">
        <f>VLOOKUP(B408,Recipes!A:B,2,0)</f>
        <v>Salad</v>
      </c>
      <c r="D408" t="str">
        <f>VLOOKUP(B408,Recipes!A:C,3,0)</f>
        <v>Without Meat</v>
      </c>
      <c r="E408" s="18">
        <f>VLOOKUP(B408,Recipes!A:J,10,0)</f>
        <v>0</v>
      </c>
      <c r="F408" s="18" t="str">
        <f>VLOOKUP(B408,Recipes!A:I,9,0)</f>
        <v>Pcs</v>
      </c>
      <c r="G408" s="55">
        <f>SUMIF(Recipes!A:A,Consolidate!B408,Recipes!H:H)</f>
        <v>659.14600000000007</v>
      </c>
      <c r="H408" s="55">
        <f>SUMIFS(Recipes!$H:$H,Recipes!$D:$D,Consolidate!$E408,Recipes!$A:$A,Consolidate!$B408)</f>
        <v>0</v>
      </c>
      <c r="I408" s="56">
        <f t="shared" ref="I408" si="68">G408-H408</f>
        <v>659.14600000000007</v>
      </c>
      <c r="K408" s="57">
        <f>SUMIF(Recipes!A:A,Consolidate!B408,Recipes!L:L)</f>
        <v>659.65199999999993</v>
      </c>
      <c r="L408" s="59">
        <f>SUMIFS(Recipes!$L:$L,Recipes!$D:$D,Consolidate!$E408,Recipes!$A:$A,Consolidate!$B408)</f>
        <v>0</v>
      </c>
      <c r="M408" s="60">
        <f t="shared" ref="M408" si="69">K408-L408</f>
        <v>659.65199999999993</v>
      </c>
    </row>
    <row r="409" spans="1:13">
      <c r="A409">
        <f t="shared" si="17"/>
        <v>407</v>
      </c>
      <c r="B409" t="s">
        <v>1062</v>
      </c>
      <c r="C409" t="str">
        <f>VLOOKUP(B409,Recipes!A:B,2,0)</f>
        <v>Main Course</v>
      </c>
      <c r="D409" t="str">
        <f>VLOOKUP(B409,Recipes!A:C,3,0)</f>
        <v>Fast Food</v>
      </c>
      <c r="E409" s="18" t="str">
        <f>VLOOKUP(B409,Recipes!A:J,10,0)</f>
        <v>Chicken Boneless</v>
      </c>
      <c r="F409" s="18" t="str">
        <f>VLOOKUP(B409,Recipes!A:I,9,0)</f>
        <v>Pcs</v>
      </c>
      <c r="G409" s="55">
        <f>SUMIF(Recipes!A:A,Consolidate!B409,Recipes!H:H)</f>
        <v>131.14944999999997</v>
      </c>
      <c r="H409" s="55">
        <f>SUMIFS(Recipes!$H:$H,Recipes!$D:$D,Consolidate!$E409,Recipes!$A:$A,Consolidate!$B409)</f>
        <v>56.75</v>
      </c>
      <c r="I409" s="56">
        <f t="shared" ref="I409" si="70">G409-H409</f>
        <v>74.399449999999973</v>
      </c>
      <c r="K409" s="57">
        <f>SUMIF(Recipes!A:A,Consolidate!B409,Recipes!L:L)</f>
        <v>123.84875</v>
      </c>
      <c r="L409" s="59">
        <f>SUMIFS(Recipes!$L:$L,Recipes!$D:$D,Consolidate!$E409,Recipes!$A:$A,Consolidate!$B409)</f>
        <v>56.75</v>
      </c>
      <c r="M409" s="60">
        <f t="shared" ref="M409" si="71">K409-L409</f>
        <v>67.098749999999995</v>
      </c>
    </row>
    <row r="410" spans="1:13">
      <c r="A410">
        <f t="shared" si="17"/>
        <v>408</v>
      </c>
      <c r="B410" t="s">
        <v>1066</v>
      </c>
      <c r="C410" t="str">
        <f>VLOOKUP(B410,Recipes!A:B,2,0)</f>
        <v>Main Course</v>
      </c>
      <c r="D410" t="str">
        <f>VLOOKUP(B410,Recipes!A:C,3,0)</f>
        <v>Fast Food</v>
      </c>
      <c r="E410" s="18" t="str">
        <f>VLOOKUP(B410,Recipes!A:J,10,0)</f>
        <v>Chicken Boneless</v>
      </c>
      <c r="F410" s="18" t="str">
        <f>VLOOKUP(B410,Recipes!A:I,9,0)</f>
        <v>Pcs</v>
      </c>
      <c r="G410" s="55">
        <f>SUMIF(Recipes!A:A,Consolidate!B410,Recipes!H:H)</f>
        <v>753.40251882352936</v>
      </c>
      <c r="H410" s="55">
        <f>SUMIFS(Recipes!$H:$H,Recipes!$D:$D,Consolidate!$E410,Recipes!$A:$A,Consolidate!$B410)</f>
        <v>181.60000000000002</v>
      </c>
      <c r="I410" s="56">
        <f t="shared" ref="I410" si="72">G410-H410</f>
        <v>571.80251882352934</v>
      </c>
      <c r="K410" s="57">
        <f>SUMIF(Recipes!A:A,Consolidate!B410,Recipes!L:L)</f>
        <v>803.42446000000007</v>
      </c>
      <c r="L410" s="59">
        <f>SUMIFS(Recipes!$L:$L,Recipes!$D:$D,Consolidate!$E410,Recipes!$A:$A,Consolidate!$B410)</f>
        <v>181.60000000000002</v>
      </c>
      <c r="M410" s="60">
        <f t="shared" ref="M410" si="73">K410-L410</f>
        <v>621.82446000000004</v>
      </c>
    </row>
    <row r="411" spans="1:13">
      <c r="A411">
        <f t="shared" si="17"/>
        <v>409</v>
      </c>
      <c r="B411" t="s">
        <v>1067</v>
      </c>
      <c r="C411" t="str">
        <f>VLOOKUP(B411,Recipes!A:B,2,0)</f>
        <v>Main Course</v>
      </c>
      <c r="D411" t="str">
        <f>VLOOKUP(B411,Recipes!A:C,3,0)</f>
        <v>Fast Food</v>
      </c>
      <c r="E411" s="18" t="str">
        <f>VLOOKUP(B411,Recipes!A:J,10,0)</f>
        <v>Chicken Boneless</v>
      </c>
      <c r="F411" s="18" t="str">
        <f>VLOOKUP(B411,Recipes!A:I,9,0)</f>
        <v>Pcs</v>
      </c>
      <c r="G411" s="55">
        <f>SUMIF(Recipes!A:A,Consolidate!B411,Recipes!H:H)</f>
        <v>200.84014999999999</v>
      </c>
      <c r="H411" s="55">
        <f>SUMIFS(Recipes!$H:$H,Recipes!$D:$D,Consolidate!$E411,Recipes!$A:$A,Consolidate!$B411)</f>
        <v>72.64</v>
      </c>
      <c r="I411" s="56">
        <f t="shared" ref="I411" si="74">G411-H411</f>
        <v>128.20015000000001</v>
      </c>
      <c r="K411" s="57">
        <f>SUMIF(Recipes!A:A,Consolidate!B411,Recipes!L:L)</f>
        <v>187.67875000000001</v>
      </c>
      <c r="L411" s="59">
        <f>SUMIFS(Recipes!$L:$L,Recipes!$D:$D,Consolidate!$E411,Recipes!$A:$A,Consolidate!$B411)</f>
        <v>72.64</v>
      </c>
      <c r="M411" s="60">
        <f t="shared" ref="M411" si="75">K411-L411</f>
        <v>115.03875000000001</v>
      </c>
    </row>
    <row r="412" spans="1:13">
      <c r="A412">
        <f t="shared" si="17"/>
        <v>410</v>
      </c>
      <c r="B412" t="s">
        <v>1068</v>
      </c>
      <c r="C412" t="str">
        <f>VLOOKUP(B412,Recipes!A:B,2,0)</f>
        <v>Beverages</v>
      </c>
      <c r="D412" t="str">
        <f>VLOOKUP(B412,Recipes!A:C,3,0)</f>
        <v>Cold Beverage</v>
      </c>
      <c r="E412" s="18" t="str">
        <f>VLOOKUP(B412,Recipes!A:J,10,0)</f>
        <v>Chicken Boneless</v>
      </c>
      <c r="F412" s="18" t="str">
        <f>VLOOKUP(B412,Recipes!A:I,9,0)</f>
        <v>Glass</v>
      </c>
      <c r="G412" s="55">
        <f>SUMIF(Recipes!A:A,Consolidate!B412,Recipes!H:H)</f>
        <v>187.01666666666665</v>
      </c>
      <c r="H412" s="55">
        <f>SUMIFS(Recipes!$H:$H,Recipes!$D:$D,Consolidate!$E412,Recipes!$A:$A,Consolidate!$B412)</f>
        <v>0</v>
      </c>
      <c r="I412" s="56">
        <f t="shared" ref="I412" si="76">G412-H412</f>
        <v>187.01666666666665</v>
      </c>
      <c r="K412" s="57">
        <f>SUMIF(Recipes!A:A,Consolidate!B412,Recipes!L:L)</f>
        <v>184.285</v>
      </c>
      <c r="L412" s="59">
        <f>SUMIFS(Recipes!$L:$L,Recipes!$D:$D,Consolidate!$E412,Recipes!$A:$A,Consolidate!$B412)</f>
        <v>0</v>
      </c>
      <c r="M412" s="60">
        <f t="shared" ref="M412" si="77">K412-L412</f>
        <v>184.285</v>
      </c>
    </row>
    <row r="413" spans="1:13">
      <c r="A413">
        <f t="shared" si="17"/>
        <v>411</v>
      </c>
      <c r="B413" t="s">
        <v>1070</v>
      </c>
      <c r="C413" t="str">
        <f>VLOOKUP(B413,Recipes!A:B,2,0)</f>
        <v>Roti &amp; Paratha</v>
      </c>
      <c r="D413" t="str">
        <f>VLOOKUP(B413,Recipes!A:C,3,0)</f>
        <v>Chicken Paratha</v>
      </c>
      <c r="E413" s="18" t="str">
        <f>VLOOKUP(B413,Recipes!A:J,10,0)</f>
        <v>Chicken Boneless</v>
      </c>
      <c r="F413" s="18" t="str">
        <f>VLOOKUP(B413,Recipes!A:I,9,0)</f>
        <v>Pcs</v>
      </c>
      <c r="G413" s="55">
        <f>SUMIF(Recipes!A:A,Consolidate!B413,Recipes!H:H)</f>
        <v>98.477869999999996</v>
      </c>
      <c r="H413" s="55">
        <f>SUMIFS(Recipes!$H:$H,Recipes!$D:$D,Consolidate!$E413,Recipes!$A:$A,Consolidate!$B413)</f>
        <v>31.780000000000005</v>
      </c>
      <c r="I413" s="56">
        <f t="shared" ref="I413" si="78">G413-H413</f>
        <v>66.697869999999995</v>
      </c>
      <c r="K413" s="57">
        <f>SUMIF(Recipes!A:A,Consolidate!B413,Recipes!L:L)</f>
        <v>96.558909999999997</v>
      </c>
      <c r="L413" s="59">
        <f>SUMIFS(Recipes!$L:$L,Recipes!$D:$D,Consolidate!$E413,Recipes!$A:$A,Consolidate!$B413)</f>
        <v>31.780000000000005</v>
      </c>
      <c r="M413" s="60">
        <f t="shared" ref="M413" si="79">K413-L413</f>
        <v>64.778909999999996</v>
      </c>
    </row>
    <row r="414" spans="1:13">
      <c r="A414">
        <f t="shared" si="17"/>
        <v>412</v>
      </c>
      <c r="B414" t="s">
        <v>619</v>
      </c>
      <c r="C414" t="str">
        <f>VLOOKUP(B414,Recipes!A:B,2,0)</f>
        <v>Roti &amp; Paratha</v>
      </c>
      <c r="D414" t="str">
        <f>VLOOKUP(B414,Recipes!A:C,3,0)</f>
        <v>Bun</v>
      </c>
      <c r="E414" s="18">
        <f>VLOOKUP(B414,Recipes!A:J,10,0)</f>
        <v>0</v>
      </c>
      <c r="F414" s="18" t="str">
        <f>VLOOKUP(B414,Recipes!A:I,9,0)</f>
        <v>Pcs</v>
      </c>
      <c r="G414" s="55">
        <f>SUMIF(Recipes!A:A,Consolidate!B414,Recipes!H:H)</f>
        <v>17</v>
      </c>
      <c r="H414" s="55">
        <f>SUMIFS(Recipes!$H:$H,Recipes!$D:$D,Consolidate!$E414,Recipes!$A:$A,Consolidate!$B414)</f>
        <v>0</v>
      </c>
      <c r="I414" s="56">
        <f t="shared" ref="I414" si="80">G414-H414</f>
        <v>17</v>
      </c>
      <c r="K414" s="57">
        <f>SUMIF(Recipes!A:A,Consolidate!B414,Recipes!L:L)</f>
        <v>17</v>
      </c>
      <c r="L414" s="59">
        <f>SUMIFS(Recipes!$L:$L,Recipes!$D:$D,Consolidate!$E414,Recipes!$A:$A,Consolidate!$B414)</f>
        <v>0</v>
      </c>
      <c r="M414" s="60">
        <f t="shared" ref="M414" si="81">K414-L414</f>
        <v>17</v>
      </c>
    </row>
    <row r="415" spans="1:13">
      <c r="A415">
        <f t="shared" si="17"/>
        <v>413</v>
      </c>
      <c r="B415" t="s">
        <v>1071</v>
      </c>
      <c r="C415" t="str">
        <f>VLOOKUP(B415,Recipes!A:B,2,0)</f>
        <v>Appetizer</v>
      </c>
      <c r="D415" t="str">
        <f>VLOOKUP(B415,Recipes!A:C,3,0)</f>
        <v>Without Meat</v>
      </c>
      <c r="E415" s="18">
        <f>VLOOKUP(B415,Recipes!A:J,10,0)</f>
        <v>0</v>
      </c>
      <c r="F415" s="18" t="str">
        <f>VLOOKUP(B415,Recipes!A:I,9,0)</f>
        <v>Pcs</v>
      </c>
      <c r="G415" s="55">
        <f>SUMIF(Recipes!A:A,Consolidate!B415,Recipes!H:H)</f>
        <v>16.300819999999998</v>
      </c>
      <c r="H415" s="55">
        <f>SUMIFS(Recipes!$H:$H,Recipes!$D:$D,Consolidate!$E415,Recipes!$A:$A,Consolidate!$B415)</f>
        <v>0</v>
      </c>
      <c r="I415" s="56">
        <f t="shared" ref="I415" si="82">G415-H415</f>
        <v>16.300819999999998</v>
      </c>
      <c r="K415" s="57">
        <f>SUMIF(Recipes!A:A,Consolidate!B415,Recipes!L:L)</f>
        <v>16.552186666666664</v>
      </c>
      <c r="L415" s="59">
        <f>SUMIFS(Recipes!$L:$L,Recipes!$D:$D,Consolidate!$E415,Recipes!$A:$A,Consolidate!$B415)</f>
        <v>0</v>
      </c>
      <c r="M415" s="60">
        <f t="shared" ref="M415" si="83">K415-L415</f>
        <v>16.552186666666664</v>
      </c>
    </row>
  </sheetData>
  <autoFilter ref="A2:H381"/>
  <conditionalFormatting sqref="B360:B369 B2:B25 B140:B271 B27:B138 B390 B392 B398 B402:B408 B411 B416:B1048576">
    <cfRule type="duplicateValues" dxfId="9" priority="10"/>
  </conditionalFormatting>
  <conditionalFormatting sqref="B1:B382 B390 B392 B398 B402:B408 B411 B416:B1048576">
    <cfRule type="duplicateValues" dxfId="8" priority="9"/>
  </conditionalFormatting>
  <conditionalFormatting sqref="B395">
    <cfRule type="duplicateValues" dxfId="7" priority="8"/>
  </conditionalFormatting>
  <conditionalFormatting sqref="B395">
    <cfRule type="duplicateValues" dxfId="6" priority="7"/>
  </conditionalFormatting>
  <conditionalFormatting sqref="B396">
    <cfRule type="duplicateValues" dxfId="5" priority="6"/>
  </conditionalFormatting>
  <conditionalFormatting sqref="B396">
    <cfRule type="duplicateValues" dxfId="4" priority="5"/>
  </conditionalFormatting>
  <conditionalFormatting sqref="B400">
    <cfRule type="duplicateValues" dxfId="3" priority="4"/>
  </conditionalFormatting>
  <conditionalFormatting sqref="B400">
    <cfRule type="duplicateValues" dxfId="2" priority="3"/>
  </conditionalFormatting>
  <conditionalFormatting sqref="B409">
    <cfRule type="duplicateValues" dxfId="1" priority="2"/>
  </conditionalFormatting>
  <conditionalFormatting sqref="B409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88"/>
  <sheetViews>
    <sheetView topLeftCell="A58" workbookViewId="0">
      <selection activeCell="B84" sqref="B84"/>
    </sheetView>
  </sheetViews>
  <sheetFormatPr defaultRowHeight="15"/>
  <cols>
    <col min="1" max="1" width="19.42578125" bestFit="1" customWidth="1"/>
    <col min="2" max="2" width="20.28515625" bestFit="1" customWidth="1"/>
    <col min="3" max="4" width="13.7109375" bestFit="1" customWidth="1"/>
  </cols>
  <sheetData>
    <row r="1" spans="1:4">
      <c r="C1" s="44" t="s">
        <v>350</v>
      </c>
      <c r="D1" s="44" t="s">
        <v>1021</v>
      </c>
    </row>
    <row r="2" spans="1:4">
      <c r="A2" s="44" t="s">
        <v>480</v>
      </c>
      <c r="B2" s="44" t="s">
        <v>457</v>
      </c>
      <c r="C2" s="44" t="s">
        <v>998</v>
      </c>
      <c r="D2" s="44" t="s">
        <v>998</v>
      </c>
    </row>
    <row r="3" spans="1:4" ht="8.25" customHeight="1"/>
    <row r="4" spans="1:4">
      <c r="A4" s="45" t="s">
        <v>348</v>
      </c>
      <c r="B4" s="46" t="s">
        <v>365</v>
      </c>
      <c r="C4" s="47">
        <f>AVERAGEIFS(Consolidate!G:G,Consolidate!D:D,'Average Rates'!B4,Consolidate!C:C,'Average Rates'!A4)</f>
        <v>22.658850755718955</v>
      </c>
      <c r="D4" s="47">
        <f>AVERAGEIFS(Consolidate!K:K,Consolidate!D:D,'Average Rates'!B4,Consolidate!C:C,'Average Rates'!A4)</f>
        <v>23.1025477124183</v>
      </c>
    </row>
    <row r="5" spans="1:4">
      <c r="A5" s="45" t="s">
        <v>348</v>
      </c>
      <c r="B5" s="46" t="s">
        <v>354</v>
      </c>
      <c r="C5" s="47">
        <f>AVERAGEIFS(Consolidate!G:G,Consolidate!D:D,'Average Rates'!B5,Consolidate!C:C,'Average Rates'!A5)</f>
        <v>20.273400166666669</v>
      </c>
      <c r="D5" s="47">
        <f>AVERAGEIFS(Consolidate!K:K,Consolidate!D:D,'Average Rates'!B5,Consolidate!C:C,'Average Rates'!A5)</f>
        <v>18.833539833333333</v>
      </c>
    </row>
    <row r="6" spans="1:4">
      <c r="A6" s="45" t="s">
        <v>348</v>
      </c>
      <c r="B6" s="46" t="s">
        <v>116</v>
      </c>
      <c r="C6" s="47">
        <f>AVERAGEIFS(Consolidate!G:G,Consolidate!D:D,'Average Rates'!B6,Consolidate!C:C,'Average Rates'!A6)</f>
        <v>169.42599999999999</v>
      </c>
      <c r="D6" s="47">
        <f>AVERAGEIFS(Consolidate!K:K,Consolidate!D:D,'Average Rates'!B6,Consolidate!C:C,'Average Rates'!A6)</f>
        <v>190.55</v>
      </c>
    </row>
    <row r="7" spans="1:4">
      <c r="A7" s="45" t="s">
        <v>348</v>
      </c>
      <c r="B7" s="46" t="s">
        <v>1001</v>
      </c>
      <c r="C7" s="47">
        <f>AVERAGEIFS(Consolidate!G:G,Consolidate!D:D,'Average Rates'!B7,Consolidate!C:C,'Average Rates'!A7)</f>
        <v>491.33600000000001</v>
      </c>
      <c r="D7" s="47">
        <f>AVERAGEIFS(Consolidate!K:K,Consolidate!D:D,'Average Rates'!B7,Consolidate!C:C,'Average Rates'!A7)</f>
        <v>497</v>
      </c>
    </row>
    <row r="8" spans="1:4">
      <c r="A8" s="45" t="s">
        <v>358</v>
      </c>
      <c r="B8" s="46" t="s">
        <v>987</v>
      </c>
      <c r="C8" s="47">
        <f>AVERAGEIFS(Consolidate!G:G,Consolidate!D:D,'Average Rates'!B8,Consolidate!C:C,'Average Rates'!A8)</f>
        <v>50</v>
      </c>
      <c r="D8" s="47">
        <f>AVERAGEIFS(Consolidate!K:K,Consolidate!D:D,'Average Rates'!B8,Consolidate!C:C,'Average Rates'!A8)</f>
        <v>50</v>
      </c>
    </row>
    <row r="9" spans="1:4">
      <c r="A9" s="45" t="s">
        <v>358</v>
      </c>
      <c r="B9" s="46" t="s">
        <v>671</v>
      </c>
      <c r="C9" s="47">
        <f>AVERAGEIFS(Consolidate!G:G,Consolidate!D:D,'Average Rates'!B9,Consolidate!C:C,'Average Rates'!A9)</f>
        <v>66</v>
      </c>
      <c r="D9" s="47">
        <f>AVERAGEIFS(Consolidate!K:K,Consolidate!D:D,'Average Rates'!B9,Consolidate!C:C,'Average Rates'!A9)</f>
        <v>66</v>
      </c>
    </row>
    <row r="10" spans="1:4">
      <c r="A10" s="45" t="s">
        <v>358</v>
      </c>
      <c r="B10" s="46" t="s">
        <v>637</v>
      </c>
      <c r="C10" s="47">
        <f>AVERAGEIFS(Consolidate!G:G,Consolidate!D:D,'Average Rates'!B10,Consolidate!C:C,'Average Rates'!A10)</f>
        <v>10</v>
      </c>
      <c r="D10" s="47">
        <f>AVERAGEIFS(Consolidate!K:K,Consolidate!D:D,'Average Rates'!B10,Consolidate!C:C,'Average Rates'!A10)</f>
        <v>10</v>
      </c>
    </row>
    <row r="11" spans="1:4">
      <c r="A11" s="45" t="s">
        <v>358</v>
      </c>
      <c r="B11" s="46" t="s">
        <v>361</v>
      </c>
      <c r="C11" s="47">
        <f>AVERAGEIFS(Consolidate!G:G,Consolidate!D:D,'Average Rates'!B11,Consolidate!C:C,'Average Rates'!A11)</f>
        <v>57.194749999999999</v>
      </c>
      <c r="D11" s="47">
        <f>AVERAGEIFS(Consolidate!K:K,Consolidate!D:D,'Average Rates'!B11,Consolidate!C:C,'Average Rates'!A11)</f>
        <v>46.686714285714281</v>
      </c>
    </row>
    <row r="12" spans="1:4">
      <c r="A12" s="45" t="s">
        <v>358</v>
      </c>
      <c r="B12" s="46" t="s">
        <v>989</v>
      </c>
      <c r="C12" s="47">
        <f>AVERAGEIFS(Consolidate!G:G,Consolidate!D:D,'Average Rates'!B12,Consolidate!C:C,'Average Rates'!A12)</f>
        <v>94.515749999999997</v>
      </c>
      <c r="D12" s="47">
        <f>AVERAGEIFS(Consolidate!K:K,Consolidate!D:D,'Average Rates'!B12,Consolidate!C:C,'Average Rates'!A12)</f>
        <v>64.360749999999996</v>
      </c>
    </row>
    <row r="13" spans="1:4">
      <c r="A13" s="45" t="s">
        <v>358</v>
      </c>
      <c r="B13" s="46" t="s">
        <v>359</v>
      </c>
      <c r="C13" s="47">
        <f>AVERAGEIFS(Consolidate!G:G,Consolidate!D:D,'Average Rates'!B13,Consolidate!C:C,'Average Rates'!A13)</f>
        <v>540.52499999999986</v>
      </c>
      <c r="D13" s="47">
        <f>AVERAGEIFS(Consolidate!K:K,Consolidate!D:D,'Average Rates'!B13,Consolidate!C:C,'Average Rates'!A13)</f>
        <v>649.15</v>
      </c>
    </row>
    <row r="14" spans="1:4">
      <c r="A14" s="45" t="s">
        <v>358</v>
      </c>
      <c r="B14" s="46" t="s">
        <v>996</v>
      </c>
      <c r="C14" s="47">
        <f>AVERAGEIFS(Consolidate!G:G,Consolidate!D:D,'Average Rates'!B14,Consolidate!C:C,'Average Rates'!A14)</f>
        <v>260</v>
      </c>
      <c r="D14" s="47">
        <f>AVERAGEIFS(Consolidate!K:K,Consolidate!D:D,'Average Rates'!B14,Consolidate!C:C,'Average Rates'!A14)</f>
        <v>260</v>
      </c>
    </row>
    <row r="15" spans="1:4">
      <c r="A15" s="45" t="s">
        <v>358</v>
      </c>
      <c r="B15" s="46" t="s">
        <v>990</v>
      </c>
      <c r="C15" s="47">
        <f>AVERAGEIFS(Consolidate!G:G,Consolidate!D:D,'Average Rates'!B15,Consolidate!C:C,'Average Rates'!A15)</f>
        <v>45</v>
      </c>
      <c r="D15" s="47">
        <f>AVERAGEIFS(Consolidate!K:K,Consolidate!D:D,'Average Rates'!B15,Consolidate!C:C,'Average Rates'!A15)</f>
        <v>45</v>
      </c>
    </row>
    <row r="16" spans="1:4">
      <c r="A16" s="45" t="s">
        <v>358</v>
      </c>
      <c r="B16" s="46" t="s">
        <v>519</v>
      </c>
      <c r="C16" s="47">
        <f>AVERAGEIFS(Consolidate!G:G,Consolidate!D:D,'Average Rates'!B16,Consolidate!C:C,'Average Rates'!A16)</f>
        <v>44.201666666666668</v>
      </c>
      <c r="D16" s="47">
        <f>AVERAGEIFS(Consolidate!K:K,Consolidate!D:D,'Average Rates'!B16,Consolidate!C:C,'Average Rates'!A16)</f>
        <v>60.292499999999997</v>
      </c>
    </row>
    <row r="17" spans="1:4">
      <c r="A17" s="45" t="s">
        <v>358</v>
      </c>
      <c r="B17" s="46" t="s">
        <v>988</v>
      </c>
      <c r="C17" s="47">
        <f>AVERAGEIFS(Consolidate!G:G,Consolidate!D:D,'Average Rates'!B17,Consolidate!C:C,'Average Rates'!A17)</f>
        <v>438</v>
      </c>
      <c r="D17" s="47">
        <f>AVERAGEIFS(Consolidate!K:K,Consolidate!D:D,'Average Rates'!B17,Consolidate!C:C,'Average Rates'!A17)</f>
        <v>214.5</v>
      </c>
    </row>
    <row r="18" spans="1:4">
      <c r="A18" s="45" t="s">
        <v>992</v>
      </c>
      <c r="B18" s="46" t="s">
        <v>814</v>
      </c>
      <c r="C18" s="47">
        <f>AVERAGEIFS(Consolidate!G:G,Consolidate!D:D,'Average Rates'!B18,Consolidate!C:C,'Average Rates'!A18)</f>
        <v>729.16666666666663</v>
      </c>
      <c r="D18" s="47">
        <f>AVERAGEIFS(Consolidate!K:K,Consolidate!D:D,'Average Rates'!B18,Consolidate!C:C,'Average Rates'!A18)</f>
        <v>843.75</v>
      </c>
    </row>
    <row r="19" spans="1:4">
      <c r="A19" s="45" t="s">
        <v>992</v>
      </c>
      <c r="B19" s="47" t="s">
        <v>973</v>
      </c>
      <c r="C19" s="47">
        <f>AVERAGEIFS(Consolidate!G:G,Consolidate!D:D,'Average Rates'!B19,Consolidate!C:C,'Average Rates'!A19)</f>
        <v>798.5</v>
      </c>
      <c r="D19" s="47">
        <f>AVERAGEIFS(Consolidate!K:K,Consolidate!D:D,'Average Rates'!B19,Consolidate!C:C,'Average Rates'!A19)</f>
        <v>803</v>
      </c>
    </row>
    <row r="20" spans="1:4">
      <c r="A20" s="45" t="s">
        <v>345</v>
      </c>
      <c r="B20" s="46" t="s">
        <v>5</v>
      </c>
      <c r="C20" s="47">
        <f>AVERAGEIFS(Consolidate!G:G,Consolidate!D:D,'Average Rates'!B20,Consolidate!C:C,'Average Rates'!A20)</f>
        <v>126.74000000000001</v>
      </c>
      <c r="D20" s="47">
        <f>AVERAGEIFS(Consolidate!K:K,Consolidate!D:D,'Average Rates'!B20,Consolidate!C:C,'Average Rates'!A20)</f>
        <v>125.56</v>
      </c>
    </row>
    <row r="21" spans="1:4">
      <c r="A21" s="45" t="s">
        <v>345</v>
      </c>
      <c r="B21" s="46" t="s">
        <v>798</v>
      </c>
      <c r="C21" s="47">
        <f>AVERAGEIFS(Consolidate!G:G,Consolidate!D:D,'Average Rates'!B21,Consolidate!C:C,'Average Rates'!A21)</f>
        <v>450</v>
      </c>
      <c r="D21" s="47">
        <f>AVERAGEIFS(Consolidate!K:K,Consolidate!D:D,'Average Rates'!B21,Consolidate!C:C,'Average Rates'!A21)</f>
        <v>450</v>
      </c>
    </row>
    <row r="22" spans="1:4">
      <c r="A22" s="45" t="s">
        <v>345</v>
      </c>
      <c r="B22" s="46" t="s">
        <v>345</v>
      </c>
      <c r="C22" s="47">
        <f>AVERAGEIFS(Consolidate!G:G,Consolidate!D:D,'Average Rates'!B22,Consolidate!C:C,'Average Rates'!A22)</f>
        <v>521.81851264420868</v>
      </c>
      <c r="D22" s="47">
        <f>AVERAGEIFS(Consolidate!K:K,Consolidate!D:D,'Average Rates'!B22,Consolidate!C:C,'Average Rates'!A22)</f>
        <v>533.50824128211036</v>
      </c>
    </row>
    <row r="23" spans="1:4">
      <c r="A23" s="45" t="s">
        <v>345</v>
      </c>
      <c r="B23" s="46" t="s">
        <v>383</v>
      </c>
      <c r="C23" s="47">
        <f>AVERAGEIFS(Consolidate!G:G,Consolidate!D:D,'Average Rates'!B23,Consolidate!C:C,'Average Rates'!A23)</f>
        <v>443.75</v>
      </c>
      <c r="D23" s="47">
        <f>AVERAGEIFS(Consolidate!K:K,Consolidate!D:D,'Average Rates'!B23,Consolidate!C:C,'Average Rates'!A23)</f>
        <v>397.25</v>
      </c>
    </row>
    <row r="24" spans="1:4">
      <c r="A24" s="45" t="s">
        <v>345</v>
      </c>
      <c r="B24" s="46" t="s">
        <v>612</v>
      </c>
      <c r="C24" s="47">
        <f>AVERAGEIFS(Consolidate!G:G,Consolidate!D:D,'Average Rates'!B24,Consolidate!C:C,'Average Rates'!A24)</f>
        <v>675</v>
      </c>
      <c r="D24" s="47">
        <f>AVERAGEIFS(Consolidate!K:K,Consolidate!D:D,'Average Rates'!B24,Consolidate!C:C,'Average Rates'!A24)</f>
        <v>675</v>
      </c>
    </row>
    <row r="25" spans="1:4">
      <c r="A25" s="45" t="s">
        <v>345</v>
      </c>
      <c r="B25" s="46" t="s">
        <v>274</v>
      </c>
      <c r="C25" s="47">
        <f>AVERAGEIFS(Consolidate!G:G,Consolidate!D:D,'Average Rates'!B25,Consolidate!C:C,'Average Rates'!A25)</f>
        <v>381.16666666666663</v>
      </c>
      <c r="D25" s="47">
        <f>AVERAGEIFS(Consolidate!K:K,Consolidate!D:D,'Average Rates'!B25,Consolidate!C:C,'Average Rates'!A25)</f>
        <v>366.83333333333337</v>
      </c>
    </row>
    <row r="26" spans="1:4">
      <c r="A26" s="45" t="s">
        <v>356</v>
      </c>
      <c r="B26" s="46" t="s">
        <v>357</v>
      </c>
      <c r="C26" s="47">
        <f>AVERAGEIFS(Consolidate!G:G,Consolidate!D:D,'Average Rates'!B26,Consolidate!C:C,'Average Rates'!A26)</f>
        <v>403.17868530246915</v>
      </c>
      <c r="D26" s="47">
        <f>AVERAGEIFS(Consolidate!K:K,Consolidate!D:D,'Average Rates'!B26,Consolidate!C:C,'Average Rates'!A26)</f>
        <v>477.16247457407411</v>
      </c>
    </row>
    <row r="27" spans="1:4">
      <c r="A27" s="45" t="s">
        <v>356</v>
      </c>
      <c r="B27" s="46" t="s">
        <v>356</v>
      </c>
      <c r="C27" s="47">
        <f>AVERAGEIFS(Consolidate!G:G,Consolidate!D:D,'Average Rates'!B27,Consolidate!C:C,'Average Rates'!A27)</f>
        <v>968.62336507575742</v>
      </c>
      <c r="D27" s="47">
        <f>AVERAGEIFS(Consolidate!K:K,Consolidate!D:D,'Average Rates'!B27,Consolidate!C:C,'Average Rates'!A27)</f>
        <v>1048.2752286580087</v>
      </c>
    </row>
    <row r="28" spans="1:4">
      <c r="A28" s="45" t="s">
        <v>356</v>
      </c>
      <c r="B28" s="46" t="s">
        <v>454</v>
      </c>
      <c r="C28" s="47">
        <f>AVERAGEIFS(Consolidate!G:G,Consolidate!D:D,'Average Rates'!B28,Consolidate!C:C,'Average Rates'!A28)</f>
        <v>1629.9052144545765</v>
      </c>
      <c r="D28" s="47">
        <f>AVERAGEIFS(Consolidate!K:K,Consolidate!D:D,'Average Rates'!B28,Consolidate!C:C,'Average Rates'!A28)</f>
        <v>1891.6928386983566</v>
      </c>
    </row>
    <row r="29" spans="1:4">
      <c r="A29" s="45" t="s">
        <v>356</v>
      </c>
      <c r="B29" s="46" t="s">
        <v>669</v>
      </c>
      <c r="C29" s="47">
        <f>AVERAGEIFS(Consolidate!G:G,Consolidate!D:D,'Average Rates'!B29,Consolidate!C:C,'Average Rates'!A29)</f>
        <v>400</v>
      </c>
      <c r="D29" s="47">
        <f>AVERAGEIFS(Consolidate!K:K,Consolidate!D:D,'Average Rates'!B29,Consolidate!C:C,'Average Rates'!A29)</f>
        <v>400</v>
      </c>
    </row>
    <row r="30" spans="1:4">
      <c r="A30" s="45" t="s">
        <v>356</v>
      </c>
      <c r="B30" s="46" t="s">
        <v>1000</v>
      </c>
      <c r="C30" s="47">
        <f>AVERAGEIFS(Consolidate!G:G,Consolidate!D:D,'Average Rates'!B30,Consolidate!C:C,'Average Rates'!A30)</f>
        <v>1853.2777777777778</v>
      </c>
      <c r="D30" s="47">
        <f>AVERAGEIFS(Consolidate!K:K,Consolidate!D:D,'Average Rates'!B30,Consolidate!C:C,'Average Rates'!A30)</f>
        <v>2831.166666666667</v>
      </c>
    </row>
    <row r="31" spans="1:4">
      <c r="A31" s="45" t="s">
        <v>356</v>
      </c>
      <c r="B31" s="46" t="s">
        <v>995</v>
      </c>
      <c r="C31" s="47">
        <f>AVERAGEIFS(Consolidate!G:G,Consolidate!D:D,'Average Rates'!B31,Consolidate!C:C,'Average Rates'!A31)</f>
        <v>70</v>
      </c>
      <c r="D31" s="47">
        <f>AVERAGEIFS(Consolidate!K:K,Consolidate!D:D,'Average Rates'!B31,Consolidate!C:C,'Average Rates'!A31)</f>
        <v>70</v>
      </c>
    </row>
    <row r="32" spans="1:4">
      <c r="A32" s="48" t="s">
        <v>516</v>
      </c>
      <c r="B32" s="46" t="s">
        <v>352</v>
      </c>
      <c r="C32" s="47">
        <f>AVERAGEIFS(Consolidate!G:G,Consolidate!E:E,'Average Rates'!A32,Consolidate!D:D,'Average Rates'!B32)</f>
        <v>1138.3293658281736</v>
      </c>
      <c r="D32" s="47">
        <f>AVERAGEIFS(Consolidate!K:K,Consolidate!D:D,'Average Rates'!B32,Consolidate!E:E,'Average Rates'!A32)</f>
        <v>1292.2418679779523</v>
      </c>
    </row>
    <row r="33" spans="1:4">
      <c r="A33" s="48" t="s">
        <v>516</v>
      </c>
      <c r="B33" s="46" t="s">
        <v>353</v>
      </c>
      <c r="C33" s="47">
        <f>AVERAGEIFS(Consolidate!G:G,Consolidate!E:E,'Average Rates'!A33,Consolidate!D:D,'Average Rates'!B33)</f>
        <v>1437.3645976877287</v>
      </c>
      <c r="D33" s="47">
        <f>AVERAGEIFS(Consolidate!K:K,Consolidate!D:D,'Average Rates'!B33,Consolidate!E:E,'Average Rates'!A33)</f>
        <v>1562.5788554258243</v>
      </c>
    </row>
    <row r="34" spans="1:4">
      <c r="A34" s="48" t="s">
        <v>490</v>
      </c>
      <c r="B34" s="46" t="s">
        <v>350</v>
      </c>
      <c r="C34" s="47">
        <f>AVERAGEIFS(Consolidate!G:G,Consolidate!E:E,'Average Rates'!A34,Consolidate!D:D,'Average Rates'!B34)</f>
        <v>1363.9628578095239</v>
      </c>
      <c r="D34" s="47">
        <f>AVERAGEIFS(Consolidate!K:K,Consolidate!D:D,'Average Rates'!B34,Consolidate!E:E,'Average Rates'!A34)</f>
        <v>1343.1938343095237</v>
      </c>
    </row>
    <row r="35" spans="1:4">
      <c r="A35" s="48" t="s">
        <v>490</v>
      </c>
      <c r="B35" s="46" t="s">
        <v>454</v>
      </c>
      <c r="C35" s="47">
        <f>AVERAGEIFS(Consolidate!G:G,Consolidate!E:E,'Average Rates'!A35,Consolidate!D:D,'Average Rates'!B35)</f>
        <v>684.51703219678507</v>
      </c>
      <c r="D35" s="47">
        <f>AVERAGEIFS(Consolidate!K:K,Consolidate!D:D,'Average Rates'!B35,Consolidate!E:E,'Average Rates'!A35)</f>
        <v>639.3423833077087</v>
      </c>
    </row>
    <row r="36" spans="1:4">
      <c r="A36" s="48" t="s">
        <v>490</v>
      </c>
      <c r="B36" s="46" t="s">
        <v>351</v>
      </c>
      <c r="C36" s="47">
        <f>AVERAGEIFS(Consolidate!G:G,Consolidate!E:E,'Average Rates'!A36,Consolidate!D:D,'Average Rates'!B36)</f>
        <v>1285.5286771739131</v>
      </c>
      <c r="D36" s="47">
        <f>AVERAGEIFS(Consolidate!K:K,Consolidate!D:D,'Average Rates'!B36,Consolidate!E:E,'Average Rates'!A36)</f>
        <v>1321.3245038647342</v>
      </c>
    </row>
    <row r="37" spans="1:4">
      <c r="A37" s="48" t="s">
        <v>490</v>
      </c>
      <c r="B37" s="46" t="s">
        <v>352</v>
      </c>
      <c r="C37" s="47">
        <f>AVERAGEIFS(Consolidate!G:G,Consolidate!E:E,'Average Rates'!A37,Consolidate!D:D,'Average Rates'!B37)</f>
        <v>1413.5059835317459</v>
      </c>
      <c r="D37" s="47">
        <f>AVERAGEIFS(Consolidate!K:K,Consolidate!D:D,'Average Rates'!B37,Consolidate!E:E,'Average Rates'!A37)</f>
        <v>1384.1586847222225</v>
      </c>
    </row>
    <row r="38" spans="1:4">
      <c r="A38" s="48" t="s">
        <v>490</v>
      </c>
      <c r="B38" s="46" t="s">
        <v>456</v>
      </c>
      <c r="C38" s="47">
        <f>AVERAGEIFS(Consolidate!G:G,Consolidate!E:E,'Average Rates'!A38,Consolidate!D:D,'Average Rates'!B38)</f>
        <v>1342.7235913461539</v>
      </c>
      <c r="D38" s="47">
        <f>AVERAGEIFS(Consolidate!K:K,Consolidate!D:D,'Average Rates'!B38,Consolidate!E:E,'Average Rates'!A38)</f>
        <v>1267.9982980769232</v>
      </c>
    </row>
    <row r="39" spans="1:4">
      <c r="A39" s="48" t="s">
        <v>491</v>
      </c>
      <c r="B39" s="46" t="s">
        <v>350</v>
      </c>
      <c r="C39" s="47">
        <f>AVERAGEIFS(Consolidate!G:G,Consolidate!E:E,'Average Rates'!A39,Consolidate!D:D,'Average Rates'!B39)</f>
        <v>852.66321714285709</v>
      </c>
      <c r="D39" s="47">
        <f>AVERAGEIFS(Consolidate!K:K,Consolidate!D:D,'Average Rates'!B39,Consolidate!E:E,'Average Rates'!A39)</f>
        <v>958.47891260204074</v>
      </c>
    </row>
    <row r="40" spans="1:4">
      <c r="A40" s="48" t="s">
        <v>491</v>
      </c>
      <c r="B40" s="46" t="s">
        <v>454</v>
      </c>
      <c r="C40" s="47">
        <f>AVERAGEIFS(Consolidate!G:G,Consolidate!E:E,'Average Rates'!A40,Consolidate!D:D,'Average Rates'!B40)</f>
        <v>790.26139999999998</v>
      </c>
      <c r="D40" s="47">
        <f>AVERAGEIFS(Consolidate!K:K,Consolidate!D:D,'Average Rates'!B40,Consolidate!E:E,'Average Rates'!A40)</f>
        <v>844.91499999999996</v>
      </c>
    </row>
    <row r="41" spans="1:4">
      <c r="A41" s="48" t="s">
        <v>491</v>
      </c>
      <c r="B41" s="46" t="s">
        <v>351</v>
      </c>
      <c r="C41" s="47">
        <f>AVERAGEIFS(Consolidate!G:G,Consolidate!E:E,'Average Rates'!A41,Consolidate!D:D,'Average Rates'!B41)</f>
        <v>846.93306000000007</v>
      </c>
      <c r="D41" s="47">
        <f>AVERAGEIFS(Consolidate!K:K,Consolidate!D:D,'Average Rates'!B41,Consolidate!E:E,'Average Rates'!A41)</f>
        <v>1034.6894333333335</v>
      </c>
    </row>
    <row r="42" spans="1:4">
      <c r="A42" s="48" t="s">
        <v>491</v>
      </c>
      <c r="B42" s="46" t="s">
        <v>352</v>
      </c>
      <c r="C42" s="47">
        <f>AVERAGEIFS(Consolidate!G:G,Consolidate!E:E,'Average Rates'!A42,Consolidate!D:D,'Average Rates'!B42)</f>
        <v>996.1013939792482</v>
      </c>
      <c r="D42" s="47">
        <f>AVERAGEIFS(Consolidate!K:K,Consolidate!D:D,'Average Rates'!B42,Consolidate!E:E,'Average Rates'!A42)</f>
        <v>1087.9273867396241</v>
      </c>
    </row>
    <row r="43" spans="1:4">
      <c r="A43" s="48" t="s">
        <v>491</v>
      </c>
      <c r="B43" s="46" t="s">
        <v>456</v>
      </c>
      <c r="C43" s="47">
        <f>AVERAGEIFS(Consolidate!G:G,Consolidate!E:E,'Average Rates'!A43,Consolidate!D:D,'Average Rates'!B43)</f>
        <v>915.68591314176251</v>
      </c>
      <c r="D43" s="47">
        <f>AVERAGEIFS(Consolidate!K:K,Consolidate!D:D,'Average Rates'!B43,Consolidate!E:E,'Average Rates'!A43)</f>
        <v>978.63605076628346</v>
      </c>
    </row>
    <row r="44" spans="1:4">
      <c r="A44" s="48" t="s">
        <v>491</v>
      </c>
      <c r="B44" s="46" t="s">
        <v>353</v>
      </c>
      <c r="C44" s="47">
        <f>AVERAGEIFS(Consolidate!G:G,Consolidate!E:E,'Average Rates'!A44,Consolidate!D:D,'Average Rates'!B44)</f>
        <v>1496.1816568938507</v>
      </c>
      <c r="D44" s="47">
        <f>AVERAGEIFS(Consolidate!K:K,Consolidate!D:D,'Average Rates'!B44,Consolidate!E:E,'Average Rates'!A44)</f>
        <v>1560.2830528789661</v>
      </c>
    </row>
    <row r="45" spans="1:4">
      <c r="A45" s="48" t="s">
        <v>489</v>
      </c>
      <c r="B45" s="46" t="s">
        <v>350</v>
      </c>
      <c r="C45" s="47">
        <f>AVERAGEIFS(Consolidate!G:G,Consolidate!E:E,'Average Rates'!A45,Consolidate!D:D,'Average Rates'!B45)</f>
        <v>1169.6041914001403</v>
      </c>
      <c r="D45" s="47">
        <f>AVERAGEIFS(Consolidate!K:K,Consolidate!D:D,'Average Rates'!B45,Consolidate!E:E,'Average Rates'!A45)</f>
        <v>1224.0758160452149</v>
      </c>
    </row>
    <row r="46" spans="1:4">
      <c r="A46" s="48" t="s">
        <v>489</v>
      </c>
      <c r="B46" s="46" t="s">
        <v>454</v>
      </c>
      <c r="C46" s="47">
        <f>AVERAGEIFS(Consolidate!G:G,Consolidate!E:E,'Average Rates'!A46,Consolidate!D:D,'Average Rates'!B46)</f>
        <v>1169.0021864583332</v>
      </c>
      <c r="D46" s="47">
        <f>AVERAGEIFS(Consolidate!K:K,Consolidate!D:D,'Average Rates'!B46,Consolidate!E:E,'Average Rates'!A46)</f>
        <v>1204.43156875</v>
      </c>
    </row>
    <row r="47" spans="1:4">
      <c r="A47" s="48" t="s">
        <v>489</v>
      </c>
      <c r="B47" s="46" t="s">
        <v>984</v>
      </c>
      <c r="C47" s="47">
        <f>AVERAGEIFS(Consolidate!G:G,Consolidate!E:E,'Average Rates'!A47,Consolidate!D:D,'Average Rates'!B47)</f>
        <v>475.89021330180481</v>
      </c>
      <c r="D47" s="47">
        <f>AVERAGEIFS(Consolidate!K:K,Consolidate!D:D,'Average Rates'!B47,Consolidate!E:E,'Average Rates'!A47)</f>
        <v>395.18027825946973</v>
      </c>
    </row>
    <row r="48" spans="1:4">
      <c r="A48" s="48" t="s">
        <v>489</v>
      </c>
      <c r="B48" s="46" t="s">
        <v>351</v>
      </c>
      <c r="C48" s="47">
        <f>AVERAGEIFS(Consolidate!G:G,Consolidate!E:E,'Average Rates'!A48,Consolidate!D:D,'Average Rates'!B48)</f>
        <v>1080.9390385869567</v>
      </c>
      <c r="D48" s="47">
        <f>AVERAGEIFS(Consolidate!K:K,Consolidate!D:D,'Average Rates'!B48,Consolidate!E:E,'Average Rates'!A48)</f>
        <v>1116.7052097101448</v>
      </c>
    </row>
    <row r="49" spans="1:4">
      <c r="A49" s="48" t="s">
        <v>489</v>
      </c>
      <c r="B49" s="46" t="s">
        <v>352</v>
      </c>
      <c r="C49" s="47">
        <f>AVERAGEIFS(Consolidate!G:G,Consolidate!E:E,'Average Rates'!A49,Consolidate!D:D,'Average Rates'!B49)</f>
        <v>1230.1060034034724</v>
      </c>
      <c r="D49" s="47">
        <f>AVERAGEIFS(Consolidate!K:K,Consolidate!D:D,'Average Rates'!B49,Consolidate!E:E,'Average Rates'!A49)</f>
        <v>1394.5404241715275</v>
      </c>
    </row>
    <row r="50" spans="1:4">
      <c r="A50" s="48" t="s">
        <v>489</v>
      </c>
      <c r="B50" s="46" t="s">
        <v>456</v>
      </c>
      <c r="C50" s="47">
        <f>AVERAGEIFS(Consolidate!G:G,Consolidate!E:E,'Average Rates'!A50,Consolidate!D:D,'Average Rates'!B50)</f>
        <v>1324.0262303267857</v>
      </c>
      <c r="D50" s="47">
        <f>AVERAGEIFS(Consolidate!K:K,Consolidate!D:D,'Average Rates'!B50,Consolidate!E:E,'Average Rates'!A50)</f>
        <v>1374.0321660446427</v>
      </c>
    </row>
    <row r="51" spans="1:4">
      <c r="A51" s="48" t="s">
        <v>489</v>
      </c>
      <c r="B51" s="46" t="s">
        <v>353</v>
      </c>
      <c r="C51" s="47">
        <f>AVERAGEIFS(Consolidate!G:G,Consolidate!E:E,'Average Rates'!A51,Consolidate!D:D,'Average Rates'!B51)</f>
        <v>1861.1419550000001</v>
      </c>
      <c r="D51" s="47">
        <f>AVERAGEIFS(Consolidate!K:K,Consolidate!D:D,'Average Rates'!B51,Consolidate!E:E,'Average Rates'!A51)</f>
        <v>1823.9531400000001</v>
      </c>
    </row>
    <row r="52" spans="1:4">
      <c r="A52" s="48" t="s">
        <v>428</v>
      </c>
      <c r="B52" s="46" t="s">
        <v>350</v>
      </c>
      <c r="C52" s="47">
        <f>AVERAGEIFS(Consolidate!G:G,Consolidate!E:E,'Average Rates'!A52,Consolidate!D:D,'Average Rates'!B52)</f>
        <v>1715.63725</v>
      </c>
      <c r="D52" s="47">
        <f>AVERAGEIFS(Consolidate!K:K,Consolidate!D:D,'Average Rates'!B52,Consolidate!E:E,'Average Rates'!A52)</f>
        <v>1999.5678124999999</v>
      </c>
    </row>
    <row r="53" spans="1:4">
      <c r="A53" s="48" t="s">
        <v>428</v>
      </c>
      <c r="B53" s="46" t="s">
        <v>428</v>
      </c>
      <c r="C53" s="47">
        <f>AVERAGEIFS(Consolidate!G:G,Consolidate!E:E,'Average Rates'!A53,Consolidate!D:D,'Average Rates'!B53)</f>
        <v>1982.8078</v>
      </c>
      <c r="D53" s="47">
        <f>AVERAGEIFS(Consolidate!K:K,Consolidate!D:D,'Average Rates'!B53,Consolidate!E:E,'Average Rates'!A53)</f>
        <v>1925.2117999999998</v>
      </c>
    </row>
    <row r="54" spans="1:4">
      <c r="A54" s="48" t="s">
        <v>428</v>
      </c>
      <c r="B54" s="46" t="s">
        <v>351</v>
      </c>
      <c r="C54" s="47">
        <f>AVERAGEIFS(Consolidate!G:G,Consolidate!E:E,'Average Rates'!A54,Consolidate!D:D,'Average Rates'!B54)</f>
        <v>1844.4389087063494</v>
      </c>
      <c r="D54" s="47">
        <f>AVERAGEIFS(Consolidate!K:K,Consolidate!D:D,'Average Rates'!B54,Consolidate!E:E,'Average Rates'!A54)</f>
        <v>1813.1669655555554</v>
      </c>
    </row>
    <row r="55" spans="1:4">
      <c r="A55" s="48" t="s">
        <v>428</v>
      </c>
      <c r="B55" s="46" t="s">
        <v>352</v>
      </c>
      <c r="C55" s="47">
        <f>AVERAGEIFS(Consolidate!G:G,Consolidate!E:E,'Average Rates'!A55,Consolidate!D:D,'Average Rates'!B55)</f>
        <v>1756.7708125000001</v>
      </c>
      <c r="D55" s="47">
        <f>AVERAGEIFS(Consolidate!K:K,Consolidate!D:D,'Average Rates'!B55,Consolidate!E:E,'Average Rates'!A55)</f>
        <v>1807.6671458333331</v>
      </c>
    </row>
    <row r="56" spans="1:4">
      <c r="A56" s="48" t="s">
        <v>428</v>
      </c>
      <c r="B56" s="46" t="s">
        <v>456</v>
      </c>
      <c r="C56" s="47">
        <f>AVERAGEIFS(Consolidate!G:G,Consolidate!E:E,'Average Rates'!A56,Consolidate!D:D,'Average Rates'!B56)</f>
        <v>1796.2796666666668</v>
      </c>
      <c r="D56" s="47">
        <f>AVERAGEIFS(Consolidate!K:K,Consolidate!D:D,'Average Rates'!B56,Consolidate!E:E,'Average Rates'!A56)</f>
        <v>2202.5524999999998</v>
      </c>
    </row>
    <row r="57" spans="1:4">
      <c r="A57" s="48" t="s">
        <v>504</v>
      </c>
      <c r="B57" s="46" t="s">
        <v>350</v>
      </c>
      <c r="C57" s="47">
        <f>AVERAGEIFS(Consolidate!G:G,Consolidate!E:E,'Average Rates'!A57,Consolidate!D:D,'Average Rates'!B57)</f>
        <v>2222.4248990969768</v>
      </c>
      <c r="D57" s="47">
        <f>AVERAGEIFS(Consolidate!K:K,Consolidate!D:D,'Average Rates'!B57,Consolidate!E:E,'Average Rates'!A57)</f>
        <v>2459.446256723596</v>
      </c>
    </row>
    <row r="58" spans="1:4">
      <c r="A58" s="48" t="s">
        <v>504</v>
      </c>
      <c r="B58" s="46" t="s">
        <v>352</v>
      </c>
      <c r="C58" s="47">
        <f>AVERAGEIFS(Consolidate!G:G,Consolidate!E:E,'Average Rates'!A58,Consolidate!D:D,'Average Rates'!B58)</f>
        <v>2308.0143222222218</v>
      </c>
      <c r="D58" s="47">
        <f>AVERAGEIFS(Consolidate!K:K,Consolidate!D:D,'Average Rates'!B58,Consolidate!E:E,'Average Rates'!A58)</f>
        <v>2697.6952444444446</v>
      </c>
    </row>
    <row r="59" spans="1:4">
      <c r="A59" s="48" t="s">
        <v>514</v>
      </c>
      <c r="B59" s="46" t="s">
        <v>454</v>
      </c>
      <c r="C59" s="47">
        <f>AVERAGEIFS(Consolidate!G:G,Consolidate!E:E,'Average Rates'!A59,Consolidate!D:D,'Average Rates'!B59)</f>
        <v>1888.3071333333335</v>
      </c>
      <c r="D59" s="47">
        <f>AVERAGEIFS(Consolidate!K:K,Consolidate!D:D,'Average Rates'!B59,Consolidate!E:E,'Average Rates'!A59)</f>
        <v>2010.2900000000002</v>
      </c>
    </row>
    <row r="60" spans="1:4">
      <c r="A60" s="48" t="s">
        <v>514</v>
      </c>
      <c r="B60" s="46" t="s">
        <v>351</v>
      </c>
      <c r="C60" s="47">
        <f>AVERAGEIFS(Consolidate!G:G,Consolidate!E:E,'Average Rates'!A60,Consolidate!D:D,'Average Rates'!B60)</f>
        <v>2048.05556875</v>
      </c>
      <c r="D60" s="47">
        <f>AVERAGEIFS(Consolidate!K:K,Consolidate!D:D,'Average Rates'!B60,Consolidate!E:E,'Average Rates'!A60)</f>
        <v>2172.0130125000001</v>
      </c>
    </row>
    <row r="61" spans="1:4">
      <c r="A61" s="48" t="s">
        <v>514</v>
      </c>
      <c r="B61" s="46" t="s">
        <v>352</v>
      </c>
      <c r="C61" s="47">
        <f>AVERAGEIFS(Consolidate!G:G,Consolidate!E:E,'Average Rates'!A61,Consolidate!D:D,'Average Rates'!B61)</f>
        <v>1996.0706615725489</v>
      </c>
      <c r="D61" s="47">
        <f>AVERAGEIFS(Consolidate!K:K,Consolidate!D:D,'Average Rates'!B61,Consolidate!E:E,'Average Rates'!A61)</f>
        <v>2101.6563149473391</v>
      </c>
    </row>
    <row r="62" spans="1:4">
      <c r="A62" s="48" t="s">
        <v>514</v>
      </c>
      <c r="B62" s="46" t="s">
        <v>456</v>
      </c>
      <c r="C62" s="47">
        <f>AVERAGEIFS(Consolidate!G:G,Consolidate!E:E,'Average Rates'!A62,Consolidate!D:D,'Average Rates'!B62)</f>
        <v>1793.3938457142858</v>
      </c>
      <c r="D62" s="47">
        <f>AVERAGEIFS(Consolidate!K:K,Consolidate!D:D,'Average Rates'!B62,Consolidate!E:E,'Average Rates'!A62)</f>
        <v>1897.9417833928571</v>
      </c>
    </row>
    <row r="63" spans="1:4">
      <c r="A63" s="48" t="s">
        <v>514</v>
      </c>
      <c r="B63" s="46" t="s">
        <v>353</v>
      </c>
      <c r="C63" s="47">
        <f>AVERAGEIFS(Consolidate!G:G,Consolidate!E:E,'Average Rates'!A63,Consolidate!D:D,'Average Rates'!B63)</f>
        <v>2476.2068788851357</v>
      </c>
      <c r="D63" s="47">
        <f>AVERAGEIFS(Consolidate!K:K,Consolidate!D:D,'Average Rates'!B63,Consolidate!E:E,'Average Rates'!A63)</f>
        <v>2556.3503942641014</v>
      </c>
    </row>
    <row r="64" spans="1:4">
      <c r="A64" s="48" t="s">
        <v>492</v>
      </c>
      <c r="B64" s="46" t="s">
        <v>351</v>
      </c>
      <c r="C64" s="47">
        <f>AVERAGEIFS(Consolidate!G:G,Consolidate!E:E,'Average Rates'!A64,Consolidate!D:D,'Average Rates'!B64)</f>
        <v>3075.0396666666666</v>
      </c>
      <c r="D64" s="47">
        <f>AVERAGEIFS(Consolidate!K:K,Consolidate!D:D,'Average Rates'!B64,Consolidate!E:E,'Average Rates'!A64)</f>
        <v>3170.8649999999998</v>
      </c>
    </row>
    <row r="65" spans="1:4">
      <c r="A65" s="48" t="s">
        <v>492</v>
      </c>
      <c r="B65" s="46" t="s">
        <v>352</v>
      </c>
      <c r="C65" s="47">
        <f>AVERAGEIFS(Consolidate!G:G,Consolidate!E:E,'Average Rates'!A65,Consolidate!D:D,'Average Rates'!B65)</f>
        <v>2092.1807154761905</v>
      </c>
      <c r="D65" s="47">
        <f>AVERAGEIFS(Consolidate!K:K,Consolidate!D:D,'Average Rates'!B65,Consolidate!E:E,'Average Rates'!A65)</f>
        <v>1757.0581345238095</v>
      </c>
    </row>
    <row r="66" spans="1:4">
      <c r="A66" s="48" t="s">
        <v>492</v>
      </c>
      <c r="B66" s="46" t="s">
        <v>456</v>
      </c>
      <c r="C66" s="47">
        <f>AVERAGEIFS(Consolidate!G:G,Consolidate!E:E,'Average Rates'!A66,Consolidate!D:D,'Average Rates'!B66)</f>
        <v>2029.28</v>
      </c>
      <c r="D66" s="47">
        <f>AVERAGEIFS(Consolidate!K:K,Consolidate!D:D,'Average Rates'!B66,Consolidate!E:E,'Average Rates'!A66)</f>
        <v>1611.54</v>
      </c>
    </row>
    <row r="67" spans="1:4">
      <c r="A67" s="48" t="s">
        <v>492</v>
      </c>
      <c r="B67" s="46" t="s">
        <v>353</v>
      </c>
      <c r="C67" s="47">
        <f>AVERAGEIFS(Consolidate!G:G,Consolidate!E:E,'Average Rates'!A67,Consolidate!D:D,'Average Rates'!B67)</f>
        <v>2500.5406250000001</v>
      </c>
      <c r="D67" s="47">
        <f>AVERAGEIFS(Consolidate!K:K,Consolidate!D:D,'Average Rates'!B67,Consolidate!E:E,'Average Rates'!A67)</f>
        <v>2062.8050000000003</v>
      </c>
    </row>
    <row r="68" spans="1:4">
      <c r="A68" s="45" t="s">
        <v>355</v>
      </c>
      <c r="B68" s="46" t="s">
        <v>985</v>
      </c>
      <c r="C68" s="47">
        <f>AVERAGEIFS(Consolidate!G:G,Consolidate!D:D,'Average Rates'!B68,Consolidate!C:C,'Average Rates'!A68)</f>
        <v>34.18817</v>
      </c>
      <c r="D68" s="47">
        <f>AVERAGEIFS(Consolidate!K:K,Consolidate!D:D,'Average Rates'!B68,Consolidate!C:C,'Average Rates'!A68)</f>
        <v>36.1815</v>
      </c>
    </row>
    <row r="69" spans="1:4">
      <c r="A69" s="45" t="s">
        <v>355</v>
      </c>
      <c r="B69" s="46" t="s">
        <v>221</v>
      </c>
      <c r="C69" s="47">
        <f>AVERAGEIFS(Consolidate!G:G,Consolidate!D:D,'Average Rates'!B69,Consolidate!C:C,'Average Rates'!A69)</f>
        <v>10.135625000000001</v>
      </c>
      <c r="D69" s="47">
        <f>AVERAGEIFS(Consolidate!K:K,Consolidate!D:D,'Average Rates'!B69,Consolidate!C:C,'Average Rates'!A69)</f>
        <v>9.8933333333333309</v>
      </c>
    </row>
    <row r="70" spans="1:4">
      <c r="A70" s="45" t="s">
        <v>355</v>
      </c>
      <c r="B70" s="46" t="s">
        <v>281</v>
      </c>
      <c r="C70" s="47">
        <f>AVERAGEIFS(Consolidate!G:G,Consolidate!D:D,'Average Rates'!B70,Consolidate!C:C,'Average Rates'!A70)</f>
        <v>8.5139678362573097</v>
      </c>
      <c r="D70" s="47">
        <f>AVERAGEIFS(Consolidate!K:K,Consolidate!D:D,'Average Rates'!B70,Consolidate!C:C,'Average Rates'!A70)</f>
        <v>8.5437558479532179</v>
      </c>
    </row>
    <row r="71" spans="1:4">
      <c r="A71" s="45" t="s">
        <v>355</v>
      </c>
      <c r="B71" s="46" t="s">
        <v>976</v>
      </c>
      <c r="C71" s="47">
        <f>AVERAGEIFS(Consolidate!G:G,Consolidate!D:D,'Average Rates'!B71,Consolidate!C:C,'Average Rates'!A71)</f>
        <v>10.405625000000001</v>
      </c>
      <c r="D71" s="47">
        <f>AVERAGEIFS(Consolidate!K:K,Consolidate!D:D,'Average Rates'!B71,Consolidate!C:C,'Average Rates'!A71)</f>
        <v>10.203333333333331</v>
      </c>
    </row>
    <row r="72" spans="1:4">
      <c r="A72" s="45" t="s">
        <v>355</v>
      </c>
      <c r="B72" s="46" t="s">
        <v>407</v>
      </c>
      <c r="C72" s="47">
        <f>AVERAGEIFS(Consolidate!G:G,Consolidate!D:D,'Average Rates'!B72,Consolidate!C:C,'Average Rates'!A72)</f>
        <v>13.603860000000001</v>
      </c>
      <c r="D72" s="47">
        <f>AVERAGEIFS(Consolidate!K:K,Consolidate!D:D,'Average Rates'!B72,Consolidate!C:C,'Average Rates'!A72)</f>
        <v>13.867147500000002</v>
      </c>
    </row>
    <row r="73" spans="1:4">
      <c r="A73" s="45" t="s">
        <v>355</v>
      </c>
      <c r="B73" s="46" t="s">
        <v>523</v>
      </c>
      <c r="C73" s="47">
        <f>AVERAGEIFS(Consolidate!G:G,Consolidate!D:D,'Average Rates'!B73,Consolidate!C:C,'Average Rates'!A73)</f>
        <v>37.928872752380954</v>
      </c>
      <c r="D73" s="47">
        <f>AVERAGEIFS(Consolidate!K:K,Consolidate!D:D,'Average Rates'!B73,Consolidate!C:C,'Average Rates'!A73)</f>
        <v>38.23958402142857</v>
      </c>
    </row>
    <row r="74" spans="1:4">
      <c r="A74" s="45" t="s">
        <v>355</v>
      </c>
      <c r="B74" s="46" t="s">
        <v>371</v>
      </c>
      <c r="C74" s="47">
        <f>AVERAGEIFS(Consolidate!G:G,Consolidate!D:D,'Average Rates'!B74,Consolidate!C:C,'Average Rates'!A74)</f>
        <v>21.774937878787881</v>
      </c>
      <c r="D74" s="47">
        <f>AVERAGEIFS(Consolidate!K:K,Consolidate!D:D,'Average Rates'!B74,Consolidate!C:C,'Average Rates'!A74)</f>
        <v>22.630895454545453</v>
      </c>
    </row>
    <row r="75" spans="1:4">
      <c r="A75" s="45" t="s">
        <v>355</v>
      </c>
      <c r="B75" s="46" t="s">
        <v>406</v>
      </c>
      <c r="C75" s="47">
        <f>AVERAGEIFS(Consolidate!G:G,Consolidate!D:D,'Average Rates'!B75,Consolidate!C:C,'Average Rates'!A75)</f>
        <v>18.64423</v>
      </c>
      <c r="D75" s="47">
        <f>AVERAGEIFS(Consolidate!K:K,Consolidate!D:D,'Average Rates'!B75,Consolidate!C:C,'Average Rates'!A75)</f>
        <v>19.171999999999997</v>
      </c>
    </row>
    <row r="76" spans="1:4">
      <c r="A76" s="48" t="s">
        <v>489</v>
      </c>
      <c r="B76" s="46" t="s">
        <v>986</v>
      </c>
      <c r="C76" s="47">
        <f>AVERAGEIFS(Consolidate!G:G,Consolidate!E:E,'Average Rates'!A76,Consolidate!D:D,'Average Rates'!B76)</f>
        <v>171.41508444444443</v>
      </c>
      <c r="D76" s="47">
        <f>AVERAGEIFS(Consolidate!K:K,Consolidate!D:D,'Average Rates'!B76,Consolidate!E:E,'Average Rates'!A76)</f>
        <v>185.33342555555558</v>
      </c>
    </row>
    <row r="77" spans="1:4">
      <c r="A77" s="45" t="s">
        <v>362</v>
      </c>
      <c r="B77" s="46" t="s">
        <v>994</v>
      </c>
      <c r="C77" s="47">
        <f>AVERAGEIFS(Consolidate!G:G,Consolidate!D:D,'Average Rates'!B77,Consolidate!C:C,'Average Rates'!A77)</f>
        <v>31.208000000000002</v>
      </c>
      <c r="D77" s="47">
        <f>AVERAGEIFS(Consolidate!K:K,Consolidate!D:D,'Average Rates'!B77,Consolidate!C:C,'Average Rates'!A77)</f>
        <v>39.599968750000002</v>
      </c>
    </row>
    <row r="78" spans="1:4">
      <c r="A78" s="45" t="s">
        <v>362</v>
      </c>
      <c r="B78" s="46" t="s">
        <v>365</v>
      </c>
      <c r="C78" s="47">
        <f>AVERAGEIFS(Consolidate!G:G,Consolidate!D:D,'Average Rates'!B78,Consolidate!C:C,'Average Rates'!A78)</f>
        <v>1846.4764975490198</v>
      </c>
      <c r="D78" s="47">
        <f>AVERAGEIFS(Consolidate!K:K,Consolidate!D:D,'Average Rates'!B78,Consolidate!C:C,'Average Rates'!A78)</f>
        <v>1464.1139666666668</v>
      </c>
    </row>
    <row r="79" spans="1:4">
      <c r="A79" s="45" t="s">
        <v>362</v>
      </c>
      <c r="B79" s="46" t="s">
        <v>354</v>
      </c>
      <c r="C79" s="47">
        <f>AVERAGEIFS(Consolidate!G:G,Consolidate!D:D,'Average Rates'!B79,Consolidate!C:C,'Average Rates'!A79)</f>
        <v>793.46761628196236</v>
      </c>
      <c r="D79" s="47">
        <f>AVERAGEIFS(Consolidate!K:K,Consolidate!D:D,'Average Rates'!B79,Consolidate!C:C,'Average Rates'!A79)</f>
        <v>603.21794321495895</v>
      </c>
    </row>
    <row r="80" spans="1:4">
      <c r="A80" s="45" t="s">
        <v>346</v>
      </c>
      <c r="B80" s="46" t="s">
        <v>350</v>
      </c>
      <c r="C80" s="47">
        <f>AVERAGEIFS(Consolidate!G:G,Consolidate!D:D,'Average Rates'!B80,Consolidate!C:C,'Average Rates'!A80)</f>
        <v>140.86795999999998</v>
      </c>
      <c r="D80" s="47">
        <f>AVERAGEIFS(Consolidate!K:K,Consolidate!D:D,'Average Rates'!B80,Consolidate!C:C,'Average Rates'!A80)</f>
        <v>186.5522</v>
      </c>
    </row>
    <row r="81" spans="1:4">
      <c r="A81" s="45" t="s">
        <v>346</v>
      </c>
      <c r="B81" s="46" t="s">
        <v>993</v>
      </c>
      <c r="C81" s="47">
        <f>AVERAGEIFS(Consolidate!G:G,Consolidate!D:D,'Average Rates'!B81,Consolidate!C:C,'Average Rates'!A81)</f>
        <v>727.15061929824572</v>
      </c>
      <c r="D81" s="47">
        <f>AVERAGEIFS(Consolidate!K:K,Consolidate!D:D,'Average Rates'!B81,Consolidate!C:C,'Average Rates'!A81)</f>
        <v>690.37629298245611</v>
      </c>
    </row>
    <row r="82" spans="1:4">
      <c r="A82" s="45" t="s">
        <v>346</v>
      </c>
      <c r="B82" s="46" t="s">
        <v>454</v>
      </c>
      <c r="C82" s="47">
        <f>AVERAGEIFS(Consolidate!G:G,Consolidate!D:D,'Average Rates'!B82,Consolidate!C:C,'Average Rates'!A82)</f>
        <v>537.07702213675213</v>
      </c>
      <c r="D82" s="47">
        <f>AVERAGEIFS(Consolidate!K:K,Consolidate!D:D,'Average Rates'!B82,Consolidate!C:C,'Average Rates'!A82)</f>
        <v>498.33940420024425</v>
      </c>
    </row>
    <row r="83" spans="1:4">
      <c r="A83" s="45" t="s">
        <v>346</v>
      </c>
      <c r="B83" s="46" t="s">
        <v>351</v>
      </c>
      <c r="C83" s="47">
        <f>AVERAGEIFS(Consolidate!G:G,Consolidate!D:D,'Average Rates'!B83,Consolidate!C:C,'Average Rates'!A83)</f>
        <v>292.13836388888888</v>
      </c>
      <c r="D83" s="47">
        <f>AVERAGEIFS(Consolidate!K:K,Consolidate!D:D,'Average Rates'!B83,Consolidate!C:C,'Average Rates'!A83)</f>
        <v>321.31833333333333</v>
      </c>
    </row>
    <row r="84" spans="1:4">
      <c r="A84" s="45" t="s">
        <v>346</v>
      </c>
      <c r="B84" s="46" t="s">
        <v>352</v>
      </c>
      <c r="C84" s="47">
        <f>AVERAGEIFS(Consolidate!G:G,Consolidate!D:D,'Average Rates'!B84,Consolidate!C:C,'Average Rates'!A84)</f>
        <v>615.98472763095242</v>
      </c>
      <c r="D84" s="47">
        <f>AVERAGEIFS(Consolidate!K:K,Consolidate!D:D,'Average Rates'!B84,Consolidate!C:C,'Average Rates'!A84)</f>
        <v>700.88067845238106</v>
      </c>
    </row>
    <row r="85" spans="1:4">
      <c r="A85" s="45" t="s">
        <v>346</v>
      </c>
      <c r="B85" s="46" t="s">
        <v>353</v>
      </c>
      <c r="C85" s="47">
        <f>AVERAGEIFS(Consolidate!G:G,Consolidate!D:D,'Average Rates'!B85,Consolidate!C:C,'Average Rates'!A85)</f>
        <v>665.31588312500003</v>
      </c>
      <c r="D85" s="47">
        <f>AVERAGEIFS(Consolidate!K:K,Consolidate!D:D,'Average Rates'!B85,Consolidate!C:C,'Average Rates'!A85)</f>
        <v>624.84337053571448</v>
      </c>
    </row>
    <row r="86" spans="1:4">
      <c r="A86" s="45" t="s">
        <v>346</v>
      </c>
      <c r="B86" s="46" t="s">
        <v>617</v>
      </c>
      <c r="C86" s="47">
        <f>AVERAGEIFS(Consolidate!G:G,Consolidate!D:D,'Average Rates'!B86,Consolidate!C:C,'Average Rates'!A86)</f>
        <v>1314.6131600000001</v>
      </c>
      <c r="D86" s="47">
        <f>AVERAGEIFS(Consolidate!K:K,Consolidate!D:D,'Average Rates'!B86,Consolidate!C:C,'Average Rates'!A86)</f>
        <v>1274.18128</v>
      </c>
    </row>
    <row r="87" spans="1:4">
      <c r="A87" s="45" t="s">
        <v>347</v>
      </c>
      <c r="B87" s="46" t="s">
        <v>365</v>
      </c>
      <c r="C87" s="47">
        <f>AVERAGEIFS(Consolidate!G:G,Consolidate!D:D,'Average Rates'!B87,Consolidate!C:C,'Average Rates'!A87)</f>
        <v>77.564662499999997</v>
      </c>
      <c r="D87" s="47">
        <f>AVERAGEIFS(Consolidate!K:K,Consolidate!D:D,'Average Rates'!B87,Consolidate!C:C,'Average Rates'!A87)</f>
        <v>102.42536250000001</v>
      </c>
    </row>
    <row r="88" spans="1:4">
      <c r="A88" s="45" t="s">
        <v>347</v>
      </c>
      <c r="B88" s="46" t="s">
        <v>354</v>
      </c>
      <c r="C88" s="47">
        <f>AVERAGEIFS(Consolidate!G:G,Consolidate!D:D,'Average Rates'!B88,Consolidate!C:C,'Average Rates'!A88)</f>
        <v>43.813000000000002</v>
      </c>
      <c r="D88" s="47">
        <f>AVERAGEIFS(Consolidate!K:K,Consolidate!D:D,'Average Rates'!B88,Consolidate!C:C,'Average Rates'!A88)</f>
        <v>39.051000000000002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37"/>
  <sheetViews>
    <sheetView workbookViewId="0">
      <pane ySplit="2" topLeftCell="A30" activePane="bottomLeft" state="frozen"/>
      <selection pane="bottomLeft" activeCell="A56" sqref="A56"/>
    </sheetView>
  </sheetViews>
  <sheetFormatPr defaultRowHeight="15"/>
  <cols>
    <col min="1" max="1" width="20.140625" bestFit="1" customWidth="1"/>
    <col min="2" max="2" width="15.7109375" bestFit="1" customWidth="1"/>
    <col min="3" max="3" width="11.85546875" bestFit="1" customWidth="1"/>
  </cols>
  <sheetData>
    <row r="1" spans="1:3" ht="18.75">
      <c r="A1" s="16" t="s">
        <v>482</v>
      </c>
    </row>
    <row r="2" spans="1:3">
      <c r="A2" s="27" t="s">
        <v>480</v>
      </c>
      <c r="B2" s="27" t="s">
        <v>457</v>
      </c>
      <c r="C2" s="27" t="s">
        <v>481</v>
      </c>
    </row>
    <row r="3" spans="1:3">
      <c r="A3" s="28" t="s">
        <v>348</v>
      </c>
      <c r="B3" s="29" t="s">
        <v>365</v>
      </c>
      <c r="C3" s="30">
        <f>COUNTIFS(Consolidate!C:C,'Category Wise'!A3,Consolidate!D:D,'Category Wise'!B3)</f>
        <v>6</v>
      </c>
    </row>
    <row r="4" spans="1:3">
      <c r="A4" s="28" t="s">
        <v>348</v>
      </c>
      <c r="B4" s="29" t="s">
        <v>354</v>
      </c>
      <c r="C4" s="30">
        <f>COUNTIFS(Consolidate!C:C,'Category Wise'!A4,Consolidate!D:D,'Category Wise'!B4)</f>
        <v>5</v>
      </c>
    </row>
    <row r="5" spans="1:3">
      <c r="A5" s="28" t="s">
        <v>358</v>
      </c>
      <c r="B5" s="29" t="s">
        <v>358</v>
      </c>
      <c r="C5" s="30">
        <f>COUNTIFS(Consolidate!C:C,'Category Wise'!A5,Consolidate!D:D,'Category Wise'!B5)</f>
        <v>0</v>
      </c>
    </row>
    <row r="6" spans="1:3">
      <c r="A6" s="28" t="s">
        <v>358</v>
      </c>
      <c r="B6" s="29" t="s">
        <v>361</v>
      </c>
      <c r="C6" s="30">
        <f>COUNTIFS(Consolidate!C:C,'Category Wise'!A6,Consolidate!D:D,'Category Wise'!B6)</f>
        <v>4</v>
      </c>
    </row>
    <row r="7" spans="1:3">
      <c r="A7" s="28" t="s">
        <v>358</v>
      </c>
      <c r="B7" s="29" t="s">
        <v>626</v>
      </c>
      <c r="C7" s="30">
        <f>COUNTIFS(Consolidate!C:C,'Category Wise'!A7,Consolidate!D:D,'Category Wise'!B7)</f>
        <v>0</v>
      </c>
    </row>
    <row r="8" spans="1:3">
      <c r="A8" s="28" t="s">
        <v>358</v>
      </c>
      <c r="B8" s="29" t="s">
        <v>359</v>
      </c>
      <c r="C8" s="30">
        <f>COUNTIFS(Consolidate!C:C,'Category Wise'!A8,Consolidate!D:D,'Category Wise'!B8)</f>
        <v>2</v>
      </c>
    </row>
    <row r="9" spans="1:3">
      <c r="A9" s="28" t="s">
        <v>358</v>
      </c>
      <c r="B9" s="29" t="s">
        <v>248</v>
      </c>
      <c r="C9" s="30">
        <f>COUNTIFS(Consolidate!C:C,'Category Wise'!A9,Consolidate!D:D,'Category Wise'!B9)</f>
        <v>0</v>
      </c>
    </row>
    <row r="10" spans="1:3">
      <c r="A10" s="28" t="s">
        <v>345</v>
      </c>
      <c r="B10" s="29" t="s">
        <v>345</v>
      </c>
      <c r="C10" s="30">
        <f>COUNTIFS(Consolidate!C:C,'Category Wise'!A10,Consolidate!D:D,'Category Wise'!B10)</f>
        <v>11</v>
      </c>
    </row>
    <row r="11" spans="1:3">
      <c r="A11" s="28" t="s">
        <v>356</v>
      </c>
      <c r="B11" s="29" t="s">
        <v>357</v>
      </c>
      <c r="C11" s="30">
        <f>COUNTIFS(Consolidate!C:C,'Category Wise'!A11,Consolidate!D:D,'Category Wise'!B11)</f>
        <v>9</v>
      </c>
    </row>
    <row r="12" spans="1:3">
      <c r="A12" s="28" t="s">
        <v>356</v>
      </c>
      <c r="B12" s="29" t="s">
        <v>356</v>
      </c>
      <c r="C12" s="30">
        <f>COUNTIFS(Consolidate!C:C,'Category Wise'!A12,Consolidate!D:D,'Category Wise'!B12)</f>
        <v>22</v>
      </c>
    </row>
    <row r="13" spans="1:3">
      <c r="A13" s="28" t="s">
        <v>356</v>
      </c>
      <c r="B13" s="29" t="s">
        <v>454</v>
      </c>
      <c r="C13" s="30">
        <f>COUNTIFS(Consolidate!C:C,'Category Wise'!A13,Consolidate!D:D,'Category Wise'!B13)</f>
        <v>6</v>
      </c>
    </row>
    <row r="14" spans="1:3">
      <c r="A14" s="28" t="s">
        <v>356</v>
      </c>
      <c r="B14" s="29" t="s">
        <v>363</v>
      </c>
      <c r="C14" s="30">
        <f>COUNTIFS(Consolidate!C:C,'Category Wise'!A14,Consolidate!D:D,'Category Wise'!B14)</f>
        <v>0</v>
      </c>
    </row>
    <row r="15" spans="1:3">
      <c r="A15" s="28" t="s">
        <v>356</v>
      </c>
      <c r="B15" s="29" t="s">
        <v>455</v>
      </c>
      <c r="C15" s="30">
        <f>COUNTIFS(Consolidate!C:C,'Category Wise'!A15,Consolidate!D:D,'Category Wise'!B15)</f>
        <v>0</v>
      </c>
    </row>
    <row r="16" spans="1:3">
      <c r="A16" s="28" t="s">
        <v>356</v>
      </c>
      <c r="B16" s="29" t="s">
        <v>353</v>
      </c>
      <c r="C16" s="30">
        <f>COUNTIFS(Consolidate!C:C,'Category Wise'!A16,Consolidate!D:D,'Category Wise'!B16)</f>
        <v>0</v>
      </c>
    </row>
    <row r="17" spans="1:3">
      <c r="A17" s="28" t="s">
        <v>349</v>
      </c>
      <c r="B17" s="29" t="s">
        <v>350</v>
      </c>
      <c r="C17" s="30">
        <f>COUNTIFS(Consolidate!C:C,'Category Wise'!A17,Consolidate!D:D,'Category Wise'!B17)</f>
        <v>29</v>
      </c>
    </row>
    <row r="18" spans="1:3">
      <c r="A18" s="28" t="s">
        <v>349</v>
      </c>
      <c r="B18" s="29" t="s">
        <v>454</v>
      </c>
      <c r="C18" s="30">
        <f>COUNTIFS(Consolidate!C:C,'Category Wise'!A18,Consolidate!D:D,'Category Wise'!B18)</f>
        <v>13</v>
      </c>
    </row>
    <row r="19" spans="1:3">
      <c r="A19" s="28" t="s">
        <v>349</v>
      </c>
      <c r="B19" s="29" t="s">
        <v>428</v>
      </c>
      <c r="C19" s="30">
        <f>COUNTIFS(Consolidate!C:C,'Category Wise'!A19,Consolidate!D:D,'Category Wise'!B19)</f>
        <v>2</v>
      </c>
    </row>
    <row r="20" spans="1:3">
      <c r="A20" s="28" t="s">
        <v>349</v>
      </c>
      <c r="B20" s="29" t="s">
        <v>351</v>
      </c>
      <c r="C20" s="30">
        <f>COUNTIFS(Consolidate!C:C,'Category Wise'!A20,Consolidate!D:D,'Category Wise'!B20)</f>
        <v>29</v>
      </c>
    </row>
    <row r="21" spans="1:3">
      <c r="A21" s="28" t="s">
        <v>349</v>
      </c>
      <c r="B21" s="29" t="s">
        <v>364</v>
      </c>
      <c r="C21" s="30">
        <f>COUNTIFS(Consolidate!C:C,'Category Wise'!A21,Consolidate!D:D,'Category Wise'!B21)</f>
        <v>0</v>
      </c>
    </row>
    <row r="22" spans="1:3">
      <c r="A22" s="28" t="s">
        <v>349</v>
      </c>
      <c r="B22" s="29" t="s">
        <v>352</v>
      </c>
      <c r="C22" s="30">
        <f>COUNTIFS(Consolidate!C:C,'Category Wise'!A22,Consolidate!D:D,'Category Wise'!B22)</f>
        <v>78</v>
      </c>
    </row>
    <row r="23" spans="1:3">
      <c r="A23" s="28" t="s">
        <v>349</v>
      </c>
      <c r="B23" s="29" t="s">
        <v>456</v>
      </c>
      <c r="C23" s="30">
        <f>COUNTIFS(Consolidate!C:C,'Category Wise'!A23,Consolidate!D:D,'Category Wise'!B23)</f>
        <v>20</v>
      </c>
    </row>
    <row r="24" spans="1:3">
      <c r="A24" s="28" t="s">
        <v>349</v>
      </c>
      <c r="B24" s="29" t="s">
        <v>353</v>
      </c>
      <c r="C24" s="30">
        <f>COUNTIFS(Consolidate!C:C,'Category Wise'!A24,Consolidate!D:D,'Category Wise'!B24)</f>
        <v>19</v>
      </c>
    </row>
    <row r="25" spans="1:3">
      <c r="A25" s="28" t="s">
        <v>355</v>
      </c>
      <c r="B25" s="29" t="s">
        <v>355</v>
      </c>
      <c r="C25" s="30">
        <f>COUNTIFS(Consolidate!C:C,'Category Wise'!A25,Consolidate!D:D,'Category Wise'!B25)</f>
        <v>0</v>
      </c>
    </row>
    <row r="26" spans="1:3">
      <c r="A26" s="28" t="s">
        <v>362</v>
      </c>
      <c r="B26" s="29" t="s">
        <v>365</v>
      </c>
      <c r="C26" s="30">
        <f>COUNTIFS(Consolidate!C:C,'Category Wise'!A26,Consolidate!D:D,'Category Wise'!B26)</f>
        <v>2</v>
      </c>
    </row>
    <row r="27" spans="1:3">
      <c r="A27" s="28" t="s">
        <v>362</v>
      </c>
      <c r="B27" s="29" t="s">
        <v>354</v>
      </c>
      <c r="C27" s="30">
        <f>COUNTIFS(Consolidate!C:C,'Category Wise'!A27,Consolidate!D:D,'Category Wise'!B27)</f>
        <v>24</v>
      </c>
    </row>
    <row r="28" spans="1:3">
      <c r="A28" s="28" t="s">
        <v>346</v>
      </c>
      <c r="B28" s="29" t="s">
        <v>350</v>
      </c>
      <c r="C28" s="30">
        <f>COUNTIFS(Consolidate!C:C,'Category Wise'!A28,Consolidate!D:D,'Category Wise'!B28)</f>
        <v>1</v>
      </c>
    </row>
    <row r="29" spans="1:3">
      <c r="A29" s="28" t="s">
        <v>346</v>
      </c>
      <c r="B29" s="29" t="s">
        <v>454</v>
      </c>
      <c r="C29" s="30">
        <f>COUNTIFS(Consolidate!C:C,'Category Wise'!A29,Consolidate!D:D,'Category Wise'!B29)</f>
        <v>13</v>
      </c>
    </row>
    <row r="30" spans="1:3">
      <c r="A30" s="28" t="s">
        <v>346</v>
      </c>
      <c r="B30" s="29" t="s">
        <v>351</v>
      </c>
      <c r="C30" s="30">
        <f>COUNTIFS(Consolidate!C:C,'Category Wise'!A30,Consolidate!D:D,'Category Wise'!B30)</f>
        <v>6</v>
      </c>
    </row>
    <row r="31" spans="1:3">
      <c r="A31" s="28" t="s">
        <v>346</v>
      </c>
      <c r="B31" s="29" t="s">
        <v>352</v>
      </c>
      <c r="C31" s="30">
        <f>COUNTIFS(Consolidate!C:C,'Category Wise'!A31,Consolidate!D:D,'Category Wise'!B31)</f>
        <v>15</v>
      </c>
    </row>
    <row r="32" spans="1:3">
      <c r="A32" s="28" t="s">
        <v>346</v>
      </c>
      <c r="B32" s="29" t="s">
        <v>353</v>
      </c>
      <c r="C32" s="30">
        <f>COUNTIFS(Consolidate!C:C,'Category Wise'!A32,Consolidate!D:D,'Category Wise'!B32)</f>
        <v>16</v>
      </c>
    </row>
    <row r="33" spans="1:3">
      <c r="A33" s="28" t="s">
        <v>347</v>
      </c>
      <c r="B33" s="29" t="s">
        <v>365</v>
      </c>
      <c r="C33" s="30">
        <f>COUNTIFS(Consolidate!C:C,'Category Wise'!A33,Consolidate!D:D,'Category Wise'!B33)</f>
        <v>4</v>
      </c>
    </row>
    <row r="34" spans="1:3">
      <c r="A34" s="28" t="s">
        <v>347</v>
      </c>
      <c r="B34" s="29" t="s">
        <v>354</v>
      </c>
      <c r="C34" s="30">
        <f>COUNTIFS(Consolidate!C:C,'Category Wise'!A34,Consolidate!D:D,'Category Wise'!B34)</f>
        <v>1</v>
      </c>
    </row>
    <row r="36" spans="1:3" ht="15.75" thickBot="1">
      <c r="B36" s="17" t="s">
        <v>792</v>
      </c>
      <c r="C36" s="17">
        <f>SUM(C3:C35)</f>
        <v>337</v>
      </c>
    </row>
    <row r="37" spans="1:3" ht="15.75" thickTop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309"/>
  <sheetViews>
    <sheetView topLeftCell="A2" workbookViewId="0">
      <selection activeCell="G16" sqref="G16"/>
    </sheetView>
  </sheetViews>
  <sheetFormatPr defaultRowHeight="15"/>
  <cols>
    <col min="2" max="2" width="43.5703125" bestFit="1" customWidth="1"/>
    <col min="3" max="3" width="33" bestFit="1" customWidth="1"/>
    <col min="4" max="4" width="22.140625" bestFit="1" customWidth="1"/>
    <col min="5" max="5" width="10.42578125" bestFit="1" customWidth="1"/>
  </cols>
  <sheetData>
    <row r="1" spans="1:8" ht="15.75" thickBot="1">
      <c r="E1" s="63">
        <v>45161</v>
      </c>
      <c r="F1" s="63">
        <v>45192</v>
      </c>
    </row>
    <row r="2" spans="1:8" ht="15.75" thickBot="1">
      <c r="A2" t="s">
        <v>479</v>
      </c>
      <c r="B2" s="6" t="s">
        <v>2</v>
      </c>
      <c r="C2" s="31" t="s">
        <v>829</v>
      </c>
      <c r="D2" s="31" t="s">
        <v>1020</v>
      </c>
      <c r="E2" s="31" t="s">
        <v>1002</v>
      </c>
      <c r="G2" s="31" t="s">
        <v>1003</v>
      </c>
    </row>
    <row r="3" spans="1:8">
      <c r="A3">
        <v>15</v>
      </c>
      <c r="B3" s="3" t="s">
        <v>54</v>
      </c>
      <c r="C3" s="64" t="s">
        <v>852</v>
      </c>
      <c r="D3" s="64"/>
      <c r="E3" s="70">
        <v>8500</v>
      </c>
      <c r="F3">
        <f>E3/16</f>
        <v>531.25</v>
      </c>
      <c r="G3">
        <v>550</v>
      </c>
    </row>
    <row r="4" spans="1:8">
      <c r="A4">
        <v>163</v>
      </c>
      <c r="B4" t="s">
        <v>279</v>
      </c>
      <c r="C4" s="64" t="s">
        <v>852</v>
      </c>
      <c r="D4" s="64"/>
      <c r="E4" s="70">
        <v>8500</v>
      </c>
      <c r="F4">
        <f>E4/16</f>
        <v>531.25</v>
      </c>
      <c r="G4">
        <v>8800</v>
      </c>
      <c r="H4">
        <f>G4/16</f>
        <v>550</v>
      </c>
    </row>
    <row r="5" spans="1:8">
      <c r="A5">
        <v>214</v>
      </c>
      <c r="B5" t="s">
        <v>458</v>
      </c>
      <c r="C5" s="64" t="s">
        <v>852</v>
      </c>
      <c r="D5" s="64"/>
      <c r="E5" s="70">
        <v>8500</v>
      </c>
      <c r="F5">
        <f>E5/16</f>
        <v>531.25</v>
      </c>
      <c r="G5">
        <v>8800</v>
      </c>
      <c r="H5">
        <f>G5/16</f>
        <v>550</v>
      </c>
    </row>
    <row r="6" spans="1:8">
      <c r="A6">
        <v>38</v>
      </c>
      <c r="B6" s="3" t="s">
        <v>45</v>
      </c>
      <c r="C6" s="64" t="s">
        <v>862</v>
      </c>
      <c r="D6" s="64"/>
      <c r="E6" s="70">
        <v>6500</v>
      </c>
      <c r="G6">
        <v>6500</v>
      </c>
    </row>
    <row r="7" spans="1:8">
      <c r="A7">
        <v>141</v>
      </c>
      <c r="B7" t="s">
        <v>236</v>
      </c>
      <c r="C7" s="64" t="s">
        <v>916</v>
      </c>
      <c r="D7" s="64"/>
      <c r="E7" s="70">
        <v>6500</v>
      </c>
      <c r="G7">
        <v>6200</v>
      </c>
    </row>
    <row r="8" spans="1:8">
      <c r="A8">
        <v>43</v>
      </c>
      <c r="B8" s="3" t="s">
        <v>21</v>
      </c>
      <c r="C8" s="64" t="s">
        <v>868</v>
      </c>
      <c r="D8" s="64"/>
      <c r="E8" s="70">
        <v>5432.77</v>
      </c>
      <c r="G8">
        <v>3200</v>
      </c>
    </row>
    <row r="9" spans="1:8">
      <c r="A9">
        <v>140</v>
      </c>
      <c r="B9" t="s">
        <v>235</v>
      </c>
      <c r="C9" s="64" t="s">
        <v>915</v>
      </c>
      <c r="D9" s="64"/>
      <c r="E9" s="70">
        <v>5000</v>
      </c>
      <c r="G9">
        <v>3200</v>
      </c>
    </row>
    <row r="10" spans="1:8">
      <c r="A10">
        <v>296</v>
      </c>
      <c r="C10" s="3" t="s">
        <v>1008</v>
      </c>
      <c r="D10" s="3"/>
      <c r="E10" s="70">
        <v>4500</v>
      </c>
      <c r="G10">
        <v>4500</v>
      </c>
    </row>
    <row r="11" spans="1:8">
      <c r="A11">
        <v>174</v>
      </c>
      <c r="B11" t="s">
        <v>306</v>
      </c>
      <c r="C11" s="15" t="s">
        <v>931</v>
      </c>
      <c r="D11" s="15"/>
      <c r="E11" s="70">
        <v>4000</v>
      </c>
      <c r="G11">
        <v>2900</v>
      </c>
    </row>
    <row r="12" spans="1:8">
      <c r="A12">
        <v>138</v>
      </c>
      <c r="B12" t="s">
        <v>232</v>
      </c>
      <c r="C12" t="s">
        <v>232</v>
      </c>
      <c r="E12" s="70">
        <v>3690</v>
      </c>
      <c r="G12">
        <v>4000</v>
      </c>
    </row>
    <row r="13" spans="1:8">
      <c r="A13">
        <v>165</v>
      </c>
      <c r="B13" t="s">
        <v>298</v>
      </c>
      <c r="C13" s="64" t="s">
        <v>955</v>
      </c>
      <c r="D13" s="64"/>
      <c r="E13" s="70">
        <v>3600</v>
      </c>
      <c r="G13">
        <v>3400</v>
      </c>
    </row>
    <row r="14" spans="1:8">
      <c r="A14">
        <v>189</v>
      </c>
      <c r="B14" t="s">
        <v>327</v>
      </c>
      <c r="C14" s="64" t="s">
        <v>940</v>
      </c>
      <c r="D14" s="64"/>
      <c r="E14" s="70">
        <v>3000</v>
      </c>
      <c r="G14">
        <v>2900</v>
      </c>
    </row>
    <row r="15" spans="1:8">
      <c r="A15">
        <v>175</v>
      </c>
      <c r="B15" t="s">
        <v>308</v>
      </c>
      <c r="C15" s="64" t="s">
        <v>932</v>
      </c>
      <c r="D15" s="64"/>
      <c r="E15" s="70">
        <v>2848.84</v>
      </c>
      <c r="G15">
        <v>2643.68</v>
      </c>
    </row>
    <row r="16" spans="1:8">
      <c r="A16">
        <v>212</v>
      </c>
      <c r="B16" s="3" t="s">
        <v>400</v>
      </c>
      <c r="C16" s="32" t="s">
        <v>952</v>
      </c>
      <c r="D16" s="64"/>
      <c r="E16" s="70">
        <v>1920</v>
      </c>
      <c r="F16">
        <f>E16/0.2</f>
        <v>9600</v>
      </c>
      <c r="G16">
        <v>9600</v>
      </c>
    </row>
    <row r="17" spans="1:7">
      <c r="A17">
        <v>28</v>
      </c>
      <c r="B17" s="3" t="s">
        <v>34</v>
      </c>
      <c r="C17" s="32" t="s">
        <v>855</v>
      </c>
      <c r="D17" s="64"/>
      <c r="E17" s="70">
        <v>2400</v>
      </c>
      <c r="G17">
        <v>1600</v>
      </c>
    </row>
    <row r="18" spans="1:7">
      <c r="A18">
        <v>87</v>
      </c>
      <c r="B18" s="3" t="s">
        <v>125</v>
      </c>
      <c r="C18" s="65" t="s">
        <v>872</v>
      </c>
      <c r="D18" s="15"/>
      <c r="E18" s="70">
        <v>2300</v>
      </c>
      <c r="G18">
        <v>2150</v>
      </c>
    </row>
    <row r="19" spans="1:7">
      <c r="A19">
        <v>192</v>
      </c>
      <c r="B19" t="s">
        <v>334</v>
      </c>
      <c r="C19" s="64" t="s">
        <v>941</v>
      </c>
      <c r="D19" s="64"/>
      <c r="E19" s="70">
        <v>2200</v>
      </c>
      <c r="G19">
        <v>1500</v>
      </c>
    </row>
    <row r="20" spans="1:7">
      <c r="A20">
        <v>193</v>
      </c>
      <c r="B20" t="s">
        <v>335</v>
      </c>
      <c r="C20" s="15" t="s">
        <v>844</v>
      </c>
      <c r="D20" s="15"/>
      <c r="E20" s="70">
        <v>2200</v>
      </c>
      <c r="G20">
        <v>1400</v>
      </c>
    </row>
    <row r="21" spans="1:7">
      <c r="A21">
        <v>54</v>
      </c>
      <c r="B21" s="3" t="s">
        <v>68</v>
      </c>
      <c r="C21" s="32" t="s">
        <v>872</v>
      </c>
      <c r="D21" s="64"/>
      <c r="E21" s="70">
        <v>2100</v>
      </c>
      <c r="G21">
        <v>2150</v>
      </c>
    </row>
    <row r="22" spans="1:7">
      <c r="A22">
        <v>130</v>
      </c>
      <c r="B22" t="s">
        <v>219</v>
      </c>
      <c r="C22" t="s">
        <v>219</v>
      </c>
      <c r="E22" s="70">
        <v>2100</v>
      </c>
      <c r="G22">
        <v>2100</v>
      </c>
    </row>
    <row r="23" spans="1:7">
      <c r="A23">
        <v>36</v>
      </c>
      <c r="B23" s="3" t="s">
        <v>43</v>
      </c>
      <c r="C23" s="64" t="s">
        <v>860</v>
      </c>
      <c r="D23" s="64"/>
      <c r="E23" s="70">
        <v>2000</v>
      </c>
      <c r="G23">
        <v>1900</v>
      </c>
    </row>
    <row r="24" spans="1:7">
      <c r="A24">
        <v>96</v>
      </c>
      <c r="B24" s="3" t="s">
        <v>133</v>
      </c>
      <c r="C24" s="64" t="s">
        <v>892</v>
      </c>
      <c r="D24" s="64"/>
      <c r="E24" s="70">
        <v>2000</v>
      </c>
      <c r="G24">
        <v>2080</v>
      </c>
    </row>
    <row r="25" spans="1:7">
      <c r="A25">
        <v>228</v>
      </c>
      <c r="B25" t="s">
        <v>459</v>
      </c>
      <c r="C25" t="s">
        <v>459</v>
      </c>
      <c r="E25" s="70">
        <v>2000</v>
      </c>
      <c r="G25">
        <v>2400</v>
      </c>
    </row>
    <row r="26" spans="1:7">
      <c r="A26">
        <v>243</v>
      </c>
      <c r="B26" t="s">
        <v>124</v>
      </c>
      <c r="C26" s="15" t="s">
        <v>836</v>
      </c>
      <c r="D26" s="15"/>
      <c r="E26" s="70">
        <v>1958</v>
      </c>
      <c r="G26">
        <v>2200</v>
      </c>
    </row>
    <row r="27" spans="1:7">
      <c r="A27">
        <v>85</v>
      </c>
      <c r="B27" s="3" t="s">
        <v>504</v>
      </c>
      <c r="C27" s="15" t="s">
        <v>836</v>
      </c>
      <c r="D27" s="15"/>
      <c r="E27" s="50">
        <v>1957.5</v>
      </c>
      <c r="G27">
        <v>2200</v>
      </c>
    </row>
    <row r="28" spans="1:7">
      <c r="A28">
        <v>33</v>
      </c>
      <c r="B28" s="3" t="s">
        <v>40</v>
      </c>
      <c r="C28" s="64" t="s">
        <v>858</v>
      </c>
      <c r="D28" s="64"/>
      <c r="E28" s="70">
        <v>1900</v>
      </c>
      <c r="G28">
        <v>1900</v>
      </c>
    </row>
    <row r="29" spans="1:7">
      <c r="A29">
        <v>169</v>
      </c>
      <c r="B29" t="s">
        <v>302</v>
      </c>
      <c r="C29" s="15" t="s">
        <v>954</v>
      </c>
      <c r="D29" s="15"/>
      <c r="E29" s="70">
        <v>1900</v>
      </c>
      <c r="G29">
        <v>2000</v>
      </c>
    </row>
    <row r="30" spans="1:7">
      <c r="A30">
        <v>110</v>
      </c>
      <c r="B30" s="3" t="s">
        <v>122</v>
      </c>
      <c r="C30" s="65" t="s">
        <v>897</v>
      </c>
      <c r="D30" s="15"/>
      <c r="E30" s="70">
        <v>1890.54</v>
      </c>
      <c r="G30">
        <v>1462.18</v>
      </c>
    </row>
    <row r="31" spans="1:7">
      <c r="A31">
        <v>63</v>
      </c>
      <c r="B31" s="3" t="s">
        <v>79</v>
      </c>
      <c r="C31" s="64" t="s">
        <v>877</v>
      </c>
      <c r="D31" s="64"/>
      <c r="E31" s="70">
        <v>1750</v>
      </c>
      <c r="G31">
        <v>776</v>
      </c>
    </row>
    <row r="32" spans="1:7">
      <c r="A32">
        <v>195</v>
      </c>
      <c r="B32" t="s">
        <v>341</v>
      </c>
      <c r="C32" t="s">
        <v>341</v>
      </c>
      <c r="E32" s="70">
        <v>1750</v>
      </c>
      <c r="G32">
        <v>1750</v>
      </c>
    </row>
    <row r="33" spans="1:7">
      <c r="A33">
        <v>277</v>
      </c>
      <c r="B33" s="3" t="s">
        <v>666</v>
      </c>
      <c r="C33" s="67" t="s">
        <v>666</v>
      </c>
      <c r="D33" s="3"/>
      <c r="E33" s="70">
        <v>1750</v>
      </c>
      <c r="G33">
        <v>1850</v>
      </c>
    </row>
    <row r="34" spans="1:7">
      <c r="A34">
        <v>98</v>
      </c>
      <c r="B34" s="3" t="s">
        <v>140</v>
      </c>
      <c r="C34" s="65" t="s">
        <v>837</v>
      </c>
      <c r="D34" s="15"/>
      <c r="E34" s="50">
        <v>1700</v>
      </c>
      <c r="G34">
        <v>1800</v>
      </c>
    </row>
    <row r="35" spans="1:7">
      <c r="A35">
        <v>105</v>
      </c>
      <c r="B35" s="3" t="s">
        <v>514</v>
      </c>
      <c r="C35" s="65" t="s">
        <v>837</v>
      </c>
      <c r="D35" s="15"/>
      <c r="E35" s="50">
        <v>1700</v>
      </c>
      <c r="G35">
        <v>1800</v>
      </c>
    </row>
    <row r="36" spans="1:7">
      <c r="A36">
        <v>107</v>
      </c>
      <c r="B36" s="20" t="s">
        <v>515</v>
      </c>
      <c r="C36" s="15" t="s">
        <v>837</v>
      </c>
      <c r="D36" s="15"/>
      <c r="E36" s="50">
        <v>1700</v>
      </c>
      <c r="G36">
        <v>1800</v>
      </c>
    </row>
    <row r="37" spans="1:7">
      <c r="A37">
        <v>232</v>
      </c>
      <c r="B37" s="3" t="s">
        <v>522</v>
      </c>
      <c r="C37" s="32" t="s">
        <v>837</v>
      </c>
      <c r="D37" s="64"/>
      <c r="E37" s="50">
        <v>1700</v>
      </c>
      <c r="G37">
        <v>1800</v>
      </c>
    </row>
    <row r="38" spans="1:7">
      <c r="A38">
        <v>211</v>
      </c>
      <c r="B38" s="3" t="s">
        <v>399</v>
      </c>
      <c r="C38" s="32" t="s">
        <v>904</v>
      </c>
      <c r="D38" s="64"/>
      <c r="E38" s="70">
        <v>1680</v>
      </c>
      <c r="G38">
        <v>1280</v>
      </c>
    </row>
    <row r="39" spans="1:7">
      <c r="A39">
        <v>94</v>
      </c>
      <c r="B39" t="s">
        <v>337</v>
      </c>
      <c r="C39" s="66" t="s">
        <v>337</v>
      </c>
      <c r="E39" s="70">
        <v>1665.07</v>
      </c>
      <c r="G39">
        <v>1250</v>
      </c>
    </row>
    <row r="40" spans="1:7">
      <c r="A40">
        <v>80</v>
      </c>
      <c r="B40" s="3" t="s">
        <v>113</v>
      </c>
      <c r="C40" s="67" t="s">
        <v>428</v>
      </c>
      <c r="D40" s="3"/>
      <c r="E40" s="70">
        <v>1626.11</v>
      </c>
      <c r="G40">
        <v>1514.78</v>
      </c>
    </row>
    <row r="41" spans="1:7">
      <c r="A41">
        <v>83</v>
      </c>
      <c r="B41" s="3" t="s">
        <v>118</v>
      </c>
      <c r="C41" s="67" t="s">
        <v>428</v>
      </c>
      <c r="D41" s="3"/>
      <c r="E41" s="70">
        <v>1626.11</v>
      </c>
      <c r="G41">
        <v>1514.78</v>
      </c>
    </row>
    <row r="42" spans="1:7">
      <c r="A42">
        <v>103</v>
      </c>
      <c r="B42" s="20" t="s">
        <v>151</v>
      </c>
      <c r="C42" s="32" t="s">
        <v>894</v>
      </c>
      <c r="D42" s="64"/>
      <c r="E42" s="50">
        <v>1700</v>
      </c>
      <c r="G42">
        <v>1800</v>
      </c>
    </row>
    <row r="43" spans="1:7">
      <c r="A43">
        <v>108</v>
      </c>
      <c r="B43" s="20" t="s">
        <v>156</v>
      </c>
      <c r="C43" s="32" t="s">
        <v>894</v>
      </c>
      <c r="D43" s="64"/>
      <c r="E43" s="50">
        <v>1700</v>
      </c>
      <c r="G43">
        <v>1800</v>
      </c>
    </row>
    <row r="44" spans="1:7">
      <c r="A44">
        <v>221</v>
      </c>
      <c r="B44" t="s">
        <v>471</v>
      </c>
      <c r="C44" s="32" t="s">
        <v>894</v>
      </c>
      <c r="D44" s="64"/>
      <c r="E44" s="50">
        <v>1700</v>
      </c>
      <c r="G44">
        <v>1800</v>
      </c>
    </row>
    <row r="45" spans="1:7">
      <c r="A45">
        <v>149</v>
      </c>
      <c r="B45" t="s">
        <v>249</v>
      </c>
      <c r="C45" s="32" t="s">
        <v>921</v>
      </c>
      <c r="D45" s="64"/>
      <c r="E45" s="70">
        <v>1607</v>
      </c>
      <c r="G45">
        <v>1512</v>
      </c>
    </row>
    <row r="46" spans="1:7">
      <c r="A46">
        <v>86</v>
      </c>
      <c r="B46" s="3" t="s">
        <v>316</v>
      </c>
      <c r="C46" s="32" t="s">
        <v>887</v>
      </c>
      <c r="D46" s="64"/>
      <c r="E46" s="70">
        <v>1600</v>
      </c>
      <c r="G46">
        <v>1830</v>
      </c>
    </row>
    <row r="47" spans="1:7">
      <c r="A47">
        <v>114</v>
      </c>
      <c r="B47" t="s">
        <v>182</v>
      </c>
      <c r="C47" s="64" t="s">
        <v>899</v>
      </c>
      <c r="D47" s="64"/>
      <c r="E47" s="70">
        <v>1511.98</v>
      </c>
      <c r="G47">
        <v>1511.98</v>
      </c>
    </row>
    <row r="48" spans="1:7">
      <c r="A48">
        <v>68</v>
      </c>
      <c r="B48" s="3" t="s">
        <v>89</v>
      </c>
      <c r="C48" s="64" t="s">
        <v>882</v>
      </c>
      <c r="D48" s="64"/>
      <c r="E48" s="70">
        <v>1500</v>
      </c>
      <c r="G48">
        <v>1450</v>
      </c>
    </row>
    <row r="49" spans="1:7">
      <c r="A49">
        <v>115</v>
      </c>
      <c r="B49" t="s">
        <v>186</v>
      </c>
      <c r="C49" t="s">
        <v>186</v>
      </c>
      <c r="E49" s="70">
        <v>1500</v>
      </c>
      <c r="G49">
        <v>1400</v>
      </c>
    </row>
    <row r="50" spans="1:7">
      <c r="A50">
        <v>275</v>
      </c>
      <c r="B50" s="3" t="s">
        <v>643</v>
      </c>
      <c r="C50" s="32" t="s">
        <v>871</v>
      </c>
      <c r="D50" s="64"/>
      <c r="E50" s="70">
        <v>1500</v>
      </c>
      <c r="G50">
        <v>1224.73</v>
      </c>
    </row>
    <row r="51" spans="1:7">
      <c r="A51">
        <v>199</v>
      </c>
      <c r="B51" s="3" t="s">
        <v>375</v>
      </c>
      <c r="C51" s="32" t="s">
        <v>945</v>
      </c>
      <c r="D51" s="64"/>
      <c r="E51" s="70">
        <v>1450</v>
      </c>
      <c r="G51">
        <v>1450</v>
      </c>
    </row>
    <row r="52" spans="1:7">
      <c r="A52">
        <v>265</v>
      </c>
      <c r="B52" s="3" t="s">
        <v>588</v>
      </c>
      <c r="C52" s="32" t="s">
        <v>964</v>
      </c>
      <c r="D52" s="64"/>
      <c r="E52" s="70">
        <v>1445</v>
      </c>
      <c r="G52">
        <v>890</v>
      </c>
    </row>
    <row r="53" spans="1:7">
      <c r="A53">
        <v>40</v>
      </c>
      <c r="B53" s="3" t="s">
        <v>48</v>
      </c>
      <c r="C53" s="64" t="s">
        <v>864</v>
      </c>
      <c r="D53" s="64"/>
      <c r="E53" s="70">
        <v>1400</v>
      </c>
      <c r="G53">
        <v>1400</v>
      </c>
    </row>
    <row r="54" spans="1:7">
      <c r="A54">
        <v>41</v>
      </c>
      <c r="B54" t="s">
        <v>807</v>
      </c>
      <c r="C54" s="64" t="s">
        <v>865</v>
      </c>
      <c r="D54" s="64"/>
      <c r="E54" s="50">
        <v>1400</v>
      </c>
      <c r="G54">
        <v>1400</v>
      </c>
    </row>
    <row r="55" spans="1:7">
      <c r="A55">
        <v>260</v>
      </c>
      <c r="B55" s="3" t="s">
        <v>574</v>
      </c>
      <c r="C55" s="3" t="s">
        <v>574</v>
      </c>
      <c r="D55" s="3"/>
      <c r="E55" s="70">
        <v>1400</v>
      </c>
      <c r="G55">
        <v>1400</v>
      </c>
    </row>
    <row r="56" spans="1:7">
      <c r="A56">
        <v>194</v>
      </c>
      <c r="B56" t="s">
        <v>340</v>
      </c>
      <c r="C56" s="32" t="s">
        <v>942</v>
      </c>
      <c r="D56" s="64"/>
      <c r="E56" s="70">
        <v>1388.75</v>
      </c>
      <c r="G56">
        <v>1375</v>
      </c>
    </row>
    <row r="57" spans="1:7">
      <c r="A57">
        <v>75</v>
      </c>
      <c r="B57" s="3" t="s">
        <v>98</v>
      </c>
      <c r="C57" s="3" t="s">
        <v>98</v>
      </c>
      <c r="D57" s="3"/>
      <c r="E57" s="70">
        <v>1375</v>
      </c>
      <c r="G57">
        <v>1300</v>
      </c>
    </row>
    <row r="58" spans="1:7">
      <c r="A58">
        <v>220</v>
      </c>
      <c r="B58" t="s">
        <v>473</v>
      </c>
      <c r="C58" s="66" t="s">
        <v>473</v>
      </c>
      <c r="E58" s="70">
        <v>1900</v>
      </c>
      <c r="G58">
        <v>1900</v>
      </c>
    </row>
    <row r="59" spans="1:7">
      <c r="A59">
        <v>77</v>
      </c>
      <c r="B59" s="3" t="s">
        <v>101</v>
      </c>
      <c r="C59" s="64" t="s">
        <v>885</v>
      </c>
      <c r="D59" s="64"/>
      <c r="E59" s="70">
        <v>1296</v>
      </c>
      <c r="F59">
        <f>E59/0.8</f>
        <v>1620</v>
      </c>
      <c r="G59">
        <v>1296</v>
      </c>
    </row>
    <row r="60" spans="1:7">
      <c r="A60">
        <v>124</v>
      </c>
      <c r="B60" t="s">
        <v>207</v>
      </c>
      <c r="C60" s="32" t="s">
        <v>904</v>
      </c>
      <c r="D60" s="64"/>
      <c r="E60" s="70">
        <v>1260</v>
      </c>
      <c r="G60">
        <v>1280</v>
      </c>
    </row>
    <row r="61" spans="1:7">
      <c r="A61">
        <v>50</v>
      </c>
      <c r="B61" s="3" t="s">
        <v>61</v>
      </c>
      <c r="C61" s="64" t="s">
        <v>871</v>
      </c>
      <c r="D61" s="64"/>
      <c r="E61" s="70">
        <v>1224.07</v>
      </c>
      <c r="F61">
        <f>E61/2</f>
        <v>612.03499999999997</v>
      </c>
      <c r="G61">
        <v>1224.73</v>
      </c>
    </row>
    <row r="62" spans="1:7">
      <c r="A62">
        <v>259</v>
      </c>
      <c r="B62" s="3" t="s">
        <v>572</v>
      </c>
      <c r="C62" s="3" t="s">
        <v>572</v>
      </c>
      <c r="D62" s="3"/>
      <c r="E62" s="70">
        <v>1200</v>
      </c>
      <c r="G62">
        <v>1200</v>
      </c>
    </row>
    <row r="63" spans="1:7">
      <c r="A63">
        <v>217</v>
      </c>
      <c r="B63" t="s">
        <v>476</v>
      </c>
      <c r="C63" s="65" t="s">
        <v>925</v>
      </c>
      <c r="D63" s="15"/>
      <c r="E63" s="70">
        <v>1150</v>
      </c>
      <c r="G63">
        <v>1100</v>
      </c>
    </row>
    <row r="64" spans="1:7">
      <c r="A64">
        <v>65</v>
      </c>
      <c r="B64" s="3" t="s">
        <v>84</v>
      </c>
      <c r="C64" s="64" t="s">
        <v>879</v>
      </c>
      <c r="D64" s="64"/>
      <c r="E64" s="70">
        <v>1113.51</v>
      </c>
      <c r="G64">
        <v>1066.33</v>
      </c>
    </row>
    <row r="65" spans="1:7">
      <c r="A65">
        <v>76</v>
      </c>
      <c r="B65" s="3" t="s">
        <v>100</v>
      </c>
      <c r="C65" s="32" t="s">
        <v>839</v>
      </c>
      <c r="D65" s="64"/>
      <c r="E65" s="70">
        <v>1100</v>
      </c>
      <c r="G65">
        <v>1100</v>
      </c>
    </row>
    <row r="66" spans="1:7">
      <c r="A66">
        <v>216</v>
      </c>
      <c r="B66" t="s">
        <v>477</v>
      </c>
      <c r="C66" s="66" t="s">
        <v>477</v>
      </c>
      <c r="E66" s="70">
        <v>1100</v>
      </c>
      <c r="G66">
        <v>1100</v>
      </c>
    </row>
    <row r="67" spans="1:7">
      <c r="A67">
        <v>224</v>
      </c>
      <c r="B67" t="s">
        <v>472</v>
      </c>
      <c r="C67" s="66" t="s">
        <v>472</v>
      </c>
      <c r="E67" s="70">
        <v>1100</v>
      </c>
      <c r="G67">
        <v>1100</v>
      </c>
    </row>
    <row r="68" spans="1:7">
      <c r="A68">
        <v>231</v>
      </c>
      <c r="B68" t="s">
        <v>445</v>
      </c>
      <c r="C68" s="65" t="s">
        <v>845</v>
      </c>
      <c r="D68" s="15"/>
      <c r="E68" s="70">
        <v>1100</v>
      </c>
      <c r="G68">
        <v>480</v>
      </c>
    </row>
    <row r="69" spans="1:7">
      <c r="A69">
        <v>284</v>
      </c>
      <c r="B69" t="s">
        <v>461</v>
      </c>
      <c r="C69" s="15" t="s">
        <v>848</v>
      </c>
      <c r="D69" s="15"/>
      <c r="E69" s="70">
        <v>1100</v>
      </c>
      <c r="G69">
        <v>1100</v>
      </c>
    </row>
    <row r="70" spans="1:7">
      <c r="A70">
        <v>253</v>
      </c>
      <c r="B70" s="3" t="s">
        <v>542</v>
      </c>
      <c r="C70" s="67" t="s">
        <v>542</v>
      </c>
      <c r="D70" s="3"/>
      <c r="E70" s="70">
        <v>1080</v>
      </c>
      <c r="G70">
        <v>850</v>
      </c>
    </row>
    <row r="71" spans="1:7">
      <c r="A71">
        <v>112</v>
      </c>
      <c r="B71" s="3" t="s">
        <v>165</v>
      </c>
      <c r="C71" s="3" t="s">
        <v>165</v>
      </c>
      <c r="D71" s="3"/>
      <c r="E71" s="70">
        <v>1074.9100000000001</v>
      </c>
      <c r="G71">
        <v>1191.74</v>
      </c>
    </row>
    <row r="72" spans="1:7">
      <c r="A72">
        <v>281</v>
      </c>
      <c r="B72" s="3" t="s">
        <v>677</v>
      </c>
      <c r="C72" s="67" t="s">
        <v>677</v>
      </c>
      <c r="D72" s="3"/>
      <c r="E72" s="70">
        <v>1050</v>
      </c>
      <c r="G72">
        <v>1050</v>
      </c>
    </row>
    <row r="73" spans="1:7">
      <c r="A73">
        <v>30</v>
      </c>
      <c r="B73" s="3" t="s">
        <v>490</v>
      </c>
      <c r="C73" s="65" t="s">
        <v>833</v>
      </c>
      <c r="D73" s="15"/>
      <c r="E73" s="70">
        <v>1020</v>
      </c>
      <c r="G73">
        <v>1000</v>
      </c>
    </row>
    <row r="74" spans="1:7">
      <c r="A74">
        <v>119</v>
      </c>
      <c r="B74" t="s">
        <v>36</v>
      </c>
      <c r="C74" s="15" t="s">
        <v>833</v>
      </c>
      <c r="D74" s="15"/>
      <c r="E74" s="70">
        <v>1020</v>
      </c>
      <c r="G74">
        <v>1000</v>
      </c>
    </row>
    <row r="75" spans="1:7">
      <c r="A75">
        <v>177</v>
      </c>
      <c r="B75" t="s">
        <v>46</v>
      </c>
      <c r="C75" s="15" t="s">
        <v>833</v>
      </c>
      <c r="D75" s="15"/>
      <c r="E75" s="70">
        <v>1020</v>
      </c>
      <c r="G75">
        <v>1000</v>
      </c>
    </row>
    <row r="76" spans="1:7">
      <c r="A76">
        <v>3</v>
      </c>
      <c r="B76" s="2" t="s">
        <v>8</v>
      </c>
      <c r="C76" s="15" t="s">
        <v>849</v>
      </c>
      <c r="D76" s="15"/>
      <c r="E76" s="70">
        <v>1000</v>
      </c>
      <c r="G76">
        <v>950</v>
      </c>
    </row>
    <row r="77" spans="1:7">
      <c r="A77">
        <v>198</v>
      </c>
      <c r="B77" s="3" t="s">
        <v>374</v>
      </c>
      <c r="C77" s="15" t="s">
        <v>944</v>
      </c>
      <c r="D77" s="15"/>
      <c r="E77" s="70">
        <v>842</v>
      </c>
      <c r="G77">
        <v>842</v>
      </c>
    </row>
    <row r="78" spans="1:7">
      <c r="A78">
        <v>92</v>
      </c>
      <c r="B78" s="3" t="s">
        <v>128</v>
      </c>
      <c r="C78" s="65" t="s">
        <v>491</v>
      </c>
      <c r="D78" s="15"/>
      <c r="E78" s="70">
        <v>614</v>
      </c>
      <c r="G78">
        <v>650</v>
      </c>
    </row>
    <row r="79" spans="1:7">
      <c r="A79">
        <v>70</v>
      </c>
      <c r="B79" s="3" t="s">
        <v>92</v>
      </c>
      <c r="C79" s="32" t="s">
        <v>883</v>
      </c>
      <c r="D79" s="64"/>
      <c r="E79" s="70">
        <v>313</v>
      </c>
      <c r="G79">
        <v>313</v>
      </c>
    </row>
    <row r="80" spans="1:7">
      <c r="A80">
        <v>230</v>
      </c>
      <c r="B80" t="s">
        <v>466</v>
      </c>
      <c r="C80" s="32" t="s">
        <v>928</v>
      </c>
      <c r="D80" s="64"/>
      <c r="E80" s="70">
        <v>950</v>
      </c>
      <c r="G80">
        <v>900</v>
      </c>
    </row>
    <row r="81" spans="1:7">
      <c r="A81">
        <v>125</v>
      </c>
      <c r="B81" t="s">
        <v>208</v>
      </c>
      <c r="C81" s="64" t="s">
        <v>905</v>
      </c>
      <c r="D81" s="64"/>
      <c r="E81" s="70">
        <v>912.5</v>
      </c>
      <c r="G81">
        <v>1600</v>
      </c>
    </row>
    <row r="82" spans="1:7">
      <c r="A82">
        <v>18</v>
      </c>
      <c r="B82" s="3" t="s">
        <v>489</v>
      </c>
      <c r="C82" s="15" t="s">
        <v>831</v>
      </c>
      <c r="D82" s="15"/>
      <c r="E82" s="70">
        <v>908</v>
      </c>
      <c r="G82">
        <v>908</v>
      </c>
    </row>
    <row r="83" spans="1:7">
      <c r="A83">
        <v>102</v>
      </c>
      <c r="B83" s="3" t="s">
        <v>63</v>
      </c>
      <c r="C83" s="15" t="s">
        <v>831</v>
      </c>
      <c r="D83" s="15"/>
      <c r="E83" s="70">
        <v>908</v>
      </c>
      <c r="G83">
        <v>908</v>
      </c>
    </row>
    <row r="84" spans="1:7">
      <c r="A84">
        <v>44</v>
      </c>
      <c r="B84" s="3" t="s">
        <v>66</v>
      </c>
      <c r="C84" s="64" t="s">
        <v>867</v>
      </c>
      <c r="D84" s="64"/>
      <c r="E84" s="70">
        <v>900</v>
      </c>
      <c r="G84">
        <v>950</v>
      </c>
    </row>
    <row r="85" spans="1:7">
      <c r="A85">
        <v>219</v>
      </c>
      <c r="B85" t="s">
        <v>467</v>
      </c>
      <c r="C85" t="s">
        <v>467</v>
      </c>
      <c r="E85" s="70">
        <v>900</v>
      </c>
      <c r="G85">
        <v>900</v>
      </c>
    </row>
    <row r="86" spans="1:7">
      <c r="A86">
        <v>67</v>
      </c>
      <c r="B86" s="3" t="s">
        <v>88</v>
      </c>
      <c r="C86" s="15" t="s">
        <v>881</v>
      </c>
      <c r="D86" s="15"/>
      <c r="E86" s="70">
        <v>871</v>
      </c>
      <c r="G86">
        <v>885.41</v>
      </c>
    </row>
    <row r="87" spans="1:7">
      <c r="A87">
        <v>172</v>
      </c>
      <c r="B87" t="s">
        <v>305</v>
      </c>
      <c r="C87" s="15" t="s">
        <v>923</v>
      </c>
      <c r="D87" s="15"/>
      <c r="E87" s="70">
        <v>860.04</v>
      </c>
      <c r="G87">
        <v>1000</v>
      </c>
    </row>
    <row r="88" spans="1:7">
      <c r="A88">
        <v>31</v>
      </c>
      <c r="B88" s="3" t="s">
        <v>38</v>
      </c>
      <c r="C88" s="32" t="s">
        <v>856</v>
      </c>
      <c r="D88" s="64"/>
      <c r="E88" s="70">
        <v>850</v>
      </c>
      <c r="G88">
        <v>980</v>
      </c>
    </row>
    <row r="89" spans="1:7">
      <c r="A89">
        <v>164</v>
      </c>
      <c r="B89" t="s">
        <v>280</v>
      </c>
      <c r="C89" s="64" t="s">
        <v>924</v>
      </c>
      <c r="D89" s="64"/>
      <c r="E89" s="70">
        <v>850</v>
      </c>
      <c r="G89">
        <v>720</v>
      </c>
    </row>
    <row r="90" spans="1:7">
      <c r="A90">
        <v>170</v>
      </c>
      <c r="B90" t="s">
        <v>303</v>
      </c>
      <c r="C90" s="65" t="s">
        <v>928</v>
      </c>
      <c r="D90" s="15"/>
      <c r="E90" s="70">
        <v>850</v>
      </c>
      <c r="G90">
        <v>900</v>
      </c>
    </row>
    <row r="91" spans="1:7">
      <c r="A91">
        <v>113</v>
      </c>
      <c r="B91" t="s">
        <v>516</v>
      </c>
      <c r="C91" s="15" t="s">
        <v>838</v>
      </c>
      <c r="D91" s="15"/>
      <c r="E91" s="70">
        <v>800</v>
      </c>
      <c r="G91">
        <v>950</v>
      </c>
    </row>
    <row r="92" spans="1:7">
      <c r="A92">
        <v>142</v>
      </c>
      <c r="B92" t="s">
        <v>238</v>
      </c>
      <c r="C92" s="32" t="s">
        <v>917</v>
      </c>
      <c r="D92" s="64"/>
      <c r="E92" s="70">
        <v>800</v>
      </c>
      <c r="G92">
        <v>550</v>
      </c>
    </row>
    <row r="93" spans="1:7">
      <c r="A93">
        <v>256</v>
      </c>
      <c r="B93" s="3" t="s">
        <v>565</v>
      </c>
      <c r="C93" s="3" t="s">
        <v>565</v>
      </c>
      <c r="D93" s="3"/>
      <c r="E93" s="70">
        <v>795</v>
      </c>
      <c r="G93">
        <v>650</v>
      </c>
    </row>
    <row r="94" spans="1:7">
      <c r="A94">
        <v>17</v>
      </c>
      <c r="B94" s="2" t="s">
        <v>23</v>
      </c>
      <c r="C94" s="2" t="s">
        <v>23</v>
      </c>
      <c r="D94" s="2"/>
      <c r="E94" s="70">
        <v>740</v>
      </c>
      <c r="G94">
        <v>780</v>
      </c>
    </row>
    <row r="95" spans="1:7">
      <c r="A95">
        <v>188</v>
      </c>
      <c r="B95" t="s">
        <v>326</v>
      </c>
      <c r="C95" s="66" t="s">
        <v>326</v>
      </c>
      <c r="E95" s="70">
        <v>736.8</v>
      </c>
      <c r="G95">
        <v>900</v>
      </c>
    </row>
    <row r="96" spans="1:7">
      <c r="A96">
        <v>69</v>
      </c>
      <c r="B96" s="3" t="s">
        <v>91</v>
      </c>
      <c r="C96" s="3" t="s">
        <v>91</v>
      </c>
      <c r="D96" s="3"/>
      <c r="E96" s="70">
        <v>720</v>
      </c>
      <c r="G96">
        <v>715</v>
      </c>
    </row>
    <row r="97" spans="1:7">
      <c r="A97">
        <v>4</v>
      </c>
      <c r="B97" s="2" t="s">
        <v>9</v>
      </c>
      <c r="C97" s="65" t="s">
        <v>850</v>
      </c>
      <c r="D97" s="15"/>
      <c r="E97" s="70">
        <v>700</v>
      </c>
      <c r="G97">
        <v>700</v>
      </c>
    </row>
    <row r="98" spans="1:7">
      <c r="A98">
        <v>126</v>
      </c>
      <c r="B98" t="s">
        <v>212</v>
      </c>
      <c r="C98" s="32" t="s">
        <v>906</v>
      </c>
      <c r="D98" s="64"/>
      <c r="E98" s="70">
        <v>700</v>
      </c>
      <c r="G98">
        <v>750</v>
      </c>
    </row>
    <row r="99" spans="1:7">
      <c r="A99">
        <v>137</v>
      </c>
      <c r="B99" t="s">
        <v>231</v>
      </c>
      <c r="C99" t="s">
        <v>231</v>
      </c>
      <c r="E99" s="70">
        <v>700</v>
      </c>
      <c r="G99">
        <v>715</v>
      </c>
    </row>
    <row r="100" spans="1:7">
      <c r="A100">
        <v>39</v>
      </c>
      <c r="B100" s="3" t="s">
        <v>198</v>
      </c>
      <c r="C100" s="64" t="s">
        <v>863</v>
      </c>
      <c r="D100" s="64"/>
      <c r="E100" s="70">
        <v>675</v>
      </c>
      <c r="G100">
        <v>675</v>
      </c>
    </row>
    <row r="101" spans="1:7">
      <c r="A101">
        <v>121</v>
      </c>
      <c r="B101" t="s">
        <v>203</v>
      </c>
      <c r="C101" s="64" t="s">
        <v>902</v>
      </c>
      <c r="D101" s="64"/>
      <c r="E101" s="70">
        <v>662.5</v>
      </c>
      <c r="G101">
        <v>700</v>
      </c>
    </row>
    <row r="102" spans="1:7">
      <c r="A102">
        <v>35</v>
      </c>
      <c r="B102" s="3" t="s">
        <v>42</v>
      </c>
      <c r="C102" s="64" t="s">
        <v>859</v>
      </c>
      <c r="D102" s="64"/>
      <c r="E102" s="70">
        <v>650</v>
      </c>
      <c r="G102">
        <v>700</v>
      </c>
    </row>
    <row r="103" spans="1:7">
      <c r="A103">
        <v>66</v>
      </c>
      <c r="B103" s="3" t="s">
        <v>57</v>
      </c>
      <c r="C103" s="64" t="s">
        <v>880</v>
      </c>
      <c r="D103" s="64"/>
      <c r="E103" s="70">
        <v>650</v>
      </c>
      <c r="G103">
        <v>520</v>
      </c>
    </row>
    <row r="104" spans="1:7">
      <c r="A104">
        <v>171</v>
      </c>
      <c r="B104" t="s">
        <v>304</v>
      </c>
      <c r="C104" s="64" t="s">
        <v>929</v>
      </c>
      <c r="D104" s="64"/>
      <c r="E104" s="70">
        <v>650</v>
      </c>
      <c r="G104">
        <v>650</v>
      </c>
    </row>
    <row r="105" spans="1:7">
      <c r="A105">
        <v>242</v>
      </c>
      <c r="B105" t="s">
        <v>322</v>
      </c>
      <c r="C105" s="32" t="s">
        <v>957</v>
      </c>
      <c r="D105" s="64"/>
      <c r="E105" s="70">
        <v>645</v>
      </c>
      <c r="G105">
        <v>1375</v>
      </c>
    </row>
    <row r="106" spans="1:7">
      <c r="A106">
        <v>55</v>
      </c>
      <c r="B106" s="3" t="s">
        <v>512</v>
      </c>
      <c r="C106" s="33" t="s">
        <v>491</v>
      </c>
      <c r="D106" s="15"/>
      <c r="E106" s="70">
        <v>614</v>
      </c>
      <c r="G106">
        <v>780</v>
      </c>
    </row>
    <row r="107" spans="1:7">
      <c r="A107">
        <v>185</v>
      </c>
      <c r="B107" t="s">
        <v>108</v>
      </c>
      <c r="C107" s="15" t="s">
        <v>843</v>
      </c>
      <c r="D107" s="15"/>
      <c r="E107" s="50">
        <v>614</v>
      </c>
      <c r="G107">
        <v>650</v>
      </c>
    </row>
    <row r="108" spans="1:7">
      <c r="A108">
        <v>168</v>
      </c>
      <c r="B108" t="s">
        <v>296</v>
      </c>
      <c r="C108" s="32" t="s">
        <v>927</v>
      </c>
      <c r="D108" s="64"/>
      <c r="E108" s="70">
        <v>600</v>
      </c>
      <c r="G108">
        <v>600</v>
      </c>
    </row>
    <row r="109" spans="1:7">
      <c r="A109">
        <v>227</v>
      </c>
      <c r="B109" t="s">
        <v>470</v>
      </c>
      <c r="C109" t="s">
        <v>470</v>
      </c>
      <c r="E109" s="70">
        <v>600</v>
      </c>
      <c r="G109">
        <v>650</v>
      </c>
    </row>
    <row r="110" spans="1:7">
      <c r="A110">
        <v>258</v>
      </c>
      <c r="B110" s="3" t="s">
        <v>569</v>
      </c>
      <c r="C110" s="32" t="s">
        <v>962</v>
      </c>
      <c r="D110" s="64"/>
      <c r="E110" s="70">
        <v>595</v>
      </c>
      <c r="G110">
        <v>545</v>
      </c>
    </row>
    <row r="111" spans="1:7">
      <c r="A111">
        <v>88</v>
      </c>
      <c r="B111" t="s">
        <v>183</v>
      </c>
      <c r="C111" s="32" t="s">
        <v>888</v>
      </c>
      <c r="D111" s="64"/>
      <c r="E111" s="70">
        <v>580</v>
      </c>
      <c r="G111">
        <v>580</v>
      </c>
    </row>
    <row r="112" spans="1:7">
      <c r="A112">
        <v>90</v>
      </c>
      <c r="B112" s="3" t="s">
        <v>803</v>
      </c>
      <c r="C112" s="64" t="s">
        <v>889</v>
      </c>
      <c r="D112" s="64"/>
      <c r="E112" s="70">
        <v>560.42999999999995</v>
      </c>
      <c r="F112">
        <f>E112/0.34</f>
        <v>1648.3235294117644</v>
      </c>
      <c r="G112">
        <v>2350</v>
      </c>
    </row>
    <row r="113" spans="1:7">
      <c r="A113">
        <v>34</v>
      </c>
      <c r="B113" s="3" t="s">
        <v>41</v>
      </c>
      <c r="C113" s="67" t="s">
        <v>41</v>
      </c>
      <c r="D113" s="3"/>
      <c r="E113" s="70">
        <v>550</v>
      </c>
      <c r="G113">
        <v>550</v>
      </c>
    </row>
    <row r="114" spans="1:7">
      <c r="A114">
        <v>56</v>
      </c>
      <c r="B114" s="3" t="s">
        <v>71</v>
      </c>
      <c r="C114" s="64" t="s">
        <v>873</v>
      </c>
      <c r="D114" s="64"/>
      <c r="E114" s="70">
        <v>550</v>
      </c>
      <c r="G114">
        <v>450</v>
      </c>
    </row>
    <row r="115" spans="1:7">
      <c r="A115">
        <v>129</v>
      </c>
      <c r="B115" t="s">
        <v>218</v>
      </c>
      <c r="C115" s="64" t="s">
        <v>909</v>
      </c>
      <c r="D115" s="64"/>
      <c r="E115" s="70">
        <v>550</v>
      </c>
      <c r="G115">
        <v>648.15</v>
      </c>
    </row>
    <row r="116" spans="1:7">
      <c r="A116">
        <v>204</v>
      </c>
      <c r="B116" t="s">
        <v>323</v>
      </c>
      <c r="C116" s="66" t="s">
        <v>323</v>
      </c>
      <c r="E116" s="50">
        <v>5000</v>
      </c>
      <c r="G116">
        <v>5000</v>
      </c>
    </row>
    <row r="117" spans="1:7">
      <c r="A117">
        <v>186</v>
      </c>
      <c r="B117" s="3" t="s">
        <v>541</v>
      </c>
      <c r="C117" s="64" t="s">
        <v>939</v>
      </c>
      <c r="D117" s="64"/>
      <c r="E117" s="70">
        <v>1200</v>
      </c>
      <c r="G117">
        <v>1500</v>
      </c>
    </row>
    <row r="118" spans="1:7">
      <c r="A118">
        <v>203</v>
      </c>
      <c r="B118" s="3" t="s">
        <v>381</v>
      </c>
      <c r="C118" s="32" t="s">
        <v>946</v>
      </c>
      <c r="D118" s="64"/>
      <c r="E118" s="70">
        <v>525</v>
      </c>
      <c r="G118">
        <v>430</v>
      </c>
    </row>
    <row r="119" spans="1:7">
      <c r="A119">
        <v>210</v>
      </c>
      <c r="B119" s="3" t="s">
        <v>397</v>
      </c>
      <c r="C119" s="64" t="s">
        <v>951</v>
      </c>
      <c r="D119" s="64"/>
      <c r="E119" s="70">
        <v>520.83000000000004</v>
      </c>
      <c r="G119">
        <v>520.83000000000004</v>
      </c>
    </row>
    <row r="120" spans="1:7">
      <c r="A120">
        <v>32</v>
      </c>
      <c r="B120" s="3" t="s">
        <v>39</v>
      </c>
      <c r="C120" s="64" t="s">
        <v>857</v>
      </c>
      <c r="D120" s="64"/>
      <c r="E120" s="70">
        <v>520</v>
      </c>
      <c r="G120">
        <v>880</v>
      </c>
    </row>
    <row r="121" spans="1:7">
      <c r="A121">
        <v>46</v>
      </c>
      <c r="B121" s="3" t="s">
        <v>51</v>
      </c>
      <c r="C121" s="15" t="s">
        <v>834</v>
      </c>
      <c r="D121" s="15"/>
      <c r="E121" s="70">
        <v>515</v>
      </c>
      <c r="G121">
        <v>540</v>
      </c>
    </row>
    <row r="122" spans="1:7">
      <c r="A122">
        <v>245</v>
      </c>
      <c r="B122" s="3" t="s">
        <v>501</v>
      </c>
      <c r="C122" s="32" t="s">
        <v>958</v>
      </c>
      <c r="D122" s="64"/>
      <c r="E122" s="70">
        <v>510</v>
      </c>
      <c r="G122">
        <v>520</v>
      </c>
    </row>
    <row r="123" spans="1:7">
      <c r="A123">
        <v>37</v>
      </c>
      <c r="B123" s="3" t="s">
        <v>44</v>
      </c>
      <c r="C123" s="32" t="s">
        <v>861</v>
      </c>
      <c r="D123" s="64"/>
      <c r="E123" s="70">
        <v>500</v>
      </c>
      <c r="G123">
        <v>500</v>
      </c>
    </row>
    <row r="124" spans="1:7">
      <c r="A124">
        <v>51</v>
      </c>
      <c r="B124" s="3" t="s">
        <v>62</v>
      </c>
      <c r="C124" s="15" t="s">
        <v>861</v>
      </c>
      <c r="D124" s="15"/>
      <c r="E124" s="70">
        <v>500</v>
      </c>
      <c r="G124">
        <v>500</v>
      </c>
    </row>
    <row r="125" spans="1:7">
      <c r="A125">
        <v>81</v>
      </c>
      <c r="B125" s="3" t="s">
        <v>112</v>
      </c>
      <c r="C125" s="65" t="s">
        <v>861</v>
      </c>
      <c r="D125" s="15"/>
      <c r="E125" s="70">
        <v>500</v>
      </c>
      <c r="G125">
        <v>500</v>
      </c>
    </row>
    <row r="126" spans="1:7">
      <c r="A126">
        <v>89</v>
      </c>
      <c r="B126" s="3" t="s">
        <v>126</v>
      </c>
      <c r="C126" s="65" t="s">
        <v>859</v>
      </c>
      <c r="D126" s="15"/>
      <c r="E126" s="70">
        <v>500</v>
      </c>
      <c r="G126">
        <v>700</v>
      </c>
    </row>
    <row r="127" spans="1:7">
      <c r="A127">
        <v>246</v>
      </c>
      <c r="B127" s="3" t="s">
        <v>502</v>
      </c>
      <c r="C127" s="67" t="s">
        <v>502</v>
      </c>
      <c r="D127" s="3"/>
      <c r="E127" s="70">
        <v>500</v>
      </c>
      <c r="G127">
        <v>130</v>
      </c>
    </row>
    <row r="128" spans="1:7">
      <c r="A128">
        <v>290</v>
      </c>
      <c r="B128" t="s">
        <v>814</v>
      </c>
      <c r="C128" s="32" t="s">
        <v>971</v>
      </c>
      <c r="D128" s="64"/>
      <c r="E128" s="70">
        <v>500</v>
      </c>
      <c r="G128">
        <v>500</v>
      </c>
    </row>
    <row r="129" spans="1:7">
      <c r="A129">
        <v>205</v>
      </c>
      <c r="B129" t="s">
        <v>386</v>
      </c>
      <c r="C129" s="66" t="s">
        <v>386</v>
      </c>
      <c r="E129" s="70">
        <v>485.5</v>
      </c>
      <c r="G129">
        <v>485.5</v>
      </c>
    </row>
    <row r="130" spans="1:7">
      <c r="A130">
        <v>127</v>
      </c>
      <c r="B130" t="s">
        <v>213</v>
      </c>
      <c r="C130" s="32" t="s">
        <v>907</v>
      </c>
      <c r="D130" s="64"/>
      <c r="E130" s="70">
        <v>485</v>
      </c>
      <c r="G130">
        <v>550</v>
      </c>
    </row>
    <row r="131" spans="1:7">
      <c r="A131">
        <v>1</v>
      </c>
      <c r="B131" s="2" t="s">
        <v>6</v>
      </c>
      <c r="C131" s="68" t="s">
        <v>6</v>
      </c>
      <c r="D131" s="2"/>
      <c r="E131" s="70">
        <v>480</v>
      </c>
      <c r="F131" s="37">
        <v>500</v>
      </c>
      <c r="G131">
        <v>312.95</v>
      </c>
    </row>
    <row r="132" spans="1:7">
      <c r="A132">
        <v>215</v>
      </c>
      <c r="B132" t="s">
        <v>462</v>
      </c>
      <c r="C132" t="s">
        <v>462</v>
      </c>
      <c r="E132" s="70">
        <v>480</v>
      </c>
      <c r="G132">
        <v>480</v>
      </c>
    </row>
    <row r="133" spans="1:7">
      <c r="A133">
        <v>182</v>
      </c>
      <c r="B133" t="s">
        <v>311</v>
      </c>
      <c r="C133" s="32" t="s">
        <v>938</v>
      </c>
      <c r="D133" s="64"/>
      <c r="E133" s="70">
        <v>475</v>
      </c>
      <c r="G133">
        <v>445</v>
      </c>
    </row>
    <row r="134" spans="1:7">
      <c r="A134">
        <v>136</v>
      </c>
      <c r="B134" t="s">
        <v>229</v>
      </c>
      <c r="C134" t="s">
        <v>229</v>
      </c>
      <c r="E134" s="70">
        <v>470</v>
      </c>
      <c r="G134">
        <v>357.42</v>
      </c>
    </row>
    <row r="135" spans="1:7">
      <c r="A135">
        <v>289</v>
      </c>
      <c r="B135" t="s">
        <v>812</v>
      </c>
      <c r="C135" s="32" t="s">
        <v>970</v>
      </c>
      <c r="D135" s="64"/>
      <c r="E135" s="50">
        <v>460</v>
      </c>
      <c r="G135">
        <v>398</v>
      </c>
    </row>
    <row r="136" spans="1:7">
      <c r="A136">
        <v>208</v>
      </c>
      <c r="B136" s="3" t="s">
        <v>393</v>
      </c>
      <c r="C136" s="32" t="s">
        <v>949</v>
      </c>
      <c r="D136" s="64"/>
      <c r="E136" s="70">
        <v>454</v>
      </c>
      <c r="G136">
        <v>394</v>
      </c>
    </row>
    <row r="137" spans="1:7">
      <c r="A137">
        <v>196</v>
      </c>
      <c r="B137" t="s">
        <v>5</v>
      </c>
      <c r="C137" s="32" t="s">
        <v>943</v>
      </c>
      <c r="D137" s="64"/>
      <c r="E137" s="70">
        <v>450</v>
      </c>
      <c r="G137">
        <v>450</v>
      </c>
    </row>
    <row r="138" spans="1:7">
      <c r="A138">
        <v>197</v>
      </c>
      <c r="B138" s="3" t="s">
        <v>370</v>
      </c>
      <c r="C138" s="3" t="s">
        <v>370</v>
      </c>
      <c r="D138" s="3"/>
      <c r="E138" s="70">
        <v>450</v>
      </c>
      <c r="G138">
        <v>230</v>
      </c>
    </row>
    <row r="139" spans="1:7">
      <c r="A139">
        <v>49</v>
      </c>
      <c r="B139" s="3" t="s">
        <v>60</v>
      </c>
      <c r="C139" s="64" t="s">
        <v>870</v>
      </c>
      <c r="D139" s="64"/>
      <c r="E139" s="70">
        <v>440</v>
      </c>
      <c r="G139">
        <v>450</v>
      </c>
    </row>
    <row r="140" spans="1:7">
      <c r="A140">
        <v>116</v>
      </c>
      <c r="B140" t="s">
        <v>187</v>
      </c>
      <c r="C140" s="64" t="s">
        <v>900</v>
      </c>
      <c r="D140" s="64"/>
      <c r="E140" s="70">
        <v>440</v>
      </c>
      <c r="G140">
        <v>440</v>
      </c>
    </row>
    <row r="141" spans="1:7">
      <c r="A141">
        <v>57</v>
      </c>
      <c r="B141" s="8" t="s">
        <v>310</v>
      </c>
      <c r="C141" s="69" t="s">
        <v>310</v>
      </c>
      <c r="D141" s="8"/>
      <c r="E141" s="70">
        <v>425</v>
      </c>
      <c r="G141">
        <v>850</v>
      </c>
    </row>
    <row r="142" spans="1:7">
      <c r="A142">
        <v>207</v>
      </c>
      <c r="B142" s="3" t="s">
        <v>390</v>
      </c>
      <c r="C142" s="32" t="s">
        <v>948</v>
      </c>
      <c r="D142" s="64"/>
      <c r="E142" s="70">
        <v>422</v>
      </c>
      <c r="G142">
        <v>35</v>
      </c>
    </row>
    <row r="143" spans="1:7">
      <c r="A143">
        <v>132</v>
      </c>
      <c r="B143" t="s">
        <v>222</v>
      </c>
      <c r="C143" s="66" t="s">
        <v>222</v>
      </c>
      <c r="E143" s="70">
        <v>420</v>
      </c>
      <c r="G143">
        <v>410</v>
      </c>
    </row>
    <row r="144" spans="1:7">
      <c r="A144">
        <v>104</v>
      </c>
      <c r="B144" s="3" t="s">
        <v>513</v>
      </c>
      <c r="C144" s="65" t="s">
        <v>861</v>
      </c>
      <c r="D144" s="15"/>
      <c r="E144" s="70">
        <v>400</v>
      </c>
      <c r="G144">
        <v>100</v>
      </c>
    </row>
    <row r="145" spans="1:7">
      <c r="A145">
        <v>106</v>
      </c>
      <c r="B145" s="3" t="s">
        <v>185</v>
      </c>
      <c r="C145" s="32" t="s">
        <v>895</v>
      </c>
      <c r="D145" s="64"/>
      <c r="E145" s="70">
        <v>400</v>
      </c>
      <c r="G145">
        <v>400</v>
      </c>
    </row>
    <row r="146" spans="1:7">
      <c r="A146">
        <v>154</v>
      </c>
      <c r="B146" t="s">
        <v>260</v>
      </c>
      <c r="C146" t="s">
        <v>260</v>
      </c>
      <c r="E146" s="70">
        <v>400</v>
      </c>
      <c r="G146">
        <v>370</v>
      </c>
    </row>
    <row r="147" spans="1:7">
      <c r="A147">
        <v>233</v>
      </c>
      <c r="B147" s="3" t="s">
        <v>58</v>
      </c>
      <c r="C147" s="67" t="s">
        <v>58</v>
      </c>
      <c r="D147" s="3"/>
      <c r="E147" s="70">
        <v>400</v>
      </c>
      <c r="G147">
        <v>400</v>
      </c>
    </row>
    <row r="148" spans="1:7">
      <c r="A148">
        <v>234</v>
      </c>
      <c r="B148" s="3" t="s">
        <v>119</v>
      </c>
      <c r="C148" s="3" t="s">
        <v>119</v>
      </c>
      <c r="D148" s="3"/>
      <c r="E148" s="70">
        <v>400</v>
      </c>
      <c r="G148">
        <v>400</v>
      </c>
    </row>
    <row r="149" spans="1:7">
      <c r="A149">
        <v>294</v>
      </c>
      <c r="B149" s="3" t="s">
        <v>669</v>
      </c>
      <c r="C149" s="3" t="s">
        <v>669</v>
      </c>
      <c r="D149" s="3"/>
      <c r="E149" s="70">
        <v>400</v>
      </c>
      <c r="G149">
        <v>400</v>
      </c>
    </row>
    <row r="150" spans="1:7">
      <c r="A150">
        <v>286</v>
      </c>
      <c r="B150" t="s">
        <v>799</v>
      </c>
      <c r="C150" s="66" t="s">
        <v>799</v>
      </c>
      <c r="E150" s="70">
        <v>395</v>
      </c>
      <c r="G150">
        <v>395</v>
      </c>
    </row>
    <row r="151" spans="1:7">
      <c r="A151">
        <v>60</v>
      </c>
      <c r="B151" s="3" t="s">
        <v>74</v>
      </c>
      <c r="C151" s="65" t="s">
        <v>835</v>
      </c>
      <c r="D151" s="15"/>
      <c r="E151" s="70">
        <v>389.34</v>
      </c>
      <c r="G151">
        <v>394.63</v>
      </c>
    </row>
    <row r="152" spans="1:7">
      <c r="A152">
        <v>95</v>
      </c>
      <c r="B152" s="3" t="s">
        <v>132</v>
      </c>
      <c r="C152" s="32" t="s">
        <v>891</v>
      </c>
      <c r="D152" s="64"/>
      <c r="E152" s="70">
        <v>380</v>
      </c>
      <c r="G152">
        <v>800</v>
      </c>
    </row>
    <row r="153" spans="1:7">
      <c r="A153">
        <v>97</v>
      </c>
      <c r="B153" s="3" t="s">
        <v>134</v>
      </c>
      <c r="C153" s="15" t="s">
        <v>884</v>
      </c>
      <c r="D153" s="15"/>
      <c r="E153" s="70">
        <v>368</v>
      </c>
      <c r="G153">
        <v>344</v>
      </c>
    </row>
    <row r="154" spans="1:7">
      <c r="A154">
        <v>27</v>
      </c>
      <c r="B154" s="3" t="s">
        <v>33</v>
      </c>
      <c r="C154" s="3" t="s">
        <v>33</v>
      </c>
      <c r="D154" s="3"/>
      <c r="E154" s="70">
        <v>350</v>
      </c>
      <c r="G154">
        <v>400</v>
      </c>
    </row>
    <row r="155" spans="1:7">
      <c r="A155">
        <v>52</v>
      </c>
      <c r="B155" s="3" t="s">
        <v>55</v>
      </c>
      <c r="C155" s="3" t="s">
        <v>55</v>
      </c>
      <c r="D155" s="3"/>
      <c r="E155" s="70">
        <v>350</v>
      </c>
      <c r="G155">
        <v>457.875</v>
      </c>
    </row>
    <row r="156" spans="1:7">
      <c r="A156">
        <v>158</v>
      </c>
      <c r="B156" t="s">
        <v>271</v>
      </c>
      <c r="C156" t="s">
        <v>271</v>
      </c>
      <c r="E156" s="70">
        <v>350</v>
      </c>
      <c r="G156">
        <v>55</v>
      </c>
    </row>
    <row r="157" spans="1:7">
      <c r="A157">
        <v>244</v>
      </c>
      <c r="B157" t="s">
        <v>497</v>
      </c>
      <c r="C157" t="s">
        <v>497</v>
      </c>
      <c r="E157" s="70">
        <v>350</v>
      </c>
      <c r="G157">
        <v>400</v>
      </c>
    </row>
    <row r="158" spans="1:7">
      <c r="A158">
        <v>249</v>
      </c>
      <c r="B158" s="3" t="s">
        <v>506</v>
      </c>
      <c r="C158" s="32" t="s">
        <v>960</v>
      </c>
      <c r="D158" s="64"/>
      <c r="E158" s="70">
        <v>350</v>
      </c>
      <c r="G158">
        <v>270</v>
      </c>
    </row>
    <row r="159" spans="1:7">
      <c r="A159">
        <v>71</v>
      </c>
      <c r="B159" s="3" t="s">
        <v>93</v>
      </c>
      <c r="C159" s="64" t="s">
        <v>884</v>
      </c>
      <c r="D159" s="64"/>
      <c r="E159" s="70">
        <v>344</v>
      </c>
      <c r="G159">
        <v>344</v>
      </c>
    </row>
    <row r="160" spans="1:7">
      <c r="A160">
        <v>135</v>
      </c>
      <c r="B160" s="3" t="s">
        <v>804</v>
      </c>
      <c r="C160" s="64" t="s">
        <v>913</v>
      </c>
      <c r="D160" s="64"/>
      <c r="E160" s="70">
        <v>343.75</v>
      </c>
      <c r="F160">
        <f>E160/1.5</f>
        <v>229.16666666666666</v>
      </c>
      <c r="G160">
        <v>220.84</v>
      </c>
    </row>
    <row r="161" spans="1:7">
      <c r="A161">
        <v>278</v>
      </c>
      <c r="B161" s="3" t="s">
        <v>668</v>
      </c>
      <c r="C161" s="15" t="s">
        <v>957</v>
      </c>
      <c r="D161" s="15"/>
      <c r="E161" s="70">
        <v>338</v>
      </c>
      <c r="G161">
        <v>1375</v>
      </c>
    </row>
    <row r="162" spans="1:7">
      <c r="A162">
        <v>274</v>
      </c>
      <c r="B162" t="s">
        <v>387</v>
      </c>
      <c r="C162" t="s">
        <v>387</v>
      </c>
      <c r="E162" s="70">
        <v>337.17500000000001</v>
      </c>
      <c r="G162">
        <v>337.17500000000001</v>
      </c>
    </row>
    <row r="163" spans="1:7">
      <c r="A163">
        <v>109</v>
      </c>
      <c r="B163" s="3" t="s">
        <v>157</v>
      </c>
      <c r="C163" s="32" t="s">
        <v>896</v>
      </c>
      <c r="D163" s="64"/>
      <c r="E163" s="72">
        <f>330/0.2</f>
        <v>1650</v>
      </c>
      <c r="G163">
        <v>1650</v>
      </c>
    </row>
    <row r="164" spans="1:7">
      <c r="A164">
        <v>82</v>
      </c>
      <c r="B164" s="3" t="s">
        <v>107</v>
      </c>
      <c r="C164" s="3" t="s">
        <v>107</v>
      </c>
      <c r="D164" s="3"/>
      <c r="E164" s="70">
        <v>323.75</v>
      </c>
      <c r="G164" t="e">
        <v>#N/A</v>
      </c>
    </row>
    <row r="165" spans="1:7">
      <c r="A165">
        <v>225</v>
      </c>
      <c r="B165" t="s">
        <v>460</v>
      </c>
      <c r="C165" s="65" t="s">
        <v>874</v>
      </c>
      <c r="D165" s="15"/>
      <c r="E165" s="70">
        <v>320</v>
      </c>
      <c r="G165">
        <v>179</v>
      </c>
    </row>
    <row r="166" spans="1:7">
      <c r="A166">
        <v>291</v>
      </c>
      <c r="B166" s="3" t="s">
        <v>806</v>
      </c>
      <c r="C166" s="32" t="s">
        <v>972</v>
      </c>
      <c r="D166" s="64"/>
      <c r="E166" s="70">
        <v>320</v>
      </c>
      <c r="G166">
        <v>320</v>
      </c>
    </row>
    <row r="167" spans="1:7">
      <c r="A167">
        <v>282</v>
      </c>
      <c r="B167" s="3" t="s">
        <v>780</v>
      </c>
      <c r="C167" s="65" t="s">
        <v>780</v>
      </c>
      <c r="D167" s="15"/>
      <c r="E167" s="70">
        <v>311.5</v>
      </c>
      <c r="G167">
        <v>312</v>
      </c>
    </row>
    <row r="168" spans="1:7">
      <c r="A168">
        <v>148</v>
      </c>
      <c r="B168" s="3" t="s">
        <v>587</v>
      </c>
      <c r="C168" s="32" t="s">
        <v>920</v>
      </c>
      <c r="D168" s="64"/>
      <c r="E168" s="70">
        <v>310</v>
      </c>
      <c r="G168">
        <v>310</v>
      </c>
    </row>
    <row r="169" spans="1:7">
      <c r="A169">
        <v>59</v>
      </c>
      <c r="B169" s="3" t="s">
        <v>73</v>
      </c>
      <c r="C169" s="3" t="s">
        <v>73</v>
      </c>
      <c r="D169" s="3"/>
      <c r="E169" s="70">
        <v>305</v>
      </c>
      <c r="G169">
        <v>300</v>
      </c>
    </row>
    <row r="170" spans="1:7">
      <c r="A170">
        <v>266</v>
      </c>
      <c r="B170" s="3" t="s">
        <v>596</v>
      </c>
      <c r="C170" s="32" t="s">
        <v>965</v>
      </c>
      <c r="D170" s="64"/>
      <c r="E170" s="70">
        <v>302.49</v>
      </c>
      <c r="G170">
        <v>302</v>
      </c>
    </row>
    <row r="171" spans="1:7">
      <c r="A171">
        <v>156</v>
      </c>
      <c r="B171" t="s">
        <v>268</v>
      </c>
      <c r="C171" s="64" t="s">
        <v>922</v>
      </c>
      <c r="D171" s="64"/>
      <c r="E171" s="70">
        <v>300</v>
      </c>
      <c r="G171">
        <v>315</v>
      </c>
    </row>
    <row r="172" spans="1:7">
      <c r="A172">
        <v>201</v>
      </c>
      <c r="B172" s="3" t="s">
        <v>262</v>
      </c>
      <c r="C172" s="3" t="s">
        <v>262</v>
      </c>
      <c r="D172" s="3"/>
      <c r="E172" s="70">
        <v>300</v>
      </c>
      <c r="G172">
        <v>100</v>
      </c>
    </row>
    <row r="173" spans="1:7">
      <c r="A173">
        <v>251</v>
      </c>
      <c r="B173" t="s">
        <v>528</v>
      </c>
      <c r="C173" s="66" t="s">
        <v>528</v>
      </c>
      <c r="E173" s="70">
        <v>300</v>
      </c>
      <c r="G173">
        <v>300</v>
      </c>
    </row>
    <row r="174" spans="1:7">
      <c r="A174">
        <v>146</v>
      </c>
      <c r="B174" t="s">
        <v>244</v>
      </c>
      <c r="C174" s="15" t="s">
        <v>840</v>
      </c>
      <c r="D174" s="15"/>
      <c r="E174" s="70">
        <v>291.66000000000003</v>
      </c>
      <c r="G174">
        <v>291.66000000000003</v>
      </c>
    </row>
    <row r="175" spans="1:7">
      <c r="A175">
        <v>111</v>
      </c>
      <c r="B175" s="3" t="s">
        <v>164</v>
      </c>
      <c r="C175" s="64" t="s">
        <v>898</v>
      </c>
      <c r="D175" s="64"/>
      <c r="E175" s="70">
        <v>290</v>
      </c>
      <c r="G175">
        <v>290</v>
      </c>
    </row>
    <row r="176" spans="1:7">
      <c r="A176">
        <v>91</v>
      </c>
      <c r="B176" s="3" t="s">
        <v>127</v>
      </c>
      <c r="C176" s="3" t="s">
        <v>127</v>
      </c>
      <c r="D176" s="3"/>
      <c r="E176" s="70">
        <v>280</v>
      </c>
      <c r="G176">
        <v>14870</v>
      </c>
    </row>
    <row r="177" spans="1:7">
      <c r="A177">
        <v>122</v>
      </c>
      <c r="B177" t="s">
        <v>205</v>
      </c>
      <c r="C177" s="66" t="s">
        <v>205</v>
      </c>
      <c r="E177" s="70">
        <v>280</v>
      </c>
      <c r="G177">
        <v>280</v>
      </c>
    </row>
    <row r="178" spans="1:7">
      <c r="A178">
        <v>11</v>
      </c>
      <c r="B178" s="2" t="s">
        <v>16</v>
      </c>
      <c r="C178" s="68" t="s">
        <v>16</v>
      </c>
      <c r="D178" s="2"/>
      <c r="E178" s="70">
        <v>270</v>
      </c>
      <c r="G178">
        <v>310</v>
      </c>
    </row>
    <row r="179" spans="1:7">
      <c r="A179">
        <v>62</v>
      </c>
      <c r="B179" s="3" t="s">
        <v>76</v>
      </c>
      <c r="C179" s="15" t="s">
        <v>876</v>
      </c>
      <c r="D179" s="15"/>
      <c r="E179" s="70">
        <v>270</v>
      </c>
      <c r="G179">
        <v>290</v>
      </c>
    </row>
    <row r="180" spans="1:7">
      <c r="A180">
        <v>64</v>
      </c>
      <c r="B180" s="3" t="s">
        <v>56</v>
      </c>
      <c r="C180" s="32" t="s">
        <v>878</v>
      </c>
      <c r="D180" s="64"/>
      <c r="E180" s="70">
        <v>270</v>
      </c>
      <c r="G180">
        <v>1260.55</v>
      </c>
    </row>
    <row r="181" spans="1:7">
      <c r="A181">
        <v>152</v>
      </c>
      <c r="B181" t="s">
        <v>257</v>
      </c>
      <c r="C181" s="66" t="s">
        <v>257</v>
      </c>
      <c r="E181" s="70">
        <v>270</v>
      </c>
      <c r="G181">
        <v>230</v>
      </c>
    </row>
    <row r="182" spans="1:7">
      <c r="A182">
        <v>226</v>
      </c>
      <c r="B182" t="s">
        <v>468</v>
      </c>
      <c r="C182" s="65" t="s">
        <v>874</v>
      </c>
      <c r="D182" s="15"/>
      <c r="E182" s="70">
        <v>265</v>
      </c>
      <c r="G182">
        <v>179</v>
      </c>
    </row>
    <row r="183" spans="1:7">
      <c r="A183">
        <v>118</v>
      </c>
      <c r="B183" t="s">
        <v>199</v>
      </c>
      <c r="C183" s="65" t="s">
        <v>839</v>
      </c>
      <c r="D183" s="15"/>
      <c r="E183" s="70">
        <v>260</v>
      </c>
      <c r="G183">
        <v>1100</v>
      </c>
    </row>
    <row r="184" spans="1:7">
      <c r="A184">
        <v>180</v>
      </c>
      <c r="B184" t="s">
        <v>109</v>
      </c>
      <c r="C184" s="32" t="s">
        <v>936</v>
      </c>
      <c r="D184" s="64"/>
      <c r="E184" s="70">
        <v>260</v>
      </c>
      <c r="G184">
        <v>230</v>
      </c>
    </row>
    <row r="185" spans="1:7">
      <c r="A185">
        <v>229</v>
      </c>
      <c r="B185" t="s">
        <v>465</v>
      </c>
      <c r="C185" s="64" t="s">
        <v>956</v>
      </c>
      <c r="D185" s="64"/>
      <c r="E185" s="70">
        <v>260</v>
      </c>
      <c r="G185">
        <v>246</v>
      </c>
    </row>
    <row r="186" spans="1:7">
      <c r="A186">
        <v>267</v>
      </c>
      <c r="B186" s="3" t="s">
        <v>606</v>
      </c>
      <c r="C186" s="3" t="s">
        <v>606</v>
      </c>
      <c r="D186" s="3"/>
      <c r="E186" s="70">
        <v>260</v>
      </c>
      <c r="G186">
        <v>260</v>
      </c>
    </row>
    <row r="187" spans="1:7">
      <c r="A187">
        <v>271</v>
      </c>
      <c r="B187" s="3" t="s">
        <v>624</v>
      </c>
      <c r="C187" s="64" t="s">
        <v>967</v>
      </c>
      <c r="D187" s="64"/>
      <c r="E187" s="70">
        <v>260</v>
      </c>
      <c r="G187">
        <v>300</v>
      </c>
    </row>
    <row r="188" spans="1:7">
      <c r="A188">
        <v>272</v>
      </c>
      <c r="B188" s="3" t="s">
        <v>627</v>
      </c>
      <c r="C188" s="32" t="s">
        <v>968</v>
      </c>
      <c r="D188" s="64"/>
      <c r="E188" s="70">
        <v>260</v>
      </c>
      <c r="G188">
        <v>260</v>
      </c>
    </row>
    <row r="189" spans="1:7">
      <c r="A189">
        <v>176</v>
      </c>
      <c r="B189" t="s">
        <v>309</v>
      </c>
      <c r="C189" s="64" t="s">
        <v>933</v>
      </c>
      <c r="D189" s="64"/>
      <c r="E189" s="70">
        <v>250</v>
      </c>
      <c r="G189">
        <v>265</v>
      </c>
    </row>
    <row r="190" spans="1:7">
      <c r="A190">
        <v>181</v>
      </c>
      <c r="B190" t="s">
        <v>195</v>
      </c>
      <c r="C190" s="64" t="s">
        <v>937</v>
      </c>
      <c r="D190" s="64"/>
      <c r="E190" s="70">
        <v>246</v>
      </c>
      <c r="G190">
        <v>240</v>
      </c>
    </row>
    <row r="191" spans="1:7">
      <c r="A191">
        <v>241</v>
      </c>
      <c r="B191" s="3" t="s">
        <v>170</v>
      </c>
      <c r="C191" s="67" t="s">
        <v>170</v>
      </c>
      <c r="D191" s="3"/>
      <c r="E191" s="70">
        <v>240</v>
      </c>
      <c r="G191">
        <v>240</v>
      </c>
    </row>
    <row r="192" spans="1:7">
      <c r="A192">
        <v>285</v>
      </c>
      <c r="B192" s="3" t="s">
        <v>797</v>
      </c>
      <c r="C192" s="3" t="s">
        <v>797</v>
      </c>
      <c r="D192" s="3"/>
      <c r="E192" s="70">
        <v>240</v>
      </c>
      <c r="G192">
        <v>240</v>
      </c>
    </row>
    <row r="193" spans="1:7">
      <c r="A193">
        <v>179</v>
      </c>
      <c r="B193" t="s">
        <v>194</v>
      </c>
      <c r="C193" s="64" t="s">
        <v>935</v>
      </c>
      <c r="D193" s="64"/>
      <c r="E193" s="70">
        <v>230</v>
      </c>
      <c r="G193">
        <v>210</v>
      </c>
    </row>
    <row r="194" spans="1:7">
      <c r="A194">
        <v>61</v>
      </c>
      <c r="B194" s="3" t="s">
        <v>75</v>
      </c>
      <c r="C194" s="32" t="s">
        <v>875</v>
      </c>
      <c r="D194" s="64"/>
      <c r="E194" s="70">
        <v>220</v>
      </c>
      <c r="G194">
        <v>220</v>
      </c>
    </row>
    <row r="195" spans="1:7">
      <c r="A195">
        <v>261</v>
      </c>
      <c r="B195" t="s">
        <v>403</v>
      </c>
      <c r="C195" s="15" t="s">
        <v>846</v>
      </c>
      <c r="D195" s="15"/>
      <c r="E195" s="70">
        <v>220</v>
      </c>
      <c r="G195">
        <v>220</v>
      </c>
    </row>
    <row r="196" spans="1:7">
      <c r="A196">
        <v>209</v>
      </c>
      <c r="B196" s="3" t="s">
        <v>396</v>
      </c>
      <c r="C196" s="32" t="s">
        <v>950</v>
      </c>
      <c r="D196" s="64"/>
      <c r="E196" s="70">
        <v>215</v>
      </c>
      <c r="G196">
        <v>6</v>
      </c>
    </row>
    <row r="197" spans="1:7">
      <c r="A197">
        <v>134</v>
      </c>
      <c r="B197" t="s">
        <v>226</v>
      </c>
      <c r="C197" s="64" t="s">
        <v>912</v>
      </c>
      <c r="D197" s="64"/>
      <c r="E197" s="70">
        <v>210</v>
      </c>
      <c r="G197">
        <v>1950</v>
      </c>
    </row>
    <row r="198" spans="1:7">
      <c r="A198">
        <v>247</v>
      </c>
      <c r="B198" t="s">
        <v>500</v>
      </c>
      <c r="C198" s="66" t="s">
        <v>500</v>
      </c>
      <c r="E198" s="70">
        <v>208.33</v>
      </c>
      <c r="G198">
        <v>208.33</v>
      </c>
    </row>
    <row r="199" spans="1:7">
      <c r="A199">
        <v>131</v>
      </c>
      <c r="B199" t="s">
        <v>220</v>
      </c>
      <c r="C199" s="64" t="s">
        <v>910</v>
      </c>
      <c r="D199" s="64"/>
      <c r="E199" s="70">
        <v>205</v>
      </c>
      <c r="G199">
        <v>1900</v>
      </c>
    </row>
    <row r="200" spans="1:7">
      <c r="A200">
        <v>24</v>
      </c>
      <c r="B200" s="3" t="s">
        <v>30</v>
      </c>
      <c r="C200" s="3" t="s">
        <v>30</v>
      </c>
      <c r="D200" s="3"/>
      <c r="E200" s="70">
        <v>200</v>
      </c>
      <c r="G200">
        <v>200</v>
      </c>
    </row>
    <row r="201" spans="1:7">
      <c r="A201">
        <v>25</v>
      </c>
      <c r="B201" s="3" t="s">
        <v>31</v>
      </c>
      <c r="C201" s="67" t="s">
        <v>31</v>
      </c>
      <c r="D201" s="3"/>
      <c r="E201" s="70">
        <v>200</v>
      </c>
      <c r="G201">
        <v>350</v>
      </c>
    </row>
    <row r="202" spans="1:7">
      <c r="A202">
        <v>53</v>
      </c>
      <c r="B202" s="3" t="s">
        <v>65</v>
      </c>
      <c r="C202" s="15" t="s">
        <v>805</v>
      </c>
      <c r="D202" s="15"/>
      <c r="E202" s="70">
        <v>200</v>
      </c>
      <c r="G202">
        <v>50</v>
      </c>
    </row>
    <row r="203" spans="1:7">
      <c r="A203">
        <v>128</v>
      </c>
      <c r="B203" t="s">
        <v>216</v>
      </c>
      <c r="C203" s="64" t="s">
        <v>908</v>
      </c>
      <c r="D203" s="64"/>
      <c r="E203" s="70">
        <v>200</v>
      </c>
      <c r="G203">
        <v>180</v>
      </c>
    </row>
    <row r="204" spans="1:7">
      <c r="A204">
        <v>159</v>
      </c>
      <c r="B204" t="s">
        <v>272</v>
      </c>
      <c r="C204" t="s">
        <v>272</v>
      </c>
      <c r="E204" s="70">
        <v>200</v>
      </c>
      <c r="G204">
        <v>166.66</v>
      </c>
    </row>
    <row r="205" spans="1:7">
      <c r="A205">
        <v>218</v>
      </c>
      <c r="B205" t="s">
        <v>475</v>
      </c>
      <c r="C205" s="66" t="s">
        <v>475</v>
      </c>
      <c r="E205" s="70">
        <v>200</v>
      </c>
      <c r="G205">
        <v>180</v>
      </c>
    </row>
    <row r="206" spans="1:7">
      <c r="A206">
        <v>240</v>
      </c>
      <c r="B206" s="3" t="s">
        <v>169</v>
      </c>
      <c r="C206" s="3" t="s">
        <v>169</v>
      </c>
      <c r="D206" s="3"/>
      <c r="E206" s="70">
        <v>200</v>
      </c>
      <c r="G206">
        <v>200</v>
      </c>
    </row>
    <row r="207" spans="1:7">
      <c r="A207">
        <v>250</v>
      </c>
      <c r="B207" s="3" t="s">
        <v>510</v>
      </c>
      <c r="C207" s="3" t="s">
        <v>510</v>
      </c>
      <c r="D207" s="3"/>
      <c r="E207" s="70">
        <v>200</v>
      </c>
      <c r="G207">
        <v>171.46</v>
      </c>
    </row>
    <row r="208" spans="1:7">
      <c r="A208">
        <v>84</v>
      </c>
      <c r="B208" s="3" t="s">
        <v>121</v>
      </c>
      <c r="C208" s="67" t="s">
        <v>121</v>
      </c>
      <c r="D208" s="3"/>
      <c r="E208" s="70">
        <v>190</v>
      </c>
      <c r="G208">
        <v>190</v>
      </c>
    </row>
    <row r="209" spans="1:7">
      <c r="A209">
        <v>184</v>
      </c>
      <c r="B209" t="s">
        <v>312</v>
      </c>
      <c r="C209" s="65" t="s">
        <v>842</v>
      </c>
      <c r="D209" s="15"/>
      <c r="E209" s="70">
        <v>190</v>
      </c>
      <c r="G209">
        <v>1700</v>
      </c>
    </row>
    <row r="210" spans="1:7">
      <c r="A210">
        <v>236</v>
      </c>
      <c r="B210" s="3" t="s">
        <v>137</v>
      </c>
      <c r="C210" s="67" t="s">
        <v>137</v>
      </c>
      <c r="D210" s="3"/>
      <c r="E210" s="70">
        <v>190</v>
      </c>
      <c r="G210">
        <v>200</v>
      </c>
    </row>
    <row r="211" spans="1:7">
      <c r="A211">
        <v>78</v>
      </c>
      <c r="B211" s="3" t="s">
        <v>103</v>
      </c>
      <c r="C211" s="32" t="s">
        <v>886</v>
      </c>
      <c r="D211" s="64"/>
      <c r="E211" s="70">
        <v>180</v>
      </c>
      <c r="G211">
        <v>180</v>
      </c>
    </row>
    <row r="212" spans="1:7">
      <c r="A212">
        <v>173</v>
      </c>
      <c r="B212" t="s">
        <v>192</v>
      </c>
      <c r="C212" s="65" t="s">
        <v>930</v>
      </c>
      <c r="D212" s="15"/>
      <c r="E212" s="70">
        <v>180</v>
      </c>
      <c r="G212">
        <v>300</v>
      </c>
    </row>
    <row r="213" spans="1:7">
      <c r="A213">
        <v>14</v>
      </c>
      <c r="B213" s="3" t="s">
        <v>166</v>
      </c>
      <c r="C213" s="32" t="s">
        <v>851</v>
      </c>
      <c r="D213" s="64"/>
      <c r="E213" s="70">
        <v>177</v>
      </c>
      <c r="G213">
        <v>920</v>
      </c>
    </row>
    <row r="214" spans="1:7">
      <c r="A214">
        <v>47</v>
      </c>
      <c r="B214" s="3" t="s">
        <v>52</v>
      </c>
      <c r="C214" s="67" t="s">
        <v>52</v>
      </c>
      <c r="D214" s="3"/>
      <c r="E214" s="70">
        <v>175</v>
      </c>
      <c r="G214">
        <v>175</v>
      </c>
    </row>
    <row r="215" spans="1:7">
      <c r="A215">
        <v>160</v>
      </c>
      <c r="B215" t="s">
        <v>273</v>
      </c>
      <c r="C215" s="66" t="s">
        <v>273</v>
      </c>
      <c r="E215" s="70">
        <v>175</v>
      </c>
      <c r="G215">
        <v>200</v>
      </c>
    </row>
    <row r="216" spans="1:7">
      <c r="A216">
        <v>147</v>
      </c>
      <c r="B216" t="s">
        <v>246</v>
      </c>
      <c r="C216" s="66" t="s">
        <v>246</v>
      </c>
      <c r="E216" s="70">
        <v>170</v>
      </c>
      <c r="G216">
        <v>150</v>
      </c>
    </row>
    <row r="217" spans="1:7">
      <c r="A217">
        <v>222</v>
      </c>
      <c r="B217" t="s">
        <v>469</v>
      </c>
      <c r="C217" s="15" t="s">
        <v>932</v>
      </c>
      <c r="D217" s="15"/>
      <c r="E217" s="70">
        <v>170</v>
      </c>
      <c r="G217">
        <v>2643.68</v>
      </c>
    </row>
    <row r="218" spans="1:7">
      <c r="A218">
        <v>48</v>
      </c>
      <c r="B218" s="3" t="s">
        <v>53</v>
      </c>
      <c r="C218" s="64" t="s">
        <v>869</v>
      </c>
      <c r="D218" s="64"/>
      <c r="E218" s="70">
        <v>160</v>
      </c>
      <c r="G218">
        <v>527</v>
      </c>
    </row>
    <row r="219" spans="1:7">
      <c r="A219">
        <v>74</v>
      </c>
      <c r="B219" s="3" t="s">
        <v>96</v>
      </c>
      <c r="C219" s="3" t="s">
        <v>96</v>
      </c>
      <c r="D219" s="3"/>
      <c r="E219" s="70">
        <v>160</v>
      </c>
      <c r="G219">
        <v>120</v>
      </c>
    </row>
    <row r="220" spans="1:7">
      <c r="A220">
        <v>183</v>
      </c>
      <c r="B220" t="s">
        <v>196</v>
      </c>
      <c r="C220" t="s">
        <v>196</v>
      </c>
      <c r="E220" s="70">
        <v>160</v>
      </c>
      <c r="G220">
        <v>165</v>
      </c>
    </row>
    <row r="221" spans="1:7">
      <c r="A221">
        <v>257</v>
      </c>
      <c r="B221" s="3" t="s">
        <v>568</v>
      </c>
      <c r="C221" s="15" t="s">
        <v>958</v>
      </c>
      <c r="D221" s="15"/>
      <c r="E221" s="70">
        <v>160</v>
      </c>
      <c r="G221">
        <v>520</v>
      </c>
    </row>
    <row r="222" spans="1:7">
      <c r="A222">
        <v>268</v>
      </c>
      <c r="B222" s="3" t="s">
        <v>613</v>
      </c>
      <c r="C222" s="3" t="s">
        <v>613</v>
      </c>
      <c r="D222" s="3"/>
      <c r="E222" s="70">
        <v>158</v>
      </c>
      <c r="G222">
        <v>158</v>
      </c>
    </row>
    <row r="223" spans="1:7">
      <c r="A223">
        <v>213</v>
      </c>
      <c r="B223" s="3" t="s">
        <v>402</v>
      </c>
      <c r="C223" s="32" t="s">
        <v>953</v>
      </c>
      <c r="D223" s="64"/>
      <c r="E223" s="70">
        <v>156.25</v>
      </c>
      <c r="G223">
        <v>141.66</v>
      </c>
    </row>
    <row r="224" spans="1:7">
      <c r="A224">
        <v>26</v>
      </c>
      <c r="B224" s="3" t="s">
        <v>32</v>
      </c>
      <c r="C224" s="3" t="s">
        <v>32</v>
      </c>
      <c r="D224" s="3"/>
      <c r="E224" s="70">
        <v>154.99</v>
      </c>
      <c r="G224">
        <v>14870</v>
      </c>
    </row>
    <row r="225" spans="1:7">
      <c r="A225">
        <v>133</v>
      </c>
      <c r="B225" t="s">
        <v>224</v>
      </c>
      <c r="C225" s="64" t="s">
        <v>911</v>
      </c>
      <c r="D225" s="64"/>
      <c r="E225" s="70">
        <v>154</v>
      </c>
      <c r="G225">
        <v>144.19999999999999</v>
      </c>
    </row>
    <row r="226" spans="1:7">
      <c r="A226">
        <v>42</v>
      </c>
      <c r="B226" s="3" t="s">
        <v>49</v>
      </c>
      <c r="C226" s="64" t="s">
        <v>866</v>
      </c>
      <c r="D226" s="64"/>
      <c r="E226" s="70">
        <v>153.97999999999999</v>
      </c>
      <c r="G226">
        <v>142.13999999999999</v>
      </c>
    </row>
    <row r="227" spans="1:7">
      <c r="A227">
        <v>123</v>
      </c>
      <c r="B227" t="s">
        <v>313</v>
      </c>
      <c r="C227" s="64" t="s">
        <v>903</v>
      </c>
      <c r="D227" s="64"/>
      <c r="E227" s="70">
        <v>153.97999999999999</v>
      </c>
      <c r="G227">
        <v>152</v>
      </c>
    </row>
    <row r="228" spans="1:7">
      <c r="A228">
        <v>297</v>
      </c>
      <c r="C228" s="3" t="s">
        <v>974</v>
      </c>
      <c r="D228" s="3"/>
      <c r="E228" s="70">
        <v>153</v>
      </c>
      <c r="G228">
        <v>152</v>
      </c>
    </row>
    <row r="229" spans="1:7">
      <c r="A229">
        <v>178</v>
      </c>
      <c r="B229" t="s">
        <v>193</v>
      </c>
      <c r="C229" s="64" t="s">
        <v>934</v>
      </c>
      <c r="D229" s="64"/>
      <c r="E229" s="70">
        <v>150</v>
      </c>
      <c r="G229">
        <v>142</v>
      </c>
    </row>
    <row r="230" spans="1:7">
      <c r="A230">
        <v>5</v>
      </c>
      <c r="B230" s="2" t="s">
        <v>10</v>
      </c>
      <c r="C230" s="15" t="s">
        <v>830</v>
      </c>
      <c r="D230" s="15"/>
      <c r="E230" s="70">
        <v>149</v>
      </c>
      <c r="G230">
        <v>123</v>
      </c>
    </row>
    <row r="231" spans="1:7">
      <c r="A231">
        <v>150</v>
      </c>
      <c r="B231" t="s">
        <v>830</v>
      </c>
      <c r="C231" s="32" t="s">
        <v>830</v>
      </c>
      <c r="D231" s="64"/>
      <c r="E231" s="70">
        <v>149</v>
      </c>
      <c r="G231">
        <v>123</v>
      </c>
    </row>
    <row r="232" spans="1:7">
      <c r="A232">
        <v>263</v>
      </c>
      <c r="B232" s="3" t="s">
        <v>575</v>
      </c>
      <c r="C232" s="32" t="s">
        <v>963</v>
      </c>
      <c r="D232" s="64"/>
      <c r="E232" s="70">
        <v>145</v>
      </c>
      <c r="G232">
        <v>1350</v>
      </c>
    </row>
    <row r="233" spans="1:7">
      <c r="A233">
        <v>100</v>
      </c>
      <c r="B233" s="3" t="s">
        <v>147</v>
      </c>
      <c r="C233" s="15" t="s">
        <v>893</v>
      </c>
      <c r="D233" s="15"/>
      <c r="E233" s="70">
        <v>142.85</v>
      </c>
      <c r="G233" t="e">
        <v>#N/A</v>
      </c>
    </row>
    <row r="234" spans="1:7">
      <c r="A234">
        <v>293</v>
      </c>
      <c r="B234" s="51" t="s">
        <v>147</v>
      </c>
      <c r="C234" s="67" t="s">
        <v>975</v>
      </c>
      <c r="D234" s="3"/>
      <c r="E234" s="50">
        <v>142.85</v>
      </c>
      <c r="G234" s="50">
        <v>142.85</v>
      </c>
    </row>
    <row r="235" spans="1:7">
      <c r="A235">
        <v>223</v>
      </c>
      <c r="B235" t="s">
        <v>478</v>
      </c>
      <c r="C235" t="s">
        <v>478</v>
      </c>
      <c r="E235" s="70">
        <v>142.4</v>
      </c>
      <c r="G235">
        <v>1424</v>
      </c>
    </row>
    <row r="236" spans="1:7">
      <c r="A236">
        <v>7</v>
      </c>
      <c r="B236" s="2" t="s">
        <v>12</v>
      </c>
      <c r="C236" s="2" t="s">
        <v>12</v>
      </c>
      <c r="D236" s="2"/>
      <c r="E236" s="70">
        <v>140</v>
      </c>
      <c r="G236">
        <v>200</v>
      </c>
    </row>
    <row r="237" spans="1:7">
      <c r="A237">
        <v>73</v>
      </c>
      <c r="B237" s="3" t="s">
        <v>95</v>
      </c>
      <c r="C237" s="3" t="s">
        <v>95</v>
      </c>
      <c r="D237" s="3"/>
      <c r="E237" s="70">
        <v>140</v>
      </c>
      <c r="G237">
        <v>90</v>
      </c>
    </row>
    <row r="238" spans="1:7">
      <c r="A238">
        <v>139</v>
      </c>
      <c r="B238" t="s">
        <v>233</v>
      </c>
      <c r="C238" s="64" t="s">
        <v>914</v>
      </c>
      <c r="D238" s="64"/>
      <c r="E238" s="70">
        <v>140</v>
      </c>
      <c r="G238">
        <v>492</v>
      </c>
    </row>
    <row r="239" spans="1:7">
      <c r="A239">
        <v>144</v>
      </c>
      <c r="B239" t="s">
        <v>242</v>
      </c>
      <c r="C239" t="s">
        <v>242</v>
      </c>
      <c r="E239" s="70">
        <v>140</v>
      </c>
      <c r="G239">
        <v>1400</v>
      </c>
    </row>
    <row r="240" spans="1:7">
      <c r="A240">
        <v>254</v>
      </c>
      <c r="B240" s="3" t="s">
        <v>544</v>
      </c>
      <c r="C240" s="15" t="s">
        <v>951</v>
      </c>
      <c r="D240" s="15"/>
      <c r="E240" s="70">
        <v>135</v>
      </c>
      <c r="F240">
        <f>E240/0.3</f>
        <v>450</v>
      </c>
      <c r="G240">
        <v>2.5</v>
      </c>
    </row>
    <row r="241" spans="1:7">
      <c r="A241">
        <v>155</v>
      </c>
      <c r="B241" t="s">
        <v>265</v>
      </c>
      <c r="C241" t="s">
        <v>265</v>
      </c>
      <c r="E241" s="70">
        <v>133.33000000000001</v>
      </c>
      <c r="G241" t="e">
        <v>#N/A</v>
      </c>
    </row>
    <row r="242" spans="1:7">
      <c r="A242">
        <v>10</v>
      </c>
      <c r="B242" s="2" t="s">
        <v>15</v>
      </c>
      <c r="C242" s="2" t="s">
        <v>15</v>
      </c>
      <c r="D242" s="2"/>
      <c r="E242" s="70">
        <v>130</v>
      </c>
      <c r="G242">
        <v>90</v>
      </c>
    </row>
    <row r="243" spans="1:7">
      <c r="A243">
        <v>99</v>
      </c>
      <c r="B243" s="3" t="s">
        <v>146</v>
      </c>
      <c r="C243" s="3" t="s">
        <v>146</v>
      </c>
      <c r="D243" s="3"/>
      <c r="E243" s="70">
        <v>130</v>
      </c>
      <c r="G243">
        <v>20</v>
      </c>
    </row>
    <row r="244" spans="1:7">
      <c r="A244">
        <v>287</v>
      </c>
      <c r="B244" t="s">
        <v>800</v>
      </c>
      <c r="C244" s="66" t="s">
        <v>800</v>
      </c>
      <c r="E244" s="70">
        <v>130</v>
      </c>
      <c r="G244">
        <v>130</v>
      </c>
    </row>
    <row r="245" spans="1:7">
      <c r="A245">
        <v>255</v>
      </c>
      <c r="B245" s="3" t="s">
        <v>553</v>
      </c>
      <c r="C245" s="3" t="s">
        <v>553</v>
      </c>
      <c r="D245" s="3"/>
      <c r="E245" s="70">
        <v>129.07</v>
      </c>
      <c r="G245">
        <v>129</v>
      </c>
    </row>
    <row r="246" spans="1:7">
      <c r="A246">
        <v>202</v>
      </c>
      <c r="B246" s="3" t="s">
        <v>380</v>
      </c>
      <c r="C246" s="3" t="s">
        <v>380</v>
      </c>
      <c r="D246" s="3"/>
      <c r="E246" s="70">
        <v>128.57</v>
      </c>
      <c r="G246">
        <v>180</v>
      </c>
    </row>
    <row r="247" spans="1:7">
      <c r="A247">
        <v>20</v>
      </c>
      <c r="B247" s="3" t="s">
        <v>27</v>
      </c>
      <c r="C247" s="65" t="s">
        <v>832</v>
      </c>
      <c r="D247" s="15"/>
      <c r="E247" s="70">
        <v>128</v>
      </c>
      <c r="G247">
        <v>131.19999999999999</v>
      </c>
    </row>
    <row r="248" spans="1:7">
      <c r="A248">
        <v>9</v>
      </c>
      <c r="B248" s="2" t="s">
        <v>14</v>
      </c>
      <c r="C248" s="2" t="s">
        <v>14</v>
      </c>
      <c r="D248" s="2"/>
      <c r="E248" s="70">
        <v>120</v>
      </c>
      <c r="G248">
        <v>60</v>
      </c>
    </row>
    <row r="249" spans="1:7">
      <c r="A249">
        <v>45</v>
      </c>
      <c r="B249" s="3" t="s">
        <v>50</v>
      </c>
      <c r="C249" s="3" t="s">
        <v>50</v>
      </c>
      <c r="D249" s="3"/>
      <c r="E249" s="70">
        <v>120</v>
      </c>
      <c r="G249">
        <v>120</v>
      </c>
    </row>
    <row r="250" spans="1:7">
      <c r="A250">
        <v>58</v>
      </c>
      <c r="B250" s="3" t="s">
        <v>72</v>
      </c>
      <c r="C250" s="32" t="s">
        <v>874</v>
      </c>
      <c r="D250" s="64"/>
      <c r="E250" s="70">
        <v>110</v>
      </c>
      <c r="G250">
        <v>179</v>
      </c>
    </row>
    <row r="251" spans="1:7">
      <c r="A251">
        <v>191</v>
      </c>
      <c r="B251" t="s">
        <v>144</v>
      </c>
      <c r="C251" s="66" t="s">
        <v>144</v>
      </c>
      <c r="E251" s="70">
        <v>110</v>
      </c>
      <c r="G251">
        <v>100</v>
      </c>
    </row>
    <row r="252" spans="1:7">
      <c r="A252">
        <v>252</v>
      </c>
      <c r="B252" s="3" t="s">
        <v>539</v>
      </c>
      <c r="C252" s="64" t="s">
        <v>961</v>
      </c>
      <c r="D252" s="64"/>
      <c r="E252" s="70">
        <v>110</v>
      </c>
      <c r="F252">
        <f>E252/0.1</f>
        <v>1100</v>
      </c>
      <c r="G252">
        <v>1100</v>
      </c>
    </row>
    <row r="253" spans="1:7">
      <c r="A253">
        <v>262</v>
      </c>
      <c r="B253" s="3" t="s">
        <v>474</v>
      </c>
      <c r="C253" s="64" t="s">
        <v>963</v>
      </c>
      <c r="D253" s="64"/>
      <c r="E253" s="70">
        <v>110</v>
      </c>
      <c r="G253">
        <v>1350</v>
      </c>
    </row>
    <row r="254" spans="1:7">
      <c r="A254">
        <v>13</v>
      </c>
      <c r="B254" s="2" t="s">
        <v>18</v>
      </c>
      <c r="C254" s="68" t="s">
        <v>18</v>
      </c>
      <c r="D254" s="2"/>
      <c r="E254" s="70">
        <v>100</v>
      </c>
      <c r="G254">
        <v>100</v>
      </c>
    </row>
    <row r="255" spans="1:7">
      <c r="A255">
        <v>79</v>
      </c>
      <c r="B255" s="3" t="s">
        <v>105</v>
      </c>
      <c r="C255" s="15" t="s">
        <v>874</v>
      </c>
      <c r="D255" s="15"/>
      <c r="E255" s="70">
        <v>100</v>
      </c>
      <c r="G255">
        <v>179</v>
      </c>
    </row>
    <row r="256" spans="1:7">
      <c r="A256">
        <v>161</v>
      </c>
      <c r="B256" s="3" t="s">
        <v>372</v>
      </c>
      <c r="C256" s="64" t="s">
        <v>923</v>
      </c>
      <c r="D256" s="64"/>
      <c r="E256" s="70">
        <v>100</v>
      </c>
      <c r="G256">
        <v>1000</v>
      </c>
    </row>
    <row r="257" spans="1:7">
      <c r="A257">
        <v>93</v>
      </c>
      <c r="B257" s="3" t="s">
        <v>130</v>
      </c>
      <c r="C257" s="64" t="s">
        <v>890</v>
      </c>
      <c r="D257" s="64"/>
      <c r="E257" s="70">
        <v>92</v>
      </c>
      <c r="G257">
        <v>150</v>
      </c>
    </row>
    <row r="258" spans="1:7">
      <c r="A258">
        <v>145</v>
      </c>
      <c r="B258" t="s">
        <v>243</v>
      </c>
      <c r="C258" s="64" t="s">
        <v>919</v>
      </c>
      <c r="D258" s="64"/>
      <c r="E258" s="70">
        <v>91.67</v>
      </c>
      <c r="G258">
        <v>617.14285714285722</v>
      </c>
    </row>
    <row r="259" spans="1:7">
      <c r="A259">
        <v>72</v>
      </c>
      <c r="B259" s="3" t="s">
        <v>94</v>
      </c>
      <c r="C259" s="3" t="s">
        <v>94</v>
      </c>
      <c r="D259" s="3"/>
      <c r="E259" s="70">
        <v>90</v>
      </c>
      <c r="G259">
        <v>40</v>
      </c>
    </row>
    <row r="260" spans="1:7">
      <c r="A260">
        <v>157</v>
      </c>
      <c r="B260" t="s">
        <v>270</v>
      </c>
      <c r="C260" s="66" t="s">
        <v>270</v>
      </c>
      <c r="E260" s="70">
        <v>90</v>
      </c>
      <c r="G260">
        <v>130</v>
      </c>
    </row>
    <row r="261" spans="1:7">
      <c r="A261">
        <v>21</v>
      </c>
      <c r="B261" s="3" t="s">
        <v>28</v>
      </c>
      <c r="C261" s="3" t="s">
        <v>28</v>
      </c>
      <c r="D261" s="3"/>
      <c r="E261" s="70">
        <v>85</v>
      </c>
      <c r="G261">
        <v>70</v>
      </c>
    </row>
    <row r="262" spans="1:7">
      <c r="A262">
        <v>270</v>
      </c>
      <c r="B262" s="3" t="s">
        <v>585</v>
      </c>
      <c r="C262" s="3" t="s">
        <v>585</v>
      </c>
      <c r="D262" s="3"/>
      <c r="E262" s="70">
        <v>84</v>
      </c>
      <c r="G262">
        <v>84</v>
      </c>
    </row>
    <row r="263" spans="1:7">
      <c r="A263">
        <v>12</v>
      </c>
      <c r="B263" s="2" t="s">
        <v>17</v>
      </c>
      <c r="C263" s="2" t="s">
        <v>17</v>
      </c>
      <c r="D263" s="2"/>
      <c r="E263" s="70">
        <v>80</v>
      </c>
      <c r="G263">
        <v>5</v>
      </c>
    </row>
    <row r="264" spans="1:7">
      <c r="A264">
        <v>239</v>
      </c>
      <c r="B264" s="3" t="s">
        <v>143</v>
      </c>
      <c r="C264" s="67" t="s">
        <v>143</v>
      </c>
      <c r="D264" s="3"/>
      <c r="E264" s="70">
        <v>80</v>
      </c>
      <c r="G264">
        <v>90</v>
      </c>
    </row>
    <row r="265" spans="1:7">
      <c r="A265">
        <v>120</v>
      </c>
      <c r="B265" t="s">
        <v>202</v>
      </c>
      <c r="C265" s="32" t="s">
        <v>901</v>
      </c>
      <c r="D265" s="64"/>
      <c r="E265" s="70">
        <v>73</v>
      </c>
      <c r="G265">
        <v>73</v>
      </c>
    </row>
    <row r="266" spans="1:7">
      <c r="A266">
        <v>167</v>
      </c>
      <c r="B266" t="s">
        <v>301</v>
      </c>
      <c r="C266" t="s">
        <v>301</v>
      </c>
      <c r="E266" s="70">
        <v>70</v>
      </c>
      <c r="G266">
        <v>70</v>
      </c>
    </row>
    <row r="267" spans="1:7">
      <c r="A267">
        <v>238</v>
      </c>
      <c r="B267" s="3" t="s">
        <v>142</v>
      </c>
      <c r="C267" s="67" t="s">
        <v>142</v>
      </c>
      <c r="D267" s="3"/>
      <c r="E267" s="70">
        <v>70</v>
      </c>
      <c r="G267">
        <v>80</v>
      </c>
    </row>
    <row r="268" spans="1:7">
      <c r="A268">
        <v>279</v>
      </c>
      <c r="B268" t="s">
        <v>670</v>
      </c>
      <c r="C268" s="66" t="s">
        <v>670</v>
      </c>
      <c r="E268" s="70">
        <v>70</v>
      </c>
      <c r="G268">
        <v>70</v>
      </c>
    </row>
    <row r="269" spans="1:7">
      <c r="A269">
        <v>283</v>
      </c>
      <c r="B269" s="3" t="s">
        <v>786</v>
      </c>
      <c r="C269" s="3" t="s">
        <v>786</v>
      </c>
      <c r="D269" s="3"/>
      <c r="E269" s="70">
        <v>66.67</v>
      </c>
      <c r="G269">
        <v>834</v>
      </c>
    </row>
    <row r="270" spans="1:7">
      <c r="A270">
        <v>280</v>
      </c>
      <c r="B270" t="s">
        <v>671</v>
      </c>
      <c r="C270" t="s">
        <v>671</v>
      </c>
      <c r="E270" s="70">
        <v>66</v>
      </c>
      <c r="G270">
        <v>66</v>
      </c>
    </row>
    <row r="271" spans="1:7">
      <c r="A271">
        <v>190</v>
      </c>
      <c r="B271" t="s">
        <v>171</v>
      </c>
      <c r="C271" s="66" t="s">
        <v>171</v>
      </c>
      <c r="E271" s="70">
        <v>65</v>
      </c>
      <c r="G271">
        <v>80</v>
      </c>
    </row>
    <row r="272" spans="1:7">
      <c r="A272">
        <v>6</v>
      </c>
      <c r="B272" s="2" t="s">
        <v>11</v>
      </c>
      <c r="C272" s="2" t="s">
        <v>11</v>
      </c>
      <c r="D272" s="2"/>
      <c r="E272" s="70">
        <v>60</v>
      </c>
      <c r="G272">
        <v>120</v>
      </c>
    </row>
    <row r="273" spans="1:7">
      <c r="A273">
        <v>23</v>
      </c>
      <c r="B273" s="3" t="s">
        <v>29</v>
      </c>
      <c r="C273" s="67" t="s">
        <v>29</v>
      </c>
      <c r="D273" s="3"/>
      <c r="E273" s="70">
        <v>60</v>
      </c>
      <c r="G273">
        <v>100</v>
      </c>
    </row>
    <row r="274" spans="1:7">
      <c r="A274">
        <v>264</v>
      </c>
      <c r="B274" s="3" t="s">
        <v>583</v>
      </c>
      <c r="C274" s="65" t="s">
        <v>847</v>
      </c>
      <c r="D274" s="15"/>
      <c r="E274" s="70">
        <v>60</v>
      </c>
      <c r="G274">
        <v>12</v>
      </c>
    </row>
    <row r="275" spans="1:7">
      <c r="A275">
        <v>22</v>
      </c>
      <c r="B275" s="3" t="s">
        <v>24</v>
      </c>
      <c r="C275" s="3" t="s">
        <v>24</v>
      </c>
      <c r="D275" s="3"/>
      <c r="E275" s="70">
        <v>55</v>
      </c>
      <c r="G275">
        <v>80</v>
      </c>
    </row>
    <row r="276" spans="1:7">
      <c r="A276">
        <v>235</v>
      </c>
      <c r="B276" s="3" t="s">
        <v>136</v>
      </c>
      <c r="C276" s="3" t="s">
        <v>136</v>
      </c>
      <c r="D276" s="3"/>
      <c r="E276" s="70">
        <v>55</v>
      </c>
      <c r="G276">
        <v>60</v>
      </c>
    </row>
    <row r="277" spans="1:7">
      <c r="A277">
        <v>143</v>
      </c>
      <c r="B277" t="s">
        <v>240</v>
      </c>
      <c r="C277" s="32" t="s">
        <v>918</v>
      </c>
      <c r="D277" s="64"/>
      <c r="E277" s="70">
        <v>54</v>
      </c>
      <c r="G277">
        <v>308.57142857142861</v>
      </c>
    </row>
    <row r="278" spans="1:7">
      <c r="A278">
        <v>153</v>
      </c>
      <c r="B278" t="s">
        <v>258</v>
      </c>
      <c r="C278" s="15" t="s">
        <v>841</v>
      </c>
      <c r="D278" s="15"/>
      <c r="E278" s="70">
        <v>50</v>
      </c>
      <c r="G278">
        <v>50</v>
      </c>
    </row>
    <row r="279" spans="1:7">
      <c r="A279">
        <v>166</v>
      </c>
      <c r="B279" t="s">
        <v>299</v>
      </c>
      <c r="C279" s="64" t="s">
        <v>926</v>
      </c>
      <c r="D279" s="64"/>
      <c r="E279" s="70">
        <v>50</v>
      </c>
      <c r="F279">
        <f>E279/0.8</f>
        <v>62.5</v>
      </c>
      <c r="G279">
        <v>100</v>
      </c>
    </row>
    <row r="280" spans="1:7">
      <c r="A280">
        <v>206</v>
      </c>
      <c r="B280" t="s">
        <v>388</v>
      </c>
      <c r="C280" s="64" t="s">
        <v>947</v>
      </c>
      <c r="D280" s="64"/>
      <c r="E280" s="70">
        <v>50</v>
      </c>
      <c r="G280">
        <v>50</v>
      </c>
    </row>
    <row r="281" spans="1:7">
      <c r="A281">
        <v>237</v>
      </c>
      <c r="B281" s="3" t="s">
        <v>138</v>
      </c>
      <c r="C281" s="3" t="s">
        <v>138</v>
      </c>
      <c r="D281" s="3"/>
      <c r="E281" s="70">
        <v>50</v>
      </c>
      <c r="G281">
        <v>50</v>
      </c>
    </row>
    <row r="282" spans="1:7">
      <c r="A282">
        <v>295</v>
      </c>
      <c r="C282" s="3" t="s">
        <v>1011</v>
      </c>
      <c r="D282" s="3"/>
      <c r="E282" s="70">
        <v>48.13</v>
      </c>
      <c r="G282">
        <v>48.13</v>
      </c>
    </row>
    <row r="283" spans="1:7">
      <c r="A283">
        <v>288</v>
      </c>
      <c r="B283" t="s">
        <v>802</v>
      </c>
      <c r="C283" s="64" t="s">
        <v>969</v>
      </c>
      <c r="D283" s="64"/>
      <c r="E283" s="70">
        <v>45</v>
      </c>
      <c r="G283">
        <v>45</v>
      </c>
    </row>
    <row r="284" spans="1:7">
      <c r="A284">
        <v>276</v>
      </c>
      <c r="B284" s="3" t="s">
        <v>649</v>
      </c>
      <c r="C284" s="3" t="s">
        <v>649</v>
      </c>
      <c r="D284" s="3"/>
      <c r="E284" s="70">
        <v>42.86</v>
      </c>
      <c r="G284">
        <v>45</v>
      </c>
    </row>
    <row r="285" spans="1:7">
      <c r="A285">
        <v>187</v>
      </c>
      <c r="B285" t="s">
        <v>158</v>
      </c>
      <c r="C285" t="s">
        <v>158</v>
      </c>
      <c r="E285" s="70">
        <v>40</v>
      </c>
      <c r="G285">
        <v>45</v>
      </c>
    </row>
    <row r="286" spans="1:7">
      <c r="A286">
        <v>200</v>
      </c>
      <c r="B286" s="3" t="s">
        <v>377</v>
      </c>
      <c r="C286" s="3" t="s">
        <v>377</v>
      </c>
      <c r="D286" s="3"/>
      <c r="E286" s="70">
        <v>40</v>
      </c>
      <c r="G286">
        <v>50</v>
      </c>
    </row>
    <row r="287" spans="1:7">
      <c r="A287">
        <v>292</v>
      </c>
      <c r="B287" s="3" t="s">
        <v>983</v>
      </c>
      <c r="C287" s="3" t="s">
        <v>983</v>
      </c>
      <c r="D287" s="3"/>
      <c r="E287" s="70">
        <v>36.159999999999997</v>
      </c>
      <c r="G287">
        <v>36.159999999999997</v>
      </c>
    </row>
    <row r="288" spans="1:7">
      <c r="A288">
        <v>8</v>
      </c>
      <c r="B288" s="2" t="s">
        <v>13</v>
      </c>
      <c r="C288" s="2" t="s">
        <v>13</v>
      </c>
      <c r="D288" s="2"/>
      <c r="E288" s="70">
        <v>60</v>
      </c>
      <c r="G288">
        <v>60</v>
      </c>
    </row>
    <row r="289" spans="1:7">
      <c r="A289">
        <v>16</v>
      </c>
      <c r="B289" s="2" t="s">
        <v>22</v>
      </c>
      <c r="C289" s="64" t="s">
        <v>853</v>
      </c>
      <c r="D289" s="64"/>
      <c r="E289" s="70">
        <v>30</v>
      </c>
      <c r="G289">
        <v>55</v>
      </c>
    </row>
    <row r="290" spans="1:7">
      <c r="A290">
        <v>151</v>
      </c>
      <c r="B290" t="s">
        <v>254</v>
      </c>
      <c r="C290" s="66" t="s">
        <v>254</v>
      </c>
      <c r="E290" s="70">
        <v>30</v>
      </c>
      <c r="G290">
        <v>30</v>
      </c>
    </row>
    <row r="291" spans="1:7">
      <c r="A291">
        <v>162</v>
      </c>
      <c r="B291" t="s">
        <v>277</v>
      </c>
      <c r="C291" s="66" t="s">
        <v>277</v>
      </c>
      <c r="E291" s="70">
        <v>30</v>
      </c>
      <c r="G291">
        <v>20</v>
      </c>
    </row>
    <row r="292" spans="1:7">
      <c r="A292">
        <v>19</v>
      </c>
      <c r="B292" s="3" t="s">
        <v>26</v>
      </c>
      <c r="C292" s="32" t="s">
        <v>854</v>
      </c>
      <c r="D292" s="64"/>
      <c r="E292" s="70">
        <v>24.64</v>
      </c>
      <c r="G292">
        <v>20.059999999999999</v>
      </c>
    </row>
    <row r="293" spans="1:7">
      <c r="A293">
        <v>269</v>
      </c>
      <c r="B293" s="3" t="s">
        <v>619</v>
      </c>
      <c r="C293" s="32" t="s">
        <v>966</v>
      </c>
      <c r="D293" s="64"/>
      <c r="E293" s="70">
        <v>17</v>
      </c>
      <c r="G293">
        <v>17</v>
      </c>
    </row>
    <row r="294" spans="1:7">
      <c r="A294">
        <v>29</v>
      </c>
      <c r="B294" s="3" t="s">
        <v>35</v>
      </c>
      <c r="C294" s="3" t="s">
        <v>35</v>
      </c>
      <c r="D294" s="3"/>
      <c r="E294" s="70">
        <v>13</v>
      </c>
      <c r="G294">
        <v>15</v>
      </c>
    </row>
    <row r="295" spans="1:7">
      <c r="A295">
        <v>273</v>
      </c>
      <c r="B295" t="s">
        <v>637</v>
      </c>
      <c r="C295" t="s">
        <v>637</v>
      </c>
      <c r="E295" s="70">
        <v>10</v>
      </c>
      <c r="G295">
        <v>10</v>
      </c>
    </row>
    <row r="296" spans="1:7">
      <c r="A296">
        <v>2</v>
      </c>
      <c r="B296" s="2" t="s">
        <v>7</v>
      </c>
      <c r="C296" s="2" t="s">
        <v>7</v>
      </c>
      <c r="D296" s="2"/>
      <c r="E296" s="70">
        <v>8</v>
      </c>
      <c r="G296">
        <v>6</v>
      </c>
    </row>
    <row r="297" spans="1:7">
      <c r="A297">
        <v>248</v>
      </c>
      <c r="B297" s="3" t="s">
        <v>221</v>
      </c>
      <c r="C297" s="64" t="s">
        <v>959</v>
      </c>
      <c r="D297" s="64"/>
      <c r="E297" s="70">
        <v>7.4204166666666653</v>
      </c>
      <c r="G297">
        <v>7.4204166666666653</v>
      </c>
    </row>
    <row r="298" spans="1:7">
      <c r="A298">
        <v>101</v>
      </c>
      <c r="B298" s="3" t="s">
        <v>148</v>
      </c>
      <c r="C298" s="3" t="s">
        <v>148</v>
      </c>
      <c r="D298" s="3"/>
      <c r="E298" s="70">
        <v>5</v>
      </c>
      <c r="G298">
        <v>5</v>
      </c>
    </row>
    <row r="299" spans="1:7">
      <c r="A299">
        <v>117</v>
      </c>
      <c r="B299" t="s">
        <v>189</v>
      </c>
      <c r="C299" t="s">
        <v>189</v>
      </c>
      <c r="E299" s="70">
        <v>0</v>
      </c>
      <c r="G299">
        <v>0</v>
      </c>
    </row>
    <row r="300" spans="1:7">
      <c r="B300" s="3" t="s">
        <v>543</v>
      </c>
      <c r="C300" s="3" t="s">
        <v>543</v>
      </c>
      <c r="E300" s="12">
        <v>2300</v>
      </c>
      <c r="G300" s="12">
        <v>2300</v>
      </c>
    </row>
    <row r="301" spans="1:7">
      <c r="B301" s="3" t="s">
        <v>1031</v>
      </c>
      <c r="C301" s="3" t="s">
        <v>1031</v>
      </c>
      <c r="E301" s="12">
        <v>1183.33</v>
      </c>
      <c r="G301" s="12">
        <v>1183.33</v>
      </c>
    </row>
    <row r="302" spans="1:7">
      <c r="B302" s="3" t="s">
        <v>1034</v>
      </c>
      <c r="C302" s="3" t="s">
        <v>1034</v>
      </c>
      <c r="E302" s="70">
        <v>1800</v>
      </c>
      <c r="G302">
        <v>1800</v>
      </c>
    </row>
    <row r="303" spans="1:7">
      <c r="B303" s="3" t="s">
        <v>1042</v>
      </c>
      <c r="C303" s="3" t="s">
        <v>1042</v>
      </c>
      <c r="E303" s="70">
        <f>350/0.25</f>
        <v>1400</v>
      </c>
      <c r="G303" s="70">
        <f>350/0.25</f>
        <v>1400</v>
      </c>
    </row>
    <row r="304" spans="1:7">
      <c r="B304" s="3" t="s">
        <v>1045</v>
      </c>
      <c r="C304" s="3" t="s">
        <v>1045</v>
      </c>
      <c r="E304" s="70">
        <v>1070</v>
      </c>
      <c r="G304">
        <v>1070</v>
      </c>
    </row>
    <row r="305" spans="2:7">
      <c r="B305" s="3" t="s">
        <v>1046</v>
      </c>
      <c r="C305" s="3" t="s">
        <v>1046</v>
      </c>
      <c r="E305" s="70">
        <v>1170</v>
      </c>
      <c r="G305">
        <v>1170</v>
      </c>
    </row>
    <row r="306" spans="2:7">
      <c r="B306" s="3" t="s">
        <v>1056</v>
      </c>
      <c r="C306" s="3" t="s">
        <v>1056</v>
      </c>
      <c r="E306" s="70">
        <v>20</v>
      </c>
      <c r="G306">
        <v>20</v>
      </c>
    </row>
    <row r="307" spans="2:7">
      <c r="B307" s="3" t="s">
        <v>1061</v>
      </c>
      <c r="C307" s="3" t="s">
        <v>1061</v>
      </c>
      <c r="E307" s="70">
        <v>475</v>
      </c>
      <c r="G307">
        <v>475</v>
      </c>
    </row>
    <row r="308" spans="2:7">
      <c r="B308" t="s">
        <v>1063</v>
      </c>
      <c r="C308" t="s">
        <v>1063</v>
      </c>
      <c r="E308" s="12">
        <v>864.86</v>
      </c>
      <c r="G308" s="12">
        <v>864.86</v>
      </c>
    </row>
    <row r="309" spans="2:7">
      <c r="B309" t="s">
        <v>1064</v>
      </c>
      <c r="C309" t="s">
        <v>1064</v>
      </c>
      <c r="E309" s="70">
        <v>52.5</v>
      </c>
      <c r="G309" s="70">
        <v>52.5</v>
      </c>
    </row>
  </sheetData>
  <autoFilter ref="A2:H305">
    <sortState ref="A3:I299">
      <sortCondition descending="1" ref="E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Recipes</vt:lpstr>
      <vt:lpstr>Consolidate</vt:lpstr>
      <vt:lpstr>Average Rates</vt:lpstr>
      <vt:lpstr>Category Wise</vt:lpstr>
      <vt:lpstr>Ingredients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TFS</dc:creator>
  <cp:lastModifiedBy>Maaz Bin Imran</cp:lastModifiedBy>
  <dcterms:created xsi:type="dcterms:W3CDTF">2023-06-23T09:54:05Z</dcterms:created>
  <dcterms:modified xsi:type="dcterms:W3CDTF">2023-09-18T10:12:37Z</dcterms:modified>
</cp:coreProperties>
</file>