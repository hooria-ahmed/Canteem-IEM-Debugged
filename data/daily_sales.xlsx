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hail.zafar\Desktop\"/>
    </mc:Choice>
  </mc:AlternateContent>
  <bookViews>
    <workbookView xWindow="0" yWindow="0" windowWidth="28770" windowHeight="12270" activeTab="1"/>
  </bookViews>
  <sheets>
    <sheet name="Daily Sale " sheetId="1" r:id="rId1"/>
    <sheet name="Cash Out From Sale" sheetId="49" r:id="rId2"/>
    <sheet name="Daily material use, price sheet" sheetId="50" r:id="rId3"/>
    <sheet name="Voucher" sheetId="27" r:id="rId4"/>
    <sheet name="Menu For Executive" sheetId="14" r:id="rId5"/>
    <sheet name="Labor Menu " sheetId="47" r:id="rId6"/>
    <sheet name="Steaching Dep" sheetId="3" r:id="rId7"/>
    <sheet name="Steaching Deprt Summary " sheetId="44" r:id="rId8"/>
    <sheet name="Steaching Thakydar overtime" sheetId="51" r:id="rId9"/>
    <sheet name="Summary Amanat Sb " sheetId="35" r:id="rId10"/>
    <sheet name="Dying" sheetId="4" r:id="rId11"/>
    <sheet name="Summary Of Dying Depart " sheetId="38" r:id="rId12"/>
    <sheet name="Admin" sheetId="5" r:id="rId13"/>
    <sheet name="Summary of Admin " sheetId="40" r:id="rId14"/>
    <sheet name="Printing" sheetId="6" r:id="rId15"/>
    <sheet name="Sample" sheetId="7" r:id="rId16"/>
    <sheet name="Summary of Sample Depart" sheetId="37" r:id="rId17"/>
    <sheet name="Maintences " sheetId="20" r:id="rId18"/>
    <sheet name="Summary Of Farhan Sb Maintenc" sheetId="36" r:id="rId19"/>
    <sheet name="Senior Mess " sheetId="11" r:id="rId20"/>
    <sheet name="Aqib,waqas,jhandad,rqfeeq Data" sheetId="33" r:id="rId21"/>
    <sheet name="Aqib,Waqas,Jhandad,Rafeeq Sumry" sheetId="30" r:id="rId22"/>
    <sheet name="Daniyal Meal Data " sheetId="31" r:id="rId23"/>
    <sheet name="Daniyal Summary Daying Dept" sheetId="32" r:id="rId24"/>
    <sheet name="Mueez, Nasir Dying Dept" sheetId="45" r:id="rId25"/>
    <sheet name="Mueez, Nasir Summry " sheetId="46" r:id="rId26"/>
    <sheet name="HR" sheetId="12" r:id="rId27"/>
    <sheet name="Summary of HR Depart " sheetId="39" r:id="rId28"/>
    <sheet name="Guest House" sheetId="16" r:id="rId29"/>
    <sheet name="Guest House Summary " sheetId="41" r:id="rId30"/>
    <sheet name="Milk Purchase " sheetId="18" r:id="rId31"/>
    <sheet name="Fabric W.House" sheetId="34" r:id="rId32"/>
  </sheets>
  <definedNames>
    <definedName name="_xlnm.Print_Area" localSheetId="12">Admin!$A$285:$G$291</definedName>
    <definedName name="_xlnm.Print_Area" localSheetId="21">'Aqib,Waqas,Jhandad,Rafeeq Sumry'!$A$117:$F$122</definedName>
    <definedName name="_xlnm.Print_Area" localSheetId="20">'Aqib,waqas,jhandad,rqfeeq Data'!$A$583:$F$600</definedName>
    <definedName name="_xlnm.Print_Area" localSheetId="22">'Daniyal Meal Data '!$A$452:$G$461</definedName>
    <definedName name="_xlnm.Print_Area" localSheetId="23">'Daniyal Summary Daying Dept'!$A$148:$F$155</definedName>
    <definedName name="_xlnm.Print_Area" localSheetId="10">Dying!$A$351:$F$362</definedName>
    <definedName name="_xlnm.Print_Area" localSheetId="31">'Fabric W.House'!$A$9:$E$17</definedName>
    <definedName name="_xlnm.Print_Area" localSheetId="28">'Guest House'!$A$174:$F$181</definedName>
    <definedName name="_xlnm.Print_Area" localSheetId="29">'Guest House Summary '!$A$16:$E$33</definedName>
    <definedName name="_xlnm.Print_Area" localSheetId="26">HR!$A$72:$F$78</definedName>
    <definedName name="_xlnm.Print_Area" localSheetId="17">'Maintences '!$A$125:$F$131</definedName>
    <definedName name="_xlnm.Print_Area" localSheetId="30">'Milk Purchase '!$A$41:$H$53</definedName>
    <definedName name="_xlnm.Print_Area" localSheetId="24">'Mueez, Nasir Dying Dept'!$H$1:$M$10</definedName>
    <definedName name="_xlnm.Print_Area" localSheetId="25">'Mueez, Nasir Summry '!$H$1:$N$8</definedName>
    <definedName name="_xlnm.Print_Area" localSheetId="14">Printing!$A$22:$E$31</definedName>
    <definedName name="_xlnm.Print_Area" localSheetId="15">Sample!$A$262:$F$270</definedName>
    <definedName name="_xlnm.Print_Area" localSheetId="19">'Senior Mess '!$A$231:$O$310</definedName>
    <definedName name="_xlnm.Print_Area" localSheetId="6">'Steaching Dep'!$A$598:$F$613</definedName>
    <definedName name="_xlnm.Print_Area" localSheetId="7">'Steaching Deprt Summary '!$A$10:$E$22</definedName>
    <definedName name="_xlnm.Print_Area" localSheetId="8">'Steaching Thakydar overtime'!$A$98:$F$102</definedName>
    <definedName name="_xlnm.Print_Area" localSheetId="9">'Summary Amanat Sb '!$A$1:$E$18</definedName>
    <definedName name="_xlnm.Print_Area" localSheetId="13">'Summary of Admin '!$A$14:$E$29</definedName>
    <definedName name="_xlnm.Print_Area" localSheetId="11">'Summary Of Dying Depart '!$A$18:$E$45</definedName>
    <definedName name="_xlnm.Print_Area" localSheetId="18">'Summary Of Farhan Sb Maintenc'!$A$16:$E$27</definedName>
    <definedName name="_xlnm.Print_Area" localSheetId="16">'Summary of Sample Depart'!$A$19:$E$44</definedName>
    <definedName name="_xlnm.Print_Area" localSheetId="3">Voucher!$A$139:$D$143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3" i="49" l="1"/>
  <c r="D142" i="27" l="1"/>
  <c r="G793" i="1" l="1"/>
  <c r="G794" i="1"/>
  <c r="G784" i="1"/>
  <c r="G791" i="1"/>
  <c r="H33" i="18" l="1"/>
  <c r="H43" i="18" l="1"/>
  <c r="H44" i="18"/>
  <c r="H45" i="18"/>
  <c r="H46" i="18"/>
  <c r="H47" i="18"/>
  <c r="H48" i="18"/>
  <c r="H49" i="18"/>
  <c r="H29" i="18"/>
  <c r="H30" i="18"/>
  <c r="H31" i="18"/>
  <c r="H32" i="18"/>
  <c r="H50" i="18"/>
  <c r="H34" i="18"/>
  <c r="H28" i="18"/>
  <c r="H27" i="18"/>
  <c r="E1141" i="50"/>
  <c r="H51" i="18" l="1"/>
  <c r="H26" i="18"/>
  <c r="D136" i="27" l="1"/>
  <c r="D130" i="27" l="1"/>
  <c r="G771" i="1"/>
  <c r="G787" i="1"/>
  <c r="G788" i="1"/>
  <c r="G789" i="1"/>
  <c r="G790" i="1"/>
  <c r="G792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86" i="1"/>
  <c r="G782" i="1"/>
  <c r="G781" i="1"/>
  <c r="G780" i="1"/>
  <c r="G779" i="1"/>
  <c r="G778" i="1"/>
  <c r="G777" i="1"/>
  <c r="G776" i="1"/>
  <c r="G775" i="1"/>
  <c r="G774" i="1"/>
  <c r="G773" i="1"/>
  <c r="G772" i="1"/>
  <c r="G770" i="1"/>
  <c r="G769" i="1"/>
  <c r="G768" i="1"/>
  <c r="G767" i="1"/>
  <c r="G823" i="1" l="1"/>
  <c r="C75" i="49"/>
  <c r="J803" i="1" l="1"/>
  <c r="G824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69" i="1"/>
  <c r="O768" i="1"/>
  <c r="O767" i="1"/>
  <c r="O766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70" i="1" l="1"/>
  <c r="O801" i="1"/>
  <c r="O764" i="1"/>
  <c r="H1054" i="50"/>
  <c r="H1061" i="50"/>
  <c r="H1062" i="50"/>
  <c r="H1063" i="50"/>
  <c r="H1064" i="50"/>
  <c r="H1065" i="50"/>
  <c r="H1066" i="50"/>
  <c r="H1067" i="50"/>
  <c r="H1068" i="50"/>
  <c r="H1069" i="50"/>
  <c r="H1070" i="50"/>
  <c r="H1071" i="50"/>
  <c r="H1072" i="50"/>
  <c r="H1073" i="50"/>
  <c r="H1074" i="50"/>
  <c r="H1075" i="50"/>
  <c r="H1076" i="50"/>
  <c r="H1077" i="50"/>
  <c r="H1078" i="50"/>
  <c r="H1079" i="50"/>
  <c r="H1080" i="50"/>
  <c r="H1081" i="50"/>
  <c r="H1082" i="50"/>
  <c r="H1083" i="50"/>
  <c r="H1084" i="50"/>
  <c r="H1085" i="50"/>
  <c r="H1086" i="50"/>
  <c r="H1087" i="50"/>
  <c r="H1088" i="50"/>
  <c r="H1089" i="50"/>
  <c r="H1090" i="50"/>
  <c r="H1091" i="50"/>
  <c r="H1092" i="50"/>
  <c r="H1093" i="50"/>
  <c r="H1094" i="50"/>
  <c r="H1095" i="50"/>
  <c r="H1096" i="50"/>
  <c r="H1097" i="50"/>
  <c r="H1098" i="50"/>
  <c r="H1099" i="50"/>
  <c r="H1100" i="50"/>
  <c r="H1101" i="50"/>
  <c r="H1102" i="50"/>
  <c r="H1103" i="50"/>
  <c r="H1104" i="50"/>
  <c r="H1105" i="50"/>
  <c r="H1106" i="50"/>
  <c r="H1107" i="50"/>
  <c r="H1108" i="50"/>
  <c r="H1109" i="50"/>
  <c r="H1110" i="50"/>
  <c r="H1111" i="50"/>
  <c r="H1112" i="50"/>
  <c r="H1113" i="50"/>
  <c r="H1114" i="50"/>
  <c r="H1115" i="50"/>
  <c r="H1116" i="50"/>
  <c r="H1117" i="50"/>
  <c r="H1118" i="50"/>
  <c r="H1119" i="50"/>
  <c r="H1120" i="50"/>
  <c r="H1121" i="50"/>
  <c r="H1122" i="50"/>
  <c r="H1123" i="50"/>
  <c r="H1124" i="50"/>
  <c r="H1125" i="50"/>
  <c r="H1126" i="50"/>
  <c r="H1127" i="50"/>
  <c r="H1128" i="50"/>
  <c r="H1129" i="50"/>
  <c r="H1130" i="50"/>
  <c r="H1131" i="50"/>
  <c r="H1132" i="50"/>
  <c r="H1133" i="50"/>
  <c r="H1134" i="50"/>
  <c r="H1135" i="50"/>
  <c r="O718" i="1"/>
  <c r="D163" i="32"/>
  <c r="F459" i="31"/>
  <c r="E611" i="3"/>
  <c r="E602" i="3"/>
  <c r="E601" i="3"/>
  <c r="E610" i="3"/>
  <c r="E603" i="3"/>
  <c r="E604" i="3"/>
  <c r="E606" i="3"/>
  <c r="E607" i="3"/>
  <c r="E609" i="3"/>
  <c r="E608" i="3"/>
  <c r="E605" i="3"/>
  <c r="E600" i="3"/>
  <c r="E599" i="3"/>
  <c r="D27" i="41"/>
  <c r="D26" i="41"/>
  <c r="D25" i="41"/>
  <c r="D24" i="41"/>
  <c r="D23" i="41"/>
  <c r="D22" i="41"/>
  <c r="D21" i="41"/>
  <c r="D20" i="41"/>
  <c r="D19" i="41"/>
  <c r="D18" i="41"/>
  <c r="D28" i="41" s="1"/>
  <c r="O772" i="1" l="1"/>
  <c r="O802" i="1"/>
  <c r="D39" i="37"/>
  <c r="D21" i="36"/>
  <c r="D40" i="38"/>
  <c r="D25" i="6"/>
  <c r="E85" i="4"/>
  <c r="D10" i="39"/>
  <c r="D12" i="34"/>
  <c r="D14" i="35"/>
  <c r="E84" i="51"/>
  <c r="D85" i="51"/>
  <c r="E85" i="51" s="1"/>
  <c r="E89" i="51"/>
  <c r="E90" i="51"/>
  <c r="E93" i="51"/>
  <c r="D94" i="51"/>
  <c r="E94" i="51" s="1"/>
  <c r="E95" i="51"/>
  <c r="E99" i="51"/>
  <c r="D100" i="51"/>
  <c r="E100" i="51" s="1"/>
  <c r="E104" i="51"/>
  <c r="D105" i="51"/>
  <c r="E105" i="51" s="1"/>
  <c r="E78" i="51"/>
  <c r="D79" i="51"/>
  <c r="E79" i="51" s="1"/>
  <c r="E80" i="51"/>
  <c r="E73" i="51"/>
  <c r="D74" i="51"/>
  <c r="E74" i="51" s="1"/>
  <c r="E75" i="51" s="1"/>
  <c r="E67" i="51"/>
  <c r="E68" i="51"/>
  <c r="E69" i="51"/>
  <c r="E63" i="51"/>
  <c r="E64" i="51" s="1"/>
  <c r="E57" i="51"/>
  <c r="E58" i="51"/>
  <c r="E59" i="51"/>
  <c r="E46" i="51"/>
  <c r="D47" i="51"/>
  <c r="E47" i="51" s="1"/>
  <c r="E48" i="51"/>
  <c r="E52" i="51"/>
  <c r="E53" i="51"/>
  <c r="E35" i="51"/>
  <c r="E36" i="51"/>
  <c r="E40" i="51"/>
  <c r="E41" i="51"/>
  <c r="E42" i="51"/>
  <c r="E30" i="51"/>
  <c r="E31" i="51"/>
  <c r="E24" i="51"/>
  <c r="E27" i="51" s="1"/>
  <c r="E25" i="51"/>
  <c r="E26" i="51"/>
  <c r="E20" i="51"/>
  <c r="E21" i="51" s="1"/>
  <c r="E17" i="51"/>
  <c r="E10" i="51"/>
  <c r="E9" i="51"/>
  <c r="E8" i="51"/>
  <c r="E5" i="51"/>
  <c r="E86" i="51" l="1"/>
  <c r="E60" i="51"/>
  <c r="E70" i="51"/>
  <c r="E106" i="51"/>
  <c r="E96" i="51"/>
  <c r="E32" i="51"/>
  <c r="E101" i="51"/>
  <c r="E81" i="51"/>
  <c r="E37" i="51"/>
  <c r="E54" i="51"/>
  <c r="E49" i="51"/>
  <c r="E43" i="51"/>
  <c r="E11" i="51"/>
  <c r="O711" i="1"/>
  <c r="J804" i="1" l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5" i="1"/>
  <c r="O724" i="1"/>
  <c r="O723" i="1"/>
  <c r="O722" i="1"/>
  <c r="O717" i="1"/>
  <c r="O716" i="1"/>
  <c r="O715" i="1"/>
  <c r="O714" i="1"/>
  <c r="O713" i="1"/>
  <c r="O712" i="1"/>
  <c r="O710" i="1"/>
  <c r="O709" i="1"/>
  <c r="O708" i="1"/>
  <c r="O707" i="1"/>
  <c r="O706" i="1"/>
  <c r="O705" i="1"/>
  <c r="G748" i="1"/>
  <c r="G752" i="1"/>
  <c r="G747" i="1"/>
  <c r="G744" i="1"/>
  <c r="G741" i="1"/>
  <c r="G746" i="1"/>
  <c r="G745" i="1"/>
  <c r="E599" i="33"/>
  <c r="D121" i="30"/>
  <c r="D120" i="30"/>
  <c r="E195" i="16"/>
  <c r="E192" i="16"/>
  <c r="E281" i="7"/>
  <c r="E277" i="7"/>
  <c r="E280" i="7"/>
  <c r="E279" i="7"/>
  <c r="E278" i="7"/>
  <c r="E274" i="7"/>
  <c r="E273" i="7"/>
  <c r="E276" i="7"/>
  <c r="E275" i="7"/>
  <c r="F447" i="31"/>
  <c r="D154" i="32"/>
  <c r="E360" i="4"/>
  <c r="E359" i="4"/>
  <c r="E358" i="4"/>
  <c r="E357" i="4"/>
  <c r="E356" i="4"/>
  <c r="E355" i="4"/>
  <c r="E352" i="4"/>
  <c r="E354" i="4"/>
  <c r="E353" i="4"/>
  <c r="E579" i="3"/>
  <c r="E590" i="3"/>
  <c r="E591" i="3"/>
  <c r="E583" i="3"/>
  <c r="E586" i="3"/>
  <c r="E585" i="3"/>
  <c r="E587" i="3"/>
  <c r="E593" i="3"/>
  <c r="E592" i="3"/>
  <c r="E580" i="3"/>
  <c r="E582" i="3"/>
  <c r="E576" i="3"/>
  <c r="E575" i="3"/>
  <c r="E589" i="3"/>
  <c r="E584" i="3"/>
  <c r="E581" i="3"/>
  <c r="E577" i="3"/>
  <c r="E590" i="33"/>
  <c r="E187" i="16"/>
  <c r="E184" i="16"/>
  <c r="E2" i="34"/>
  <c r="E121" i="16"/>
  <c r="E120" i="16"/>
  <c r="E118" i="16"/>
  <c r="E117" i="16"/>
  <c r="E116" i="16"/>
  <c r="E115" i="16"/>
  <c r="E168" i="7"/>
  <c r="E160" i="7"/>
  <c r="E159" i="7"/>
  <c r="E158" i="7"/>
  <c r="E157" i="7"/>
  <c r="E156" i="7"/>
  <c r="E155" i="7"/>
  <c r="E161" i="7" s="1"/>
  <c r="E226" i="4"/>
  <c r="E301" i="4"/>
  <c r="F256" i="5"/>
  <c r="F255" i="5"/>
  <c r="F254" i="5"/>
  <c r="F253" i="5"/>
  <c r="F252" i="5"/>
  <c r="F257" i="5" s="1"/>
  <c r="E129" i="20"/>
  <c r="G723" i="1"/>
  <c r="G722" i="1"/>
  <c r="O744" i="1" l="1"/>
  <c r="O726" i="1"/>
  <c r="O719" i="1"/>
  <c r="O720" i="1" s="1"/>
  <c r="E594" i="3"/>
  <c r="E122" i="16"/>
  <c r="G714" i="1"/>
  <c r="O727" i="1" l="1"/>
  <c r="O745" i="1"/>
  <c r="D120" i="27"/>
  <c r="H1014" i="50" l="1"/>
  <c r="H1015" i="50"/>
  <c r="H1016" i="50"/>
  <c r="H1017" i="50"/>
  <c r="H1018" i="50"/>
  <c r="H1019" i="50"/>
  <c r="H1020" i="50"/>
  <c r="H1021" i="50"/>
  <c r="H1022" i="50"/>
  <c r="H1023" i="50"/>
  <c r="H1024" i="50"/>
  <c r="H1025" i="50"/>
  <c r="H1026" i="50"/>
  <c r="H1027" i="50"/>
  <c r="H1028" i="50"/>
  <c r="H1029" i="50"/>
  <c r="H1030" i="50"/>
  <c r="H1031" i="50"/>
  <c r="H1032" i="50"/>
  <c r="H1033" i="50"/>
  <c r="H1034" i="50"/>
  <c r="H1035" i="50"/>
  <c r="H1036" i="50"/>
  <c r="H1037" i="50"/>
  <c r="H1038" i="50"/>
  <c r="H1039" i="50"/>
  <c r="H1040" i="50"/>
  <c r="H1041" i="50"/>
  <c r="H1042" i="50"/>
  <c r="H1043" i="50"/>
  <c r="H1044" i="50"/>
  <c r="H1045" i="50"/>
  <c r="H1046" i="50"/>
  <c r="H1047" i="50"/>
  <c r="H1139" i="50"/>
  <c r="G707" i="1"/>
  <c r="D111" i="27"/>
  <c r="D113" i="27"/>
  <c r="D106" i="27" l="1"/>
  <c r="G762" i="1" l="1"/>
  <c r="G761" i="1"/>
  <c r="G760" i="1"/>
  <c r="G759" i="1"/>
  <c r="G758" i="1"/>
  <c r="G757" i="1"/>
  <c r="G756" i="1"/>
  <c r="G755" i="1"/>
  <c r="G754" i="1"/>
  <c r="G753" i="1"/>
  <c r="G751" i="1"/>
  <c r="G750" i="1"/>
  <c r="G749" i="1"/>
  <c r="G743" i="1"/>
  <c r="G742" i="1"/>
  <c r="G740" i="1"/>
  <c r="G739" i="1"/>
  <c r="G738" i="1"/>
  <c r="G737" i="1"/>
  <c r="G732" i="1"/>
  <c r="G731" i="1"/>
  <c r="G730" i="1"/>
  <c r="G729" i="1"/>
  <c r="G728" i="1"/>
  <c r="G727" i="1"/>
  <c r="G721" i="1"/>
  <c r="G720" i="1"/>
  <c r="G719" i="1"/>
  <c r="G718" i="1"/>
  <c r="G717" i="1"/>
  <c r="G716" i="1"/>
  <c r="G715" i="1"/>
  <c r="G713" i="1"/>
  <c r="G712" i="1"/>
  <c r="G711" i="1"/>
  <c r="G710" i="1"/>
  <c r="G709" i="1"/>
  <c r="G708" i="1"/>
  <c r="H3" i="32"/>
  <c r="H141" i="32"/>
  <c r="G1179" i="50"/>
  <c r="F1179" i="50"/>
  <c r="H1179" i="50" s="1"/>
  <c r="G1178" i="50"/>
  <c r="F1178" i="50"/>
  <c r="H1178" i="50" s="1"/>
  <c r="G1177" i="50"/>
  <c r="F1177" i="50"/>
  <c r="H1177" i="50" s="1"/>
  <c r="G1176" i="50"/>
  <c r="F1176" i="50"/>
  <c r="H1176" i="50" s="1"/>
  <c r="G1175" i="50"/>
  <c r="F1175" i="50"/>
  <c r="H1175" i="50" s="1"/>
  <c r="G1174" i="50"/>
  <c r="F1174" i="50"/>
  <c r="H1174" i="50" s="1"/>
  <c r="G1173" i="50"/>
  <c r="F1173" i="50"/>
  <c r="H1173" i="50" s="1"/>
  <c r="G1172" i="50"/>
  <c r="F1172" i="50"/>
  <c r="H1172" i="50" s="1"/>
  <c r="G1171" i="50"/>
  <c r="F1171" i="50"/>
  <c r="H1171" i="50" s="1"/>
  <c r="H1170" i="50"/>
  <c r="G1170" i="50"/>
  <c r="F1170" i="50"/>
  <c r="G1169" i="50"/>
  <c r="F1169" i="50"/>
  <c r="H1169" i="50" s="1"/>
  <c r="G1168" i="50"/>
  <c r="F1168" i="50"/>
  <c r="H1168" i="50" s="1"/>
  <c r="G1167" i="50"/>
  <c r="F1167" i="50"/>
  <c r="H1167" i="50" s="1"/>
  <c r="J1166" i="50"/>
  <c r="G1166" i="50"/>
  <c r="F1166" i="50"/>
  <c r="H1166" i="50" s="1"/>
  <c r="G1165" i="50"/>
  <c r="F1165" i="50"/>
  <c r="H1165" i="50" s="1"/>
  <c r="G1164" i="50"/>
  <c r="F1164" i="50"/>
  <c r="H1164" i="50" s="1"/>
  <c r="G1163" i="50"/>
  <c r="F1163" i="50"/>
  <c r="H1163" i="50" s="1"/>
  <c r="G1162" i="50"/>
  <c r="F1162" i="50"/>
  <c r="H1162" i="50" s="1"/>
  <c r="G1161" i="50"/>
  <c r="F1161" i="50"/>
  <c r="H1161" i="50" s="1"/>
  <c r="G1160" i="50"/>
  <c r="F1160" i="50"/>
  <c r="H1160" i="50" s="1"/>
  <c r="G1159" i="50"/>
  <c r="F1159" i="50"/>
  <c r="H1159" i="50" s="1"/>
  <c r="G1158" i="50"/>
  <c r="F1158" i="50"/>
  <c r="H1158" i="50" s="1"/>
  <c r="G1157" i="50"/>
  <c r="F1157" i="50"/>
  <c r="H1157" i="50" s="1"/>
  <c r="G1156" i="50"/>
  <c r="F1156" i="50"/>
  <c r="H1156" i="50" s="1"/>
  <c r="G1155" i="50"/>
  <c r="F1155" i="50"/>
  <c r="H1155" i="50" s="1"/>
  <c r="G1154" i="50"/>
  <c r="F1154" i="50"/>
  <c r="H1154" i="50" s="1"/>
  <c r="H1153" i="50"/>
  <c r="G1153" i="50"/>
  <c r="F1153" i="50"/>
  <c r="G1152" i="50"/>
  <c r="F1152" i="50"/>
  <c r="H1152" i="50" s="1"/>
  <c r="G1151" i="50"/>
  <c r="F1151" i="50"/>
  <c r="H1151" i="50" s="1"/>
  <c r="G1150" i="50"/>
  <c r="F1150" i="50"/>
  <c r="H1150" i="50" s="1"/>
  <c r="G1149" i="50"/>
  <c r="F1149" i="50"/>
  <c r="H1149" i="50" s="1"/>
  <c r="G1148" i="50"/>
  <c r="F1148" i="50"/>
  <c r="H1148" i="50" s="1"/>
  <c r="G1147" i="50"/>
  <c r="F1147" i="50"/>
  <c r="H1147" i="50" s="1"/>
  <c r="F1141" i="50"/>
  <c r="H1140" i="50"/>
  <c r="H1138" i="50"/>
  <c r="H1137" i="50"/>
  <c r="H1136" i="50"/>
  <c r="H1060" i="50"/>
  <c r="H1059" i="50"/>
  <c r="H1058" i="50"/>
  <c r="H1057" i="50"/>
  <c r="H1056" i="50"/>
  <c r="H1055" i="50"/>
  <c r="H1053" i="50"/>
  <c r="H1052" i="50"/>
  <c r="H1051" i="50"/>
  <c r="H1050" i="50"/>
  <c r="H1049" i="50"/>
  <c r="H1048" i="50"/>
  <c r="H1013" i="50"/>
  <c r="H1012" i="50"/>
  <c r="H1011" i="50"/>
  <c r="H1010" i="50"/>
  <c r="H1009" i="50"/>
  <c r="H1008" i="50"/>
  <c r="H1007" i="50"/>
  <c r="H1006" i="50"/>
  <c r="H1005" i="50"/>
  <c r="H1004" i="50"/>
  <c r="H1003" i="50"/>
  <c r="H1002" i="50"/>
  <c r="H1001" i="50"/>
  <c r="H1000" i="50"/>
  <c r="H999" i="50"/>
  <c r="H998" i="50"/>
  <c r="H997" i="50"/>
  <c r="H996" i="50"/>
  <c r="H995" i="50"/>
  <c r="H994" i="50"/>
  <c r="H993" i="50"/>
  <c r="H992" i="50"/>
  <c r="H991" i="50"/>
  <c r="H990" i="50"/>
  <c r="H989" i="50"/>
  <c r="H988" i="50"/>
  <c r="H987" i="50"/>
  <c r="H986" i="50"/>
  <c r="H985" i="50"/>
  <c r="H984" i="50"/>
  <c r="H983" i="50"/>
  <c r="H982" i="50"/>
  <c r="H981" i="50"/>
  <c r="H980" i="50"/>
  <c r="H979" i="50"/>
  <c r="H978" i="50"/>
  <c r="H977" i="50"/>
  <c r="H976" i="50"/>
  <c r="H975" i="50"/>
  <c r="H974" i="50"/>
  <c r="H973" i="50"/>
  <c r="H972" i="50"/>
  <c r="H971" i="50"/>
  <c r="H970" i="50"/>
  <c r="H969" i="50"/>
  <c r="H968" i="50"/>
  <c r="H967" i="50"/>
  <c r="H966" i="50"/>
  <c r="H965" i="50"/>
  <c r="H964" i="50"/>
  <c r="H963" i="50"/>
  <c r="H962" i="50"/>
  <c r="H961" i="50"/>
  <c r="H960" i="50"/>
  <c r="H959" i="50"/>
  <c r="H958" i="50"/>
  <c r="H957" i="50"/>
  <c r="H956" i="50"/>
  <c r="H955" i="50"/>
  <c r="H954" i="50"/>
  <c r="H953" i="50"/>
  <c r="H952" i="50"/>
  <c r="H951" i="50"/>
  <c r="H950" i="50"/>
  <c r="H949" i="50"/>
  <c r="H948" i="50"/>
  <c r="H947" i="50"/>
  <c r="H946" i="50"/>
  <c r="H945" i="50"/>
  <c r="H944" i="50"/>
  <c r="H943" i="50"/>
  <c r="H942" i="50"/>
  <c r="H941" i="50"/>
  <c r="H940" i="50"/>
  <c r="H939" i="50"/>
  <c r="H938" i="50"/>
  <c r="H937" i="50"/>
  <c r="H936" i="50"/>
  <c r="H935" i="50"/>
  <c r="H934" i="50"/>
  <c r="H933" i="50"/>
  <c r="H932" i="50"/>
  <c r="H931" i="50"/>
  <c r="H930" i="50"/>
  <c r="H929" i="50"/>
  <c r="H928" i="50"/>
  <c r="H927" i="50"/>
  <c r="H926" i="50"/>
  <c r="H925" i="50"/>
  <c r="H924" i="50"/>
  <c r="H923" i="50"/>
  <c r="H922" i="50"/>
  <c r="H921" i="50"/>
  <c r="H920" i="50"/>
  <c r="H919" i="50"/>
  <c r="H918" i="50"/>
  <c r="H917" i="50"/>
  <c r="H916" i="50"/>
  <c r="H915" i="50"/>
  <c r="H914" i="50"/>
  <c r="H913" i="50"/>
  <c r="H912" i="50"/>
  <c r="H911" i="50"/>
  <c r="H910" i="50"/>
  <c r="H909" i="50"/>
  <c r="H908" i="50"/>
  <c r="H907" i="50"/>
  <c r="H906" i="50"/>
  <c r="H905" i="50"/>
  <c r="H904" i="50"/>
  <c r="H903" i="50"/>
  <c r="H902" i="50"/>
  <c r="H901" i="50"/>
  <c r="H900" i="50"/>
  <c r="H899" i="50"/>
  <c r="H898" i="50"/>
  <c r="H897" i="50"/>
  <c r="H896" i="50"/>
  <c r="H895" i="50"/>
  <c r="H894" i="50"/>
  <c r="H893" i="50"/>
  <c r="H892" i="50"/>
  <c r="H891" i="50"/>
  <c r="H890" i="50"/>
  <c r="H889" i="50"/>
  <c r="H888" i="50"/>
  <c r="H887" i="50"/>
  <c r="H886" i="50"/>
  <c r="H885" i="50"/>
  <c r="H884" i="50"/>
  <c r="H883" i="50"/>
  <c r="H882" i="50"/>
  <c r="H881" i="50"/>
  <c r="H880" i="50"/>
  <c r="H879" i="50"/>
  <c r="H878" i="50"/>
  <c r="H877" i="50"/>
  <c r="H876" i="50"/>
  <c r="H875" i="50"/>
  <c r="H874" i="50"/>
  <c r="H873" i="50"/>
  <c r="H872" i="50"/>
  <c r="H871" i="50"/>
  <c r="H870" i="50"/>
  <c r="H869" i="50"/>
  <c r="H868" i="50"/>
  <c r="H867" i="50"/>
  <c r="H866" i="50"/>
  <c r="H865" i="50"/>
  <c r="H864" i="50"/>
  <c r="H863" i="50"/>
  <c r="H862" i="50"/>
  <c r="H861" i="50"/>
  <c r="H860" i="50"/>
  <c r="H859" i="50"/>
  <c r="H858" i="50"/>
  <c r="H857" i="50"/>
  <c r="H856" i="50"/>
  <c r="H855" i="50"/>
  <c r="H854" i="50"/>
  <c r="H853" i="50"/>
  <c r="H852" i="50"/>
  <c r="H851" i="50"/>
  <c r="H850" i="50"/>
  <c r="H849" i="50"/>
  <c r="H848" i="50"/>
  <c r="H847" i="50"/>
  <c r="H846" i="50"/>
  <c r="H845" i="50"/>
  <c r="H844" i="50"/>
  <c r="H843" i="50"/>
  <c r="H842" i="50"/>
  <c r="H841" i="50"/>
  <c r="H840" i="50"/>
  <c r="H839" i="50"/>
  <c r="H838" i="50"/>
  <c r="H837" i="50"/>
  <c r="H836" i="50"/>
  <c r="H835" i="50"/>
  <c r="H834" i="50"/>
  <c r="H833" i="50"/>
  <c r="H832" i="50"/>
  <c r="H831" i="50"/>
  <c r="H830" i="50"/>
  <c r="H829" i="50"/>
  <c r="H828" i="50"/>
  <c r="H827" i="50"/>
  <c r="H826" i="50"/>
  <c r="H825" i="50"/>
  <c r="H824" i="50"/>
  <c r="H823" i="50"/>
  <c r="H822" i="50"/>
  <c r="H821" i="50"/>
  <c r="H820" i="50"/>
  <c r="H819" i="50"/>
  <c r="H818" i="50"/>
  <c r="H817" i="50"/>
  <c r="H816" i="50"/>
  <c r="H815" i="50"/>
  <c r="H814" i="50"/>
  <c r="H813" i="50"/>
  <c r="H812" i="50"/>
  <c r="H811" i="50"/>
  <c r="H810" i="50"/>
  <c r="H809" i="50"/>
  <c r="H808" i="50"/>
  <c r="H807" i="50"/>
  <c r="H806" i="50"/>
  <c r="H805" i="50"/>
  <c r="H804" i="50"/>
  <c r="H803" i="50"/>
  <c r="H802" i="50"/>
  <c r="H801" i="50"/>
  <c r="H800" i="50"/>
  <c r="H799" i="50"/>
  <c r="H798" i="50"/>
  <c r="H797" i="50"/>
  <c r="H796" i="50"/>
  <c r="H795" i="50"/>
  <c r="H794" i="50"/>
  <c r="H793" i="50"/>
  <c r="H792" i="50"/>
  <c r="H791" i="50"/>
  <c r="H790" i="50"/>
  <c r="H789" i="50"/>
  <c r="H788" i="50"/>
  <c r="H787" i="50"/>
  <c r="H786" i="50"/>
  <c r="H785" i="50"/>
  <c r="H784" i="50"/>
  <c r="H783" i="50"/>
  <c r="H782" i="50"/>
  <c r="H781" i="50"/>
  <c r="H780" i="50"/>
  <c r="H779" i="50"/>
  <c r="H778" i="50"/>
  <c r="H777" i="50"/>
  <c r="H776" i="50"/>
  <c r="H775" i="50"/>
  <c r="H774" i="50"/>
  <c r="H773" i="50"/>
  <c r="H772" i="50"/>
  <c r="H771" i="50"/>
  <c r="H770" i="50"/>
  <c r="H769" i="50"/>
  <c r="H768" i="50"/>
  <c r="H767" i="50"/>
  <c r="H766" i="50"/>
  <c r="H765" i="50"/>
  <c r="H764" i="50"/>
  <c r="H763" i="50"/>
  <c r="H762" i="50"/>
  <c r="H761" i="50"/>
  <c r="H760" i="50"/>
  <c r="H759" i="50"/>
  <c r="H758" i="50"/>
  <c r="H757" i="50"/>
  <c r="H756" i="50"/>
  <c r="H755" i="50"/>
  <c r="H754" i="50"/>
  <c r="H753" i="50"/>
  <c r="H752" i="50"/>
  <c r="H751" i="50"/>
  <c r="H750" i="50"/>
  <c r="H749" i="50"/>
  <c r="H748" i="50"/>
  <c r="H747" i="50"/>
  <c r="H746" i="50"/>
  <c r="H745" i="50"/>
  <c r="H744" i="50"/>
  <c r="H743" i="50"/>
  <c r="H742" i="50"/>
  <c r="H741" i="50"/>
  <c r="H740" i="50"/>
  <c r="H739" i="50"/>
  <c r="H738" i="50"/>
  <c r="H737" i="50"/>
  <c r="H736" i="50"/>
  <c r="H735" i="50"/>
  <c r="H734" i="50"/>
  <c r="H733" i="50"/>
  <c r="H732" i="50"/>
  <c r="H731" i="50"/>
  <c r="H730" i="50"/>
  <c r="H729" i="50"/>
  <c r="H728" i="50"/>
  <c r="H727" i="50"/>
  <c r="H726" i="50"/>
  <c r="H725" i="50"/>
  <c r="H724" i="50"/>
  <c r="H723" i="50"/>
  <c r="H722" i="50"/>
  <c r="H721" i="50"/>
  <c r="H720" i="50"/>
  <c r="H719" i="50"/>
  <c r="H718" i="50"/>
  <c r="H717" i="50"/>
  <c r="H716" i="50"/>
  <c r="H715" i="50"/>
  <c r="H714" i="50"/>
  <c r="H713" i="50"/>
  <c r="H712" i="50"/>
  <c r="H711" i="50"/>
  <c r="H710" i="50"/>
  <c r="H709" i="50"/>
  <c r="H708" i="50"/>
  <c r="H707" i="50"/>
  <c r="H706" i="50"/>
  <c r="H705" i="50"/>
  <c r="H704" i="50"/>
  <c r="H703" i="50"/>
  <c r="H702" i="50"/>
  <c r="H701" i="50"/>
  <c r="H700" i="50"/>
  <c r="H699" i="50"/>
  <c r="H698" i="50"/>
  <c r="H697" i="50"/>
  <c r="H696" i="50"/>
  <c r="H695" i="50"/>
  <c r="H694" i="50"/>
  <c r="H693" i="50"/>
  <c r="H692" i="50"/>
  <c r="H691" i="50"/>
  <c r="H690" i="50"/>
  <c r="H689" i="50"/>
  <c r="H688" i="50"/>
  <c r="H687" i="50"/>
  <c r="H686" i="50"/>
  <c r="H685" i="50"/>
  <c r="H684" i="50"/>
  <c r="H683" i="50"/>
  <c r="H682" i="50"/>
  <c r="H681" i="50"/>
  <c r="H680" i="50"/>
  <c r="H679" i="50"/>
  <c r="H678" i="50"/>
  <c r="H677" i="50"/>
  <c r="H676" i="50"/>
  <c r="H675" i="50"/>
  <c r="H674" i="50"/>
  <c r="H673" i="50"/>
  <c r="H672" i="50"/>
  <c r="H671" i="50"/>
  <c r="H670" i="50"/>
  <c r="H669" i="50"/>
  <c r="H668" i="50"/>
  <c r="H667" i="50"/>
  <c r="H666" i="50"/>
  <c r="H665" i="50"/>
  <c r="H664" i="50"/>
  <c r="H663" i="50"/>
  <c r="H662" i="50"/>
  <c r="H661" i="50"/>
  <c r="H660" i="50"/>
  <c r="H659" i="50"/>
  <c r="H658" i="50"/>
  <c r="H657" i="50"/>
  <c r="H656" i="50"/>
  <c r="H655" i="50"/>
  <c r="H654" i="50"/>
  <c r="H653" i="50"/>
  <c r="H652" i="50"/>
  <c r="H651" i="50"/>
  <c r="H650" i="50"/>
  <c r="H649" i="50"/>
  <c r="H648" i="50"/>
  <c r="H647" i="50"/>
  <c r="H646" i="50"/>
  <c r="H645" i="50"/>
  <c r="H644" i="50"/>
  <c r="H643" i="50"/>
  <c r="H642" i="50"/>
  <c r="H641" i="50"/>
  <c r="H640" i="50"/>
  <c r="H639" i="50"/>
  <c r="H638" i="50"/>
  <c r="H637" i="50"/>
  <c r="H636" i="50"/>
  <c r="H635" i="50"/>
  <c r="H634" i="50"/>
  <c r="H633" i="50"/>
  <c r="H632" i="50"/>
  <c r="H631" i="50"/>
  <c r="H630" i="50"/>
  <c r="H629" i="50"/>
  <c r="H628" i="50"/>
  <c r="H627" i="50"/>
  <c r="H626" i="50"/>
  <c r="H625" i="50"/>
  <c r="H624" i="50"/>
  <c r="H623" i="50"/>
  <c r="H622" i="50"/>
  <c r="H621" i="50"/>
  <c r="H620" i="50"/>
  <c r="H619" i="50"/>
  <c r="H618" i="50"/>
  <c r="H617" i="50"/>
  <c r="H616" i="50"/>
  <c r="H615" i="50"/>
  <c r="H614" i="50"/>
  <c r="H613" i="50"/>
  <c r="H612" i="50"/>
  <c r="H611" i="50"/>
  <c r="H610" i="50"/>
  <c r="H609" i="50"/>
  <c r="H608" i="50"/>
  <c r="H607" i="50"/>
  <c r="H606" i="50"/>
  <c r="H605" i="50"/>
  <c r="H604" i="50"/>
  <c r="H603" i="50"/>
  <c r="H602" i="50"/>
  <c r="H601" i="50"/>
  <c r="H600" i="50"/>
  <c r="H599" i="50"/>
  <c r="H598" i="50"/>
  <c r="H597" i="50"/>
  <c r="H596" i="50"/>
  <c r="H595" i="50"/>
  <c r="H594" i="50"/>
  <c r="H593" i="50"/>
  <c r="H592" i="50"/>
  <c r="H591" i="50"/>
  <c r="H590" i="50"/>
  <c r="H589" i="50"/>
  <c r="H588" i="50"/>
  <c r="H587" i="50"/>
  <c r="H586" i="50"/>
  <c r="H585" i="50"/>
  <c r="H584" i="50"/>
  <c r="H583" i="50"/>
  <c r="H582" i="50"/>
  <c r="H581" i="50"/>
  <c r="H580" i="50"/>
  <c r="H579" i="50"/>
  <c r="H578" i="50"/>
  <c r="H577" i="50"/>
  <c r="H576" i="50"/>
  <c r="H575" i="50"/>
  <c r="H574" i="50"/>
  <c r="H573" i="50"/>
  <c r="H572" i="50"/>
  <c r="H571" i="50"/>
  <c r="H570" i="50"/>
  <c r="H569" i="50"/>
  <c r="H568" i="50"/>
  <c r="H567" i="50"/>
  <c r="H566" i="50"/>
  <c r="H565" i="50"/>
  <c r="H564" i="50"/>
  <c r="H563" i="50"/>
  <c r="H562" i="50"/>
  <c r="H561" i="50"/>
  <c r="H560" i="50"/>
  <c r="H559" i="50"/>
  <c r="H558" i="50"/>
  <c r="H557" i="50"/>
  <c r="H556" i="50"/>
  <c r="H555" i="50"/>
  <c r="H554" i="50"/>
  <c r="H553" i="50"/>
  <c r="H552" i="50"/>
  <c r="H551" i="50"/>
  <c r="H550" i="50"/>
  <c r="H549" i="50"/>
  <c r="H548" i="50"/>
  <c r="H547" i="50"/>
  <c r="H546" i="50"/>
  <c r="H545" i="50"/>
  <c r="H544" i="50"/>
  <c r="H543" i="50"/>
  <c r="H542" i="50"/>
  <c r="H541" i="50"/>
  <c r="H540" i="50"/>
  <c r="H539" i="50"/>
  <c r="H538" i="50"/>
  <c r="H537" i="50"/>
  <c r="H536" i="50"/>
  <c r="H535" i="50"/>
  <c r="H534" i="50"/>
  <c r="H533" i="50"/>
  <c r="H532" i="50"/>
  <c r="H531" i="50"/>
  <c r="H530" i="50"/>
  <c r="H529" i="50"/>
  <c r="H528" i="50"/>
  <c r="H527" i="50"/>
  <c r="H526" i="50"/>
  <c r="H525" i="50"/>
  <c r="H524" i="50"/>
  <c r="H523" i="50"/>
  <c r="H522" i="50"/>
  <c r="H521" i="50"/>
  <c r="H520" i="50"/>
  <c r="H519" i="50"/>
  <c r="H518" i="50"/>
  <c r="H517" i="50"/>
  <c r="H516" i="50"/>
  <c r="H515" i="50"/>
  <c r="H514" i="50"/>
  <c r="H513" i="50"/>
  <c r="H512" i="50"/>
  <c r="H511" i="50"/>
  <c r="H510" i="50"/>
  <c r="H509" i="50"/>
  <c r="H508" i="50"/>
  <c r="H507" i="50"/>
  <c r="H506" i="50"/>
  <c r="H505" i="50"/>
  <c r="H504" i="50"/>
  <c r="H503" i="50"/>
  <c r="H502" i="50"/>
  <c r="H501" i="50"/>
  <c r="H500" i="50"/>
  <c r="H499" i="50"/>
  <c r="H498" i="50"/>
  <c r="H497" i="50"/>
  <c r="H496" i="50"/>
  <c r="H495" i="50"/>
  <c r="H494" i="50"/>
  <c r="H493" i="50"/>
  <c r="H492" i="50"/>
  <c r="H491" i="50"/>
  <c r="H490" i="50"/>
  <c r="H489" i="50"/>
  <c r="H488" i="50"/>
  <c r="H487" i="50"/>
  <c r="H486" i="50"/>
  <c r="H485" i="50"/>
  <c r="H484" i="50"/>
  <c r="H483" i="50"/>
  <c r="H482" i="50"/>
  <c r="H481" i="50"/>
  <c r="H480" i="50"/>
  <c r="H479" i="50"/>
  <c r="H478" i="50"/>
  <c r="H477" i="50"/>
  <c r="H476" i="50"/>
  <c r="H475" i="50"/>
  <c r="H474" i="50"/>
  <c r="H473" i="50"/>
  <c r="H472" i="50"/>
  <c r="H471" i="50"/>
  <c r="H470" i="50"/>
  <c r="H469" i="50"/>
  <c r="H468" i="50"/>
  <c r="H467" i="50"/>
  <c r="H466" i="50"/>
  <c r="H465" i="50"/>
  <c r="H464" i="50"/>
  <c r="H463" i="50"/>
  <c r="H462" i="50"/>
  <c r="H461" i="50"/>
  <c r="H460" i="50"/>
  <c r="H459" i="50"/>
  <c r="H458" i="50"/>
  <c r="H457" i="50"/>
  <c r="H456" i="50"/>
  <c r="H455" i="50"/>
  <c r="H454" i="50"/>
  <c r="H453" i="50"/>
  <c r="H452" i="50"/>
  <c r="H451" i="50"/>
  <c r="H450" i="50"/>
  <c r="H449" i="50"/>
  <c r="H448" i="50"/>
  <c r="H447" i="50"/>
  <c r="H446" i="50"/>
  <c r="H445" i="50"/>
  <c r="H444" i="50"/>
  <c r="H443" i="50"/>
  <c r="H442" i="50"/>
  <c r="H441" i="50"/>
  <c r="H440" i="50"/>
  <c r="H439" i="50"/>
  <c r="H438" i="50"/>
  <c r="H437" i="50"/>
  <c r="H436" i="50"/>
  <c r="H435" i="50"/>
  <c r="H434" i="50"/>
  <c r="H433" i="50"/>
  <c r="H432" i="50"/>
  <c r="H431" i="50"/>
  <c r="H430" i="50"/>
  <c r="H429" i="50"/>
  <c r="H428" i="50"/>
  <c r="H427" i="50"/>
  <c r="H426" i="50"/>
  <c r="H425" i="50"/>
  <c r="H424" i="50"/>
  <c r="H423" i="50"/>
  <c r="H422" i="50"/>
  <c r="H421" i="50"/>
  <c r="H420" i="50"/>
  <c r="H419" i="50"/>
  <c r="H418" i="50"/>
  <c r="H417" i="50"/>
  <c r="H416" i="50"/>
  <c r="H415" i="50"/>
  <c r="H414" i="50"/>
  <c r="H413" i="50"/>
  <c r="H412" i="50"/>
  <c r="H411" i="50"/>
  <c r="H410" i="50"/>
  <c r="H409" i="50"/>
  <c r="H408" i="50"/>
  <c r="H407" i="50"/>
  <c r="H406" i="50"/>
  <c r="H405" i="50"/>
  <c r="H404" i="50"/>
  <c r="H403" i="50"/>
  <c r="H402" i="50"/>
  <c r="H401" i="50"/>
  <c r="H400" i="50"/>
  <c r="H399" i="50"/>
  <c r="H398" i="50"/>
  <c r="H397" i="50"/>
  <c r="H396" i="50"/>
  <c r="H395" i="50"/>
  <c r="H394" i="50"/>
  <c r="H393" i="50"/>
  <c r="H392" i="50"/>
  <c r="H391" i="50"/>
  <c r="H390" i="50"/>
  <c r="H389" i="50"/>
  <c r="H388" i="50"/>
  <c r="H387" i="50"/>
  <c r="H386" i="50"/>
  <c r="H385" i="50"/>
  <c r="H384" i="50"/>
  <c r="H383" i="50"/>
  <c r="H382" i="50"/>
  <c r="H381" i="50"/>
  <c r="H380" i="50"/>
  <c r="H379" i="50"/>
  <c r="H378" i="50"/>
  <c r="H377" i="50"/>
  <c r="H376" i="50"/>
  <c r="H375" i="50"/>
  <c r="H374" i="50"/>
  <c r="H373" i="50"/>
  <c r="H372" i="50"/>
  <c r="H371" i="50"/>
  <c r="H370" i="50"/>
  <c r="H369" i="50"/>
  <c r="H368" i="50"/>
  <c r="H367" i="50"/>
  <c r="H366" i="50"/>
  <c r="H365" i="50"/>
  <c r="H364" i="50"/>
  <c r="H363" i="50"/>
  <c r="H362" i="50"/>
  <c r="H361" i="50"/>
  <c r="H360" i="50"/>
  <c r="H359" i="50"/>
  <c r="H358" i="50"/>
  <c r="H357" i="50"/>
  <c r="H356" i="50"/>
  <c r="H355" i="50"/>
  <c r="H354" i="50"/>
  <c r="H353" i="50"/>
  <c r="H352" i="50"/>
  <c r="H351" i="50"/>
  <c r="H350" i="50"/>
  <c r="H349" i="50"/>
  <c r="H348" i="50"/>
  <c r="H347" i="50"/>
  <c r="H346" i="50"/>
  <c r="H345" i="50"/>
  <c r="H344" i="50"/>
  <c r="H343" i="50"/>
  <c r="H342" i="50"/>
  <c r="H341" i="50"/>
  <c r="H340" i="50"/>
  <c r="H339" i="50"/>
  <c r="H338" i="50"/>
  <c r="H337" i="50"/>
  <c r="H336" i="50"/>
  <c r="H335" i="50"/>
  <c r="H334" i="50"/>
  <c r="H333" i="50"/>
  <c r="H332" i="50"/>
  <c r="H331" i="50"/>
  <c r="H330" i="50"/>
  <c r="H329" i="50"/>
  <c r="H328" i="50"/>
  <c r="H327" i="50"/>
  <c r="H326" i="50"/>
  <c r="H325" i="50"/>
  <c r="H324" i="50"/>
  <c r="H323" i="50"/>
  <c r="H322" i="50"/>
  <c r="H321" i="50"/>
  <c r="H320" i="50"/>
  <c r="H319" i="50"/>
  <c r="H318" i="50"/>
  <c r="H317" i="50"/>
  <c r="H316" i="50"/>
  <c r="H315" i="50"/>
  <c r="H314" i="50"/>
  <c r="H313" i="50"/>
  <c r="H312" i="50"/>
  <c r="H311" i="50"/>
  <c r="H310" i="50"/>
  <c r="H309" i="50"/>
  <c r="H308" i="50"/>
  <c r="H307" i="50"/>
  <c r="H306" i="50"/>
  <c r="H305" i="50"/>
  <c r="H304" i="50"/>
  <c r="H303" i="50"/>
  <c r="H302" i="50"/>
  <c r="H301" i="50"/>
  <c r="H300" i="50"/>
  <c r="H299" i="50"/>
  <c r="H298" i="50"/>
  <c r="H297" i="50"/>
  <c r="H296" i="50"/>
  <c r="H295" i="50"/>
  <c r="H294" i="50"/>
  <c r="H293" i="50"/>
  <c r="H292" i="50"/>
  <c r="H291" i="50"/>
  <c r="H290" i="50"/>
  <c r="H289" i="50"/>
  <c r="H288" i="50"/>
  <c r="H287" i="50"/>
  <c r="H286" i="50"/>
  <c r="H285" i="50"/>
  <c r="H284" i="50"/>
  <c r="H283" i="50"/>
  <c r="H282" i="50"/>
  <c r="H281" i="50"/>
  <c r="H280" i="50"/>
  <c r="H279" i="50"/>
  <c r="H278" i="50"/>
  <c r="H277" i="50"/>
  <c r="H276" i="50"/>
  <c r="H275" i="50"/>
  <c r="H274" i="50"/>
  <c r="H273" i="50"/>
  <c r="H272" i="50"/>
  <c r="H271" i="50"/>
  <c r="H270" i="50"/>
  <c r="H269" i="50"/>
  <c r="H268" i="50"/>
  <c r="H267" i="50"/>
  <c r="H266" i="50"/>
  <c r="H265" i="50"/>
  <c r="H264" i="50"/>
  <c r="H263" i="50"/>
  <c r="H262" i="50"/>
  <c r="H261" i="50"/>
  <c r="H260" i="50"/>
  <c r="H259" i="50"/>
  <c r="H258" i="50"/>
  <c r="H257" i="50"/>
  <c r="H256" i="50"/>
  <c r="H255" i="50"/>
  <c r="H254" i="50"/>
  <c r="H253" i="50"/>
  <c r="H252" i="50"/>
  <c r="H251" i="50"/>
  <c r="H250" i="50"/>
  <c r="H249" i="50"/>
  <c r="H248" i="50"/>
  <c r="H247" i="50"/>
  <c r="H246" i="50"/>
  <c r="H245" i="50"/>
  <c r="H244" i="50"/>
  <c r="H243" i="50"/>
  <c r="H242" i="50"/>
  <c r="H241" i="50"/>
  <c r="H240" i="50"/>
  <c r="H239" i="50"/>
  <c r="H238" i="50"/>
  <c r="H237" i="50"/>
  <c r="H236" i="50"/>
  <c r="H235" i="50"/>
  <c r="H234" i="50"/>
  <c r="H233" i="50"/>
  <c r="H232" i="50"/>
  <c r="H231" i="50"/>
  <c r="H230" i="50"/>
  <c r="H229" i="50"/>
  <c r="H228" i="50"/>
  <c r="H227" i="50"/>
  <c r="H226" i="50"/>
  <c r="H225" i="50"/>
  <c r="H224" i="50"/>
  <c r="H223" i="50"/>
  <c r="H222" i="50"/>
  <c r="H221" i="50"/>
  <c r="H220" i="50"/>
  <c r="H219" i="50"/>
  <c r="H218" i="50"/>
  <c r="H217" i="50"/>
  <c r="H216" i="50"/>
  <c r="H215" i="50"/>
  <c r="H214" i="50"/>
  <c r="H213" i="50"/>
  <c r="H212" i="50"/>
  <c r="H211" i="50"/>
  <c r="H210" i="50"/>
  <c r="H209" i="50"/>
  <c r="H208" i="50"/>
  <c r="H207" i="50"/>
  <c r="H206" i="50"/>
  <c r="H205" i="50"/>
  <c r="H204" i="50"/>
  <c r="H203" i="50"/>
  <c r="H202" i="50"/>
  <c r="H201" i="50"/>
  <c r="H200" i="50"/>
  <c r="H199" i="50"/>
  <c r="H198" i="50"/>
  <c r="H197" i="50"/>
  <c r="H196" i="50"/>
  <c r="H195" i="50"/>
  <c r="H194" i="50"/>
  <c r="H193" i="50"/>
  <c r="H192" i="50"/>
  <c r="H191" i="50"/>
  <c r="H190" i="50"/>
  <c r="H189" i="50"/>
  <c r="H188" i="50"/>
  <c r="H187" i="50"/>
  <c r="H186" i="50"/>
  <c r="H185" i="50"/>
  <c r="H184" i="50"/>
  <c r="H183" i="50"/>
  <c r="H182" i="50"/>
  <c r="H181" i="50"/>
  <c r="H180" i="50"/>
  <c r="H179" i="50"/>
  <c r="H178" i="50"/>
  <c r="H177" i="50"/>
  <c r="H176" i="50"/>
  <c r="H175" i="50"/>
  <c r="H174" i="50"/>
  <c r="H173" i="50"/>
  <c r="H172" i="50"/>
  <c r="H171" i="50"/>
  <c r="H170" i="50"/>
  <c r="H169" i="50"/>
  <c r="H168" i="50"/>
  <c r="H167" i="50"/>
  <c r="H166" i="50"/>
  <c r="H165" i="50"/>
  <c r="H164" i="50"/>
  <c r="H163" i="50"/>
  <c r="H162" i="50"/>
  <c r="H161" i="50"/>
  <c r="H160" i="50"/>
  <c r="H159" i="50"/>
  <c r="H158" i="50"/>
  <c r="H157" i="50"/>
  <c r="H156" i="50"/>
  <c r="H155" i="50"/>
  <c r="H154" i="50"/>
  <c r="H153" i="50"/>
  <c r="H152" i="50"/>
  <c r="H151" i="50"/>
  <c r="H150" i="50"/>
  <c r="H149" i="50"/>
  <c r="H148" i="50"/>
  <c r="H147" i="50"/>
  <c r="H146" i="50"/>
  <c r="H145" i="50"/>
  <c r="H144" i="50"/>
  <c r="H143" i="50"/>
  <c r="H142" i="50"/>
  <c r="H141" i="50"/>
  <c r="H140" i="50"/>
  <c r="H139" i="50"/>
  <c r="H138" i="50"/>
  <c r="H137" i="50"/>
  <c r="H136" i="50"/>
  <c r="H135" i="50"/>
  <c r="H134" i="50"/>
  <c r="H133" i="50"/>
  <c r="H132" i="50"/>
  <c r="H131" i="50"/>
  <c r="H130" i="50"/>
  <c r="H129" i="50"/>
  <c r="H128" i="50"/>
  <c r="H127" i="50"/>
  <c r="H126" i="50"/>
  <c r="H125" i="50"/>
  <c r="H124" i="50"/>
  <c r="H123" i="50"/>
  <c r="H122" i="50"/>
  <c r="H121" i="50"/>
  <c r="H120" i="50"/>
  <c r="H119" i="50"/>
  <c r="H118" i="50"/>
  <c r="H117" i="50"/>
  <c r="H116" i="50"/>
  <c r="H115" i="50"/>
  <c r="H114" i="50"/>
  <c r="H113" i="50"/>
  <c r="H112" i="50"/>
  <c r="H111" i="50"/>
  <c r="H110" i="50"/>
  <c r="H109" i="50"/>
  <c r="H108" i="50"/>
  <c r="H107" i="50"/>
  <c r="H106" i="50"/>
  <c r="H105" i="50"/>
  <c r="H104" i="50"/>
  <c r="H103" i="50"/>
  <c r="H102" i="50"/>
  <c r="H101" i="50"/>
  <c r="H100" i="50"/>
  <c r="H99" i="50"/>
  <c r="H98" i="50"/>
  <c r="H97" i="50"/>
  <c r="H96" i="50"/>
  <c r="H95" i="50"/>
  <c r="H94" i="50"/>
  <c r="H93" i="50"/>
  <c r="H92" i="50"/>
  <c r="H91" i="50"/>
  <c r="H90" i="50"/>
  <c r="H89" i="50"/>
  <c r="H88" i="50"/>
  <c r="H87" i="50"/>
  <c r="H86" i="50"/>
  <c r="H85" i="50"/>
  <c r="H84" i="50"/>
  <c r="H83" i="50"/>
  <c r="H82" i="50"/>
  <c r="H81" i="50"/>
  <c r="H80" i="50"/>
  <c r="H79" i="50"/>
  <c r="H78" i="50"/>
  <c r="H77" i="50"/>
  <c r="H76" i="50"/>
  <c r="H75" i="50"/>
  <c r="H74" i="50"/>
  <c r="H73" i="50"/>
  <c r="H72" i="50"/>
  <c r="H71" i="50"/>
  <c r="H70" i="50"/>
  <c r="H69" i="50"/>
  <c r="H68" i="50"/>
  <c r="H67" i="50"/>
  <c r="H66" i="50"/>
  <c r="H65" i="50"/>
  <c r="H64" i="50"/>
  <c r="H63" i="50"/>
  <c r="H62" i="50"/>
  <c r="H61" i="50"/>
  <c r="H60" i="50"/>
  <c r="H59" i="50"/>
  <c r="H58" i="50"/>
  <c r="H57" i="50"/>
  <c r="H56" i="50"/>
  <c r="H55" i="50"/>
  <c r="H54" i="50"/>
  <c r="H53" i="50"/>
  <c r="H52" i="50"/>
  <c r="H51" i="50"/>
  <c r="H50" i="50"/>
  <c r="H49" i="50"/>
  <c r="H48" i="50"/>
  <c r="H47" i="50"/>
  <c r="H46" i="50"/>
  <c r="H45" i="50"/>
  <c r="H44" i="50"/>
  <c r="H43" i="50"/>
  <c r="H42" i="50"/>
  <c r="H41" i="50"/>
  <c r="H40" i="50"/>
  <c r="H39" i="50"/>
  <c r="H38" i="50"/>
  <c r="H37" i="50"/>
  <c r="H36" i="50"/>
  <c r="H35" i="50"/>
  <c r="H34" i="50"/>
  <c r="H33" i="50"/>
  <c r="H32" i="50"/>
  <c r="H31" i="50"/>
  <c r="H30" i="50"/>
  <c r="H29" i="50"/>
  <c r="H28" i="50"/>
  <c r="H27" i="50"/>
  <c r="H26" i="50"/>
  <c r="H25" i="50"/>
  <c r="H24" i="50"/>
  <c r="H23" i="50"/>
  <c r="H22" i="50"/>
  <c r="H21" i="50"/>
  <c r="H20" i="50"/>
  <c r="H19" i="50"/>
  <c r="H18" i="50"/>
  <c r="H17" i="50"/>
  <c r="H16" i="50"/>
  <c r="H15" i="50"/>
  <c r="H14" i="50"/>
  <c r="H13" i="50"/>
  <c r="H12" i="50"/>
  <c r="H11" i="50"/>
  <c r="H10" i="50"/>
  <c r="H9" i="50"/>
  <c r="H8" i="50"/>
  <c r="H7" i="50"/>
  <c r="H6" i="50"/>
  <c r="H5" i="50"/>
  <c r="H4" i="50"/>
  <c r="H3" i="50"/>
  <c r="H1141" i="50" l="1"/>
  <c r="G763" i="1"/>
  <c r="G724" i="1"/>
  <c r="G725" i="1" s="1"/>
  <c r="G733" i="1"/>
  <c r="F1145" i="50"/>
  <c r="O700" i="1"/>
  <c r="O699" i="1"/>
  <c r="G734" i="1" l="1"/>
  <c r="G1145" i="50"/>
  <c r="G764" i="1"/>
  <c r="E76" i="12"/>
  <c r="E74" i="12"/>
  <c r="E73" i="12"/>
  <c r="E145" i="20"/>
  <c r="E143" i="20"/>
  <c r="E144" i="20"/>
  <c r="F313" i="5"/>
  <c r="F312" i="5"/>
  <c r="E346" i="4"/>
  <c r="E345" i="4"/>
  <c r="E344" i="4"/>
  <c r="E343" i="4"/>
  <c r="E267" i="7"/>
  <c r="E266" i="7"/>
  <c r="E264" i="7"/>
  <c r="E263" i="7"/>
  <c r="E268" i="7" s="1"/>
  <c r="E265" i="7"/>
  <c r="D135" i="32"/>
  <c r="F436" i="31"/>
  <c r="D114" i="30"/>
  <c r="E580" i="33"/>
  <c r="E571" i="33"/>
  <c r="E177" i="16"/>
  <c r="E176" i="16"/>
  <c r="E175" i="16"/>
  <c r="E179" i="16" s="1"/>
  <c r="E561" i="3"/>
  <c r="E560" i="3"/>
  <c r="E558" i="3"/>
  <c r="E563" i="3"/>
  <c r="E564" i="3"/>
  <c r="E555" i="3"/>
  <c r="E571" i="3"/>
  <c r="E570" i="3"/>
  <c r="E568" i="3"/>
  <c r="E567" i="3"/>
  <c r="E565" i="3"/>
  <c r="E562" i="3"/>
  <c r="E559" i="3"/>
  <c r="E557" i="3"/>
  <c r="E556" i="3"/>
  <c r="E554" i="3"/>
  <c r="E347" i="4" l="1"/>
  <c r="E572" i="3"/>
  <c r="F314" i="5"/>
  <c r="O660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4" i="1"/>
  <c r="O673" i="1"/>
  <c r="O672" i="1"/>
  <c r="O671" i="1"/>
  <c r="O670" i="1"/>
  <c r="O669" i="1"/>
  <c r="O665" i="1"/>
  <c r="O664" i="1"/>
  <c r="O663" i="1"/>
  <c r="O662" i="1"/>
  <c r="O661" i="1"/>
  <c r="O659" i="1"/>
  <c r="O658" i="1"/>
  <c r="O657" i="1"/>
  <c r="O656" i="1"/>
  <c r="O655" i="1"/>
  <c r="O654" i="1"/>
  <c r="O653" i="1"/>
  <c r="O652" i="1"/>
  <c r="O651" i="1"/>
  <c r="O701" i="1" l="1"/>
  <c r="O675" i="1"/>
  <c r="O666" i="1"/>
  <c r="O667" i="1" s="1"/>
  <c r="G688" i="1"/>
  <c r="G683" i="1"/>
  <c r="G684" i="1"/>
  <c r="G682" i="1"/>
  <c r="G675" i="1"/>
  <c r="K16" i="30" l="1"/>
  <c r="D107" i="30"/>
  <c r="E561" i="33"/>
  <c r="E552" i="33"/>
  <c r="D108" i="32"/>
  <c r="F403" i="31"/>
  <c r="D126" i="32"/>
  <c r="F425" i="31"/>
  <c r="E137" i="20"/>
  <c r="E136" i="20"/>
  <c r="E135" i="20"/>
  <c r="E134" i="20"/>
  <c r="E138" i="20" s="1"/>
  <c r="E337" i="4"/>
  <c r="E336" i="4"/>
  <c r="E334" i="4"/>
  <c r="E333" i="4"/>
  <c r="E335" i="4"/>
  <c r="E257" i="7"/>
  <c r="E253" i="7"/>
  <c r="E254" i="7"/>
  <c r="E255" i="7"/>
  <c r="E258" i="7" s="1"/>
  <c r="E256" i="7"/>
  <c r="F304" i="5"/>
  <c r="F305" i="5"/>
  <c r="F303" i="5"/>
  <c r="F302" i="5"/>
  <c r="F306" i="5"/>
  <c r="F301" i="5"/>
  <c r="F295" i="5"/>
  <c r="F294" i="5"/>
  <c r="E549" i="3"/>
  <c r="E540" i="3"/>
  <c r="F307" i="5" l="1"/>
  <c r="E338" i="4"/>
  <c r="F296" i="5"/>
  <c r="E541" i="3" l="1"/>
  <c r="E547" i="3"/>
  <c r="E538" i="3"/>
  <c r="E550" i="3"/>
  <c r="E548" i="3"/>
  <c r="E542" i="3"/>
  <c r="E537" i="3"/>
  <c r="E533" i="3"/>
  <c r="E532" i="3"/>
  <c r="E539" i="3"/>
  <c r="E531" i="3"/>
  <c r="E535" i="3"/>
  <c r="E536" i="3"/>
  <c r="D534" i="3"/>
  <c r="E534" i="3" s="1"/>
  <c r="E529" i="3"/>
  <c r="E545" i="3"/>
  <c r="E544" i="3"/>
  <c r="E530" i="3"/>
  <c r="E167" i="16"/>
  <c r="E170" i="16" s="1"/>
  <c r="E551" i="3" l="1"/>
  <c r="D17" i="44" s="1"/>
  <c r="I37" i="18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7" i="1"/>
  <c r="G686" i="1"/>
  <c r="G685" i="1"/>
  <c r="G681" i="1"/>
  <c r="G680" i="1"/>
  <c r="G679" i="1"/>
  <c r="G678" i="1"/>
  <c r="G677" i="1"/>
  <c r="G676" i="1"/>
  <c r="G674" i="1"/>
  <c r="G673" i="1"/>
  <c r="G668" i="1"/>
  <c r="G667" i="1"/>
  <c r="G666" i="1"/>
  <c r="G665" i="1"/>
  <c r="G664" i="1"/>
  <c r="G663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69" i="1" l="1"/>
  <c r="G703" i="1"/>
  <c r="G660" i="1"/>
  <c r="G661" i="1" s="1"/>
  <c r="C65" i="49"/>
  <c r="G670" i="1" l="1"/>
  <c r="G704" i="1"/>
  <c r="O645" i="1"/>
  <c r="O644" i="1"/>
  <c r="O643" i="1"/>
  <c r="O646" i="1"/>
  <c r="O633" i="1"/>
  <c r="O637" i="1"/>
  <c r="O642" i="1"/>
  <c r="O636" i="1"/>
  <c r="O632" i="1"/>
  <c r="O641" i="1"/>
  <c r="O635" i="1"/>
  <c r="O638" i="1"/>
  <c r="O640" i="1"/>
  <c r="O634" i="1"/>
  <c r="O639" i="1"/>
  <c r="O629" i="1"/>
  <c r="E525" i="3"/>
  <c r="E524" i="3"/>
  <c r="O608" i="1" l="1"/>
  <c r="D117" i="32"/>
  <c r="F414" i="31"/>
  <c r="D100" i="30"/>
  <c r="E533" i="33"/>
  <c r="E524" i="33"/>
  <c r="E515" i="33"/>
  <c r="E247" i="7"/>
  <c r="E248" i="7" s="1"/>
  <c r="E327" i="4"/>
  <c r="E328" i="4" s="1"/>
  <c r="E320" i="4"/>
  <c r="E319" i="4"/>
  <c r="E318" i="4"/>
  <c r="E317" i="4"/>
  <c r="E316" i="4"/>
  <c r="E315" i="4"/>
  <c r="E314" i="4"/>
  <c r="E68" i="12"/>
  <c r="E67" i="12"/>
  <c r="E66" i="12"/>
  <c r="E514" i="3"/>
  <c r="E515" i="3"/>
  <c r="E510" i="3"/>
  <c r="E518" i="3"/>
  <c r="E517" i="3"/>
  <c r="E519" i="3"/>
  <c r="E511" i="3"/>
  <c r="E512" i="3"/>
  <c r="E516" i="3"/>
  <c r="E508" i="3"/>
  <c r="E509" i="3"/>
  <c r="E523" i="3"/>
  <c r="E522" i="3"/>
  <c r="E521" i="3"/>
  <c r="E507" i="3"/>
  <c r="E520" i="3"/>
  <c r="E513" i="3"/>
  <c r="E159" i="16"/>
  <c r="E162" i="16" s="1"/>
  <c r="E58" i="12"/>
  <c r="E61" i="12"/>
  <c r="E17" i="6"/>
  <c r="E16" i="6"/>
  <c r="E15" i="6"/>
  <c r="E14" i="6"/>
  <c r="E13" i="6"/>
  <c r="E12" i="6"/>
  <c r="E322" i="4" l="1"/>
  <c r="E526" i="3"/>
  <c r="D16" i="44" s="1"/>
  <c r="D99" i="27"/>
  <c r="G619" i="1" l="1"/>
  <c r="G630" i="1"/>
  <c r="O631" i="1"/>
  <c r="O630" i="1"/>
  <c r="O628" i="1"/>
  <c r="O627" i="1"/>
  <c r="O626" i="1"/>
  <c r="O625" i="1"/>
  <c r="O624" i="1"/>
  <c r="O623" i="1"/>
  <c r="O622" i="1"/>
  <c r="O621" i="1"/>
  <c r="O616" i="1"/>
  <c r="O615" i="1"/>
  <c r="O614" i="1"/>
  <c r="O613" i="1"/>
  <c r="O612" i="1"/>
  <c r="O611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G639" i="1"/>
  <c r="G638" i="1"/>
  <c r="G637" i="1"/>
  <c r="G624" i="1"/>
  <c r="E241" i="7"/>
  <c r="E242" i="7" s="1"/>
  <c r="D92" i="30"/>
  <c r="E505" i="33"/>
  <c r="E495" i="33"/>
  <c r="E485" i="33"/>
  <c r="F286" i="5"/>
  <c r="F289" i="5" s="1"/>
  <c r="F288" i="5"/>
  <c r="F287" i="5"/>
  <c r="E308" i="4"/>
  <c r="E307" i="4"/>
  <c r="E302" i="4"/>
  <c r="E294" i="4"/>
  <c r="E232" i="7"/>
  <c r="E236" i="7" s="1"/>
  <c r="E151" i="16"/>
  <c r="E154" i="16" s="1"/>
  <c r="E127" i="20"/>
  <c r="E126" i="20"/>
  <c r="E52" i="12"/>
  <c r="E51" i="12"/>
  <c r="E53" i="12" s="1"/>
  <c r="E44" i="12"/>
  <c r="E45" i="12"/>
  <c r="E43" i="12"/>
  <c r="E42" i="12"/>
  <c r="E493" i="3"/>
  <c r="E495" i="3"/>
  <c r="E497" i="3"/>
  <c r="E499" i="3"/>
  <c r="E501" i="3"/>
  <c r="E494" i="3"/>
  <c r="E489" i="3"/>
  <c r="E500" i="3"/>
  <c r="E498" i="3"/>
  <c r="E496" i="3"/>
  <c r="E492" i="3"/>
  <c r="E491" i="3"/>
  <c r="E490" i="3"/>
  <c r="G601" i="1"/>
  <c r="G599" i="1"/>
  <c r="O647" i="1" l="1"/>
  <c r="O609" i="1"/>
  <c r="O617" i="1"/>
  <c r="E46" i="12"/>
  <c r="E504" i="3"/>
  <c r="D15" i="44" s="1"/>
  <c r="E309" i="4"/>
  <c r="E296" i="4"/>
  <c r="H24" i="18"/>
  <c r="H25" i="18"/>
  <c r="L4" i="18"/>
  <c r="L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3" i="18"/>
  <c r="L37" i="18" l="1"/>
  <c r="O618" i="1"/>
  <c r="O648" i="1"/>
  <c r="G591" i="1"/>
  <c r="G636" i="1"/>
  <c r="G635" i="1"/>
  <c r="G634" i="1"/>
  <c r="G633" i="1"/>
  <c r="G632" i="1"/>
  <c r="G631" i="1"/>
  <c r="G629" i="1"/>
  <c r="G628" i="1"/>
  <c r="G627" i="1"/>
  <c r="G626" i="1"/>
  <c r="G625" i="1"/>
  <c r="G623" i="1"/>
  <c r="G622" i="1"/>
  <c r="G621" i="1"/>
  <c r="G620" i="1"/>
  <c r="G614" i="1"/>
  <c r="G613" i="1"/>
  <c r="G612" i="1"/>
  <c r="G611" i="1"/>
  <c r="G610" i="1"/>
  <c r="G609" i="1"/>
  <c r="G605" i="1"/>
  <c r="G604" i="1"/>
  <c r="G603" i="1"/>
  <c r="G602" i="1"/>
  <c r="G600" i="1"/>
  <c r="G598" i="1"/>
  <c r="G597" i="1"/>
  <c r="G596" i="1"/>
  <c r="G595" i="1"/>
  <c r="G594" i="1"/>
  <c r="G593" i="1"/>
  <c r="G592" i="1"/>
  <c r="G590" i="1"/>
  <c r="G589" i="1"/>
  <c r="G606" i="1" l="1"/>
  <c r="G607" i="1" s="1"/>
  <c r="G640" i="1"/>
  <c r="G615" i="1"/>
  <c r="E286" i="4"/>
  <c r="E285" i="4"/>
  <c r="E284" i="4"/>
  <c r="E277" i="4"/>
  <c r="E276" i="4"/>
  <c r="E275" i="4"/>
  <c r="E287" i="4" l="1"/>
  <c r="E279" i="4"/>
  <c r="G641" i="1"/>
  <c r="G616" i="1"/>
  <c r="O574" i="1"/>
  <c r="K7" i="46"/>
  <c r="D7" i="46"/>
  <c r="L8" i="45"/>
  <c r="E8" i="45"/>
  <c r="D99" i="32"/>
  <c r="F392" i="31"/>
  <c r="D81" i="30"/>
  <c r="E475" i="33"/>
  <c r="D84" i="30" s="1"/>
  <c r="E466" i="33"/>
  <c r="E457" i="33"/>
  <c r="D83" i="30" s="1"/>
  <c r="E448" i="33"/>
  <c r="D82" i="30" s="1"/>
  <c r="E439" i="33"/>
  <c r="E143" i="16"/>
  <c r="E146" i="16" s="1"/>
  <c r="F280" i="5"/>
  <c r="F279" i="5"/>
  <c r="F278" i="5"/>
  <c r="F272" i="5"/>
  <c r="F271" i="5"/>
  <c r="F270" i="5"/>
  <c r="F269" i="5"/>
  <c r="E223" i="7"/>
  <c r="E227" i="7" s="1"/>
  <c r="E225" i="7"/>
  <c r="E224" i="7"/>
  <c r="E485" i="3"/>
  <c r="E482" i="3"/>
  <c r="E473" i="3"/>
  <c r="E480" i="3"/>
  <c r="E477" i="3"/>
  <c r="E476" i="3"/>
  <c r="E479" i="3"/>
  <c r="E475" i="3"/>
  <c r="E472" i="3"/>
  <c r="E471" i="3"/>
  <c r="E470" i="3"/>
  <c r="E484" i="3"/>
  <c r="E483" i="3"/>
  <c r="E481" i="3"/>
  <c r="E478" i="3"/>
  <c r="E474" i="3"/>
  <c r="D85" i="30" l="1"/>
  <c r="F281" i="5"/>
  <c r="F273" i="5"/>
  <c r="E486" i="3"/>
  <c r="D14" i="44" s="1"/>
  <c r="D90" i="27"/>
  <c r="D92" i="27" s="1"/>
  <c r="D85" i="27" l="1"/>
  <c r="O586" i="1" l="1"/>
  <c r="O585" i="1"/>
  <c r="O584" i="1"/>
  <c r="O583" i="1"/>
  <c r="O582" i="1"/>
  <c r="O581" i="1"/>
  <c r="O580" i="1"/>
  <c r="O579" i="1"/>
  <c r="O578" i="1"/>
  <c r="O577" i="1"/>
  <c r="O576" i="1"/>
  <c r="O575" i="1"/>
  <c r="O573" i="1"/>
  <c r="O572" i="1"/>
  <c r="O571" i="1"/>
  <c r="O570" i="1"/>
  <c r="O565" i="1"/>
  <c r="O564" i="1"/>
  <c r="O563" i="1"/>
  <c r="O562" i="1"/>
  <c r="O561" i="1"/>
  <c r="O560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87" i="1" l="1"/>
  <c r="O566" i="1"/>
  <c r="O557" i="1"/>
  <c r="O558" i="1" s="1"/>
  <c r="O588" i="1" l="1"/>
  <c r="O567" i="1"/>
  <c r="E135" i="16"/>
  <c r="E138" i="16" s="1"/>
  <c r="F381" i="31"/>
  <c r="F376" i="31"/>
  <c r="F263" i="5"/>
  <c r="F262" i="5"/>
  <c r="E465" i="3"/>
  <c r="E463" i="3"/>
  <c r="E462" i="3"/>
  <c r="E460" i="3"/>
  <c r="E459" i="3"/>
  <c r="E458" i="3"/>
  <c r="E466" i="3"/>
  <c r="E461" i="3"/>
  <c r="E467" i="3" l="1"/>
  <c r="D13" i="44" s="1"/>
  <c r="F264" i="5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5" i="1"/>
  <c r="G564" i="1"/>
  <c r="G563" i="1"/>
  <c r="G562" i="1"/>
  <c r="G561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66" i="1" l="1"/>
  <c r="G585" i="1"/>
  <c r="G558" i="1"/>
  <c r="G559" i="1" s="1"/>
  <c r="O213" i="1"/>
  <c r="G567" i="1" l="1"/>
  <c r="G586" i="1"/>
  <c r="G15" i="1"/>
  <c r="M528" i="1"/>
  <c r="O522" i="1"/>
  <c r="D81" i="32"/>
  <c r="F370" i="31"/>
  <c r="D77" i="30"/>
  <c r="E429" i="33"/>
  <c r="E419" i="33"/>
  <c r="E217" i="7"/>
  <c r="E216" i="7"/>
  <c r="E215" i="7"/>
  <c r="E214" i="7"/>
  <c r="E127" i="16"/>
  <c r="E130" i="16" s="1"/>
  <c r="E269" i="4"/>
  <c r="E268" i="4"/>
  <c r="E267" i="4"/>
  <c r="E266" i="4"/>
  <c r="E454" i="3"/>
  <c r="E453" i="3"/>
  <c r="E452" i="3"/>
  <c r="E451" i="3"/>
  <c r="E450" i="3"/>
  <c r="E449" i="3"/>
  <c r="E448" i="3"/>
  <c r="E447" i="3"/>
  <c r="E445" i="3"/>
  <c r="E444" i="3"/>
  <c r="E442" i="3"/>
  <c r="E441" i="3"/>
  <c r="E218" i="7" l="1"/>
  <c r="E270" i="4"/>
  <c r="E455" i="3"/>
  <c r="D12" i="44" s="1"/>
  <c r="D18" i="44" s="1"/>
  <c r="O494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1" i="1"/>
  <c r="O520" i="1"/>
  <c r="O519" i="1"/>
  <c r="O518" i="1"/>
  <c r="O513" i="1"/>
  <c r="O512" i="1"/>
  <c r="O511" i="1"/>
  <c r="O510" i="1"/>
  <c r="O509" i="1"/>
  <c r="O508" i="1"/>
  <c r="O504" i="1"/>
  <c r="O503" i="1"/>
  <c r="O502" i="1"/>
  <c r="O501" i="1"/>
  <c r="O500" i="1"/>
  <c r="O499" i="1"/>
  <c r="O498" i="1"/>
  <c r="O497" i="1"/>
  <c r="O496" i="1"/>
  <c r="O495" i="1"/>
  <c r="O493" i="1"/>
  <c r="O492" i="1"/>
  <c r="O491" i="1"/>
  <c r="O490" i="1"/>
  <c r="O538" i="1" l="1"/>
  <c r="O514" i="1"/>
  <c r="O505" i="1"/>
  <c r="O506" i="1" s="1"/>
  <c r="D78" i="27"/>
  <c r="G535" i="1" l="1"/>
  <c r="G533" i="1"/>
  <c r="G507" i="1"/>
  <c r="D72" i="32"/>
  <c r="F359" i="31"/>
  <c r="D71" i="30"/>
  <c r="E409" i="33"/>
  <c r="E400" i="33"/>
  <c r="E382" i="33"/>
  <c r="E391" i="33"/>
  <c r="E208" i="7"/>
  <c r="E206" i="7"/>
  <c r="E205" i="7"/>
  <c r="E259" i="4"/>
  <c r="E256" i="4"/>
  <c r="E209" i="7" l="1"/>
  <c r="E260" i="4"/>
  <c r="D199" i="7"/>
  <c r="E199" i="7" s="1"/>
  <c r="E198" i="7"/>
  <c r="E181" i="7"/>
  <c r="E182" i="7"/>
  <c r="E183" i="7"/>
  <c r="E191" i="7"/>
  <c r="E192" i="7" s="1"/>
  <c r="E197" i="7"/>
  <c r="E437" i="3"/>
  <c r="E436" i="3"/>
  <c r="E435" i="3"/>
  <c r="E429" i="3"/>
  <c r="E431" i="3"/>
  <c r="E432" i="3"/>
  <c r="E433" i="3"/>
  <c r="E426" i="3"/>
  <c r="E200" i="7" l="1"/>
  <c r="E438" i="3"/>
  <c r="E186" i="7"/>
  <c r="H22" i="18" l="1"/>
  <c r="H23" i="18"/>
  <c r="H21" i="18"/>
  <c r="H20" i="18"/>
  <c r="H19" i="18"/>
  <c r="H18" i="18"/>
  <c r="H17" i="18"/>
  <c r="G540" i="1" l="1"/>
  <c r="G539" i="1"/>
  <c r="G538" i="1"/>
  <c r="G537" i="1"/>
  <c r="G536" i="1"/>
  <c r="G534" i="1"/>
  <c r="G532" i="1"/>
  <c r="G531" i="1"/>
  <c r="G530" i="1"/>
  <c r="G529" i="1"/>
  <c r="G528" i="1"/>
  <c r="G527" i="1"/>
  <c r="G526" i="1"/>
  <c r="G525" i="1"/>
  <c r="G524" i="1"/>
  <c r="G523" i="1"/>
  <c r="G522" i="1"/>
  <c r="G517" i="1"/>
  <c r="G516" i="1"/>
  <c r="G515" i="1"/>
  <c r="G514" i="1"/>
  <c r="G513" i="1"/>
  <c r="G512" i="1"/>
  <c r="G508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O477" i="1"/>
  <c r="D63" i="32"/>
  <c r="F348" i="31"/>
  <c r="D62" i="30"/>
  <c r="E372" i="33"/>
  <c r="E362" i="33"/>
  <c r="E352" i="33"/>
  <c r="E248" i="4"/>
  <c r="E247" i="4"/>
  <c r="E249" i="4"/>
  <c r="E107" i="16"/>
  <c r="E106" i="16"/>
  <c r="E416" i="3"/>
  <c r="E415" i="3"/>
  <c r="E421" i="3"/>
  <c r="E408" i="3"/>
  <c r="E417" i="3"/>
  <c r="E422" i="3"/>
  <c r="E413" i="3"/>
  <c r="E414" i="3"/>
  <c r="E406" i="3"/>
  <c r="E412" i="3"/>
  <c r="E410" i="3"/>
  <c r="E409" i="3"/>
  <c r="E407" i="3"/>
  <c r="E401" i="3"/>
  <c r="E400" i="3"/>
  <c r="F246" i="5"/>
  <c r="F245" i="5"/>
  <c r="F244" i="5"/>
  <c r="D29" i="40"/>
  <c r="E251" i="4" l="1"/>
  <c r="F247" i="5"/>
  <c r="G518" i="1"/>
  <c r="G541" i="1"/>
  <c r="G509" i="1"/>
  <c r="G510" i="1" s="1"/>
  <c r="E110" i="16"/>
  <c r="E403" i="3"/>
  <c r="E423" i="3"/>
  <c r="O485" i="1"/>
  <c r="O484" i="1"/>
  <c r="O483" i="1"/>
  <c r="O482" i="1"/>
  <c r="O481" i="1"/>
  <c r="O480" i="1"/>
  <c r="O479" i="1"/>
  <c r="O478" i="1"/>
  <c r="O476" i="1"/>
  <c r="O475" i="1"/>
  <c r="O474" i="1"/>
  <c r="O473" i="1"/>
  <c r="O472" i="1"/>
  <c r="O471" i="1"/>
  <c r="O470" i="1"/>
  <c r="O469" i="1"/>
  <c r="O468" i="1"/>
  <c r="O467" i="1"/>
  <c r="O466" i="1"/>
  <c r="O461" i="1"/>
  <c r="O460" i="1"/>
  <c r="O459" i="1"/>
  <c r="O458" i="1"/>
  <c r="O457" i="1"/>
  <c r="O456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86" i="1" l="1"/>
  <c r="O462" i="1"/>
  <c r="G542" i="1"/>
  <c r="G519" i="1"/>
  <c r="O453" i="1"/>
  <c r="O454" i="1" s="1"/>
  <c r="O463" i="1" l="1"/>
  <c r="O487" i="1"/>
  <c r="G486" i="1"/>
  <c r="G483" i="1"/>
  <c r="G456" i="1"/>
  <c r="G455" i="1"/>
  <c r="G454" i="1"/>
  <c r="G453" i="1"/>
  <c r="D55" i="30"/>
  <c r="E342" i="33"/>
  <c r="E333" i="33"/>
  <c r="E324" i="33"/>
  <c r="E315" i="33"/>
  <c r="E306" i="33"/>
  <c r="E270" i="33"/>
  <c r="D47" i="32"/>
  <c r="D55" i="32"/>
  <c r="F337" i="31"/>
  <c r="F238" i="5"/>
  <c r="F239" i="5" s="1"/>
  <c r="E100" i="16"/>
  <c r="E101" i="16" s="1"/>
  <c r="E120" i="20"/>
  <c r="E119" i="20"/>
  <c r="E118" i="20"/>
  <c r="E117" i="20"/>
  <c r="E116" i="20"/>
  <c r="E115" i="20"/>
  <c r="E241" i="4"/>
  <c r="E242" i="4" s="1"/>
  <c r="E173" i="7"/>
  <c r="E234" i="4"/>
  <c r="E233" i="4"/>
  <c r="E232" i="4"/>
  <c r="E175" i="7"/>
  <c r="E174" i="7"/>
  <c r="E388" i="3"/>
  <c r="E387" i="3"/>
  <c r="E386" i="3"/>
  <c r="E385" i="3"/>
  <c r="E383" i="3"/>
  <c r="E382" i="3"/>
  <c r="E381" i="3"/>
  <c r="E380" i="3"/>
  <c r="E379" i="3"/>
  <c r="E389" i="3"/>
  <c r="E396" i="3"/>
  <c r="E395" i="3"/>
  <c r="E394" i="3"/>
  <c r="E176" i="7" l="1"/>
  <c r="E121" i="20"/>
  <c r="E236" i="4"/>
  <c r="E392" i="3"/>
  <c r="E384" i="3"/>
  <c r="E375" i="3"/>
  <c r="E374" i="3"/>
  <c r="E373" i="3"/>
  <c r="E372" i="3"/>
  <c r="G447" i="1"/>
  <c r="E397" i="3" l="1"/>
  <c r="E376" i="3"/>
  <c r="G489" i="1" l="1"/>
  <c r="G488" i="1"/>
  <c r="G487" i="1"/>
  <c r="G485" i="1"/>
  <c r="G484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5" i="1"/>
  <c r="G464" i="1"/>
  <c r="G463" i="1"/>
  <c r="G462" i="1"/>
  <c r="G461" i="1"/>
  <c r="G460" i="1"/>
  <c r="G452" i="1"/>
  <c r="G451" i="1"/>
  <c r="G450" i="1"/>
  <c r="G449" i="1"/>
  <c r="G448" i="1"/>
  <c r="G446" i="1"/>
  <c r="G445" i="1"/>
  <c r="G444" i="1"/>
  <c r="G443" i="1"/>
  <c r="G442" i="1"/>
  <c r="G441" i="1"/>
  <c r="G440" i="1"/>
  <c r="G439" i="1"/>
  <c r="G438" i="1"/>
  <c r="G466" i="1" l="1"/>
  <c r="G490" i="1"/>
  <c r="G457" i="1"/>
  <c r="G458" i="1" s="1"/>
  <c r="O432" i="1"/>
  <c r="O422" i="1"/>
  <c r="D39" i="32"/>
  <c r="F326" i="31"/>
  <c r="F232" i="5"/>
  <c r="F231" i="5"/>
  <c r="F225" i="5"/>
  <c r="F224" i="5"/>
  <c r="F223" i="5"/>
  <c r="F217" i="5"/>
  <c r="F216" i="5"/>
  <c r="F215" i="5"/>
  <c r="F206" i="5"/>
  <c r="F207" i="5"/>
  <c r="F209" i="5"/>
  <c r="F208" i="5"/>
  <c r="F200" i="5"/>
  <c r="F199" i="5"/>
  <c r="F197" i="5"/>
  <c r="F198" i="5"/>
  <c r="F196" i="5"/>
  <c r="E36" i="12"/>
  <c r="E35" i="12"/>
  <c r="E34" i="12"/>
  <c r="E33" i="12"/>
  <c r="O431" i="1"/>
  <c r="O417" i="1"/>
  <c r="O413" i="1"/>
  <c r="O420" i="1"/>
  <c r="E37" i="12" l="1"/>
  <c r="F226" i="5"/>
  <c r="F233" i="5"/>
  <c r="F218" i="5"/>
  <c r="G467" i="1"/>
  <c r="G491" i="1"/>
  <c r="F201" i="5"/>
  <c r="F210" i="5"/>
  <c r="D14" i="41" l="1"/>
  <c r="D14" i="36"/>
  <c r="D12" i="40"/>
  <c r="O393" i="1"/>
  <c r="F190" i="5"/>
  <c r="F189" i="5"/>
  <c r="F188" i="5"/>
  <c r="F182" i="5"/>
  <c r="F181" i="5"/>
  <c r="F180" i="5"/>
  <c r="F174" i="5"/>
  <c r="F173" i="5"/>
  <c r="D31" i="32"/>
  <c r="F315" i="31"/>
  <c r="D46" i="30"/>
  <c r="E261" i="33"/>
  <c r="E252" i="33"/>
  <c r="E243" i="33"/>
  <c r="E234" i="33"/>
  <c r="E225" i="33"/>
  <c r="E215" i="4"/>
  <c r="E214" i="4"/>
  <c r="E208" i="4"/>
  <c r="E206" i="4"/>
  <c r="E368" i="3"/>
  <c r="E367" i="3"/>
  <c r="E366" i="3"/>
  <c r="E365" i="3"/>
  <c r="E364" i="3"/>
  <c r="E363" i="3"/>
  <c r="E362" i="3"/>
  <c r="E361" i="3"/>
  <c r="E360" i="3"/>
  <c r="E359" i="3"/>
  <c r="E358" i="3"/>
  <c r="E353" i="3"/>
  <c r="E351" i="3"/>
  <c r="E354" i="3"/>
  <c r="E352" i="3"/>
  <c r="E344" i="3"/>
  <c r="E341" i="3"/>
  <c r="E339" i="3"/>
  <c r="E338" i="3"/>
  <c r="E340" i="3"/>
  <c r="E342" i="3"/>
  <c r="E343" i="3"/>
  <c r="E336" i="3"/>
  <c r="E337" i="3"/>
  <c r="E335" i="3"/>
  <c r="E216" i="4" l="1"/>
  <c r="F191" i="5"/>
  <c r="F183" i="5"/>
  <c r="E209" i="4"/>
  <c r="F175" i="5"/>
  <c r="E369" i="3"/>
  <c r="E355" i="3"/>
  <c r="E345" i="3"/>
  <c r="O433" i="1"/>
  <c r="O430" i="1"/>
  <c r="O429" i="1"/>
  <c r="O428" i="1"/>
  <c r="O427" i="1"/>
  <c r="O426" i="1"/>
  <c r="O425" i="1"/>
  <c r="O424" i="1"/>
  <c r="O423" i="1"/>
  <c r="O421" i="1"/>
  <c r="O419" i="1"/>
  <c r="O418" i="1"/>
  <c r="O416" i="1"/>
  <c r="O415" i="1"/>
  <c r="O414" i="1"/>
  <c r="O412" i="1"/>
  <c r="O411" i="1"/>
  <c r="O406" i="1"/>
  <c r="O405" i="1"/>
  <c r="O404" i="1"/>
  <c r="O403" i="1"/>
  <c r="O402" i="1"/>
  <c r="O401" i="1"/>
  <c r="O397" i="1"/>
  <c r="O396" i="1"/>
  <c r="O395" i="1"/>
  <c r="O394" i="1"/>
  <c r="O392" i="1"/>
  <c r="O391" i="1"/>
  <c r="O390" i="1"/>
  <c r="O389" i="1"/>
  <c r="O388" i="1"/>
  <c r="O387" i="1"/>
  <c r="O386" i="1"/>
  <c r="O385" i="1"/>
  <c r="O384" i="1"/>
  <c r="O434" i="1" l="1"/>
  <c r="O407" i="1"/>
  <c r="O398" i="1"/>
  <c r="O399" i="1" s="1"/>
  <c r="O408" i="1" l="1"/>
  <c r="O435" i="1"/>
  <c r="D71" i="27"/>
  <c r="E330" i="3" l="1"/>
  <c r="E329" i="3"/>
  <c r="E327" i="3"/>
  <c r="D62" i="27"/>
  <c r="D64" i="27" s="1"/>
  <c r="E332" i="3" l="1"/>
  <c r="D36" i="30"/>
  <c r="E206" i="33"/>
  <c r="G433" i="1" l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1" i="1"/>
  <c r="G410" i="1"/>
  <c r="G409" i="1"/>
  <c r="G408" i="1"/>
  <c r="G407" i="1"/>
  <c r="G406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412" i="1" l="1"/>
  <c r="G434" i="1"/>
  <c r="G403" i="1"/>
  <c r="G404" i="1" s="1"/>
  <c r="L6" i="12"/>
  <c r="D16" i="38"/>
  <c r="E16" i="4"/>
  <c r="D17" i="37"/>
  <c r="D23" i="32"/>
  <c r="F304" i="31"/>
  <c r="D37" i="30"/>
  <c r="D32" i="30"/>
  <c r="E216" i="33"/>
  <c r="D55" i="27"/>
  <c r="D57" i="27" s="1"/>
  <c r="G435" i="1" l="1"/>
  <c r="G413" i="1"/>
  <c r="O379" i="1"/>
  <c r="O378" i="1"/>
  <c r="O377" i="1"/>
  <c r="O376" i="1"/>
  <c r="O371" i="1"/>
  <c r="O370" i="1"/>
  <c r="O369" i="1"/>
  <c r="O368" i="1"/>
  <c r="O367" i="1"/>
  <c r="O366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64" i="1" l="1"/>
  <c r="O380" i="1"/>
  <c r="O372" i="1"/>
  <c r="G379" i="1"/>
  <c r="G365" i="1"/>
  <c r="G366" i="1"/>
  <c r="G367" i="1"/>
  <c r="G374" i="1"/>
  <c r="G375" i="1"/>
  <c r="G380" i="1"/>
  <c r="G376" i="1"/>
  <c r="F293" i="31"/>
  <c r="F282" i="31"/>
  <c r="E196" i="33"/>
  <c r="E186" i="33"/>
  <c r="E176" i="33"/>
  <c r="E166" i="33"/>
  <c r="E322" i="3"/>
  <c r="E321" i="3"/>
  <c r="E199" i="4"/>
  <c r="E198" i="4"/>
  <c r="E197" i="4"/>
  <c r="E196" i="4"/>
  <c r="E148" i="7"/>
  <c r="E150" i="7" s="1"/>
  <c r="E149" i="7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D50" i="27"/>
  <c r="G385" i="1"/>
  <c r="G384" i="1"/>
  <c r="G383" i="1"/>
  <c r="G382" i="1"/>
  <c r="G378" i="1"/>
  <c r="G377" i="1"/>
  <c r="G381" i="1"/>
  <c r="G373" i="1"/>
  <c r="G372" i="1"/>
  <c r="G371" i="1"/>
  <c r="G370" i="1"/>
  <c r="G369" i="1"/>
  <c r="G368" i="1"/>
  <c r="G360" i="1"/>
  <c r="G359" i="1"/>
  <c r="G358" i="1"/>
  <c r="G357" i="1"/>
  <c r="G356" i="1"/>
  <c r="G355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61" i="1" l="1"/>
  <c r="G386" i="1"/>
  <c r="E201" i="4"/>
  <c r="E323" i="3"/>
  <c r="O373" i="1"/>
  <c r="O381" i="1"/>
  <c r="G352" i="1"/>
  <c r="G353" i="1" s="1"/>
  <c r="G362" i="1" l="1"/>
  <c r="G387" i="1"/>
  <c r="D43" i="27" l="1"/>
  <c r="O341" i="1" l="1"/>
  <c r="O332" i="1"/>
  <c r="O337" i="1"/>
  <c r="O335" i="1"/>
  <c r="O336" i="1"/>
  <c r="O331" i="1"/>
  <c r="E286" i="3"/>
  <c r="E285" i="3"/>
  <c r="E284" i="3"/>
  <c r="O313" i="1"/>
  <c r="O312" i="1"/>
  <c r="O311" i="1"/>
  <c r="D11" i="32"/>
  <c r="D15" i="32" s="1"/>
  <c r="D141" i="32" s="1"/>
  <c r="F141" i="32" s="1"/>
  <c r="F145" i="32" s="1"/>
  <c r="F271" i="31"/>
  <c r="F260" i="31"/>
  <c r="D21" i="30"/>
  <c r="E147" i="33"/>
  <c r="E137" i="33"/>
  <c r="E127" i="33"/>
  <c r="E117" i="33"/>
  <c r="E141" i="7"/>
  <c r="E142" i="7" s="1"/>
  <c r="E133" i="7"/>
  <c r="E134" i="7"/>
  <c r="E135" i="7"/>
  <c r="E189" i="4"/>
  <c r="E188" i="4"/>
  <c r="E187" i="4"/>
  <c r="E4" i="34"/>
  <c r="E3" i="34"/>
  <c r="E5" i="34" s="1"/>
  <c r="E299" i="3"/>
  <c r="E298" i="3"/>
  <c r="E297" i="3"/>
  <c r="E296" i="3"/>
  <c r="E295" i="3"/>
  <c r="E293" i="3"/>
  <c r="E294" i="3"/>
  <c r="E292" i="3"/>
  <c r="E291" i="3"/>
  <c r="E290" i="3"/>
  <c r="E289" i="3"/>
  <c r="E288" i="3"/>
  <c r="E287" i="3"/>
  <c r="F167" i="5"/>
  <c r="F166" i="5"/>
  <c r="D36" i="27"/>
  <c r="E136" i="7" l="1"/>
  <c r="D24" i="30"/>
  <c r="E191" i="4"/>
  <c r="E301" i="3"/>
  <c r="F168" i="5"/>
  <c r="D29" i="27" l="1"/>
  <c r="D22" i="27"/>
  <c r="E107" i="33"/>
  <c r="E98" i="33"/>
  <c r="E89" i="33"/>
  <c r="E80" i="33"/>
  <c r="E71" i="33"/>
  <c r="D15" i="30" s="1"/>
  <c r="D5" i="30" s="1"/>
  <c r="K14" i="30" s="1"/>
  <c r="E62" i="33"/>
  <c r="D14" i="30" s="1"/>
  <c r="D4" i="30" s="1"/>
  <c r="K13" i="30" s="1"/>
  <c r="F251" i="11"/>
  <c r="F263" i="11"/>
  <c r="E53" i="33"/>
  <c r="E44" i="33"/>
  <c r="E35" i="33"/>
  <c r="E26" i="33"/>
  <c r="E17" i="33"/>
  <c r="D13" i="30" s="1"/>
  <c r="D6" i="30" s="1"/>
  <c r="K15" i="30" s="1"/>
  <c r="E8" i="33"/>
  <c r="D12" i="30" s="1"/>
  <c r="D3" i="30" l="1"/>
  <c r="D16" i="30"/>
  <c r="E126" i="7"/>
  <c r="E128" i="7" s="1"/>
  <c r="O344" i="1"/>
  <c r="O343" i="1"/>
  <c r="O342" i="1"/>
  <c r="O340" i="1"/>
  <c r="O339" i="1"/>
  <c r="O338" i="1"/>
  <c r="O334" i="1"/>
  <c r="O333" i="1"/>
  <c r="O330" i="1"/>
  <c r="O329" i="1"/>
  <c r="O328" i="1"/>
  <c r="O327" i="1"/>
  <c r="O322" i="1"/>
  <c r="O321" i="1"/>
  <c r="O320" i="1"/>
  <c r="O319" i="1"/>
  <c r="O318" i="1"/>
  <c r="O317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D7" i="30" l="1"/>
  <c r="K12" i="30"/>
  <c r="K18" i="30" s="1"/>
  <c r="O345" i="1"/>
  <c r="O323" i="1"/>
  <c r="O314" i="1"/>
  <c r="O315" i="1" s="1"/>
  <c r="E120" i="7"/>
  <c r="E121" i="7" s="1"/>
  <c r="G330" i="1"/>
  <c r="G318" i="1"/>
  <c r="E27" i="12"/>
  <c r="E28" i="12" s="1"/>
  <c r="E91" i="16"/>
  <c r="E90" i="16"/>
  <c r="E280" i="3"/>
  <c r="E279" i="3"/>
  <c r="E278" i="3"/>
  <c r="E277" i="3"/>
  <c r="E276" i="3"/>
  <c r="E275" i="3"/>
  <c r="E274" i="3"/>
  <c r="E273" i="3"/>
  <c r="E272" i="3"/>
  <c r="E270" i="3"/>
  <c r="E271" i="3"/>
  <c r="E181" i="4"/>
  <c r="E180" i="4"/>
  <c r="E179" i="4"/>
  <c r="E178" i="4"/>
  <c r="E161" i="5"/>
  <c r="E162" i="5" s="1"/>
  <c r="G332" i="1"/>
  <c r="G331" i="1"/>
  <c r="G329" i="1"/>
  <c r="G328" i="1"/>
  <c r="G327" i="1"/>
  <c r="G326" i="1"/>
  <c r="G325" i="1"/>
  <c r="G324" i="1"/>
  <c r="G323" i="1"/>
  <c r="G322" i="1"/>
  <c r="G321" i="1"/>
  <c r="G320" i="1"/>
  <c r="G319" i="1"/>
  <c r="G317" i="1"/>
  <c r="G316" i="1"/>
  <c r="G315" i="1"/>
  <c r="O268" i="1"/>
  <c r="O267" i="1"/>
  <c r="O292" i="1"/>
  <c r="O291" i="1"/>
  <c r="O280" i="1"/>
  <c r="E148" i="5"/>
  <c r="E147" i="5"/>
  <c r="O278" i="1"/>
  <c r="O279" i="1"/>
  <c r="O282" i="1"/>
  <c r="O276" i="1"/>
  <c r="O275" i="1"/>
  <c r="O274" i="1"/>
  <c r="O273" i="1"/>
  <c r="O290" i="1"/>
  <c r="O289" i="1"/>
  <c r="O288" i="1"/>
  <c r="E253" i="3"/>
  <c r="E263" i="3"/>
  <c r="O286" i="1"/>
  <c r="O287" i="1"/>
  <c r="E261" i="3"/>
  <c r="E259" i="3"/>
  <c r="E258" i="3"/>
  <c r="E256" i="3"/>
  <c r="O265" i="1"/>
  <c r="O266" i="1"/>
  <c r="O269" i="1"/>
  <c r="O270" i="1"/>
  <c r="O271" i="1"/>
  <c r="O272" i="1"/>
  <c r="O277" i="1"/>
  <c r="O281" i="1"/>
  <c r="O283" i="1"/>
  <c r="O284" i="1"/>
  <c r="O285" i="1"/>
  <c r="O264" i="1"/>
  <c r="E252" i="3"/>
  <c r="E251" i="3"/>
  <c r="G333" i="1" l="1"/>
  <c r="E93" i="16"/>
  <c r="E182" i="4"/>
  <c r="O346" i="1"/>
  <c r="G302" i="1"/>
  <c r="O324" i="1"/>
  <c r="O251" i="1"/>
  <c r="E281" i="3"/>
  <c r="F249" i="31" l="1"/>
  <c r="F238" i="31"/>
  <c r="F222" i="31"/>
  <c r="F216" i="31"/>
  <c r="F205" i="31"/>
  <c r="F194" i="31"/>
  <c r="F183" i="31"/>
  <c r="F172" i="31"/>
  <c r="F161" i="31"/>
  <c r="F150" i="31"/>
  <c r="F139" i="31"/>
  <c r="F128" i="31"/>
  <c r="F117" i="31"/>
  <c r="F105" i="31"/>
  <c r="F92" i="31"/>
  <c r="F81" i="31"/>
  <c r="F69" i="31"/>
  <c r="F57" i="31"/>
  <c r="F45" i="31"/>
  <c r="D3" i="32" s="1"/>
  <c r="D7" i="32" s="1"/>
  <c r="N226" i="11"/>
  <c r="D14" i="27" l="1"/>
  <c r="O263" i="1"/>
  <c r="O293" i="1" s="1"/>
  <c r="E172" i="4"/>
  <c r="E171" i="4"/>
  <c r="E109" i="20"/>
  <c r="E108" i="20"/>
  <c r="E107" i="20"/>
  <c r="E114" i="7"/>
  <c r="E113" i="7"/>
  <c r="E112" i="7"/>
  <c r="E111" i="7"/>
  <c r="E162" i="4"/>
  <c r="E164" i="4"/>
  <c r="E163" i="4"/>
  <c r="E161" i="4"/>
  <c r="E160" i="4"/>
  <c r="E159" i="4"/>
  <c r="E158" i="4"/>
  <c r="E157" i="4"/>
  <c r="E149" i="5"/>
  <c r="H16" i="18"/>
  <c r="E79" i="16"/>
  <c r="E81" i="16"/>
  <c r="E80" i="16"/>
  <c r="E266" i="3"/>
  <c r="E265" i="3"/>
  <c r="E264" i="3"/>
  <c r="E262" i="3"/>
  <c r="E255" i="3"/>
  <c r="E254" i="3"/>
  <c r="E110" i="20" l="1"/>
  <c r="E82" i="16"/>
  <c r="E165" i="4"/>
  <c r="E115" i="7"/>
  <c r="E267" i="3"/>
  <c r="E173" i="4"/>
  <c r="F155" i="5" l="1"/>
  <c r="F154" i="5"/>
  <c r="F153" i="5"/>
  <c r="F156" i="5" l="1"/>
  <c r="G310" i="1" l="1"/>
  <c r="G309" i="1"/>
  <c r="G308" i="1"/>
  <c r="G307" i="1"/>
  <c r="G306" i="1"/>
  <c r="G305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303" i="1" l="1"/>
  <c r="G311" i="1"/>
  <c r="O245" i="1"/>
  <c r="G334" i="1" l="1"/>
  <c r="G312" i="1"/>
  <c r="O258" i="1"/>
  <c r="O257" i="1"/>
  <c r="O256" i="1"/>
  <c r="O255" i="1"/>
  <c r="O254" i="1"/>
  <c r="O250" i="1"/>
  <c r="O249" i="1"/>
  <c r="O248" i="1"/>
  <c r="O247" i="1"/>
  <c r="O246" i="1"/>
  <c r="O244" i="1"/>
  <c r="O243" i="1"/>
  <c r="O242" i="1"/>
  <c r="O241" i="1"/>
  <c r="O240" i="1"/>
  <c r="O239" i="1"/>
  <c r="O238" i="1"/>
  <c r="O237" i="1"/>
  <c r="O236" i="1"/>
  <c r="O259" i="1" l="1"/>
  <c r="O252" i="1"/>
  <c r="E276" i="1"/>
  <c r="E277" i="1"/>
  <c r="F226" i="11"/>
  <c r="E150" i="4"/>
  <c r="E149" i="4"/>
  <c r="E146" i="4"/>
  <c r="E144" i="4"/>
  <c r="E141" i="5"/>
  <c r="E140" i="5"/>
  <c r="E139" i="5"/>
  <c r="E138" i="5"/>
  <c r="E101" i="20"/>
  <c r="E102" i="20" s="1"/>
  <c r="E138" i="4"/>
  <c r="E136" i="4"/>
  <c r="E135" i="4"/>
  <c r="E74" i="16"/>
  <c r="E247" i="3"/>
  <c r="E240" i="3"/>
  <c r="E245" i="3"/>
  <c r="E244" i="3"/>
  <c r="E241" i="3"/>
  <c r="E239" i="3"/>
  <c r="E238" i="3"/>
  <c r="E236" i="3"/>
  <c r="E237" i="3"/>
  <c r="E139" i="4" l="1"/>
  <c r="E151" i="4"/>
  <c r="O294" i="1"/>
  <c r="G263" i="1"/>
  <c r="E248" i="3"/>
  <c r="E142" i="5"/>
  <c r="O260" i="1"/>
  <c r="G259" i="1"/>
  <c r="N209" i="11"/>
  <c r="E93" i="20" l="1"/>
  <c r="E94" i="20"/>
  <c r="E103" i="7"/>
  <c r="E104" i="7" s="1"/>
  <c r="E129" i="4"/>
  <c r="E128" i="4"/>
  <c r="E127" i="4"/>
  <c r="E126" i="4"/>
  <c r="E128" i="5"/>
  <c r="E127" i="5"/>
  <c r="E126" i="5"/>
  <c r="E120" i="4"/>
  <c r="E119" i="4"/>
  <c r="E118" i="4"/>
  <c r="E117" i="4"/>
  <c r="E116" i="4"/>
  <c r="E115" i="4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66" i="16"/>
  <c r="G283" i="1"/>
  <c r="G282" i="1"/>
  <c r="G279" i="1"/>
  <c r="G278" i="1"/>
  <c r="G277" i="1"/>
  <c r="G276" i="1"/>
  <c r="G271" i="1"/>
  <c r="G270" i="1"/>
  <c r="G269" i="1"/>
  <c r="G268" i="1"/>
  <c r="G267" i="1"/>
  <c r="G266" i="1"/>
  <c r="G262" i="1"/>
  <c r="G261" i="1"/>
  <c r="G260" i="1"/>
  <c r="G258" i="1"/>
  <c r="G257" i="1"/>
  <c r="G256" i="1"/>
  <c r="G255" i="1"/>
  <c r="G254" i="1"/>
  <c r="G253" i="1"/>
  <c r="G252" i="1"/>
  <c r="G251" i="1"/>
  <c r="G250" i="1"/>
  <c r="G249" i="1"/>
  <c r="G284" i="1" l="1"/>
  <c r="G272" i="1"/>
  <c r="G264" i="1"/>
  <c r="E96" i="20"/>
  <c r="E121" i="4"/>
  <c r="E130" i="4"/>
  <c r="E133" i="5"/>
  <c r="E233" i="3"/>
  <c r="O211" i="1"/>
  <c r="O212" i="1"/>
  <c r="O206" i="1"/>
  <c r="O205" i="1"/>
  <c r="E104" i="4"/>
  <c r="G273" i="1" l="1"/>
  <c r="G285" i="1"/>
  <c r="O231" i="1"/>
  <c r="O230" i="1"/>
  <c r="O229" i="1"/>
  <c r="O228" i="1"/>
  <c r="O227" i="1"/>
  <c r="O226" i="1"/>
  <c r="O221" i="1"/>
  <c r="O220" i="1"/>
  <c r="O219" i="1"/>
  <c r="O218" i="1"/>
  <c r="O217" i="1"/>
  <c r="O216" i="1"/>
  <c r="O210" i="1"/>
  <c r="O209" i="1"/>
  <c r="O208" i="1"/>
  <c r="O207" i="1"/>
  <c r="O204" i="1"/>
  <c r="O203" i="1"/>
  <c r="O202" i="1"/>
  <c r="O201" i="1"/>
  <c r="O200" i="1"/>
  <c r="O199" i="1"/>
  <c r="O198" i="1"/>
  <c r="O197" i="1"/>
  <c r="O214" i="1" l="1"/>
  <c r="O222" i="1"/>
  <c r="O232" i="1"/>
  <c r="G227" i="1"/>
  <c r="G228" i="1"/>
  <c r="G229" i="1"/>
  <c r="E58" i="16"/>
  <c r="E214" i="3"/>
  <c r="E213" i="3"/>
  <c r="E212" i="3"/>
  <c r="E211" i="3"/>
  <c r="E210" i="3"/>
  <c r="E209" i="3"/>
  <c r="E203" i="3"/>
  <c r="E202" i="3"/>
  <c r="E200" i="3"/>
  <c r="E199" i="3"/>
  <c r="E198" i="3"/>
  <c r="E194" i="3"/>
  <c r="E193" i="3"/>
  <c r="E192" i="3"/>
  <c r="E190" i="3"/>
  <c r="E189" i="3"/>
  <c r="O233" i="1" l="1"/>
  <c r="O223" i="1"/>
  <c r="E206" i="3"/>
  <c r="E195" i="3"/>
  <c r="E216" i="3"/>
  <c r="G230" i="1"/>
  <c r="G244" i="1"/>
  <c r="G243" i="1"/>
  <c r="G238" i="1"/>
  <c r="G237" i="1"/>
  <c r="G236" i="1"/>
  <c r="G235" i="1"/>
  <c r="G234" i="1"/>
  <c r="G233" i="1"/>
  <c r="G226" i="1"/>
  <c r="G225" i="1"/>
  <c r="G224" i="1"/>
  <c r="G223" i="1"/>
  <c r="G222" i="1"/>
  <c r="G221" i="1"/>
  <c r="G220" i="1"/>
  <c r="G219" i="1"/>
  <c r="G218" i="1"/>
  <c r="G245" i="1" l="1"/>
  <c r="G231" i="1"/>
  <c r="G239" i="1"/>
  <c r="G240" i="1" l="1"/>
  <c r="G246" i="1"/>
  <c r="O164" i="1"/>
  <c r="E90" i="4" l="1"/>
  <c r="F214" i="11"/>
  <c r="E109" i="4"/>
  <c r="E108" i="4"/>
  <c r="E107" i="4"/>
  <c r="E106" i="4"/>
  <c r="E105" i="4"/>
  <c r="E98" i="4"/>
  <c r="E97" i="4"/>
  <c r="E48" i="16"/>
  <c r="E50" i="16" s="1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10" i="4" l="1"/>
  <c r="E99" i="4"/>
  <c r="E186" i="3"/>
  <c r="O185" i="1" l="1"/>
  <c r="O192" i="1" l="1"/>
  <c r="O191" i="1"/>
  <c r="O190" i="1"/>
  <c r="O184" i="1"/>
  <c r="O183" i="1"/>
  <c r="O182" i="1"/>
  <c r="O181" i="1"/>
  <c r="O180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93" i="1" l="1"/>
  <c r="O178" i="1"/>
  <c r="O186" i="1"/>
  <c r="N203" i="11"/>
  <c r="E95" i="7"/>
  <c r="E94" i="7"/>
  <c r="F202" i="11"/>
  <c r="E88" i="7"/>
  <c r="E89" i="7" s="1"/>
  <c r="E121" i="5"/>
  <c r="E85" i="20"/>
  <c r="E88" i="20" s="1"/>
  <c r="E92" i="4"/>
  <c r="E42" i="16"/>
  <c r="E168" i="3"/>
  <c r="E98" i="7" l="1"/>
  <c r="O194" i="1"/>
  <c r="O187" i="1"/>
  <c r="G203" i="1" l="1"/>
  <c r="G213" i="1" l="1"/>
  <c r="G212" i="1"/>
  <c r="G211" i="1"/>
  <c r="G210" i="1"/>
  <c r="G209" i="1"/>
  <c r="G208" i="1"/>
  <c r="G202" i="1"/>
  <c r="G201" i="1"/>
  <c r="G200" i="1"/>
  <c r="G199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97" i="1" l="1"/>
  <c r="G214" i="1"/>
  <c r="G204" i="1"/>
  <c r="O135" i="1"/>
  <c r="O129" i="1"/>
  <c r="F192" i="11"/>
  <c r="N181" i="11"/>
  <c r="E33" i="16"/>
  <c r="E80" i="20"/>
  <c r="E149" i="3"/>
  <c r="G205" i="1" l="1"/>
  <c r="G215" i="1"/>
  <c r="O159" i="1" l="1"/>
  <c r="O158" i="1"/>
  <c r="O157" i="1"/>
  <c r="O156" i="1"/>
  <c r="O151" i="1"/>
  <c r="O150" i="1"/>
  <c r="O149" i="1"/>
  <c r="O148" i="1"/>
  <c r="O147" i="1"/>
  <c r="O143" i="1"/>
  <c r="O142" i="1"/>
  <c r="O141" i="1"/>
  <c r="O140" i="1"/>
  <c r="O139" i="1"/>
  <c r="O138" i="1"/>
  <c r="O137" i="1"/>
  <c r="O136" i="1"/>
  <c r="O134" i="1"/>
  <c r="O133" i="1"/>
  <c r="O132" i="1"/>
  <c r="O131" i="1"/>
  <c r="O130" i="1"/>
  <c r="O128" i="1"/>
  <c r="G177" i="1"/>
  <c r="G159" i="1"/>
  <c r="G158" i="1"/>
  <c r="N170" i="11"/>
  <c r="F170" i="11"/>
  <c r="F181" i="11"/>
  <c r="E73" i="4"/>
  <c r="E114" i="5"/>
  <c r="E83" i="7"/>
  <c r="E106" i="5"/>
  <c r="E68" i="20"/>
  <c r="E55" i="20"/>
  <c r="E23" i="16"/>
  <c r="E136" i="3"/>
  <c r="O160" i="1" l="1"/>
  <c r="O145" i="1"/>
  <c r="O152" i="1"/>
  <c r="O161" i="1" l="1"/>
  <c r="O153" i="1"/>
  <c r="G141" i="1"/>
  <c r="E73" i="7"/>
  <c r="G149" i="1"/>
  <c r="G176" i="1"/>
  <c r="G175" i="1"/>
  <c r="G174" i="1"/>
  <c r="G173" i="1"/>
  <c r="G172" i="1"/>
  <c r="G167" i="1"/>
  <c r="G166" i="1"/>
  <c r="G165" i="1"/>
  <c r="G164" i="1"/>
  <c r="G163" i="1"/>
  <c r="G157" i="1"/>
  <c r="G156" i="1"/>
  <c r="G155" i="1"/>
  <c r="G154" i="1"/>
  <c r="G153" i="1"/>
  <c r="G152" i="1"/>
  <c r="G151" i="1"/>
  <c r="G150" i="1"/>
  <c r="G148" i="1"/>
  <c r="G147" i="1"/>
  <c r="G146" i="1"/>
  <c r="G145" i="1"/>
  <c r="G144" i="1"/>
  <c r="G143" i="1"/>
  <c r="G142" i="1"/>
  <c r="G168" i="1" l="1"/>
  <c r="G178" i="1"/>
  <c r="G161" i="1"/>
  <c r="F159" i="11"/>
  <c r="E66" i="7"/>
  <c r="N148" i="11"/>
  <c r="F148" i="11"/>
  <c r="E64" i="4"/>
  <c r="E121" i="3"/>
  <c r="E48" i="20"/>
  <c r="E39" i="20"/>
  <c r="E91" i="5"/>
  <c r="E81" i="5"/>
  <c r="E80" i="5"/>
  <c r="E74" i="5"/>
  <c r="E114" i="3"/>
  <c r="E85" i="5" l="1"/>
  <c r="G179" i="1"/>
  <c r="G169" i="1"/>
  <c r="E95" i="5"/>
  <c r="O112" i="1" l="1"/>
  <c r="O113" i="1"/>
  <c r="O114" i="1"/>
  <c r="O111" i="1"/>
  <c r="O97" i="1"/>
  <c r="O115" i="1" l="1"/>
  <c r="O123" i="1"/>
  <c r="O122" i="1"/>
  <c r="O121" i="1"/>
  <c r="O120" i="1"/>
  <c r="O119" i="1"/>
  <c r="O107" i="1"/>
  <c r="O106" i="1"/>
  <c r="O105" i="1"/>
  <c r="O104" i="1"/>
  <c r="O103" i="1"/>
  <c r="O102" i="1"/>
  <c r="O101" i="1"/>
  <c r="O100" i="1"/>
  <c r="O99" i="1"/>
  <c r="O98" i="1"/>
  <c r="O96" i="1"/>
  <c r="O95" i="1"/>
  <c r="O94" i="1"/>
  <c r="O93" i="1"/>
  <c r="O92" i="1"/>
  <c r="O124" i="1" l="1"/>
  <c r="O109" i="1"/>
  <c r="G136" i="1"/>
  <c r="G135" i="1"/>
  <c r="G121" i="1"/>
  <c r="N136" i="11"/>
  <c r="F136" i="11"/>
  <c r="E26" i="20"/>
  <c r="E22" i="12"/>
  <c r="E15" i="20"/>
  <c r="E60" i="7"/>
  <c r="E65" i="5"/>
  <c r="N125" i="11"/>
  <c r="F125" i="11"/>
  <c r="E55" i="4"/>
  <c r="E57" i="4" s="1"/>
  <c r="E99" i="3"/>
  <c r="G115" i="1"/>
  <c r="G126" i="1" l="1"/>
  <c r="G127" i="1" s="1"/>
  <c r="G134" i="1" l="1"/>
  <c r="G133" i="1"/>
  <c r="G132" i="1"/>
  <c r="G131" i="1"/>
  <c r="G120" i="1"/>
  <c r="G119" i="1"/>
  <c r="G118" i="1"/>
  <c r="G117" i="1"/>
  <c r="G116" i="1"/>
  <c r="G114" i="1"/>
  <c r="G113" i="1"/>
  <c r="G112" i="1"/>
  <c r="G111" i="1"/>
  <c r="G110" i="1"/>
  <c r="G109" i="1"/>
  <c r="G108" i="1"/>
  <c r="G107" i="1"/>
  <c r="G106" i="1"/>
  <c r="G137" i="1" l="1"/>
  <c r="G123" i="1"/>
  <c r="G128" i="1" s="1"/>
  <c r="O44" i="1"/>
  <c r="G51" i="1"/>
  <c r="O15" i="1"/>
  <c r="O77" i="1"/>
  <c r="N115" i="11"/>
  <c r="F113" i="11"/>
  <c r="E86" i="3"/>
  <c r="G138" i="1" l="1"/>
  <c r="O80" i="1"/>
  <c r="O87" i="1"/>
  <c r="O86" i="1"/>
  <c r="O81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88" i="1" l="1"/>
  <c r="O82" i="1"/>
  <c r="O78" i="1"/>
  <c r="E49" i="7"/>
  <c r="E50" i="7" s="1"/>
  <c r="N103" i="11"/>
  <c r="F100" i="11"/>
  <c r="N90" i="11"/>
  <c r="F90" i="11"/>
  <c r="E44" i="7"/>
  <c r="E47" i="4"/>
  <c r="E6" i="20"/>
  <c r="E72" i="3"/>
  <c r="O89" i="1" l="1"/>
  <c r="O83" i="1"/>
  <c r="G93" i="1"/>
  <c r="G78" i="1"/>
  <c r="G101" i="1"/>
  <c r="G100" i="1"/>
  <c r="G99" i="1"/>
  <c r="G98" i="1"/>
  <c r="G92" i="1"/>
  <c r="G91" i="1"/>
  <c r="G89" i="1"/>
  <c r="G85" i="1"/>
  <c r="G84" i="1"/>
  <c r="G83" i="1"/>
  <c r="G82" i="1"/>
  <c r="G81" i="1"/>
  <c r="G80" i="1"/>
  <c r="G79" i="1"/>
  <c r="G77" i="1"/>
  <c r="G76" i="1"/>
  <c r="G75" i="1"/>
  <c r="G74" i="1"/>
  <c r="G73" i="1"/>
  <c r="G72" i="1"/>
  <c r="G87" i="1" l="1"/>
  <c r="G102" i="1"/>
  <c r="G94" i="1"/>
  <c r="E36" i="4"/>
  <c r="N76" i="11"/>
  <c r="F76" i="11"/>
  <c r="F64" i="11"/>
  <c r="E56" i="5"/>
  <c r="E13" i="12"/>
  <c r="E32" i="7"/>
  <c r="O58" i="1"/>
  <c r="O57" i="1"/>
  <c r="O56" i="1"/>
  <c r="O55" i="1"/>
  <c r="O50" i="1"/>
  <c r="O49" i="1"/>
  <c r="O48" i="1"/>
  <c r="O47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G95" i="1" l="1"/>
  <c r="O59" i="1"/>
  <c r="O45" i="1"/>
  <c r="O51" i="1"/>
  <c r="G103" i="1"/>
  <c r="E54" i="3"/>
  <c r="H6" i="18"/>
  <c r="H7" i="18"/>
  <c r="H8" i="18"/>
  <c r="H9" i="18"/>
  <c r="H10" i="18"/>
  <c r="H11" i="18"/>
  <c r="H12" i="18"/>
  <c r="H13" i="18"/>
  <c r="H14" i="18"/>
  <c r="H15" i="18"/>
  <c r="H3" i="18"/>
  <c r="H4" i="18"/>
  <c r="H5" i="18"/>
  <c r="H2" i="18"/>
  <c r="E5" i="16"/>
  <c r="H39" i="18" l="1"/>
  <c r="G63" i="1"/>
  <c r="G64" i="1"/>
  <c r="G65" i="1"/>
  <c r="G66" i="1"/>
  <c r="G62" i="1"/>
  <c r="F35" i="11"/>
  <c r="G50" i="1"/>
  <c r="G47" i="1"/>
  <c r="G46" i="1"/>
  <c r="G55" i="1"/>
  <c r="G57" i="1"/>
  <c r="G45" i="1"/>
  <c r="G56" i="1"/>
  <c r="G54" i="1"/>
  <c r="G49" i="1"/>
  <c r="G48" i="1"/>
  <c r="G44" i="1"/>
  <c r="G43" i="1"/>
  <c r="G42" i="1"/>
  <c r="G41" i="1"/>
  <c r="G40" i="1"/>
  <c r="G39" i="1"/>
  <c r="G38" i="1"/>
  <c r="G37" i="1"/>
  <c r="G36" i="1"/>
  <c r="G35" i="1"/>
  <c r="G34" i="1"/>
  <c r="N51" i="11"/>
  <c r="F51" i="11"/>
  <c r="N35" i="11"/>
  <c r="E14" i="16"/>
  <c r="E20" i="7"/>
  <c r="E47" i="3"/>
  <c r="E47" i="5"/>
  <c r="E36" i="5"/>
  <c r="E26" i="4"/>
  <c r="G67" i="1" l="1"/>
  <c r="G58" i="1"/>
  <c r="G52" i="1"/>
  <c r="O7" i="1"/>
  <c r="O3" i="1"/>
  <c r="O4" i="1"/>
  <c r="O5" i="1"/>
  <c r="O6" i="1"/>
  <c r="O8" i="1"/>
  <c r="O9" i="1"/>
  <c r="O10" i="1"/>
  <c r="O11" i="1"/>
  <c r="O12" i="1"/>
  <c r="O13" i="1"/>
  <c r="O14" i="1"/>
  <c r="O17" i="1"/>
  <c r="O18" i="1"/>
  <c r="O2" i="1"/>
  <c r="O16" i="1" l="1"/>
  <c r="O19" i="1"/>
  <c r="G59" i="1"/>
  <c r="G68" i="1"/>
  <c r="O24" i="1"/>
  <c r="O25" i="1"/>
  <c r="O26" i="1"/>
  <c r="O23" i="1"/>
  <c r="G21" i="1"/>
  <c r="G22" i="1"/>
  <c r="G23" i="1"/>
  <c r="G24" i="1"/>
  <c r="G25" i="1"/>
  <c r="G26" i="1"/>
  <c r="G20" i="1"/>
  <c r="G14" i="1"/>
  <c r="G13" i="1"/>
  <c r="G12" i="1"/>
  <c r="G11" i="1"/>
  <c r="G10" i="1"/>
  <c r="G9" i="1"/>
  <c r="G8" i="1"/>
  <c r="G7" i="1"/>
  <c r="G6" i="1"/>
  <c r="E5" i="1"/>
  <c r="G5" i="1" s="1"/>
  <c r="G4" i="1"/>
  <c r="G3" i="1"/>
  <c r="E2" i="1"/>
  <c r="O27" i="1" l="1"/>
  <c r="G16" i="1"/>
  <c r="G27" i="1"/>
  <c r="O20" i="1"/>
  <c r="E34" i="3"/>
  <c r="E27" i="5"/>
  <c r="E5" i="12"/>
  <c r="E18" i="5"/>
  <c r="G28" i="1" l="1"/>
  <c r="O28" i="1"/>
  <c r="E8" i="7"/>
  <c r="E7" i="6"/>
  <c r="E6" i="5"/>
  <c r="E6" i="4"/>
  <c r="E11" i="3"/>
  <c r="O52" i="1"/>
  <c r="O60" i="1"/>
  <c r="O125" i="1"/>
  <c r="O116" i="1"/>
  <c r="O539" i="1"/>
  <c r="O515" i="1"/>
  <c r="O702" i="1"/>
  <c r="O676" i="1"/>
  <c r="J805" i="1" l="1"/>
</calcChain>
</file>

<file path=xl/sharedStrings.xml><?xml version="1.0" encoding="utf-8"?>
<sst xmlns="http://schemas.openxmlformats.org/spreadsheetml/2006/main" count="17467" uniqueCount="993">
  <si>
    <t>SR#</t>
  </si>
  <si>
    <t>Item Name</t>
  </si>
  <si>
    <t>Time</t>
  </si>
  <si>
    <t>Date</t>
  </si>
  <si>
    <t>Chay</t>
  </si>
  <si>
    <t>16/12/2025</t>
  </si>
  <si>
    <t xml:space="preserve">Total Head Count </t>
  </si>
  <si>
    <t>Rate</t>
  </si>
  <si>
    <t xml:space="preserve">Amount </t>
  </si>
  <si>
    <t xml:space="preserve">Paratha </t>
  </si>
  <si>
    <t xml:space="preserve">Cahanna </t>
  </si>
  <si>
    <t xml:space="preserve">Midnight </t>
  </si>
  <si>
    <t>Breakfast</t>
  </si>
  <si>
    <t xml:space="preserve">Lunch </t>
  </si>
  <si>
    <t xml:space="preserve">Dall </t>
  </si>
  <si>
    <t>Roti</t>
  </si>
  <si>
    <t xml:space="preserve">Chay </t>
  </si>
  <si>
    <t xml:space="preserve">Afternoon </t>
  </si>
  <si>
    <t xml:space="preserve">Sabzi </t>
  </si>
  <si>
    <t xml:space="preserve">Roti </t>
  </si>
  <si>
    <t xml:space="preserve">Dinner </t>
  </si>
  <si>
    <t>Rice</t>
  </si>
  <si>
    <t xml:space="preserve">Chicken Karahi </t>
  </si>
  <si>
    <t>Price</t>
  </si>
  <si>
    <t>Name</t>
  </si>
  <si>
    <t xml:space="preserve">TOTAL AMOUNT </t>
  </si>
  <si>
    <t xml:space="preserve">QTY </t>
  </si>
  <si>
    <t>Department</t>
  </si>
  <si>
    <t xml:space="preserve">Karahi </t>
  </si>
  <si>
    <t>1.5Kg</t>
  </si>
  <si>
    <t xml:space="preserve">Admin </t>
  </si>
  <si>
    <t xml:space="preserve">Steaching </t>
  </si>
  <si>
    <t xml:space="preserve">Biryani </t>
  </si>
  <si>
    <t xml:space="preserve">Salad </t>
  </si>
  <si>
    <t>2 Plate</t>
  </si>
  <si>
    <t>Boild Egg</t>
  </si>
  <si>
    <t xml:space="preserve">Fry Egg </t>
  </si>
  <si>
    <t xml:space="preserve">Tea </t>
  </si>
  <si>
    <t xml:space="preserve">Lemaon </t>
  </si>
  <si>
    <t xml:space="preserve">Preapred By </t>
  </si>
  <si>
    <t xml:space="preserve">Clint Signature </t>
  </si>
  <si>
    <t xml:space="preserve">Grand Total Amount </t>
  </si>
  <si>
    <t>1 Plate</t>
  </si>
  <si>
    <t>Salad</t>
  </si>
  <si>
    <t>4 Plate</t>
  </si>
  <si>
    <t>Printing</t>
  </si>
  <si>
    <t>Chawal</t>
  </si>
  <si>
    <t>Dall</t>
  </si>
  <si>
    <t>Sampl</t>
  </si>
  <si>
    <t>1 Bowl</t>
  </si>
  <si>
    <t xml:space="preserve">Cold Drink </t>
  </si>
  <si>
    <t>Flow HCM</t>
  </si>
  <si>
    <t>17/12/2025</t>
  </si>
  <si>
    <t>Allo Ghotala</t>
  </si>
  <si>
    <t xml:space="preserve">Chicken curry </t>
  </si>
  <si>
    <t>Chicken Qorma</t>
  </si>
  <si>
    <t>Department Name</t>
  </si>
  <si>
    <t xml:space="preserve">G.Total </t>
  </si>
  <si>
    <t>Steaching Deprt</t>
  </si>
  <si>
    <t>Breakfast, Lunch, Dinner</t>
  </si>
  <si>
    <t>Amount</t>
  </si>
  <si>
    <t xml:space="preserve">Printing </t>
  </si>
  <si>
    <t xml:space="preserve">Daniyal </t>
  </si>
  <si>
    <t xml:space="preserve">Azeem </t>
  </si>
  <si>
    <t xml:space="preserve">Uaman </t>
  </si>
  <si>
    <t>Maroof</t>
  </si>
  <si>
    <t xml:space="preserve">Nasir </t>
  </si>
  <si>
    <t>Mueez</t>
  </si>
  <si>
    <t>4 Karahi, 4 Chawal, 4 Dall,15 Roti</t>
  </si>
  <si>
    <t>800+400+320+180</t>
  </si>
  <si>
    <t xml:space="preserve">Ali Raza </t>
  </si>
  <si>
    <t>3 Sabzi+ 10Roti</t>
  </si>
  <si>
    <t>240+150</t>
  </si>
  <si>
    <t xml:space="preserve">6 Chicken Qorma+ 18 Roti+ 2 Dahi + Salad </t>
  </si>
  <si>
    <t>1200+270+100+40</t>
  </si>
  <si>
    <t xml:space="preserve">Maroof </t>
  </si>
  <si>
    <t xml:space="preserve">Yaseen </t>
  </si>
  <si>
    <t>Ali Raza</t>
  </si>
  <si>
    <t>Azeem</t>
  </si>
  <si>
    <t xml:space="preserve">1 Sabzi+13 Roti+ 1 Salad </t>
  </si>
  <si>
    <t>80+195+20</t>
  </si>
  <si>
    <t>Boil Egg</t>
  </si>
  <si>
    <t>Cake Rus</t>
  </si>
  <si>
    <t xml:space="preserve">Cake  </t>
  </si>
  <si>
    <t>Chicken Karahi</t>
  </si>
  <si>
    <t>HR</t>
  </si>
  <si>
    <t xml:space="preserve">Chicken Qorma </t>
  </si>
  <si>
    <t xml:space="preserve">Night Tea </t>
  </si>
  <si>
    <t xml:space="preserve">Parathy </t>
  </si>
  <si>
    <t xml:space="preserve">Anday </t>
  </si>
  <si>
    <t xml:space="preserve">Raita </t>
  </si>
  <si>
    <t>2 Kg</t>
  </si>
  <si>
    <t>1kg</t>
  </si>
  <si>
    <t xml:space="preserve">Breakfast </t>
  </si>
  <si>
    <t xml:space="preserve">Juice </t>
  </si>
  <si>
    <t xml:space="preserve">CREDIT AMOUNT </t>
  </si>
  <si>
    <t>Lunch,</t>
  </si>
  <si>
    <t>Breakfast, Lunch</t>
  </si>
  <si>
    <t>Senior Mess</t>
  </si>
  <si>
    <t>Lunch</t>
  </si>
  <si>
    <t>Lunch, Dinner</t>
  </si>
  <si>
    <t xml:space="preserve">GRAND TOTAL AMOUNT </t>
  </si>
  <si>
    <t xml:space="preserve">Channa Chat </t>
  </si>
  <si>
    <t xml:space="preserve">Total Cash In Hand Amount </t>
  </si>
  <si>
    <t xml:space="preserve">All Day </t>
  </si>
  <si>
    <t xml:space="preserve">Name </t>
  </si>
  <si>
    <t xml:space="preserve">Signature </t>
  </si>
  <si>
    <t xml:space="preserve">Date </t>
  </si>
  <si>
    <t>18/12/2025</t>
  </si>
  <si>
    <t xml:space="preserve">Veg Pulao </t>
  </si>
  <si>
    <t xml:space="preserve">Fruit Chat </t>
  </si>
  <si>
    <t>Day</t>
  </si>
  <si>
    <t xml:space="preserve">Monday </t>
  </si>
  <si>
    <t>Tuesday</t>
  </si>
  <si>
    <t>Wednesday</t>
  </si>
  <si>
    <t>Thursday</t>
  </si>
  <si>
    <t>Friday</t>
  </si>
  <si>
    <t>Saturday</t>
  </si>
  <si>
    <t>Sunday</t>
  </si>
  <si>
    <t>19/12/2025</t>
  </si>
  <si>
    <t xml:space="preserve">Dall Chana Fry/ Dall Mash </t>
  </si>
  <si>
    <t xml:space="preserve">Beef Aloo Qeema </t>
  </si>
  <si>
    <t xml:space="preserve">Dall Chawal </t>
  </si>
  <si>
    <t>Chicken Hara Masala</t>
  </si>
  <si>
    <t xml:space="preserve">Chicken Curry </t>
  </si>
  <si>
    <t>Red Been (Lobia)</t>
  </si>
  <si>
    <t>Dying</t>
  </si>
  <si>
    <t xml:space="preserve">Chicken Stew </t>
  </si>
  <si>
    <t>Chicken Stew</t>
  </si>
  <si>
    <t>1 Pltae</t>
  </si>
  <si>
    <t xml:space="preserve">Partahy </t>
  </si>
  <si>
    <t xml:space="preserve">Half Fry Egg </t>
  </si>
  <si>
    <t xml:space="preserve">White Rice </t>
  </si>
  <si>
    <t>1Kg</t>
  </si>
  <si>
    <t>3 Plate</t>
  </si>
  <si>
    <t xml:space="preserve">Rice </t>
  </si>
  <si>
    <t xml:space="preserve">4 Plate </t>
  </si>
  <si>
    <t xml:space="preserve">Dying </t>
  </si>
  <si>
    <t xml:space="preserve">LUNCH DYING DEPART </t>
  </si>
  <si>
    <t xml:space="preserve">DINNER DYING DEPART </t>
  </si>
  <si>
    <t xml:space="preserve">DINNER  DYING DEPART </t>
  </si>
  <si>
    <t xml:space="preserve">Chicken Biryani </t>
  </si>
  <si>
    <t xml:space="preserve">Guest House (5) </t>
  </si>
  <si>
    <t>Fruit Cake</t>
  </si>
  <si>
    <t>Egg</t>
  </si>
  <si>
    <t>Daniyal</t>
  </si>
  <si>
    <t xml:space="preserve">Dying Depart </t>
  </si>
  <si>
    <t>Chicken Karahi 3+ Dall 1+ Roti 18</t>
  </si>
  <si>
    <t xml:space="preserve">Munawar </t>
  </si>
  <si>
    <t xml:space="preserve">Waqas </t>
  </si>
  <si>
    <t xml:space="preserve">Jhandad </t>
  </si>
  <si>
    <t>Rafeeq</t>
  </si>
  <si>
    <t xml:space="preserve">Shakeel </t>
  </si>
  <si>
    <t xml:space="preserve">Aqaib </t>
  </si>
  <si>
    <t xml:space="preserve">Chicken Qorma 6+ Roti 15+ Salad 2 Bowl </t>
  </si>
  <si>
    <t>Egg 2, Chicken Karahi 4, Chicken Stew 4, Biryani 5,</t>
  </si>
  <si>
    <t>1200+225+120</t>
  </si>
  <si>
    <t>50+800+800+900</t>
  </si>
  <si>
    <t>225+600+240+180+20</t>
  </si>
  <si>
    <t xml:space="preserve">Roti 15+  Chicken Stew 3+ Pulao 2+ Biryani 1+ Salad </t>
  </si>
  <si>
    <t>600+80+270</t>
  </si>
  <si>
    <t xml:space="preserve">TOTAL AMOUNT OF KITCHN </t>
  </si>
  <si>
    <t xml:space="preserve">TOTAL AMOUNT OF JUICE COUNTER </t>
  </si>
  <si>
    <t>Anda Ghotala</t>
  </si>
  <si>
    <t xml:space="preserve">Pulao </t>
  </si>
  <si>
    <t xml:space="preserve">Fruit  </t>
  </si>
  <si>
    <t>Dall Chana</t>
  </si>
  <si>
    <t xml:space="preserve">Lunch, Dinner </t>
  </si>
  <si>
    <t xml:space="preserve">Sampl </t>
  </si>
  <si>
    <t xml:space="preserve">Guest House </t>
  </si>
  <si>
    <t xml:space="preserve">JUICE COUNTER </t>
  </si>
  <si>
    <t xml:space="preserve">Price </t>
  </si>
  <si>
    <t>Milk</t>
  </si>
  <si>
    <t xml:space="preserve">Unit </t>
  </si>
  <si>
    <t>Kg</t>
  </si>
  <si>
    <t xml:space="preserve">Youget </t>
  </si>
  <si>
    <t xml:space="preserve">Milk </t>
  </si>
  <si>
    <t>20/12/2025</t>
  </si>
  <si>
    <t xml:space="preserve">Dahi </t>
  </si>
  <si>
    <t xml:space="preserve">Cold drink </t>
  </si>
  <si>
    <t xml:space="preserve">Chana </t>
  </si>
  <si>
    <t xml:space="preserve">Achari Chicken </t>
  </si>
  <si>
    <t xml:space="preserve">Senior Mess Menu </t>
  </si>
  <si>
    <t xml:space="preserve">Tool Tex </t>
  </si>
  <si>
    <t>900+200+500</t>
  </si>
  <si>
    <t>Biryani 5+ Salad bowl 2+ Rita 1kg</t>
  </si>
  <si>
    <t>Raita 1 bowl + Salad 1+Biryani 6</t>
  </si>
  <si>
    <t>500+20+1080</t>
  </si>
  <si>
    <t xml:space="preserve">Dall Fry 2+ karahi 3+ roti 21+ Dahi </t>
  </si>
  <si>
    <t>100+200+540+315</t>
  </si>
  <si>
    <t xml:space="preserve">ColdDrink </t>
  </si>
  <si>
    <t>Sabzi</t>
  </si>
  <si>
    <t xml:space="preserve">Chicken Rajistani karahi </t>
  </si>
  <si>
    <t xml:space="preserve">Aloo Chawal </t>
  </si>
  <si>
    <t xml:space="preserve">Mix Fruit </t>
  </si>
  <si>
    <t xml:space="preserve">Chicken Aloo Curry </t>
  </si>
  <si>
    <t xml:space="preserve">Egg Fry </t>
  </si>
  <si>
    <t xml:space="preserve">Biscut </t>
  </si>
  <si>
    <t xml:space="preserve">Lays </t>
  </si>
  <si>
    <t xml:space="preserve">Juice Mango </t>
  </si>
  <si>
    <t xml:space="preserve">Chicken Pulao </t>
  </si>
  <si>
    <t xml:space="preserve">Chicken Salan </t>
  </si>
  <si>
    <t xml:space="preserve">2Kg </t>
  </si>
  <si>
    <t xml:space="preserve">Maintences </t>
  </si>
  <si>
    <t xml:space="preserve">Tissue Box </t>
  </si>
  <si>
    <t xml:space="preserve">Sabzi 2+ Karahi 3+ Salad 1+ Roti 15+ Dahi </t>
  </si>
  <si>
    <t>160+600+100+225+50</t>
  </si>
  <si>
    <t>Karahi 3+ Roti 12+ Salad 2</t>
  </si>
  <si>
    <t>600+180+40</t>
  </si>
  <si>
    <t xml:space="preserve">Mueez </t>
  </si>
  <si>
    <t>Karahi 1+ Roti 3</t>
  </si>
  <si>
    <t>200+45</t>
  </si>
  <si>
    <t>Dall 3+ Karahi 1+ Roti 16</t>
  </si>
  <si>
    <t>240+200+240</t>
  </si>
  <si>
    <t xml:space="preserve">Aloo Biryani </t>
  </si>
  <si>
    <t xml:space="preserve">Maintenances </t>
  </si>
  <si>
    <t>21/12/2025</t>
  </si>
  <si>
    <t xml:space="preserve">Aloo Tarkari </t>
  </si>
  <si>
    <t xml:space="preserve">Kg </t>
  </si>
  <si>
    <t xml:space="preserve">Chicken karahi </t>
  </si>
  <si>
    <t xml:space="preserve">Chawal </t>
  </si>
  <si>
    <t>Channa</t>
  </si>
  <si>
    <t xml:space="preserve">Egg </t>
  </si>
  <si>
    <t xml:space="preserve">Botel </t>
  </si>
  <si>
    <t xml:space="preserve">White Karahi </t>
  </si>
  <si>
    <t xml:space="preserve">1 Kg </t>
  </si>
  <si>
    <t xml:space="preserve">Nimko </t>
  </si>
  <si>
    <t>Aqib Sab</t>
  </si>
  <si>
    <t>Dall 1+ Chawal 1+ Salad 1</t>
  </si>
  <si>
    <t>80+100+20</t>
  </si>
  <si>
    <t>Dall 2+ Roti 10+ Salad 2+ Channa chat 2</t>
  </si>
  <si>
    <t>160+150+40+240</t>
  </si>
  <si>
    <t xml:space="preserve">Cash From Sale for tuck Shop </t>
  </si>
  <si>
    <t>22/12/2025</t>
  </si>
  <si>
    <t xml:space="preserve">Channa   </t>
  </si>
  <si>
    <t xml:space="preserve">Channa </t>
  </si>
  <si>
    <t xml:space="preserve">Chai </t>
  </si>
  <si>
    <t xml:space="preserve">Beef Qeema </t>
  </si>
  <si>
    <t xml:space="preserve">Sabzi Pulao </t>
  </si>
  <si>
    <t xml:space="preserve">Zeera White Rice </t>
  </si>
  <si>
    <t xml:space="preserve">Milk Shake </t>
  </si>
  <si>
    <t xml:space="preserve">Channa  </t>
  </si>
  <si>
    <t xml:space="preserve">Anda Channa </t>
  </si>
  <si>
    <t xml:space="preserve">Payment </t>
  </si>
  <si>
    <t xml:space="preserve">Seasonal Vegetable  </t>
  </si>
  <si>
    <t xml:space="preserve">Chicken Aalo Curry </t>
  </si>
  <si>
    <t xml:space="preserve">Seasonal Vegetable </t>
  </si>
  <si>
    <t xml:space="preserve">Egg Channa </t>
  </si>
  <si>
    <t xml:space="preserve">Ch Karahi </t>
  </si>
  <si>
    <t xml:space="preserve">Anda channa </t>
  </si>
  <si>
    <t xml:space="preserve">Chicken Karahi  4+ Roti 12+ Salad 1 Bowl+Egg </t>
  </si>
  <si>
    <t>800+180+400+100</t>
  </si>
  <si>
    <t xml:space="preserve">Chicken Karahi  1+ Roti 4+ Veg Pulao </t>
  </si>
  <si>
    <t>200+60+120</t>
  </si>
  <si>
    <t xml:space="preserve">Ch- Karahi </t>
  </si>
  <si>
    <t xml:space="preserve"> DINNER DYING DEPART </t>
  </si>
  <si>
    <t>Karahi 2+ Anda Channa 2+ Roti 18+ Salad 2</t>
  </si>
  <si>
    <t>400+220+270+40</t>
  </si>
  <si>
    <t>Dall 3+ Pulao 4+ Roti 9+ Chai 1</t>
  </si>
  <si>
    <t>240+480+135+35</t>
  </si>
  <si>
    <t>Admin</t>
  </si>
  <si>
    <t>23/12/2025</t>
  </si>
  <si>
    <t xml:space="preserve">Biryani White </t>
  </si>
  <si>
    <t xml:space="preserve">Banna Shake </t>
  </si>
  <si>
    <t xml:space="preserve">Aalo Palak Chawal </t>
  </si>
  <si>
    <t xml:space="preserve">Aalo Palak Sabzi </t>
  </si>
  <si>
    <t xml:space="preserve">Sabzi Turai </t>
  </si>
  <si>
    <t xml:space="preserve">White Biryani </t>
  </si>
  <si>
    <t xml:space="preserve">Sabzi Tori </t>
  </si>
  <si>
    <t xml:space="preserve">CH- Karahi </t>
  </si>
  <si>
    <t xml:space="preserve">Channay </t>
  </si>
  <si>
    <t xml:space="preserve">Ch- White Biryani </t>
  </si>
  <si>
    <t xml:space="preserve">Dry Fruit </t>
  </si>
  <si>
    <t xml:space="preserve">Ch- Pulao </t>
  </si>
  <si>
    <t>Karahi 3 + Roti 10+ Salad 2</t>
  </si>
  <si>
    <t>660+150+40</t>
  </si>
  <si>
    <t xml:space="preserve">Sabzi 3+ Salad 1+ Roti 18+ Raita 0.5Kg </t>
  </si>
  <si>
    <t>360+20+270+250</t>
  </si>
  <si>
    <t xml:space="preserve">Aalo Biryani </t>
  </si>
  <si>
    <t>Sample</t>
  </si>
  <si>
    <t>Chicken Karahi  2+ Roti 4+ Chicken Biryani white 6+ Salad Bowl 1+ Raita 0.5 kg</t>
  </si>
  <si>
    <t>440+60+1920+200+250</t>
  </si>
  <si>
    <t xml:space="preserve">Sample </t>
  </si>
  <si>
    <t>24/12/2025</t>
  </si>
  <si>
    <t xml:space="preserve">Aalo Tarkari </t>
  </si>
  <si>
    <t>Channa Dall</t>
  </si>
  <si>
    <t xml:space="preserve">Channa Dall Fry </t>
  </si>
  <si>
    <t xml:space="preserve">Sabzi  </t>
  </si>
  <si>
    <t xml:space="preserve">Dall Masoor </t>
  </si>
  <si>
    <t xml:space="preserve">1.5 Kg </t>
  </si>
  <si>
    <t xml:space="preserve">0.5 Kg </t>
  </si>
  <si>
    <t xml:space="preserve">Dall Fry </t>
  </si>
  <si>
    <t xml:space="preserve">Mango Juice </t>
  </si>
  <si>
    <t xml:space="preserve">1.5 litter </t>
  </si>
  <si>
    <t xml:space="preserve">Cake Rus </t>
  </si>
  <si>
    <t xml:space="preserve">Aalo Tari </t>
  </si>
  <si>
    <t xml:space="preserve">Rzera rice </t>
  </si>
  <si>
    <t xml:space="preserve">Chicken Allo </t>
  </si>
  <si>
    <t xml:space="preserve">Anda Dall Ghotala </t>
  </si>
  <si>
    <t xml:space="preserve">Ch- Korma </t>
  </si>
  <si>
    <t xml:space="preserve">Chicken Gosht </t>
  </si>
  <si>
    <t xml:space="preserve">Dall Fry 2 + Roti 10+ Salad 5+ Dahi 0.5 Kg+ </t>
  </si>
  <si>
    <t xml:space="preserve">Allo Chicken 4+ Salad 1+ Zera rice 1+ Roti 16+ Raita 0.5Kg </t>
  </si>
  <si>
    <t>Dall Channa Fry 4+ Roti 14+ Salad 1 Bowl+ Anda Ghotala 4</t>
  </si>
  <si>
    <t>720+210+200+200</t>
  </si>
  <si>
    <t>360+150+100+200</t>
  </si>
  <si>
    <t>880+20+100+240+200</t>
  </si>
  <si>
    <t xml:space="preserve">Dall Rice </t>
  </si>
  <si>
    <t xml:space="preserve">Zeera Rice </t>
  </si>
  <si>
    <t>25/12/2025</t>
  </si>
  <si>
    <t>Refreshment</t>
  </si>
  <si>
    <t>Anda Channa</t>
  </si>
  <si>
    <t xml:space="preserve">Special Sabzi </t>
  </si>
  <si>
    <t>Dal Rice</t>
  </si>
  <si>
    <t xml:space="preserve">Cash From Sale </t>
  </si>
  <si>
    <t>Sadi Bhai For Purcahse</t>
  </si>
  <si>
    <t xml:space="preserve">Vijay Room Boy </t>
  </si>
  <si>
    <t xml:space="preserve">Milk Payment </t>
  </si>
  <si>
    <t xml:space="preserve">Cook Satalment </t>
  </si>
  <si>
    <t>Ashiq Hussain Advance</t>
  </si>
  <si>
    <t>Shahid Sb For Purchase</t>
  </si>
  <si>
    <t>Total Advance amount from cash</t>
  </si>
  <si>
    <t xml:space="preserve">Egg Full Fry </t>
  </si>
  <si>
    <t xml:space="preserve">S. Sabzi </t>
  </si>
  <si>
    <t>Mango Juice</t>
  </si>
  <si>
    <t xml:space="preserve">Ch- Aalo Ghost </t>
  </si>
  <si>
    <t xml:space="preserve">3Kg </t>
  </si>
  <si>
    <t xml:space="preserve">Salad Bowl </t>
  </si>
  <si>
    <t xml:space="preserve">Salad Plate </t>
  </si>
  <si>
    <t xml:space="preserve">0.5Kg </t>
  </si>
  <si>
    <t xml:space="preserve">S. Chicken Karahi </t>
  </si>
  <si>
    <t xml:space="preserve">S. Chicken </t>
  </si>
  <si>
    <t xml:space="preserve">Egg Boil </t>
  </si>
  <si>
    <t xml:space="preserve">Cake Fruit </t>
  </si>
  <si>
    <t xml:space="preserve">Aqib Sb </t>
  </si>
  <si>
    <t>Speical Chicken 1 +Roti 2+ Salad1</t>
  </si>
  <si>
    <t>220+30+20</t>
  </si>
  <si>
    <t>Speical Chicken 2+ Dahi 0.5 kg +Roti 18+ Chicken Curry 1</t>
  </si>
  <si>
    <t>440+200+270+110</t>
  </si>
  <si>
    <t>26/12/2025</t>
  </si>
  <si>
    <t xml:space="preserve">Sp- Biryani </t>
  </si>
  <si>
    <t xml:space="preserve">Samosa </t>
  </si>
  <si>
    <t>Litter</t>
  </si>
  <si>
    <t>Dall Channa</t>
  </si>
  <si>
    <t xml:space="preserve">2.5 Botel </t>
  </si>
  <si>
    <t xml:space="preserve">1.5Kg </t>
  </si>
  <si>
    <t xml:space="preserve">Chicken Fry </t>
  </si>
  <si>
    <t>Biryani Special</t>
  </si>
  <si>
    <t>Juice</t>
  </si>
  <si>
    <t>Sp- Sbzi</t>
  </si>
  <si>
    <t>Sp- Chay</t>
  </si>
  <si>
    <t xml:space="preserve">Simple Biryani </t>
  </si>
  <si>
    <t>Sp- Biryani 5+ Salad Bowl 1+ Raita 1Kg + Roti 2</t>
  </si>
  <si>
    <t>1600+200+400+30</t>
  </si>
  <si>
    <t>Aalo Biryani 4+ Sp- Biryani 2+ Dahi 1Kg +Salad 5+ Roti 18+ Sp-Sabzi 3</t>
  </si>
  <si>
    <t>720+640+400+100+270+540</t>
  </si>
  <si>
    <t xml:space="preserve">Rasool Baksh Advance </t>
  </si>
  <si>
    <t>27/12/2025</t>
  </si>
  <si>
    <t xml:space="preserve">Aalo Ghotala </t>
  </si>
  <si>
    <t>Sadi Bhai For Purchase 27Dec2025</t>
  </si>
  <si>
    <t xml:space="preserve">Sp- Chicken Curry </t>
  </si>
  <si>
    <t xml:space="preserve">Tuesday </t>
  </si>
  <si>
    <t>Shahid Sb For Purchase 27Dec2025</t>
  </si>
  <si>
    <t>Eggs Payment 12 Dazan</t>
  </si>
  <si>
    <t xml:space="preserve">Ghee </t>
  </si>
  <si>
    <t xml:space="preserve">Samosa Maker </t>
  </si>
  <si>
    <t xml:space="preserve">Sp-Chicken Curry </t>
  </si>
  <si>
    <t xml:space="preserve">Cold Drink 2.15 Litter </t>
  </si>
  <si>
    <t xml:space="preserve">Fruit Cake </t>
  </si>
  <si>
    <t xml:space="preserve">Ch- Curry </t>
  </si>
  <si>
    <t>Salad 6+ Chicken Curry 3+ Roti 22+Beef Qeema 2</t>
  </si>
  <si>
    <t>150+540+330+1060</t>
  </si>
  <si>
    <t xml:space="preserve">LUNCH, DINNER DYING DEPART </t>
  </si>
  <si>
    <t>Riaz Advance 27-Dec-2025</t>
  </si>
  <si>
    <t>Tandoor Advance 26-Dec-2025</t>
  </si>
  <si>
    <t>Sadi Bhai For Purcahse 26-Dec-2025</t>
  </si>
  <si>
    <t>Darshan Pay 1000+500</t>
  </si>
  <si>
    <t>28/12/2025</t>
  </si>
  <si>
    <t xml:space="preserve">Chay Midnight </t>
  </si>
  <si>
    <t xml:space="preserve">Sp- Chay </t>
  </si>
  <si>
    <t xml:space="preserve">Egg Fry Piyaz </t>
  </si>
  <si>
    <t xml:space="preserve">Aalo Matar Qeema </t>
  </si>
  <si>
    <t xml:space="preserve">Cold Drink 1.5Litter </t>
  </si>
  <si>
    <t xml:space="preserve">Mix Biscut </t>
  </si>
  <si>
    <t xml:space="preserve">Beef Aalo Matar Qeema </t>
  </si>
  <si>
    <t>Karam Deen Advance 28-Dec-2025</t>
  </si>
  <si>
    <t xml:space="preserve">Extenshion Bord </t>
  </si>
  <si>
    <t>29/12/2025</t>
  </si>
  <si>
    <t>Chicken Green Masla</t>
  </si>
  <si>
    <t>Afternoon</t>
  </si>
  <si>
    <t xml:space="preserve">Ghee 1Kg </t>
  </si>
  <si>
    <t xml:space="preserve">Dishwasher Karam Ali </t>
  </si>
  <si>
    <t xml:space="preserve">Aalo Chicken Curry </t>
  </si>
  <si>
    <t>White Been (Lobia)</t>
  </si>
  <si>
    <t xml:space="preserve">Rent of Atta Suzuki </t>
  </si>
  <si>
    <t xml:space="preserve"> </t>
  </si>
  <si>
    <t>Aalo Rice</t>
  </si>
  <si>
    <t xml:space="preserve">Rasool Baksh Finel Satelment </t>
  </si>
  <si>
    <t>30/12/2025</t>
  </si>
  <si>
    <t xml:space="preserve">Banana Shake </t>
  </si>
  <si>
    <t xml:space="preserve">1Kg </t>
  </si>
  <si>
    <t xml:space="preserve">Ispaghol </t>
  </si>
  <si>
    <t>Lays</t>
  </si>
  <si>
    <t xml:space="preserve">Chicken Hara Masala </t>
  </si>
  <si>
    <t xml:space="preserve">Salad  </t>
  </si>
  <si>
    <t>Egg Ghotala</t>
  </si>
  <si>
    <t xml:space="preserve">Aalo Pulao </t>
  </si>
  <si>
    <t>Ch- Hara Masala</t>
  </si>
  <si>
    <t xml:space="preserve">Channa Dal </t>
  </si>
  <si>
    <t xml:space="preserve">Ch- Hara Masala </t>
  </si>
  <si>
    <t>Jawaid Shb for printing (Copans)</t>
  </si>
  <si>
    <t xml:space="preserve">Sadi Bhai Purchase </t>
  </si>
  <si>
    <t xml:space="preserve">Approved By </t>
  </si>
  <si>
    <t xml:space="preserve">Cash Hand Over to Jawaid Sb </t>
  </si>
  <si>
    <t xml:space="preserve">Dall  </t>
  </si>
  <si>
    <t>Ch- Hara Masala 4+ Dahi 1 kg +Salad 6+ Roti 25+ Dall Channa 1+ Lobia 2</t>
  </si>
  <si>
    <t xml:space="preserve">Ch-Pulao </t>
  </si>
  <si>
    <t>1.5Kg Uncook Wait (8Plate)</t>
  </si>
  <si>
    <t>Cold Drink (1.5Litter)</t>
  </si>
  <si>
    <t>CH-Fry (Oil)</t>
  </si>
  <si>
    <t>Ch- Pulao</t>
  </si>
  <si>
    <t>Salad 5+ Dahi 0.5Kg+ Dall 1+  Roti 20+ Ch- Pulao 4+Aalo Qeema 3</t>
  </si>
  <si>
    <t>200+200+80+300+1000+810</t>
  </si>
  <si>
    <t>31/12/2025</t>
  </si>
  <si>
    <t>Aalo Bjuya</t>
  </si>
  <si>
    <t>Dall  channa Sp</t>
  </si>
  <si>
    <t>Sp Chicken Karahi</t>
  </si>
  <si>
    <t>Dall Rice</t>
  </si>
  <si>
    <t>Cash Handover for purchase</t>
  </si>
  <si>
    <t>Monday</t>
  </si>
  <si>
    <t xml:space="preserve">Clear </t>
  </si>
  <si>
    <t xml:space="preserve">Veal Biryani </t>
  </si>
  <si>
    <t xml:space="preserve">Sp- Mix Sabzi </t>
  </si>
  <si>
    <t xml:space="preserve">Ch- Biryani </t>
  </si>
  <si>
    <t xml:space="preserve">12 Plate </t>
  </si>
  <si>
    <t xml:space="preserve">Colddrnik 1 Litter </t>
  </si>
  <si>
    <t xml:space="preserve">Sp- Chai </t>
  </si>
  <si>
    <t xml:space="preserve">Received By </t>
  </si>
  <si>
    <t xml:space="preserve">Palak Dall </t>
  </si>
  <si>
    <t xml:space="preserve">Sp- Dall Fry </t>
  </si>
  <si>
    <t xml:space="preserve">Egg Ghotala </t>
  </si>
  <si>
    <t>Riaz Advance 1-Jan-2026</t>
  </si>
  <si>
    <t xml:space="preserve">Mujtaba And Borthers </t>
  </si>
  <si>
    <t xml:space="preserve">Riaz Ali Advance Payment </t>
  </si>
  <si>
    <t xml:space="preserve">Total Pay Amount </t>
  </si>
  <si>
    <t xml:space="preserve">Rent For Dags And Fridge </t>
  </si>
  <si>
    <t>Rent For Dags and Fridge 1-Jan-2026</t>
  </si>
  <si>
    <t>Salad 5+ Roti 22+ Dall Fry 3 Dahi Pao+ Dall Chawal 4+ Dall Palak 1</t>
  </si>
  <si>
    <t>125+264+ 540+ 100+440+80</t>
  </si>
  <si>
    <t xml:space="preserve">SUMMARY </t>
  </si>
  <si>
    <t xml:space="preserve">Waqas Sb </t>
  </si>
  <si>
    <t xml:space="preserve">Jhandad Sb </t>
  </si>
  <si>
    <t xml:space="preserve">Rafeeq Sb </t>
  </si>
  <si>
    <t xml:space="preserve">Aqaib Sb </t>
  </si>
  <si>
    <t>17 Dec to 31 Dec 2025</t>
  </si>
  <si>
    <t>Received Amount  Date</t>
  </si>
  <si>
    <t xml:space="preserve">Total Amount </t>
  </si>
  <si>
    <t xml:space="preserve">Daniyal Sb </t>
  </si>
  <si>
    <t xml:space="preserve">Dall Palak </t>
  </si>
  <si>
    <t>Salad Bowl</t>
  </si>
  <si>
    <t>Sp- Dall Fry</t>
  </si>
  <si>
    <t>Dall Chawal</t>
  </si>
  <si>
    <t>Sabzi Palak</t>
  </si>
  <si>
    <t xml:space="preserve">Sp- Sabzi </t>
  </si>
  <si>
    <t xml:space="preserve">Colddrink </t>
  </si>
  <si>
    <t xml:space="preserve">Allah Deno Advance </t>
  </si>
  <si>
    <t>Ch- Curry</t>
  </si>
  <si>
    <t>Waqas Sb</t>
  </si>
  <si>
    <t xml:space="preserve">Dahi+ Salad+ Ch- Pulao </t>
  </si>
  <si>
    <t>100+50+250</t>
  </si>
  <si>
    <t>Jahandad Sb</t>
  </si>
  <si>
    <t>Aqaib Sb</t>
  </si>
  <si>
    <t>Rafeeq Sb</t>
  </si>
  <si>
    <t>Ch- Hara Masala 1+ Salad 1+ Roti 4+ Egg Ghotala 1.5</t>
  </si>
  <si>
    <t>225+20+60+75</t>
  </si>
  <si>
    <t>Ch- Hara Masala 1+ Salad 1+ Roti 3+ Egg Ghotala 1.5</t>
  </si>
  <si>
    <t>225+20+45+75</t>
  </si>
  <si>
    <t>Salad + Roti 4+ Egg Ghotala 1.5</t>
  </si>
  <si>
    <t>50+60+75</t>
  </si>
  <si>
    <t>Salad + Roti 3+ Egg Ghotala 1.5</t>
  </si>
  <si>
    <t>50+45+75</t>
  </si>
  <si>
    <t>29Dec to 31 Dec 2025</t>
  </si>
  <si>
    <t xml:space="preserve">Cahy </t>
  </si>
  <si>
    <t xml:space="preserve">Muhammad Ali Advance Payment </t>
  </si>
  <si>
    <t xml:space="preserve">Dost Ali Advance Payment </t>
  </si>
  <si>
    <t xml:space="preserve">Suhrab Advance Payment </t>
  </si>
  <si>
    <t>Bill Date 15/12/2025 And 18/12/25 Maslay Bhulki etc</t>
  </si>
  <si>
    <t xml:space="preserve">Chicken fry </t>
  </si>
  <si>
    <t xml:space="preserve">Sp- Chicken Biryani </t>
  </si>
  <si>
    <t>Chai</t>
  </si>
  <si>
    <t xml:space="preserve">Chilli Mili </t>
  </si>
  <si>
    <t xml:space="preserve">Olper Milk </t>
  </si>
  <si>
    <t>Fabric W. House</t>
  </si>
  <si>
    <t xml:space="preserve">Sp-Biryani </t>
  </si>
  <si>
    <t>Sp- Biryani 1+ Dahi Pao+ Salad</t>
  </si>
  <si>
    <t>320+100+50</t>
  </si>
  <si>
    <t>360+435+360+ 1125+60</t>
  </si>
  <si>
    <t>Palak 2+Roti 29+ Channa Chat 3+ Sp- Karahi 5+ Salad 2</t>
  </si>
  <si>
    <t xml:space="preserve">Dahi 0.5+ Salad 5+ Sp- Biryani 5+ Roti 23+ Aalo Palak 2+ Aalo Pulao 4+ Chai 1 </t>
  </si>
  <si>
    <t>200+150+1600+345+360+480+35</t>
  </si>
  <si>
    <t>01/02/2026 And 2-Jan-2026</t>
  </si>
  <si>
    <t xml:space="preserve">Hussain Advance Payment </t>
  </si>
  <si>
    <t>Hussain Advance payment 03-Jan-2026</t>
  </si>
  <si>
    <t xml:space="preserve">Amir Ali Cook Salary for 10 Days(25-Dec to 03Jan 2026) </t>
  </si>
  <si>
    <t xml:space="preserve">Amir Cook Finel Payment 10 days Salary </t>
  </si>
  <si>
    <t xml:space="preserve">Shahid Sb Payment for Purchase </t>
  </si>
  <si>
    <t>Banana</t>
  </si>
  <si>
    <t xml:space="preserve">Medical For Staff </t>
  </si>
  <si>
    <t>Darshan Advance Pay 03-Jan-2026</t>
  </si>
  <si>
    <t xml:space="preserve">Cahi </t>
  </si>
  <si>
    <t xml:space="preserve">Sp- Ch- Allo curry </t>
  </si>
  <si>
    <t xml:space="preserve">Fish Fry Oil </t>
  </si>
  <si>
    <t xml:space="preserve">Egg Dall Ghotala </t>
  </si>
  <si>
    <t>Sp- Chicken Curry 1+ Roti 4+ (Dall Ghotala 2, Anda Piyaz 5) Salad</t>
  </si>
  <si>
    <t>220+60+127.5+20</t>
  </si>
  <si>
    <t>Salad 2+ Roti 20+ Sp- Chicken Curry 4</t>
  </si>
  <si>
    <t>Roti 20+ Sp- Beef Alo Qeema 1</t>
  </si>
  <si>
    <t>50+300+880</t>
  </si>
  <si>
    <t>300+ 270</t>
  </si>
  <si>
    <t xml:space="preserve">CH- Curry </t>
  </si>
  <si>
    <t>Beef Alo Qeema</t>
  </si>
  <si>
    <t xml:space="preserve">Sp- Ch- Allo Curry </t>
  </si>
  <si>
    <t xml:space="preserve">Oil for fish fry </t>
  </si>
  <si>
    <t>Sp- Beef Alo Qeema</t>
  </si>
  <si>
    <t xml:space="preserve">Dall Ghotala </t>
  </si>
  <si>
    <t xml:space="preserve">Egg Piyaz </t>
  </si>
  <si>
    <t xml:space="preserve">Total Cash Sale </t>
  </si>
  <si>
    <t xml:space="preserve">Total Cash Out from Sale </t>
  </si>
  <si>
    <t xml:space="preserve">Total Cash In Hand </t>
  </si>
  <si>
    <t>Hand Over to Ehtesham Sb 04-Jan-2026</t>
  </si>
  <si>
    <t xml:space="preserve">Ashiq hussain Salary for 27 Days(09-Dec to 04Jan 2026) </t>
  </si>
  <si>
    <t>Roti 3+ Allo Qeema</t>
  </si>
  <si>
    <t>45+150</t>
  </si>
  <si>
    <t>Tandori Paratha 9+ Roti 12</t>
  </si>
  <si>
    <t>315+180</t>
  </si>
  <si>
    <t>03-Jan-2026 And 4-Jan-2026</t>
  </si>
  <si>
    <t>1230+570+495</t>
  </si>
  <si>
    <t xml:space="preserve">Allo Qeema </t>
  </si>
  <si>
    <t>Zeera Rice</t>
  </si>
  <si>
    <t xml:space="preserve">Prepared By </t>
  </si>
  <si>
    <t xml:space="preserve">Depart </t>
  </si>
  <si>
    <t xml:space="preserve">Amant Sb </t>
  </si>
  <si>
    <t>SUMMARY  OF MAINTENCES DEPART</t>
  </si>
  <si>
    <t xml:space="preserve">Farhan Sb </t>
  </si>
  <si>
    <t>Maintences</t>
  </si>
  <si>
    <t>SUMMARY  OF SAMPLE DEPART</t>
  </si>
  <si>
    <t>Saeed Sb</t>
  </si>
  <si>
    <t>Sohail Sb</t>
  </si>
  <si>
    <t>Waqas SB</t>
  </si>
  <si>
    <t>SUMMARY OF DYING DEPART</t>
  </si>
  <si>
    <t>SUMMARY OF ADMIN DEPART</t>
  </si>
  <si>
    <t>Malik Riaz Sb</t>
  </si>
  <si>
    <t xml:space="preserve">Ashiq Hussain finel satalment </t>
  </si>
  <si>
    <t>Sadi Bhai For Purchase 02- Jan-2026</t>
  </si>
  <si>
    <t>Suhrab Advance Payment 02-Jan-2026</t>
  </si>
  <si>
    <t>Dost Ali Advance Payment 02-Jan-2026</t>
  </si>
  <si>
    <t>Muhammad Ali Advance Payment 02-Jan-2026</t>
  </si>
  <si>
    <t>Egg Ghotala 4+ Roti 4</t>
  </si>
  <si>
    <t>200+60</t>
  </si>
  <si>
    <t>Asif Samosa Maker 8 Days payment (1500 per day)</t>
  </si>
  <si>
    <t xml:space="preserve">Sp- Ch- Biryani </t>
  </si>
  <si>
    <t>Asif Samosa Maker 05-Jan-2026</t>
  </si>
  <si>
    <t>Ch- Qorma</t>
  </si>
  <si>
    <t>Saddi Bhai For Purchase 05-Jan-2026</t>
  </si>
  <si>
    <t xml:space="preserve">Sp- Chicken Karahi </t>
  </si>
  <si>
    <t xml:space="preserve">Suhrab Ali 22 Days Payment (Dec) </t>
  </si>
  <si>
    <t>Suhrab Advance Payment 05-Jan-2026</t>
  </si>
  <si>
    <t>Cooking Ghee 5-Jan-2026</t>
  </si>
  <si>
    <t xml:space="preserve">Alo Bhujya </t>
  </si>
  <si>
    <t>Sadi Bhai For Purchse 06-Jan-2026</t>
  </si>
  <si>
    <t>Banana Shake</t>
  </si>
  <si>
    <t xml:space="preserve">Catucp </t>
  </si>
  <si>
    <t>Roti 4+ Sp- Chicken Curry 1+ Salad 1</t>
  </si>
  <si>
    <t>60+220+30</t>
  </si>
  <si>
    <t>Dall Fry+ Roti 3</t>
  </si>
  <si>
    <t>180+45</t>
  </si>
  <si>
    <t>Ch- Curry 4+ Dall Fry 3+ Roti 35+ Salad 2</t>
  </si>
  <si>
    <t>880+540+525+60</t>
  </si>
  <si>
    <t>SUMMARY  OF HR DEPART</t>
  </si>
  <si>
    <t xml:space="preserve">SUMMARY  OF GUEST HOUSE </t>
  </si>
  <si>
    <t>Amanat Sb</t>
  </si>
  <si>
    <t>Beef Qeema</t>
  </si>
  <si>
    <t xml:space="preserve">Ketchup </t>
  </si>
  <si>
    <t>Biscut, Lays,Juice</t>
  </si>
  <si>
    <t xml:space="preserve">Veg Rice </t>
  </si>
  <si>
    <t>360+200+90+30+165+810</t>
  </si>
  <si>
    <t>Veg Rice 2+ Dahi 0.5 Kg + Salad 3+ Roti 2+ Roti 11+ Beef Qeema 3</t>
  </si>
  <si>
    <t xml:space="preserve">Beef Pulao </t>
  </si>
  <si>
    <t xml:space="preserve">Egg   </t>
  </si>
  <si>
    <t xml:space="preserve">Chicken Pakora </t>
  </si>
  <si>
    <t xml:space="preserve">Juice and Slice </t>
  </si>
  <si>
    <t xml:space="preserve">Basim Sb </t>
  </si>
  <si>
    <t xml:space="preserve">2 Box </t>
  </si>
  <si>
    <t>Channa Chat</t>
  </si>
  <si>
    <t>640+225+90+440+150+320</t>
  </si>
  <si>
    <t>Beef Pulao 2+ Roti 15+ Salad 3+ Chciken Karahi 2+ Roti 10+ Beef Pulao 1</t>
  </si>
  <si>
    <t>Veg Pulao 1.5+ Salad</t>
  </si>
  <si>
    <t>270+50</t>
  </si>
  <si>
    <t>Shakeel Sb</t>
  </si>
  <si>
    <t xml:space="preserve">Veg Pulao 1.5+ Salad+ Dahi </t>
  </si>
  <si>
    <t>270+50+50</t>
  </si>
  <si>
    <t>220+90+320+100</t>
  </si>
  <si>
    <t xml:space="preserve">Beef Pulao 1+ Dahi </t>
  </si>
  <si>
    <t>320+50</t>
  </si>
  <si>
    <t xml:space="preserve">Chciken Curry 2+ Roti 6+ Beef Pulao 1+ Dahi Pao </t>
  </si>
  <si>
    <t xml:space="preserve">Sp- Karahi </t>
  </si>
  <si>
    <t>Milk Shake</t>
  </si>
  <si>
    <t xml:space="preserve">Sp-Sabzi </t>
  </si>
  <si>
    <t xml:space="preserve">Ch- Qorma </t>
  </si>
  <si>
    <t>Sadi Bhai For Purchse 08-Jan-2026</t>
  </si>
  <si>
    <t xml:space="preserve">Lobia </t>
  </si>
  <si>
    <t xml:space="preserve">                                     </t>
  </si>
  <si>
    <t xml:space="preserve">                      </t>
  </si>
  <si>
    <t xml:space="preserve">            </t>
  </si>
  <si>
    <t>Sp- Ch- Qorma</t>
  </si>
  <si>
    <t>Off Loading Material Labor 08-Jan-2026</t>
  </si>
  <si>
    <t xml:space="preserve">Beef Sabzi </t>
  </si>
  <si>
    <t xml:space="preserve">Fruit </t>
  </si>
  <si>
    <t xml:space="preserve">Fruit (Kharboza) </t>
  </si>
  <si>
    <t>Biscut Mix</t>
  </si>
  <si>
    <t xml:space="preserve">Milk   </t>
  </si>
  <si>
    <t xml:space="preserve">Biscut  </t>
  </si>
  <si>
    <t xml:space="preserve">Amrrod </t>
  </si>
  <si>
    <t xml:space="preserve">Sp- Tea </t>
  </si>
  <si>
    <t xml:space="preserve">Cake </t>
  </si>
  <si>
    <t xml:space="preserve">Guest House (5) Steaching </t>
  </si>
  <si>
    <t xml:space="preserve">Sp- Ch- Qorma </t>
  </si>
  <si>
    <t>Ch- Qorma 1+Roti 4</t>
  </si>
  <si>
    <t>220+60</t>
  </si>
  <si>
    <t>Chicken Achari 1+ Roti 4</t>
  </si>
  <si>
    <t>Preapred BY</t>
  </si>
  <si>
    <t>Clint Signature</t>
  </si>
  <si>
    <t>Sp- Sabzi 2+ Ch- Qorma 2+ Roti 18+ Salad 2+ Ch- Achari 3+ Roti 16+ Dall Lobia 1</t>
  </si>
  <si>
    <t>360+440+270+60+660+240+180</t>
  </si>
  <si>
    <t xml:space="preserve">Ch- Achari </t>
  </si>
  <si>
    <t xml:space="preserve">Dall Lbia </t>
  </si>
  <si>
    <t>Cahi</t>
  </si>
  <si>
    <t>Rent of Material Vehicel from Highway 08-Jan-2026</t>
  </si>
  <si>
    <t>Aalo Bhujia</t>
  </si>
  <si>
    <t xml:space="preserve">Ch-Biryani </t>
  </si>
  <si>
    <t>Muhammad Ali Advance Payment 09-Jan-2026</t>
  </si>
  <si>
    <t xml:space="preserve">Lays, Biscut, Cake </t>
  </si>
  <si>
    <t xml:space="preserve">White Zeera Rice </t>
  </si>
  <si>
    <t xml:space="preserve">Cold Drink 1.5 Litter </t>
  </si>
  <si>
    <t>Sp- Ch-Biryani 1+ Dahi 50</t>
  </si>
  <si>
    <t>Sp- Ch-Biryani 4+ Dahi 50</t>
  </si>
  <si>
    <t>1280+50</t>
  </si>
  <si>
    <t xml:space="preserve">Sp- Chicken Biryani 3+ Salad 2+ Dahi Pao+ Roti 16+ Chicken Karahi 5+ Aalo Pulao 4+ Salad </t>
  </si>
  <si>
    <t>960+60+100+240+1100+440+80</t>
  </si>
  <si>
    <t xml:space="preserve">Ch- Biryani Normal </t>
  </si>
  <si>
    <t>Dry Fruit</t>
  </si>
  <si>
    <t xml:space="preserve">Cash Handover to Waqas bhai for deposit </t>
  </si>
  <si>
    <t>Sadi Bhai Cash For Purchase 10-Jan-2026</t>
  </si>
  <si>
    <t>Mujtaba and Brothers (Bill)</t>
  </si>
  <si>
    <t>16 Dec to 09 Jan 2026</t>
  </si>
  <si>
    <t xml:space="preserve">Talha </t>
  </si>
  <si>
    <t>Halwa</t>
  </si>
  <si>
    <t xml:space="preserve">Sp- Ch- Curry </t>
  </si>
  <si>
    <t xml:space="preserve">Ch- Karahi White </t>
  </si>
  <si>
    <t xml:space="preserve">Cold Drink  </t>
  </si>
  <si>
    <t>Banana, Apple, Orange, Amrood</t>
  </si>
  <si>
    <t>Sp- Ch- Curry 1+ Roti 3</t>
  </si>
  <si>
    <t>220+45</t>
  </si>
  <si>
    <t>Salad 3+ Ch- Curry 3+ Roti 12+ Raita + Egg Frydrice 5+ Dall Fry 5+ Roti 6+ Sabzi 1</t>
  </si>
  <si>
    <t>90+660+180+100+850+900+90+80</t>
  </si>
  <si>
    <t>Egg Fryd rice</t>
  </si>
  <si>
    <t>Ch- Karahi White</t>
  </si>
  <si>
    <t>Waqas bhai cash handover for deposit 10-Jan-2026</t>
  </si>
  <si>
    <t>Suji Halwa</t>
  </si>
  <si>
    <t>Beef Aalo Qeema</t>
  </si>
  <si>
    <t xml:space="preserve">Daal </t>
  </si>
  <si>
    <t xml:space="preserve">Chicken Fry (Oil) </t>
  </si>
  <si>
    <t>Cold Drink  1.5 Ltr</t>
  </si>
  <si>
    <t xml:space="preserve">Ch- White Karahi </t>
  </si>
  <si>
    <t xml:space="preserve">1 Litter </t>
  </si>
  <si>
    <t xml:space="preserve">Glass </t>
  </si>
  <si>
    <t>Beef Pulao (Rice with Making)</t>
  </si>
  <si>
    <t>Roti 13</t>
  </si>
  <si>
    <t>Ch- Fry- (Oil 2Ltr)</t>
  </si>
  <si>
    <t xml:space="preserve">Beef Pulao Making And Oil </t>
  </si>
  <si>
    <t xml:space="preserve">Advance </t>
  </si>
  <si>
    <t xml:space="preserve">Balance Amount </t>
  </si>
  <si>
    <t xml:space="preserve">Ali Raza 10 Days Payment (Jan) </t>
  </si>
  <si>
    <t>Asif Samosa Maker 6 Days payment (1500 per day)</t>
  </si>
  <si>
    <t>Asif Samosa Maker 12-Jan-2026</t>
  </si>
  <si>
    <t>Ali Raza finel Satelment 12-Jan-2026</t>
  </si>
  <si>
    <t>Sp- Ch- Qorma 1+ Roti 3.5</t>
  </si>
  <si>
    <t>220+52.5</t>
  </si>
  <si>
    <t>Sp- Dall Channa Fry 2</t>
  </si>
  <si>
    <t>180+180</t>
  </si>
  <si>
    <t>Sp- Ch- Qorma 3+ Roti 11+ Salad 3+ Veg Pulao 4+ Raita 0.5Kg + Roti 5</t>
  </si>
  <si>
    <t>660+165+90+680+200+75</t>
  </si>
  <si>
    <t>Sp-Ch- Qorma 1+ Roti 3</t>
  </si>
  <si>
    <t xml:space="preserve">Mueez Sb </t>
  </si>
  <si>
    <t xml:space="preserve">Nasir Sb </t>
  </si>
  <si>
    <t>Sp-Ch- Qorma 1+ Roti 2</t>
  </si>
  <si>
    <t>220+30</t>
  </si>
  <si>
    <t xml:space="preserve">Ch Curry </t>
  </si>
  <si>
    <t xml:space="preserve">Aalo </t>
  </si>
  <si>
    <t>Allo Mattar Pulao</t>
  </si>
  <si>
    <t>GRM</t>
  </si>
  <si>
    <t>Vegetable Rice with Chicken Manchorian (450/150)</t>
  </si>
  <si>
    <t>Dall Chawal (450/150)</t>
  </si>
  <si>
    <t xml:space="preserve">Junior Menu </t>
  </si>
  <si>
    <t xml:space="preserve">Paratha, Channa, Chay </t>
  </si>
  <si>
    <t xml:space="preserve">Paratha, Aloo Bhujia, Chay </t>
  </si>
  <si>
    <t>30,50,30</t>
  </si>
  <si>
    <t xml:space="preserve">Paratha, Anda Aloo, Chay </t>
  </si>
  <si>
    <t xml:space="preserve">Murg Salan </t>
  </si>
  <si>
    <t xml:space="preserve">Dall Channa palak </t>
  </si>
  <si>
    <t>Dall Mong</t>
  </si>
  <si>
    <t xml:space="preserve">Curry Pakora/ White Zeera Rice  </t>
  </si>
  <si>
    <t xml:space="preserve">Paratha, Anda Aloo/ Anda Omlete, Chay </t>
  </si>
  <si>
    <t>150/300</t>
  </si>
  <si>
    <t>Chicken Biryani (2 Pieces)</t>
  </si>
  <si>
    <t>Chicken Biryani (1 Piece)</t>
  </si>
  <si>
    <t>Chicken Aloo</t>
  </si>
  <si>
    <t xml:space="preserve">Wate Roti </t>
  </si>
  <si>
    <t>Milk Payment 13-Jan-2026</t>
  </si>
  <si>
    <t xml:space="preserve">Sp- Allo Pulao </t>
  </si>
  <si>
    <t xml:space="preserve">Sp- Veg Pulao </t>
  </si>
  <si>
    <t xml:space="preserve">Milk Pakt </t>
  </si>
  <si>
    <t xml:space="preserve">Juice Pakcola </t>
  </si>
  <si>
    <t>Ispaghlo</t>
  </si>
  <si>
    <t>Sp- Veg Pulao</t>
  </si>
  <si>
    <t>Sp- Veg Pulao 5+ Salad 3+ Sp- Beef Qeema 4+ Roti 16</t>
  </si>
  <si>
    <t xml:space="preserve">Sp- Veg Pulao 1+ Dahi+ Salad </t>
  </si>
  <si>
    <t>250+50+60</t>
  </si>
  <si>
    <t xml:space="preserve">Surf </t>
  </si>
  <si>
    <t xml:space="preserve">Bartan Jali </t>
  </si>
  <si>
    <t>Sadi Bhai For Purchase 14-Jan-2026</t>
  </si>
  <si>
    <t xml:space="preserve">Sp- Veg Pulao  </t>
  </si>
  <si>
    <t>Ispaghol</t>
  </si>
  <si>
    <t xml:space="preserve">Fish Fry (Oil) </t>
  </si>
  <si>
    <t>Ali Passand Cook Helper salary Dec 2025</t>
  </si>
  <si>
    <t>Ali Passand salary of dec 2025</t>
  </si>
  <si>
    <t>Ayaz Dishwasheer Advance 14-Jan-2026</t>
  </si>
  <si>
    <t>Daal</t>
  </si>
  <si>
    <t>Daal Fry</t>
  </si>
  <si>
    <t xml:space="preserve">Sp-Ch-Pulao </t>
  </si>
  <si>
    <t xml:space="preserve">Sp- Ch- Pulao </t>
  </si>
  <si>
    <t xml:space="preserve">Amrood </t>
  </si>
  <si>
    <t xml:space="preserve">Band </t>
  </si>
  <si>
    <t xml:space="preserve">Shake </t>
  </si>
  <si>
    <t>Cold Drink 1.5</t>
  </si>
  <si>
    <t>Sp- Ch- Pual 1+ Dahi 1+ Salad 1</t>
  </si>
  <si>
    <t>320+100+30</t>
  </si>
  <si>
    <t xml:space="preserve">BREAKFAST DYING DEPART </t>
  </si>
  <si>
    <t>Munawar</t>
  </si>
  <si>
    <t>Egg 2</t>
  </si>
  <si>
    <t xml:space="preserve">Munawar Sb </t>
  </si>
  <si>
    <t>Salad 3+ Dahi plus salad  0.5Kg + Sp- Ch-Pulao 5+ Dall Fry 4+ Roti 15</t>
  </si>
  <si>
    <t>90+230+1600+320+225</t>
  </si>
  <si>
    <t xml:space="preserve">Slice Juice </t>
  </si>
  <si>
    <t>Cold drink 1.5</t>
  </si>
  <si>
    <t xml:space="preserve">Cake   </t>
  </si>
  <si>
    <t>Band</t>
  </si>
  <si>
    <t>Slice Juice</t>
  </si>
  <si>
    <t xml:space="preserve">Aalo Palak </t>
  </si>
  <si>
    <t xml:space="preserve">Sp- Ch- Biryani  </t>
  </si>
  <si>
    <t>Cold Drink 1.5 Ltr</t>
  </si>
  <si>
    <t xml:space="preserve">Basan </t>
  </si>
  <si>
    <t xml:space="preserve">Pakcola Juice </t>
  </si>
  <si>
    <t>Sp- Sabzi 3+ Salad 2+ Dahi 0.5Kg+ Roti 15+ Achari Chicken 4+ Roti 12+ Salad 1</t>
  </si>
  <si>
    <t>540+60+200+225+900+180+30</t>
  </si>
  <si>
    <t>01/02/2026 To 15-Jan-2026</t>
  </si>
  <si>
    <t>900+90+1080+240</t>
  </si>
  <si>
    <t>180+60</t>
  </si>
  <si>
    <t>Sp- Sabzi 1+ Roti 4</t>
  </si>
  <si>
    <t>17 Dec 2025 to 15 Jan 2026</t>
  </si>
  <si>
    <t>Achari Chicken</t>
  </si>
  <si>
    <t>Ch- Karahi</t>
  </si>
  <si>
    <t xml:space="preserve">Bun </t>
  </si>
  <si>
    <t xml:space="preserve">Sp- Biryani 1.5+ Salad 1+ Dahi </t>
  </si>
  <si>
    <t>480+30+100</t>
  </si>
  <si>
    <t>Sp- Ch- Biryani 6+ Dahi 0.5Kg + Salad 3</t>
  </si>
  <si>
    <t>1920+200+90</t>
  </si>
  <si>
    <t xml:space="preserve">Sp- CH- Biryani </t>
  </si>
  <si>
    <t xml:space="preserve">Sp- sabzi </t>
  </si>
  <si>
    <t>Meal Type</t>
  </si>
  <si>
    <t>Material</t>
  </si>
  <si>
    <t>Qty</t>
  </si>
  <si>
    <t>Unit</t>
  </si>
  <si>
    <t>Total Material Cost</t>
  </si>
  <si>
    <t>16-21 Dec-25</t>
  </si>
  <si>
    <t>Tue - Sun</t>
  </si>
  <si>
    <t xml:space="preserve">Milk Powder </t>
  </si>
  <si>
    <t>Sugar</t>
  </si>
  <si>
    <t>All Meals</t>
  </si>
  <si>
    <t xml:space="preserve">Red Chilli Powder </t>
  </si>
  <si>
    <t xml:space="preserve">Red Chilli Whole </t>
  </si>
  <si>
    <t xml:space="preserve">Cooking Oil </t>
  </si>
  <si>
    <t xml:space="preserve">Ltr </t>
  </si>
  <si>
    <t>Atta Fine</t>
  </si>
  <si>
    <t xml:space="preserve">Atta Chakki </t>
  </si>
  <si>
    <t xml:space="preserve">Coriender Powder </t>
  </si>
  <si>
    <t xml:space="preserve">Zeera </t>
  </si>
  <si>
    <t>Brown Piyaz Fried</t>
  </si>
  <si>
    <t xml:space="preserve">Daal Channa </t>
  </si>
  <si>
    <t xml:space="preserve">Daal Moong </t>
  </si>
  <si>
    <t xml:space="preserve">Daal Masoor </t>
  </si>
  <si>
    <t xml:space="preserve">Karahi Masala </t>
  </si>
  <si>
    <t>Imli</t>
  </si>
  <si>
    <t xml:space="preserve">Achar Gosht Masala </t>
  </si>
  <si>
    <t>Biryani Masala</t>
  </si>
  <si>
    <t xml:space="preserve">Pulao Masala </t>
  </si>
  <si>
    <t xml:space="preserve">Fresh Cream </t>
  </si>
  <si>
    <t xml:space="preserve">Pkt </t>
  </si>
  <si>
    <t xml:space="preserve">Comelle - Condensed Milk </t>
  </si>
  <si>
    <t xml:space="preserve">Tin </t>
  </si>
  <si>
    <t xml:space="preserve">Papri </t>
  </si>
  <si>
    <t xml:space="preserve">Dahi Phulki </t>
  </si>
  <si>
    <t xml:space="preserve">Bhel Puri </t>
  </si>
  <si>
    <t xml:space="preserve">Haldi </t>
  </si>
  <si>
    <t>Tea Patti</t>
  </si>
  <si>
    <t xml:space="preserve">Garam Masala Powder </t>
  </si>
  <si>
    <t>Salt</t>
  </si>
  <si>
    <t xml:space="preserve">Kasuri Methi </t>
  </si>
  <si>
    <t xml:space="preserve">Salan Masala </t>
  </si>
  <si>
    <t xml:space="preserve">Nos </t>
  </si>
  <si>
    <t xml:space="preserve">Chicken Powder </t>
  </si>
  <si>
    <t xml:space="preserve">Red Chilli Crushed </t>
  </si>
  <si>
    <t>Garam Masala Sabit</t>
  </si>
  <si>
    <t xml:space="preserve">Black Pepper Powder </t>
  </si>
  <si>
    <t xml:space="preserve">Chicken   </t>
  </si>
  <si>
    <t xml:space="preserve">Kewra Water </t>
  </si>
  <si>
    <t>Fresh Milk</t>
  </si>
  <si>
    <t>Ltr</t>
  </si>
  <si>
    <t xml:space="preserve">Banana </t>
  </si>
  <si>
    <t>Dozen</t>
  </si>
  <si>
    <t>Malta 1</t>
  </si>
  <si>
    <t>Box</t>
  </si>
  <si>
    <t>Malta 2</t>
  </si>
  <si>
    <t>Amrood</t>
  </si>
  <si>
    <t>Anaar</t>
  </si>
  <si>
    <t>Apple</t>
  </si>
  <si>
    <t>Chat Masala</t>
  </si>
  <si>
    <t>Yogurt</t>
  </si>
  <si>
    <t>Dinner</t>
  </si>
  <si>
    <t xml:space="preserve">Black Pepper </t>
  </si>
  <si>
    <t xml:space="preserve">Podeena </t>
  </si>
  <si>
    <t>Shopping Bags 12 x16</t>
  </si>
  <si>
    <t xml:space="preserve">Onion </t>
  </si>
  <si>
    <t>Tomato</t>
  </si>
  <si>
    <t xml:space="preserve">Potato </t>
  </si>
  <si>
    <t xml:space="preserve">Carrot </t>
  </si>
  <si>
    <t xml:space="preserve">Cucumber </t>
  </si>
  <si>
    <t xml:space="preserve">Garlic Whole </t>
  </si>
  <si>
    <t xml:space="preserve">Chukandar </t>
  </si>
  <si>
    <t>Ginger / Adrak</t>
  </si>
  <si>
    <t xml:space="preserve">Lemon </t>
  </si>
  <si>
    <t>Coriender Green</t>
  </si>
  <si>
    <t xml:space="preserve">Green Chilli </t>
  </si>
  <si>
    <t xml:space="preserve">Turai </t>
  </si>
  <si>
    <t xml:space="preserve">Tea Patti </t>
  </si>
  <si>
    <t xml:space="preserve">Tomato </t>
  </si>
  <si>
    <t xml:space="preserve">Cleaning </t>
  </si>
  <si>
    <t>Surf</t>
  </si>
  <si>
    <t>Coriender Dry Whole</t>
  </si>
  <si>
    <t>Sponge</t>
  </si>
  <si>
    <t xml:space="preserve">Salt </t>
  </si>
  <si>
    <t xml:space="preserve">Loki </t>
  </si>
  <si>
    <t xml:space="preserve">Sugar </t>
  </si>
  <si>
    <t>Green Peas / Matar</t>
  </si>
  <si>
    <t xml:space="preserve">Chicken </t>
  </si>
  <si>
    <t xml:space="preserve">Maida </t>
  </si>
  <si>
    <t>Cooking Ghee</t>
  </si>
  <si>
    <t xml:space="preserve">Zarda Color </t>
  </si>
  <si>
    <t xml:space="preserve">Fresh Milk </t>
  </si>
  <si>
    <t>Carrot</t>
  </si>
  <si>
    <t>Chukandar</t>
  </si>
  <si>
    <t xml:space="preserve">Salad Pata </t>
  </si>
  <si>
    <t>Milk Powder</t>
  </si>
  <si>
    <t xml:space="preserve">Gobhi </t>
  </si>
  <si>
    <t>Beef Mince</t>
  </si>
  <si>
    <t>Karahi Masala</t>
  </si>
  <si>
    <t xml:space="preserve">Coriender Green </t>
  </si>
  <si>
    <t xml:space="preserve">Atta Fine </t>
  </si>
  <si>
    <t xml:space="preserve">Mix Dall </t>
  </si>
  <si>
    <t>Garam Masala Powder</t>
  </si>
  <si>
    <t xml:space="preserve">Band Gobhi </t>
  </si>
  <si>
    <t>Green Chilli</t>
  </si>
  <si>
    <t>Match Box</t>
  </si>
  <si>
    <t>Palak</t>
  </si>
  <si>
    <t>Garlic Whole</t>
  </si>
  <si>
    <t>Brinjal</t>
  </si>
  <si>
    <t xml:space="preserve">Beef </t>
  </si>
  <si>
    <t>Chinese Salt</t>
  </si>
  <si>
    <t xml:space="preserve">Red chilli Powder </t>
  </si>
  <si>
    <t xml:space="preserve">Shimla Mirch </t>
  </si>
  <si>
    <t xml:space="preserve">Apple </t>
  </si>
  <si>
    <t xml:space="preserve">Melon </t>
  </si>
  <si>
    <t xml:space="preserve">Beef Hadi Gudi </t>
  </si>
  <si>
    <t xml:space="preserve">Elaichi </t>
  </si>
  <si>
    <t xml:space="preserve">Washing </t>
  </si>
  <si>
    <t xml:space="preserve">Suji </t>
  </si>
  <si>
    <t xml:space="preserve">Dish Wash </t>
  </si>
  <si>
    <t xml:space="preserve">Almond </t>
  </si>
  <si>
    <t xml:space="preserve">Dry Plum </t>
  </si>
  <si>
    <t>Based on 9 days</t>
  </si>
  <si>
    <t>Material / Item</t>
  </si>
  <si>
    <t>Daily Qty</t>
  </si>
  <si>
    <t>Daily Cost</t>
  </si>
  <si>
    <t>Remarks</t>
  </si>
  <si>
    <t>Flour Mixed</t>
  </si>
  <si>
    <t>Average price</t>
  </si>
  <si>
    <t>Cooking Oil</t>
  </si>
  <si>
    <t>Chicken</t>
  </si>
  <si>
    <t>Masala (all types)</t>
  </si>
  <si>
    <t>Average price green, dry etc.</t>
  </si>
  <si>
    <t>Potato</t>
  </si>
  <si>
    <t>Onion</t>
  </si>
  <si>
    <t>Powder (Pepper, Chilli, Dhanya)</t>
  </si>
  <si>
    <t>Including Chicken Powder)</t>
  </si>
  <si>
    <t>Patti</t>
  </si>
  <si>
    <t>Fresh Cream</t>
  </si>
  <si>
    <t>Banana 1 &amp; 2 average price</t>
  </si>
  <si>
    <t>Malta 1 &amp; 2 average price</t>
  </si>
  <si>
    <t>2 Boxes</t>
  </si>
  <si>
    <t>Box rate required</t>
  </si>
  <si>
    <t>Papri</t>
  </si>
  <si>
    <t>Whole Red Chilli, Dhanya</t>
  </si>
  <si>
    <t>Average Price</t>
  </si>
  <si>
    <t>Zeera</t>
  </si>
  <si>
    <t>Haldi</t>
  </si>
  <si>
    <t>Bhel Puri</t>
  </si>
  <si>
    <t>Dhai Phulki</t>
  </si>
  <si>
    <t>Comelle</t>
  </si>
  <si>
    <t xml:space="preserve">Received Amount </t>
  </si>
  <si>
    <t xml:space="preserve">Mujtaba And Brothers (Canteen Bill) </t>
  </si>
  <si>
    <t>Muhammad Ramzan advance payment 17-Dec-2026</t>
  </si>
  <si>
    <t>Ramzan Waiter advance 17-Jan-2026</t>
  </si>
  <si>
    <t>Asif Samosa Maker 6 Days payment 17-Dec-2026</t>
  </si>
  <si>
    <t>Sadi Bhai for purchase 17-Jan-2026</t>
  </si>
  <si>
    <t>Poran Salary Finel Setelment 17-Dec-2026</t>
  </si>
  <si>
    <t>Poran Salry finel setlemnet 17-Jan-2026</t>
  </si>
  <si>
    <t>Asif Samosa Maker 17-Jan-2026</t>
  </si>
  <si>
    <t xml:space="preserve">Aalo Curry </t>
  </si>
  <si>
    <t xml:space="preserve">Veg Rice with Ch Manchorian </t>
  </si>
  <si>
    <t xml:space="preserve">Veg Rice  </t>
  </si>
  <si>
    <t>Sp- Veg- Pulao</t>
  </si>
  <si>
    <t>Sp- Ch- Curry 1+ Salad 1+ Roti 4</t>
  </si>
  <si>
    <t>225+ 30+60</t>
  </si>
  <si>
    <t xml:space="preserve">Sp-Ch- Curry </t>
  </si>
  <si>
    <t xml:space="preserve">Cold Drink 1.5 Ltr </t>
  </si>
  <si>
    <t xml:space="preserve">Chicken Fry Oil </t>
  </si>
  <si>
    <t xml:space="preserve">Sp- Ch- Curry 2+ Roti 18+ Dahi 0.75+ Veg Rice With Manchorian 4 </t>
  </si>
  <si>
    <t>440+270+300+1400</t>
  </si>
  <si>
    <t xml:space="preserve">Juice Botel </t>
  </si>
  <si>
    <t>Sp- Ch- Curry 1+ Salad 1+ Roti 4+ Veg Rice With Chicken Manchorian 1</t>
  </si>
  <si>
    <t>225+30+60+350</t>
  </si>
  <si>
    <t>Juice Botel</t>
  </si>
  <si>
    <t xml:space="preserve">Aalo Bhuji </t>
  </si>
  <si>
    <t>SUMMARY  OF STEACHING OVERTIME DEPART</t>
  </si>
  <si>
    <t xml:space="preserve">Fabric W. House </t>
  </si>
  <si>
    <t>SUMMARY  OF FBRIC W. HOUSE DEPART</t>
  </si>
  <si>
    <t>Arsalan Sb</t>
  </si>
  <si>
    <t xml:space="preserve">Admin Sig </t>
  </si>
  <si>
    <t xml:space="preserve">Admin sig </t>
  </si>
  <si>
    <t xml:space="preserve">Waseem Sb </t>
  </si>
  <si>
    <t xml:space="preserve">Atar Sb </t>
  </si>
  <si>
    <t xml:space="preserve">Milk Pack </t>
  </si>
  <si>
    <t xml:space="preserve">Aaloo Anda </t>
  </si>
  <si>
    <t>Dall 2+ 0.5Kg Dahi+ Roti 12</t>
  </si>
  <si>
    <t>160+200+180</t>
  </si>
  <si>
    <t>Aalo Anda</t>
  </si>
  <si>
    <t>Working on 18-Jan-26</t>
  </si>
  <si>
    <t>Chai Cup</t>
  </si>
  <si>
    <t xml:space="preserve">Vim Powder </t>
  </si>
  <si>
    <t xml:space="preserve">Soap </t>
  </si>
  <si>
    <t xml:space="preserve">Staff Use </t>
  </si>
  <si>
    <t>For Tomato Purchase 18-Jan-2026</t>
  </si>
  <si>
    <t>Spunge 3 nos 17-Jan-2026</t>
  </si>
  <si>
    <t>Dahi,Tomato, Shoping Bag, Rice 19-Jan-2026</t>
  </si>
  <si>
    <t>Sadi Bhai for Purchase 19-Jan-2026</t>
  </si>
  <si>
    <t xml:space="preserve">Pakora </t>
  </si>
  <si>
    <t xml:space="preserve">Sadi Bhai Purchase Sabzi Fruit </t>
  </si>
  <si>
    <t xml:space="preserve">Daal Chawal </t>
  </si>
  <si>
    <t xml:space="preserve">Sp- Ch- Karahi </t>
  </si>
  <si>
    <t>Dahi</t>
  </si>
  <si>
    <t>Suji Ka Halwa</t>
  </si>
  <si>
    <t xml:space="preserve">Cash Handover to Javed sb for Diposit </t>
  </si>
  <si>
    <t>Cash Handover to Ehtesham sb for Diposit</t>
  </si>
  <si>
    <t xml:space="preserve">Cash Handover to Waqas usmani for Diposit </t>
  </si>
  <si>
    <t xml:space="preserve">Depoist Amount Summary </t>
  </si>
  <si>
    <t xml:space="preserve">Checked By </t>
  </si>
  <si>
    <t xml:space="preserve">Cash Handover to Javed sb for deposit </t>
  </si>
  <si>
    <t xml:space="preserve">Cash Handover to shahid sb for Change </t>
  </si>
  <si>
    <t>Sadi Bhai for Aalo And Tomato Purchase</t>
  </si>
  <si>
    <t>Milk Payment 20-Jan-2026</t>
  </si>
  <si>
    <t xml:space="preserve">Manzoor Cook advance salary </t>
  </si>
  <si>
    <t>Manzoor Cook Advance 20-Jan-2026</t>
  </si>
  <si>
    <t>Shoping Bag 3 Sizes 20-Jan-2026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</si>
</sst>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007BB8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rgb="FF007BB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164" fontId="0" fillId="0" borderId="2" xfId="1" applyNumberFormat="1" applyFont="1" applyBorder="1"/>
    <xf numFmtId="164" fontId="0" fillId="0" borderId="1" xfId="1" applyNumberFormat="1" applyFont="1" applyBorder="1"/>
    <xf numFmtId="0" fontId="0" fillId="0" borderId="10" xfId="0" applyBorder="1"/>
    <xf numFmtId="0" fontId="0" fillId="0" borderId="11" xfId="0" applyBorder="1"/>
    <xf numFmtId="164" fontId="0" fillId="0" borderId="11" xfId="1" applyNumberFormat="1" applyFont="1" applyBorder="1"/>
    <xf numFmtId="164" fontId="0" fillId="0" borderId="9" xfId="1" applyNumberFormat="1" applyFont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6" fillId="0" borderId="0" xfId="0" applyFont="1"/>
    <xf numFmtId="0" fontId="2" fillId="0" borderId="9" xfId="0" applyFont="1" applyBorder="1"/>
    <xf numFmtId="164" fontId="2" fillId="0" borderId="9" xfId="1" applyNumberFormat="1" applyFont="1" applyBorder="1"/>
    <xf numFmtId="0" fontId="0" fillId="0" borderId="1" xfId="0" applyBorder="1" applyAlignment="1"/>
    <xf numFmtId="164" fontId="2" fillId="0" borderId="1" xfId="1" applyNumberFormat="1" applyFont="1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1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horizontal="center"/>
    </xf>
    <xf numFmtId="0" fontId="0" fillId="0" borderId="1" xfId="0" applyFill="1" applyBorder="1"/>
    <xf numFmtId="164" fontId="2" fillId="0" borderId="19" xfId="1" applyNumberFormat="1" applyFont="1" applyBorder="1"/>
    <xf numFmtId="0" fontId="4" fillId="2" borderId="20" xfId="0" applyFont="1" applyFill="1" applyBorder="1"/>
    <xf numFmtId="0" fontId="4" fillId="2" borderId="15" xfId="0" applyFont="1" applyFill="1" applyBorder="1"/>
    <xf numFmtId="0" fontId="4" fillId="2" borderId="21" xfId="0" applyFont="1" applyFill="1" applyBorder="1"/>
    <xf numFmtId="0" fontId="0" fillId="0" borderId="2" xfId="0" applyFill="1" applyBorder="1"/>
    <xf numFmtId="164" fontId="0" fillId="0" borderId="2" xfId="1" applyNumberFormat="1" applyFont="1" applyFill="1" applyBorder="1"/>
    <xf numFmtId="164" fontId="0" fillId="0" borderId="1" xfId="1" applyNumberFormat="1" applyFont="1" applyFill="1" applyBorder="1"/>
    <xf numFmtId="0" fontId="3" fillId="2" borderId="4" xfId="0" applyFont="1" applyFill="1" applyBorder="1" applyAlignment="1">
      <alignment vertical="center"/>
    </xf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4" fillId="2" borderId="1" xfId="0" applyFont="1" applyFill="1" applyBorder="1"/>
    <xf numFmtId="164" fontId="2" fillId="0" borderId="2" xfId="1" applyNumberFormat="1" applyFont="1" applyBorder="1"/>
    <xf numFmtId="0" fontId="0" fillId="0" borderId="0" xfId="0" applyBorder="1"/>
    <xf numFmtId="164" fontId="0" fillId="0" borderId="0" xfId="1" applyNumberFormat="1" applyFont="1" applyBorder="1"/>
    <xf numFmtId="0" fontId="2" fillId="0" borderId="2" xfId="0" applyFont="1" applyBorder="1"/>
    <xf numFmtId="0" fontId="3" fillId="2" borderId="5" xfId="0" applyFont="1" applyFill="1" applyBorder="1" applyAlignment="1">
      <alignment vertical="center"/>
    </xf>
    <xf numFmtId="164" fontId="0" fillId="0" borderId="10" xfId="1" applyNumberFormat="1" applyFont="1" applyBorder="1"/>
    <xf numFmtId="164" fontId="3" fillId="3" borderId="5" xfId="1" applyNumberFormat="1" applyFont="1" applyFill="1" applyBorder="1"/>
    <xf numFmtId="164" fontId="4" fillId="4" borderId="5" xfId="1" applyNumberFormat="1" applyFont="1" applyFill="1" applyBorder="1"/>
    <xf numFmtId="0" fontId="0" fillId="0" borderId="11" xfId="0" applyBorder="1" applyAlignment="1">
      <alignment vertical="center"/>
    </xf>
    <xf numFmtId="164" fontId="0" fillId="0" borderId="11" xfId="1" applyNumberFormat="1" applyFont="1" applyBorder="1" applyAlignment="1">
      <alignment vertical="center"/>
    </xf>
    <xf numFmtId="164" fontId="3" fillId="2" borderId="5" xfId="1" applyNumberFormat="1" applyFont="1" applyFill="1" applyBorder="1"/>
    <xf numFmtId="164" fontId="3" fillId="5" borderId="5" xfId="1" applyNumberFormat="1" applyFont="1" applyFill="1" applyBorder="1"/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 wrapText="1"/>
    </xf>
    <xf numFmtId="164" fontId="3" fillId="6" borderId="23" xfId="1" applyNumberFormat="1" applyFont="1" applyFill="1" applyBorder="1"/>
    <xf numFmtId="0" fontId="2" fillId="0" borderId="1" xfId="0" applyFont="1" applyBorder="1" applyAlignment="1">
      <alignment horizontal="center"/>
    </xf>
    <xf numFmtId="164" fontId="0" fillId="0" borderId="0" xfId="0" applyNumberFormat="1"/>
    <xf numFmtId="164" fontId="0" fillId="0" borderId="19" xfId="1" applyNumberFormat="1" applyFont="1" applyBorder="1"/>
    <xf numFmtId="164" fontId="4" fillId="4" borderId="18" xfId="1" applyNumberFormat="1" applyFont="1" applyFill="1" applyBorder="1"/>
    <xf numFmtId="0" fontId="0" fillId="2" borderId="1" xfId="0" applyFill="1" applyBorder="1"/>
    <xf numFmtId="164" fontId="3" fillId="2" borderId="23" xfId="1" applyNumberFormat="1" applyFont="1" applyFill="1" applyBorder="1"/>
    <xf numFmtId="0" fontId="0" fillId="0" borderId="1" xfId="0" applyFont="1" applyBorder="1"/>
    <xf numFmtId="0" fontId="0" fillId="0" borderId="1" xfId="0" applyFont="1" applyFill="1" applyBorder="1"/>
    <xf numFmtId="0" fontId="0" fillId="0" borderId="6" xfId="0" applyBorder="1"/>
    <xf numFmtId="0" fontId="0" fillId="0" borderId="28" xfId="0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0" fillId="0" borderId="0" xfId="1" applyNumberFormat="1" applyFont="1"/>
    <xf numFmtId="15" fontId="0" fillId="0" borderId="1" xfId="0" applyNumberFormat="1" applyBorder="1"/>
    <xf numFmtId="15" fontId="0" fillId="0" borderId="2" xfId="0" applyNumberFormat="1" applyBorder="1"/>
    <xf numFmtId="164" fontId="3" fillId="2" borderId="1" xfId="1" applyNumberFormat="1" applyFont="1" applyFill="1" applyBorder="1"/>
    <xf numFmtId="0" fontId="0" fillId="0" borderId="0" xfId="0" applyFill="1"/>
    <xf numFmtId="164" fontId="3" fillId="3" borderId="23" xfId="1" applyNumberFormat="1" applyFont="1" applyFill="1" applyBorder="1"/>
    <xf numFmtId="164" fontId="4" fillId="2" borderId="23" xfId="1" applyNumberFormat="1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0" fillId="0" borderId="8" xfId="0" applyBorder="1"/>
    <xf numFmtId="0" fontId="0" fillId="0" borderId="11" xfId="0" applyFill="1" applyBorder="1"/>
    <xf numFmtId="164" fontId="0" fillId="0" borderId="5" xfId="1" applyNumberFormat="1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5" fontId="0" fillId="0" borderId="1" xfId="0" applyNumberFormat="1" applyBorder="1" applyAlignment="1">
      <alignment horizontal="left"/>
    </xf>
    <xf numFmtId="0" fontId="7" fillId="0" borderId="0" xfId="0" applyFont="1"/>
    <xf numFmtId="164" fontId="7" fillId="0" borderId="0" xfId="1" applyNumberFormat="1" applyFont="1"/>
    <xf numFmtId="0" fontId="2" fillId="4" borderId="34" xfId="0" applyFont="1" applyFill="1" applyBorder="1"/>
    <xf numFmtId="0" fontId="2" fillId="4" borderId="9" xfId="0" applyFont="1" applyFill="1" applyBorder="1"/>
    <xf numFmtId="0" fontId="0" fillId="2" borderId="2" xfId="0" applyFill="1" applyBorder="1"/>
    <xf numFmtId="164" fontId="2" fillId="0" borderId="0" xfId="1" applyNumberFormat="1" applyFont="1" applyBorder="1"/>
    <xf numFmtId="0" fontId="4" fillId="2" borderId="35" xfId="0" applyFont="1" applyFill="1" applyBorder="1"/>
    <xf numFmtId="0" fontId="2" fillId="0" borderId="0" xfId="0" applyFont="1" applyBorder="1"/>
    <xf numFmtId="16" fontId="0" fillId="0" borderId="2" xfId="0" applyNumberFormat="1" applyBorder="1"/>
    <xf numFmtId="0" fontId="3" fillId="0" borderId="1" xfId="0" applyFont="1" applyBorder="1"/>
    <xf numFmtId="164" fontId="5" fillId="0" borderId="1" xfId="1" applyNumberFormat="1" applyFont="1" applyBorder="1"/>
    <xf numFmtId="0" fontId="3" fillId="0" borderId="3" xfId="0" applyFont="1" applyFill="1" applyBorder="1"/>
    <xf numFmtId="0" fontId="3" fillId="0" borderId="4" xfId="0" applyFont="1" applyFill="1" applyBorder="1"/>
    <xf numFmtId="0" fontId="3" fillId="0" borderId="5" xfId="0" applyFont="1" applyFill="1" applyBorder="1"/>
    <xf numFmtId="164" fontId="2" fillId="0" borderId="18" xfId="1" applyNumberFormat="1" applyFont="1" applyBorder="1"/>
    <xf numFmtId="0" fontId="0" fillId="0" borderId="1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15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3" fillId="0" borderId="20" xfId="0" applyFont="1" applyFill="1" applyBorder="1"/>
    <xf numFmtId="0" fontId="3" fillId="0" borderId="15" xfId="0" applyFont="1" applyFill="1" applyBorder="1"/>
    <xf numFmtId="0" fontId="3" fillId="0" borderId="21" xfId="0" applyFont="1" applyFill="1" applyBorder="1"/>
    <xf numFmtId="0" fontId="4" fillId="4" borderId="8" xfId="0" applyFont="1" applyFill="1" applyBorder="1" applyAlignment="1"/>
    <xf numFmtId="15" fontId="0" fillId="0" borderId="1" xfId="0" applyNumberFormat="1" applyFont="1" applyBorder="1"/>
    <xf numFmtId="0" fontId="4" fillId="4" borderId="1" xfId="0" applyFont="1" applyFill="1" applyBorder="1" applyAlignment="1"/>
    <xf numFmtId="0" fontId="4" fillId="4" borderId="1" xfId="0" applyFont="1" applyFill="1" applyBorder="1"/>
    <xf numFmtId="0" fontId="3" fillId="0" borderId="11" xfId="0" applyFont="1" applyBorder="1"/>
    <xf numFmtId="164" fontId="5" fillId="0" borderId="2" xfId="1" applyNumberFormat="1" applyFont="1" applyBorder="1" applyAlignment="1">
      <alignment vertical="center" wrapText="1"/>
    </xf>
    <xf numFmtId="15" fontId="0" fillId="0" borderId="11" xfId="0" applyNumberFormat="1" applyBorder="1"/>
    <xf numFmtId="164" fontId="5" fillId="0" borderId="1" xfId="1" applyNumberFormat="1" applyFont="1" applyBorder="1" applyAlignment="1">
      <alignment vertical="center" wrapText="1"/>
    </xf>
    <xf numFmtId="0" fontId="0" fillId="0" borderId="2" xfId="0" applyFont="1" applyFill="1" applyBorder="1"/>
    <xf numFmtId="0" fontId="3" fillId="0" borderId="1" xfId="0" applyFont="1" applyFill="1" applyBorder="1"/>
    <xf numFmtId="164" fontId="4" fillId="4" borderId="1" xfId="1" applyNumberFormat="1" applyFont="1" applyFill="1" applyBorder="1" applyAlignment="1"/>
    <xf numFmtId="0" fontId="5" fillId="0" borderId="0" xfId="0" applyFont="1" applyBorder="1" applyAlignment="1">
      <alignment horizontal="center"/>
    </xf>
    <xf numFmtId="164" fontId="5" fillId="0" borderId="0" xfId="1" applyNumberFormat="1" applyFont="1" applyBorder="1" applyAlignment="1">
      <alignment vertical="center" wrapText="1"/>
    </xf>
    <xf numFmtId="164" fontId="4" fillId="4" borderId="1" xfId="1" applyNumberFormat="1" applyFont="1" applyFill="1" applyBorder="1"/>
    <xf numFmtId="0" fontId="2" fillId="0" borderId="12" xfId="0" applyFont="1" applyBorder="1"/>
    <xf numFmtId="0" fontId="2" fillId="0" borderId="14" xfId="0" applyFont="1" applyBorder="1"/>
    <xf numFmtId="164" fontId="0" fillId="0" borderId="1" xfId="1" applyNumberFormat="1" applyFont="1" applyBorder="1" applyAlignment="1">
      <alignment vertical="center" wrapText="1"/>
    </xf>
    <xf numFmtId="0" fontId="5" fillId="0" borderId="1" xfId="0" applyFont="1" applyBorder="1" applyAlignment="1">
      <alignment horizontal="center"/>
    </xf>
    <xf numFmtId="15" fontId="0" fillId="0" borderId="2" xfId="0" applyNumberFormat="1" applyFill="1" applyBorder="1"/>
    <xf numFmtId="164" fontId="5" fillId="0" borderId="2" xfId="1" applyNumberFormat="1" applyFont="1" applyBorder="1"/>
    <xf numFmtId="0" fontId="2" fillId="0" borderId="16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5" xfId="0" applyFont="1" applyBorder="1"/>
    <xf numFmtId="43" fontId="2" fillId="0" borderId="1" xfId="1" applyFont="1" applyBorder="1"/>
    <xf numFmtId="43" fontId="0" fillId="0" borderId="1" xfId="1" applyNumberFormat="1" applyFont="1" applyBorder="1"/>
    <xf numFmtId="43" fontId="5" fillId="0" borderId="1" xfId="1" applyNumberFormat="1" applyFont="1" applyBorder="1"/>
    <xf numFmtId="0" fontId="3" fillId="2" borderId="1" xfId="0" applyFont="1" applyFill="1" applyBorder="1"/>
    <xf numFmtId="0" fontId="5" fillId="0" borderId="6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3" fontId="0" fillId="0" borderId="1" xfId="0" applyNumberFormat="1" applyBorder="1"/>
    <xf numFmtId="0" fontId="2" fillId="4" borderId="13" xfId="0" applyFont="1" applyFill="1" applyBorder="1"/>
    <xf numFmtId="0" fontId="0" fillId="0" borderId="36" xfId="0" applyBorder="1"/>
    <xf numFmtId="164" fontId="3" fillId="5" borderId="23" xfId="1" applyNumberFormat="1" applyFont="1" applyFill="1" applyBorder="1"/>
    <xf numFmtId="0" fontId="0" fillId="0" borderId="0" xfId="0" applyAlignment="1">
      <alignment horizontal="center"/>
    </xf>
    <xf numFmtId="0" fontId="2" fillId="8" borderId="0" xfId="0" applyFont="1" applyFill="1"/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/>
    <xf numFmtId="164" fontId="1" fillId="0" borderId="1" xfId="1" applyNumberFormat="1" applyFont="1" applyBorder="1"/>
    <xf numFmtId="0" fontId="0" fillId="0" borderId="1" xfId="0" applyFont="1" applyBorder="1" applyAlignment="1">
      <alignment horizontal="center"/>
    </xf>
    <xf numFmtId="43" fontId="0" fillId="0" borderId="1" xfId="1" applyFont="1" applyFill="1" applyBorder="1"/>
    <xf numFmtId="164" fontId="8" fillId="0" borderId="1" xfId="1" applyNumberFormat="1" applyFont="1" applyBorder="1"/>
    <xf numFmtId="164" fontId="7" fillId="0" borderId="1" xfId="1" applyNumberFormat="1" applyFont="1" applyBorder="1"/>
    <xf numFmtId="15" fontId="0" fillId="0" borderId="1" xfId="0" applyNumberFormat="1" applyFont="1" applyBorder="1" applyAlignment="1">
      <alignment horizontal="center"/>
    </xf>
    <xf numFmtId="15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43" fontId="7" fillId="0" borderId="1" xfId="1" applyFont="1" applyBorder="1"/>
    <xf numFmtId="43" fontId="1" fillId="0" borderId="1" xfId="1" applyFont="1" applyBorder="1"/>
    <xf numFmtId="2" fontId="0" fillId="0" borderId="1" xfId="0" applyNumberFormat="1" applyFont="1" applyBorder="1"/>
    <xf numFmtId="0" fontId="9" fillId="0" borderId="0" xfId="0" applyFont="1"/>
    <xf numFmtId="164" fontId="9" fillId="0" borderId="1" xfId="1" applyNumberFormat="1" applyFont="1" applyBorder="1"/>
    <xf numFmtId="43" fontId="10" fillId="0" borderId="1" xfId="1" applyFont="1" applyBorder="1"/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right"/>
    </xf>
    <xf numFmtId="164" fontId="11" fillId="0" borderId="0" xfId="0" applyNumberFormat="1" applyFont="1"/>
    <xf numFmtId="164" fontId="12" fillId="0" borderId="0" xfId="0" applyNumberFormat="1" applyFont="1"/>
    <xf numFmtId="0" fontId="0" fillId="0" borderId="0" xfId="0" applyAlignment="1">
      <alignment horizontal="right"/>
    </xf>
    <xf numFmtId="165" fontId="0" fillId="0" borderId="0" xfId="1" applyNumberFormat="1" applyFont="1"/>
    <xf numFmtId="43" fontId="0" fillId="0" borderId="0" xfId="1" applyFont="1"/>
    <xf numFmtId="0" fontId="7" fillId="0" borderId="0" xfId="0" applyFont="1" applyAlignment="1">
      <alignment horizontal="right"/>
    </xf>
    <xf numFmtId="165" fontId="7" fillId="0" borderId="0" xfId="1" applyNumberFormat="1" applyFont="1"/>
    <xf numFmtId="43" fontId="7" fillId="0" borderId="0" xfId="1" applyFont="1"/>
    <xf numFmtId="165" fontId="7" fillId="0" borderId="0" xfId="0" applyNumberFormat="1" applyFont="1"/>
    <xf numFmtId="0" fontId="13" fillId="0" borderId="0" xfId="0" applyFont="1" applyAlignment="1">
      <alignment horizontal="right"/>
    </xf>
    <xf numFmtId="165" fontId="13" fillId="0" borderId="0" xfId="0" applyNumberFormat="1" applyFont="1"/>
    <xf numFmtId="43" fontId="13" fillId="0" borderId="0" xfId="1" applyFont="1"/>
    <xf numFmtId="164" fontId="13" fillId="0" borderId="0" xfId="1" applyNumberFormat="1" applyFont="1"/>
    <xf numFmtId="165" fontId="0" fillId="0" borderId="0" xfId="0" applyNumberFormat="1"/>
    <xf numFmtId="0" fontId="13" fillId="0" borderId="0" xfId="0" applyFont="1"/>
    <xf numFmtId="0" fontId="13" fillId="2" borderId="0" xfId="0" applyFont="1" applyFill="1" applyAlignment="1">
      <alignment horizontal="right"/>
    </xf>
    <xf numFmtId="0" fontId="13" fillId="2" borderId="0" xfId="0" applyFont="1" applyFill="1"/>
    <xf numFmtId="43" fontId="13" fillId="2" borderId="0" xfId="1" applyFont="1" applyFill="1"/>
    <xf numFmtId="164" fontId="13" fillId="2" borderId="0" xfId="1" applyNumberFormat="1" applyFont="1" applyFill="1"/>
    <xf numFmtId="0" fontId="0" fillId="2" borderId="0" xfId="0" applyFill="1"/>
    <xf numFmtId="165" fontId="13" fillId="0" borderId="0" xfId="1" applyNumberFormat="1" applyFont="1"/>
    <xf numFmtId="164" fontId="5" fillId="4" borderId="23" xfId="0" applyNumberFormat="1" applyFont="1" applyFill="1" applyBorder="1"/>
    <xf numFmtId="0" fontId="5" fillId="0" borderId="1" xfId="0" applyFont="1" applyFill="1" applyBorder="1"/>
    <xf numFmtId="164" fontId="5" fillId="0" borderId="0" xfId="0" applyNumberFormat="1" applyFont="1"/>
    <xf numFmtId="0" fontId="3" fillId="0" borderId="2" xfId="0" applyFont="1" applyBorder="1"/>
    <xf numFmtId="164" fontId="2" fillId="2" borderId="9" xfId="1" applyNumberFormat="1" applyFont="1" applyFill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4" fontId="2" fillId="4" borderId="9" xfId="0" applyNumberFormat="1" applyFont="1" applyFill="1" applyBorder="1"/>
    <xf numFmtId="164" fontId="5" fillId="0" borderId="1" xfId="1" applyNumberFormat="1" applyFont="1" applyBorder="1" applyAlignment="1">
      <alignment vertical="center"/>
    </xf>
    <xf numFmtId="164" fontId="1" fillId="0" borderId="11" xfId="1" applyNumberFormat="1" applyFont="1" applyBorder="1"/>
    <xf numFmtId="0" fontId="0" fillId="0" borderId="11" xfId="0" applyFont="1" applyBorder="1"/>
    <xf numFmtId="15" fontId="0" fillId="0" borderId="11" xfId="0" applyNumberFormat="1" applyFont="1" applyBorder="1"/>
    <xf numFmtId="164" fontId="4" fillId="0" borderId="9" xfId="1" applyNumberFormat="1" applyFont="1" applyBorder="1"/>
    <xf numFmtId="0" fontId="0" fillId="5" borderId="0" xfId="0" applyFill="1"/>
    <xf numFmtId="164" fontId="4" fillId="4" borderId="8" xfId="1" applyNumberFormat="1" applyFont="1" applyFill="1" applyBorder="1" applyAlignment="1"/>
    <xf numFmtId="0" fontId="0" fillId="0" borderId="14" xfId="0" applyBorder="1"/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0" fillId="5" borderId="1" xfId="0" applyFont="1" applyFill="1" applyBorder="1"/>
    <xf numFmtId="164" fontId="0" fillId="5" borderId="1" xfId="1" applyNumberFormat="1" applyFont="1" applyFill="1" applyBorder="1"/>
    <xf numFmtId="0" fontId="0" fillId="5" borderId="1" xfId="0" applyFill="1" applyBorder="1"/>
    <xf numFmtId="15" fontId="0" fillId="0" borderId="2" xfId="0" applyNumberFormat="1" applyBorder="1" applyAlignment="1">
      <alignment horizontal="right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164" fontId="4" fillId="0" borderId="1" xfId="1" applyNumberFormat="1" applyFont="1" applyBorder="1"/>
    <xf numFmtId="0" fontId="0" fillId="0" borderId="0" xfId="0" applyAlignment="1">
      <alignment horizontal="center"/>
    </xf>
    <xf numFmtId="43" fontId="14" fillId="0" borderId="0" xfId="0" applyNumberFormat="1" applyFont="1"/>
    <xf numFmtId="164" fontId="14" fillId="0" borderId="0" xfId="0" applyNumberFormat="1" applyFont="1"/>
    <xf numFmtId="164" fontId="15" fillId="0" borderId="0" xfId="0" applyNumberFormat="1" applyFont="1"/>
    <xf numFmtId="164" fontId="4" fillId="2" borderId="5" xfId="1" applyNumberFormat="1" applyFont="1" applyFill="1" applyBorder="1"/>
    <xf numFmtId="0" fontId="3" fillId="5" borderId="12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22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3" fillId="5" borderId="24" xfId="0" applyFont="1" applyFill="1" applyBorder="1" applyAlignment="1">
      <alignment horizontal="center"/>
    </xf>
    <xf numFmtId="0" fontId="3" fillId="3" borderId="31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/>
    </xf>
    <xf numFmtId="0" fontId="3" fillId="6" borderId="24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18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5" borderId="31" xfId="0" applyFont="1" applyFill="1" applyBorder="1" applyAlignment="1">
      <alignment horizontal="center"/>
    </xf>
    <xf numFmtId="0" fontId="3" fillId="5" borderId="32" xfId="0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11" xfId="1" applyNumberFormat="1" applyFont="1" applyBorder="1" applyAlignment="1">
      <alignment horizontal="center" vertical="center"/>
    </xf>
    <xf numFmtId="164" fontId="0" fillId="0" borderId="10" xfId="1" applyNumberFormat="1" applyFon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0" fillId="0" borderId="15" xfId="1" applyNumberFormat="1" applyFont="1" applyBorder="1" applyAlignment="1">
      <alignment horizontal="center" vertical="center" wrapText="1"/>
    </xf>
    <xf numFmtId="164" fontId="0" fillId="0" borderId="10" xfId="1" applyNumberFormat="1" applyFont="1" applyBorder="1" applyAlignment="1">
      <alignment horizontal="center" vertical="center" wrapText="1"/>
    </xf>
    <xf numFmtId="164" fontId="0" fillId="0" borderId="2" xfId="1" applyNumberFormat="1" applyFont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0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64" fontId="0" fillId="0" borderId="15" xfId="1" applyNumberFormat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4" fontId="0" fillId="0" borderId="11" xfId="1" applyNumberFormat="1" applyFont="1" applyBorder="1" applyAlignment="1">
      <alignment horizontal="left" vertical="center"/>
    </xf>
    <xf numFmtId="164" fontId="0" fillId="0" borderId="10" xfId="1" applyNumberFormat="1" applyFont="1" applyBorder="1" applyAlignment="1">
      <alignment horizontal="left" vertical="center"/>
    </xf>
    <xf numFmtId="164" fontId="0" fillId="0" borderId="2" xfId="1" applyNumberFormat="1" applyFont="1" applyBorder="1" applyAlignment="1">
      <alignment horizontal="left" vertic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1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0">
    <dxf>
      <font>
        <color rgb="FFFF0000"/>
      </font>
    </dxf>
    <dxf>
      <font>
        <color rgb="FFFF0000"/>
      </font>
    </dxf>
    <dxf>
      <font>
        <color rgb="FFFF0000"/>
      </font>
    </dxf>
    <dxf>
      <numFmt numFmtId="164" formatCode="_-* #,##0_-;\-* #,##0_-;_-* &quot;-&quot;??_-;_-@_-"/>
    </dxf>
    <dxf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BB8"/>
        <name val="Calibri"/>
        <scheme val="minor"/>
      </font>
      <numFmt numFmtId="164" formatCode="_-* #,##0_-;\-* #,##0_-;_-* &quot;-&quot;??_-;_-@_-"/>
    </dxf>
    <dxf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\-* #,##0_-;_-* &quot;-&quot;??_-;_-@_-"/>
    </dxf>
    <dxf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</dxf>
    <dxf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id="1" name="Table3" displayName="Table3" ref="A2:I1141" totalsRowCount="1" headerRowDxfId="19">
  <autoFilter ref="A2:I1140"/>
  <tableColumns count="9">
    <tableColumn id="1" name="Date" dataDxfId="18" totalsRowDxfId="17"/>
    <tableColumn id="2" name="Day" dataDxfId="16" totalsRowDxfId="15"/>
    <tableColumn id="15" name="Meal Type" dataDxfId="14"/>
    <tableColumn id="3" name="Material" dataDxfId="13"/>
    <tableColumn id="4" name="Qty" totalsRowFunction="custom" dataDxfId="12" totalsRowDxfId="11" dataCellStyle="Comma">
      <totalsRowFormula>SUBTOTAL(9,E3:E1140)</totalsRowFormula>
    </tableColumn>
    <tableColumn id="5" name="Unit" totalsRowFunction="custom" dataDxfId="10" totalsRowDxfId="9" dataCellStyle="Comma">
      <totalsRowFormula>SUBTOTAL(9,F3:F295)</totalsRowFormula>
    </tableColumn>
    <tableColumn id="6" name="Price" dataDxfId="8" totalsRowDxfId="7" dataCellStyle="Comma"/>
    <tableColumn id="7" name="Amount" totalsRowFunction="custom" dataDxfId="6" totalsRowDxfId="5" dataCellStyle="Comma">
      <calculatedColumnFormula>Table3[[#This Row],[Qty]]*Table3[[#This Row],[Price]]</calculatedColumnFormula>
      <totalsRowFormula>SUBTOTAL(9,H3:H1140)</totalsRowFormula>
    </tableColumn>
    <tableColumn id="16" name="Total Material Cost" dataDxfId="4" totalsRowDxfId="3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824"/>
  <sheetViews>
    <sheetView topLeftCell="A786" zoomScaleNormal="100" workbookViewId="0">
      <selection activeCell="H802" sqref="H802"/>
    </sheetView>
  </sheetViews>
  <sheetFormatPr defaultRowHeight="15" x14ac:dyDescent="0.25"/>
  <cols>
    <col min="1" max="1" width="4.5703125" bestFit="1" customWidth="1"/>
    <col min="2" max="2" width="27.5703125" bestFit="1" customWidth="1"/>
    <col min="3" max="3" width="11.85546875" bestFit="1" customWidth="1"/>
    <col min="4" max="4" width="13.7109375" bestFit="1" customWidth="1"/>
    <col min="5" max="5" width="18.85546875" bestFit="1" customWidth="1"/>
    <col min="6" max="6" width="5.42578125" bestFit="1" customWidth="1"/>
    <col min="7" max="7" width="13.85546875" bestFit="1" customWidth="1"/>
    <col min="8" max="8" width="10" customWidth="1"/>
    <col min="9" max="9" width="9.42578125" bestFit="1" customWidth="1"/>
    <col min="10" max="10" width="27.5703125" bestFit="1" customWidth="1"/>
    <col min="11" max="11" width="11.85546875" bestFit="1" customWidth="1"/>
    <col min="12" max="12" width="16.140625" bestFit="1" customWidth="1"/>
    <col min="13" max="13" width="18.85546875" bestFit="1" customWidth="1"/>
    <col min="14" max="14" width="11.42578125" bestFit="1" customWidth="1"/>
    <col min="15" max="15" width="12.28515625" bestFit="1" customWidth="1"/>
    <col min="16" max="16" width="8.42578125" bestFit="1" customWidth="1"/>
    <col min="17" max="17" width="4.5703125" bestFit="1" customWidth="1"/>
    <col min="18" max="18" width="14.5703125" bestFit="1" customWidth="1"/>
    <col min="19" max="19" width="11.85546875" bestFit="1" customWidth="1"/>
    <col min="20" max="20" width="10.5703125" bestFit="1" customWidth="1"/>
    <col min="21" max="21" width="18.85546875" bestFit="1" customWidth="1"/>
    <col min="22" max="22" width="5.42578125" bestFit="1" customWidth="1"/>
    <col min="23" max="23" width="12.28515625" bestFit="1" customWidth="1"/>
  </cols>
  <sheetData>
    <row r="1" spans="1:15" ht="16.5" thickBot="1" x14ac:dyDescent="0.3">
      <c r="A1" s="33" t="s">
        <v>0</v>
      </c>
      <c r="B1" s="34" t="s">
        <v>1</v>
      </c>
      <c r="C1" s="32" t="s">
        <v>3</v>
      </c>
      <c r="D1" s="32" t="s">
        <v>2</v>
      </c>
      <c r="E1" s="32" t="s">
        <v>6</v>
      </c>
      <c r="F1" s="32" t="s">
        <v>7</v>
      </c>
      <c r="G1" s="41" t="s">
        <v>8</v>
      </c>
      <c r="I1" s="33" t="s">
        <v>0</v>
      </c>
      <c r="J1" s="34" t="s">
        <v>1</v>
      </c>
      <c r="K1" s="34" t="s">
        <v>3</v>
      </c>
      <c r="L1" s="34" t="s">
        <v>2</v>
      </c>
      <c r="M1" s="34" t="s">
        <v>6</v>
      </c>
      <c r="N1" s="34" t="s">
        <v>7</v>
      </c>
      <c r="O1" s="35" t="s">
        <v>8</v>
      </c>
    </row>
    <row r="2" spans="1:15" x14ac:dyDescent="0.25">
      <c r="A2" s="3">
        <v>1</v>
      </c>
      <c r="B2" s="3" t="s">
        <v>4</v>
      </c>
      <c r="C2" s="3" t="s">
        <v>5</v>
      </c>
      <c r="D2" s="3" t="s">
        <v>11</v>
      </c>
      <c r="E2" s="3">
        <f>G2/F2</f>
        <v>194.28571428571428</v>
      </c>
      <c r="F2" s="3">
        <v>35</v>
      </c>
      <c r="G2" s="4">
        <v>6800</v>
      </c>
      <c r="I2" s="3">
        <v>1</v>
      </c>
      <c r="J2" s="3" t="s">
        <v>4</v>
      </c>
      <c r="K2" s="3" t="s">
        <v>52</v>
      </c>
      <c r="L2" s="3" t="s">
        <v>11</v>
      </c>
      <c r="M2" s="30">
        <v>205</v>
      </c>
      <c r="N2" s="3">
        <v>35</v>
      </c>
      <c r="O2" s="4">
        <f>N2*M2</f>
        <v>7175</v>
      </c>
    </row>
    <row r="3" spans="1:15" x14ac:dyDescent="0.25">
      <c r="A3" s="1">
        <v>2</v>
      </c>
      <c r="B3" s="1" t="s">
        <v>9</v>
      </c>
      <c r="C3" s="1" t="s">
        <v>5</v>
      </c>
      <c r="D3" s="1" t="s">
        <v>12</v>
      </c>
      <c r="E3" s="1">
        <v>661</v>
      </c>
      <c r="F3" s="1">
        <v>35</v>
      </c>
      <c r="G3" s="5">
        <f t="shared" ref="G3:G14" si="0">F3*E3</f>
        <v>23135</v>
      </c>
      <c r="I3" s="3">
        <v>2</v>
      </c>
      <c r="J3" s="1" t="s">
        <v>9</v>
      </c>
      <c r="K3" s="3" t="s">
        <v>52</v>
      </c>
      <c r="L3" s="1" t="s">
        <v>12</v>
      </c>
      <c r="M3" s="31">
        <v>700</v>
      </c>
      <c r="N3" s="1">
        <v>35</v>
      </c>
      <c r="O3" s="4">
        <f t="shared" ref="O3:O18" si="1">N3*M3</f>
        <v>24500</v>
      </c>
    </row>
    <row r="4" spans="1:15" x14ac:dyDescent="0.25">
      <c r="A4" s="1">
        <v>3</v>
      </c>
      <c r="B4" s="1" t="s">
        <v>10</v>
      </c>
      <c r="C4" s="1" t="s">
        <v>5</v>
      </c>
      <c r="D4" s="1" t="s">
        <v>12</v>
      </c>
      <c r="E4" s="1">
        <v>79</v>
      </c>
      <c r="F4" s="1">
        <v>80</v>
      </c>
      <c r="G4" s="5">
        <f t="shared" si="0"/>
        <v>6320</v>
      </c>
      <c r="I4" s="3">
        <v>3</v>
      </c>
      <c r="J4" s="1" t="s">
        <v>53</v>
      </c>
      <c r="K4" s="3" t="s">
        <v>52</v>
      </c>
      <c r="L4" s="1" t="s">
        <v>12</v>
      </c>
      <c r="M4" s="31">
        <v>85</v>
      </c>
      <c r="N4" s="1">
        <v>70</v>
      </c>
      <c r="O4" s="4">
        <f t="shared" si="1"/>
        <v>5950</v>
      </c>
    </row>
    <row r="5" spans="1:15" x14ac:dyDescent="0.25">
      <c r="A5" s="1">
        <v>4</v>
      </c>
      <c r="B5" s="1" t="s">
        <v>4</v>
      </c>
      <c r="C5" s="1" t="s">
        <v>5</v>
      </c>
      <c r="D5" s="1" t="s">
        <v>12</v>
      </c>
      <c r="E5" s="1">
        <f>423+14</f>
        <v>437</v>
      </c>
      <c r="F5" s="1">
        <v>35</v>
      </c>
      <c r="G5" s="5">
        <f t="shared" si="0"/>
        <v>15295</v>
      </c>
      <c r="I5" s="3">
        <v>4</v>
      </c>
      <c r="J5" s="1" t="s">
        <v>4</v>
      </c>
      <c r="K5" s="3" t="s">
        <v>52</v>
      </c>
      <c r="L5" s="1" t="s">
        <v>12</v>
      </c>
      <c r="M5" s="31">
        <v>450</v>
      </c>
      <c r="N5" s="1">
        <v>35</v>
      </c>
      <c r="O5" s="4">
        <f t="shared" si="1"/>
        <v>15750</v>
      </c>
    </row>
    <row r="6" spans="1:15" x14ac:dyDescent="0.25">
      <c r="A6" s="1">
        <v>5</v>
      </c>
      <c r="B6" s="1" t="s">
        <v>14</v>
      </c>
      <c r="C6" s="1" t="s">
        <v>5</v>
      </c>
      <c r="D6" s="1" t="s">
        <v>13</v>
      </c>
      <c r="E6" s="1">
        <v>327</v>
      </c>
      <c r="F6" s="1">
        <v>80</v>
      </c>
      <c r="G6" s="5">
        <f t="shared" si="0"/>
        <v>26160</v>
      </c>
      <c r="I6" s="3">
        <v>5</v>
      </c>
      <c r="J6" s="1" t="s">
        <v>18</v>
      </c>
      <c r="K6" s="3" t="s">
        <v>52</v>
      </c>
      <c r="L6" s="1" t="s">
        <v>13</v>
      </c>
      <c r="M6" s="31">
        <v>200</v>
      </c>
      <c r="N6" s="1">
        <v>80</v>
      </c>
      <c r="O6" s="4">
        <f t="shared" si="1"/>
        <v>16000</v>
      </c>
    </row>
    <row r="7" spans="1:15" x14ac:dyDescent="0.25">
      <c r="A7" s="1">
        <v>6</v>
      </c>
      <c r="B7" s="1" t="s">
        <v>21</v>
      </c>
      <c r="C7" s="1" t="s">
        <v>5</v>
      </c>
      <c r="D7" s="1" t="s">
        <v>13</v>
      </c>
      <c r="E7" s="1">
        <v>31</v>
      </c>
      <c r="F7" s="1">
        <v>100</v>
      </c>
      <c r="G7" s="5">
        <f t="shared" si="0"/>
        <v>3100</v>
      </c>
      <c r="I7" s="3">
        <v>6</v>
      </c>
      <c r="J7" s="1" t="s">
        <v>55</v>
      </c>
      <c r="K7" s="3" t="s">
        <v>52</v>
      </c>
      <c r="L7" s="1" t="s">
        <v>13</v>
      </c>
      <c r="M7" s="31">
        <v>25</v>
      </c>
      <c r="N7" s="1">
        <v>200</v>
      </c>
      <c r="O7" s="4">
        <f>N7*M7</f>
        <v>5000</v>
      </c>
    </row>
    <row r="8" spans="1:15" x14ac:dyDescent="0.25">
      <c r="A8" s="1">
        <v>7</v>
      </c>
      <c r="B8" s="1" t="s">
        <v>22</v>
      </c>
      <c r="C8" s="1" t="s">
        <v>5</v>
      </c>
      <c r="D8" s="1" t="s">
        <v>13</v>
      </c>
      <c r="E8" s="1">
        <v>6</v>
      </c>
      <c r="F8" s="1">
        <v>200</v>
      </c>
      <c r="G8" s="5">
        <f t="shared" si="0"/>
        <v>1200</v>
      </c>
      <c r="I8" s="3">
        <v>7</v>
      </c>
      <c r="J8" s="16" t="s">
        <v>54</v>
      </c>
      <c r="K8" s="3" t="s">
        <v>52</v>
      </c>
      <c r="L8" s="1" t="s">
        <v>13</v>
      </c>
      <c r="M8" s="31">
        <v>250</v>
      </c>
      <c r="N8" s="1">
        <v>110</v>
      </c>
      <c r="O8" s="4">
        <f t="shared" si="1"/>
        <v>27500</v>
      </c>
    </row>
    <row r="9" spans="1:15" x14ac:dyDescent="0.25">
      <c r="A9" s="1">
        <v>8</v>
      </c>
      <c r="B9" s="1" t="s">
        <v>15</v>
      </c>
      <c r="C9" s="1" t="s">
        <v>5</v>
      </c>
      <c r="D9" s="1" t="s">
        <v>13</v>
      </c>
      <c r="E9" s="1">
        <v>1504</v>
      </c>
      <c r="F9" s="1">
        <v>15</v>
      </c>
      <c r="G9" s="5">
        <f t="shared" si="0"/>
        <v>22560</v>
      </c>
      <c r="I9" s="3">
        <v>8</v>
      </c>
      <c r="J9" s="1" t="s">
        <v>15</v>
      </c>
      <c r="K9" s="3" t="s">
        <v>52</v>
      </c>
      <c r="L9" s="1" t="s">
        <v>13</v>
      </c>
      <c r="M9" s="31">
        <v>2000</v>
      </c>
      <c r="N9" s="1">
        <v>15</v>
      </c>
      <c r="O9" s="4">
        <f t="shared" si="1"/>
        <v>30000</v>
      </c>
    </row>
    <row r="10" spans="1:15" x14ac:dyDescent="0.25">
      <c r="A10" s="1">
        <v>9</v>
      </c>
      <c r="B10" s="1" t="s">
        <v>16</v>
      </c>
      <c r="C10" s="1" t="s">
        <v>5</v>
      </c>
      <c r="D10" s="1" t="s">
        <v>13</v>
      </c>
      <c r="E10" s="1">
        <v>128</v>
      </c>
      <c r="F10" s="1">
        <v>35</v>
      </c>
      <c r="G10" s="5">
        <f t="shared" si="0"/>
        <v>4480</v>
      </c>
      <c r="I10" s="3">
        <v>9</v>
      </c>
      <c r="J10" s="1" t="s">
        <v>16</v>
      </c>
      <c r="K10" s="3" t="s">
        <v>52</v>
      </c>
      <c r="L10" s="1" t="s">
        <v>13</v>
      </c>
      <c r="M10" s="31">
        <v>200</v>
      </c>
      <c r="N10" s="1">
        <v>35</v>
      </c>
      <c r="O10" s="4">
        <f t="shared" si="1"/>
        <v>7000</v>
      </c>
    </row>
    <row r="11" spans="1:15" x14ac:dyDescent="0.25">
      <c r="A11" s="1">
        <v>10</v>
      </c>
      <c r="B11" s="1" t="s">
        <v>16</v>
      </c>
      <c r="C11" s="1" t="s">
        <v>5</v>
      </c>
      <c r="D11" s="1" t="s">
        <v>17</v>
      </c>
      <c r="E11" s="1">
        <v>399</v>
      </c>
      <c r="F11" s="1">
        <v>35</v>
      </c>
      <c r="G11" s="5">
        <f t="shared" si="0"/>
        <v>13965</v>
      </c>
      <c r="I11" s="3">
        <v>10</v>
      </c>
      <c r="J11" s="1" t="s">
        <v>16</v>
      </c>
      <c r="K11" s="3" t="s">
        <v>52</v>
      </c>
      <c r="L11" s="1" t="s">
        <v>17</v>
      </c>
      <c r="M11" s="31">
        <v>504</v>
      </c>
      <c r="N11" s="1">
        <v>35</v>
      </c>
      <c r="O11" s="4">
        <f t="shared" si="1"/>
        <v>17640</v>
      </c>
    </row>
    <row r="12" spans="1:15" x14ac:dyDescent="0.25">
      <c r="A12" s="1">
        <v>11</v>
      </c>
      <c r="B12" s="1" t="s">
        <v>18</v>
      </c>
      <c r="C12" s="1" t="s">
        <v>5</v>
      </c>
      <c r="D12" s="1" t="s">
        <v>20</v>
      </c>
      <c r="E12" s="1">
        <v>95</v>
      </c>
      <c r="F12" s="1">
        <v>80</v>
      </c>
      <c r="G12" s="5">
        <f t="shared" si="0"/>
        <v>7600</v>
      </c>
      <c r="I12" s="3">
        <v>11</v>
      </c>
      <c r="J12" s="1" t="s">
        <v>18</v>
      </c>
      <c r="K12" s="3" t="s">
        <v>52</v>
      </c>
      <c r="L12" s="1" t="s">
        <v>20</v>
      </c>
      <c r="M12" s="5">
        <v>100</v>
      </c>
      <c r="N12" s="1">
        <v>80</v>
      </c>
      <c r="O12" s="4">
        <f t="shared" si="1"/>
        <v>8000</v>
      </c>
    </row>
    <row r="13" spans="1:15" x14ac:dyDescent="0.25">
      <c r="A13" s="1">
        <v>12</v>
      </c>
      <c r="B13" s="1" t="s">
        <v>19</v>
      </c>
      <c r="C13" s="1" t="s">
        <v>5</v>
      </c>
      <c r="D13" s="1" t="s">
        <v>20</v>
      </c>
      <c r="E13" s="1">
        <v>651</v>
      </c>
      <c r="F13" s="1">
        <v>15</v>
      </c>
      <c r="G13" s="5">
        <f t="shared" si="0"/>
        <v>9765</v>
      </c>
      <c r="I13" s="3">
        <v>12</v>
      </c>
      <c r="J13" s="1" t="s">
        <v>19</v>
      </c>
      <c r="K13" s="3" t="s">
        <v>52</v>
      </c>
      <c r="L13" s="1" t="s">
        <v>20</v>
      </c>
      <c r="M13" s="5">
        <v>800</v>
      </c>
      <c r="N13" s="1">
        <v>15</v>
      </c>
      <c r="O13" s="4">
        <f t="shared" si="1"/>
        <v>12000</v>
      </c>
    </row>
    <row r="14" spans="1:15" ht="15.75" thickBot="1" x14ac:dyDescent="0.3">
      <c r="A14" s="7">
        <v>13</v>
      </c>
      <c r="B14" s="7" t="s">
        <v>16</v>
      </c>
      <c r="C14" s="7" t="s">
        <v>5</v>
      </c>
      <c r="D14" s="7" t="s">
        <v>20</v>
      </c>
      <c r="E14" s="7">
        <v>33.428571419999997</v>
      </c>
      <c r="F14" s="7">
        <v>35</v>
      </c>
      <c r="G14" s="8">
        <f t="shared" si="0"/>
        <v>1169.9999997</v>
      </c>
      <c r="I14" s="6">
        <v>13</v>
      </c>
      <c r="J14" s="7" t="s">
        <v>16</v>
      </c>
      <c r="K14" s="6" t="s">
        <v>52</v>
      </c>
      <c r="L14" s="7" t="s">
        <v>20</v>
      </c>
      <c r="M14" s="8">
        <v>150</v>
      </c>
      <c r="N14" s="7">
        <v>35</v>
      </c>
      <c r="O14" s="42">
        <f t="shared" si="1"/>
        <v>5250</v>
      </c>
    </row>
    <row r="15" spans="1:15" ht="16.5" thickBot="1" x14ac:dyDescent="0.3">
      <c r="A15" s="245" t="s">
        <v>232</v>
      </c>
      <c r="B15" s="246"/>
      <c r="C15" s="246"/>
      <c r="D15" s="246"/>
      <c r="E15" s="246"/>
      <c r="F15" s="254"/>
      <c r="G15" s="47">
        <f>280+150</f>
        <v>430</v>
      </c>
      <c r="I15" s="245" t="s">
        <v>232</v>
      </c>
      <c r="J15" s="246"/>
      <c r="K15" s="246"/>
      <c r="L15" s="246"/>
      <c r="M15" s="246"/>
      <c r="N15" s="254"/>
      <c r="O15" s="47">
        <f>70+120+80+180</f>
        <v>450</v>
      </c>
    </row>
    <row r="16" spans="1:15" ht="19.5" thickBot="1" x14ac:dyDescent="0.35">
      <c r="A16" s="260" t="s">
        <v>103</v>
      </c>
      <c r="B16" s="261"/>
      <c r="C16" s="261"/>
      <c r="D16" s="261"/>
      <c r="E16" s="261"/>
      <c r="F16" s="261"/>
      <c r="G16" s="55">
        <f>SUM(G2:G14)-G15</f>
        <v>141119.9999997</v>
      </c>
      <c r="I16" s="236" t="s">
        <v>161</v>
      </c>
      <c r="J16" s="237"/>
      <c r="K16" s="237"/>
      <c r="L16" s="237"/>
      <c r="M16" s="237"/>
      <c r="N16" s="238"/>
      <c r="O16" s="51">
        <f>SUM(O2:O14)-O15</f>
        <v>181315</v>
      </c>
    </row>
    <row r="17" spans="1:15" ht="15.75" thickBot="1" x14ac:dyDescent="0.3">
      <c r="A17" s="38"/>
      <c r="B17" s="38"/>
      <c r="C17" s="38"/>
      <c r="D17" s="38"/>
      <c r="E17" s="38"/>
      <c r="F17" s="38"/>
      <c r="G17" s="39"/>
      <c r="I17" s="3">
        <v>1</v>
      </c>
      <c r="J17" s="3" t="s">
        <v>102</v>
      </c>
      <c r="K17" s="3" t="s">
        <v>52</v>
      </c>
      <c r="L17" s="3" t="s">
        <v>104</v>
      </c>
      <c r="M17" s="4">
        <v>130</v>
      </c>
      <c r="N17" s="3">
        <v>120</v>
      </c>
      <c r="O17" s="4">
        <f t="shared" si="1"/>
        <v>15600</v>
      </c>
    </row>
    <row r="18" spans="1:15" ht="16.5" thickBot="1" x14ac:dyDescent="0.3">
      <c r="A18" s="245" t="s">
        <v>95</v>
      </c>
      <c r="B18" s="246"/>
      <c r="C18" s="246"/>
      <c r="D18" s="246"/>
      <c r="E18" s="246"/>
      <c r="F18" s="246"/>
      <c r="G18" s="247"/>
      <c r="I18" s="7">
        <v>2</v>
      </c>
      <c r="J18" s="7" t="s">
        <v>94</v>
      </c>
      <c r="K18" s="6" t="s">
        <v>52</v>
      </c>
      <c r="L18" s="7" t="s">
        <v>104</v>
      </c>
      <c r="M18" s="8">
        <v>110</v>
      </c>
      <c r="N18" s="7">
        <v>150</v>
      </c>
      <c r="O18" s="42">
        <f t="shared" si="1"/>
        <v>16500</v>
      </c>
    </row>
    <row r="19" spans="1:15" ht="16.5" thickBot="1" x14ac:dyDescent="0.3">
      <c r="A19" s="40" t="s">
        <v>0</v>
      </c>
      <c r="B19" s="40" t="s">
        <v>56</v>
      </c>
      <c r="C19" s="40" t="s">
        <v>3</v>
      </c>
      <c r="D19" s="40" t="s">
        <v>2</v>
      </c>
      <c r="E19" s="40" t="s">
        <v>60</v>
      </c>
      <c r="F19" s="40"/>
      <c r="G19" s="37" t="s">
        <v>57</v>
      </c>
      <c r="I19" s="252" t="s">
        <v>162</v>
      </c>
      <c r="J19" s="253"/>
      <c r="K19" s="253"/>
      <c r="L19" s="253"/>
      <c r="M19" s="253"/>
      <c r="N19" s="253"/>
      <c r="O19" s="43">
        <f>SUM(O17:O18)</f>
        <v>32100</v>
      </c>
    </row>
    <row r="20" spans="1:15" ht="30.75" thickBot="1" x14ac:dyDescent="0.35">
      <c r="A20" s="18">
        <v>1</v>
      </c>
      <c r="B20" s="18" t="s">
        <v>58</v>
      </c>
      <c r="C20" s="19" t="s">
        <v>5</v>
      </c>
      <c r="D20" s="20" t="s">
        <v>59</v>
      </c>
      <c r="E20" s="18">
        <v>5480</v>
      </c>
      <c r="F20" s="18"/>
      <c r="G20" s="21">
        <f t="shared" ref="G20:G26" si="2">E20</f>
        <v>5480</v>
      </c>
      <c r="I20" s="250" t="s">
        <v>103</v>
      </c>
      <c r="J20" s="251"/>
      <c r="K20" s="251"/>
      <c r="L20" s="251"/>
      <c r="M20" s="251"/>
      <c r="N20" s="251"/>
      <c r="O20" s="44">
        <f>O16+O19</f>
        <v>213415</v>
      </c>
    </row>
    <row r="21" spans="1:15" ht="16.5" thickBot="1" x14ac:dyDescent="0.3">
      <c r="A21" s="18">
        <v>2</v>
      </c>
      <c r="B21" s="18" t="s">
        <v>137</v>
      </c>
      <c r="C21" s="19" t="s">
        <v>5</v>
      </c>
      <c r="D21" s="20" t="s">
        <v>96</v>
      </c>
      <c r="E21" s="18">
        <v>345</v>
      </c>
      <c r="F21" s="18"/>
      <c r="G21" s="21">
        <f t="shared" si="2"/>
        <v>345</v>
      </c>
      <c r="I21" s="245" t="s">
        <v>95</v>
      </c>
      <c r="J21" s="246"/>
      <c r="K21" s="246"/>
      <c r="L21" s="246"/>
      <c r="M21" s="246"/>
      <c r="N21" s="246"/>
      <c r="O21" s="247"/>
    </row>
    <row r="22" spans="1:15" x14ac:dyDescent="0.25">
      <c r="A22" s="18">
        <v>3</v>
      </c>
      <c r="B22" s="18" t="s">
        <v>30</v>
      </c>
      <c r="C22" s="19" t="s">
        <v>5</v>
      </c>
      <c r="D22" s="20" t="s">
        <v>13</v>
      </c>
      <c r="E22" s="18">
        <v>1125</v>
      </c>
      <c r="F22" s="18"/>
      <c r="G22" s="21">
        <f t="shared" si="2"/>
        <v>1125</v>
      </c>
      <c r="I22" s="40" t="s">
        <v>0</v>
      </c>
      <c r="J22" s="40" t="s">
        <v>56</v>
      </c>
      <c r="K22" s="40" t="s">
        <v>3</v>
      </c>
      <c r="L22" s="40" t="s">
        <v>2</v>
      </c>
      <c r="M22" s="40" t="s">
        <v>60</v>
      </c>
      <c r="N22" s="40"/>
      <c r="O22" s="37" t="s">
        <v>57</v>
      </c>
    </row>
    <row r="23" spans="1:15" ht="45" customHeight="1" x14ac:dyDescent="0.25">
      <c r="A23" s="18">
        <v>4</v>
      </c>
      <c r="B23" s="18" t="s">
        <v>61</v>
      </c>
      <c r="C23" s="19" t="s">
        <v>5</v>
      </c>
      <c r="D23" s="20" t="s">
        <v>99</v>
      </c>
      <c r="E23" s="18">
        <v>885</v>
      </c>
      <c r="F23" s="18"/>
      <c r="G23" s="21">
        <f t="shared" si="2"/>
        <v>885</v>
      </c>
      <c r="H23" s="22"/>
      <c r="I23" s="18">
        <v>1</v>
      </c>
      <c r="J23" s="18" t="s">
        <v>137</v>
      </c>
      <c r="K23" s="18" t="s">
        <v>52</v>
      </c>
      <c r="L23" s="18" t="s">
        <v>13</v>
      </c>
      <c r="M23" s="18">
        <v>335</v>
      </c>
      <c r="N23" s="18"/>
      <c r="O23" s="21">
        <f>M23</f>
        <v>335</v>
      </c>
    </row>
    <row r="24" spans="1:15" ht="30" x14ac:dyDescent="0.25">
      <c r="A24" s="18">
        <v>5</v>
      </c>
      <c r="B24" s="18" t="s">
        <v>48</v>
      </c>
      <c r="C24" s="19" t="s">
        <v>5</v>
      </c>
      <c r="D24" s="20" t="s">
        <v>99</v>
      </c>
      <c r="E24" s="18">
        <v>2090</v>
      </c>
      <c r="F24" s="18"/>
      <c r="G24" s="21">
        <f t="shared" si="2"/>
        <v>2090</v>
      </c>
      <c r="I24" s="1">
        <v>2</v>
      </c>
      <c r="J24" s="18" t="s">
        <v>30</v>
      </c>
      <c r="K24" s="18" t="s">
        <v>52</v>
      </c>
      <c r="L24" s="20" t="s">
        <v>97</v>
      </c>
      <c r="M24" s="18">
        <v>1520</v>
      </c>
      <c r="N24" s="18"/>
      <c r="O24" s="21">
        <f t="shared" ref="O24:O26" si="3">M24</f>
        <v>1520</v>
      </c>
    </row>
    <row r="25" spans="1:15" x14ac:dyDescent="0.25">
      <c r="A25" s="18">
        <v>6</v>
      </c>
      <c r="B25" s="18" t="s">
        <v>51</v>
      </c>
      <c r="C25" s="19" t="s">
        <v>5</v>
      </c>
      <c r="D25" s="20" t="s">
        <v>99</v>
      </c>
      <c r="E25" s="18">
        <v>405</v>
      </c>
      <c r="F25" s="18"/>
      <c r="G25" s="21">
        <f t="shared" si="2"/>
        <v>405</v>
      </c>
      <c r="I25" s="1">
        <v>3</v>
      </c>
      <c r="J25" s="18" t="s">
        <v>98</v>
      </c>
      <c r="K25" s="18" t="s">
        <v>52</v>
      </c>
      <c r="L25" s="18" t="s">
        <v>13</v>
      </c>
      <c r="M25" s="18">
        <v>1905</v>
      </c>
      <c r="N25" s="18"/>
      <c r="O25" s="21">
        <f t="shared" si="3"/>
        <v>1905</v>
      </c>
    </row>
    <row r="26" spans="1:15" ht="15.75" thickBot="1" x14ac:dyDescent="0.3">
      <c r="A26" s="45">
        <v>7</v>
      </c>
      <c r="B26" s="45" t="s">
        <v>98</v>
      </c>
      <c r="C26" s="49" t="s">
        <v>5</v>
      </c>
      <c r="D26" s="50" t="s">
        <v>100</v>
      </c>
      <c r="E26" s="45">
        <v>2090</v>
      </c>
      <c r="F26" s="45"/>
      <c r="G26" s="46">
        <f t="shared" si="2"/>
        <v>2090</v>
      </c>
      <c r="I26" s="1">
        <v>4</v>
      </c>
      <c r="J26" s="18" t="s">
        <v>85</v>
      </c>
      <c r="K26" s="18" t="s">
        <v>52</v>
      </c>
      <c r="L26" s="18" t="s">
        <v>13</v>
      </c>
      <c r="M26" s="18">
        <v>1190</v>
      </c>
      <c r="N26" s="18"/>
      <c r="O26" s="21">
        <f t="shared" si="3"/>
        <v>1190</v>
      </c>
    </row>
    <row r="27" spans="1:15" ht="16.5" thickBot="1" x14ac:dyDescent="0.3">
      <c r="A27" s="258" t="s">
        <v>25</v>
      </c>
      <c r="B27" s="259"/>
      <c r="C27" s="259"/>
      <c r="D27" s="259"/>
      <c r="E27" s="259"/>
      <c r="F27" s="259"/>
      <c r="G27" s="47">
        <f>SUM(G20:G26)</f>
        <v>12420</v>
      </c>
      <c r="I27" s="245" t="s">
        <v>25</v>
      </c>
      <c r="J27" s="246"/>
      <c r="K27" s="246"/>
      <c r="L27" s="246"/>
      <c r="M27" s="246"/>
      <c r="N27" s="254"/>
      <c r="O27" s="47">
        <f>SUM(O23:O26)</f>
        <v>4950</v>
      </c>
    </row>
    <row r="28" spans="1:15" ht="16.5" thickBot="1" x14ac:dyDescent="0.3">
      <c r="A28" s="217" t="s">
        <v>101</v>
      </c>
      <c r="B28" s="218"/>
      <c r="C28" s="218"/>
      <c r="D28" s="218"/>
      <c r="E28" s="218"/>
      <c r="F28" s="219"/>
      <c r="G28" s="48">
        <f>G16+G27</f>
        <v>153539.9999997</v>
      </c>
      <c r="I28" s="217" t="s">
        <v>101</v>
      </c>
      <c r="J28" s="218"/>
      <c r="K28" s="218"/>
      <c r="L28" s="218"/>
      <c r="M28" s="218"/>
      <c r="N28" s="219"/>
      <c r="O28" s="48">
        <f>O20+O27</f>
        <v>218365</v>
      </c>
    </row>
    <row r="29" spans="1:15" ht="15.75" thickBot="1" x14ac:dyDescent="0.3"/>
    <row r="30" spans="1:15" ht="16.5" thickBot="1" x14ac:dyDescent="0.3">
      <c r="I30" s="33" t="s">
        <v>0</v>
      </c>
      <c r="J30" s="34" t="s">
        <v>1</v>
      </c>
      <c r="K30" s="34" t="s">
        <v>3</v>
      </c>
      <c r="L30" s="34" t="s">
        <v>2</v>
      </c>
      <c r="M30" s="34" t="s">
        <v>6</v>
      </c>
      <c r="N30" s="34" t="s">
        <v>7</v>
      </c>
      <c r="O30" s="35" t="s">
        <v>8</v>
      </c>
    </row>
    <row r="31" spans="1:15" x14ac:dyDescent="0.25">
      <c r="I31" s="3">
        <v>1</v>
      </c>
      <c r="J31" s="3" t="s">
        <v>4</v>
      </c>
      <c r="K31" s="3" t="s">
        <v>119</v>
      </c>
      <c r="L31" s="3" t="s">
        <v>11</v>
      </c>
      <c r="M31" s="30">
        <v>189.42857000000001</v>
      </c>
      <c r="N31" s="3">
        <v>35</v>
      </c>
      <c r="O31" s="4">
        <f>N31*M31</f>
        <v>6629.9999500000004</v>
      </c>
    </row>
    <row r="32" spans="1:15" ht="15.75" thickBot="1" x14ac:dyDescent="0.3">
      <c r="I32" s="3">
        <v>2</v>
      </c>
      <c r="J32" s="1" t="s">
        <v>9</v>
      </c>
      <c r="K32" s="3" t="s">
        <v>119</v>
      </c>
      <c r="L32" s="1" t="s">
        <v>12</v>
      </c>
      <c r="M32" s="31">
        <v>496</v>
      </c>
      <c r="N32" s="1">
        <v>35</v>
      </c>
      <c r="O32" s="4">
        <f t="shared" ref="O32:O34" si="4">N32*M32</f>
        <v>17360</v>
      </c>
    </row>
    <row r="33" spans="1:15" ht="16.5" thickBot="1" x14ac:dyDescent="0.3">
      <c r="A33" s="33" t="s">
        <v>0</v>
      </c>
      <c r="B33" s="34" t="s">
        <v>1</v>
      </c>
      <c r="C33" s="34" t="s">
        <v>3</v>
      </c>
      <c r="D33" s="34" t="s">
        <v>2</v>
      </c>
      <c r="E33" s="34" t="s">
        <v>6</v>
      </c>
      <c r="F33" s="34" t="s">
        <v>7</v>
      </c>
      <c r="G33" s="35" t="s">
        <v>8</v>
      </c>
      <c r="I33" s="3">
        <v>3</v>
      </c>
      <c r="J33" s="1" t="s">
        <v>180</v>
      </c>
      <c r="K33" s="3" t="s">
        <v>119</v>
      </c>
      <c r="L33" s="1" t="s">
        <v>12</v>
      </c>
      <c r="M33" s="31">
        <v>7</v>
      </c>
      <c r="N33" s="1">
        <v>80</v>
      </c>
      <c r="O33" s="4">
        <f t="shared" si="4"/>
        <v>560</v>
      </c>
    </row>
    <row r="34" spans="1:15" x14ac:dyDescent="0.25">
      <c r="A34" s="3">
        <v>1</v>
      </c>
      <c r="B34" s="3" t="s">
        <v>4</v>
      </c>
      <c r="C34" s="3" t="s">
        <v>108</v>
      </c>
      <c r="D34" s="3" t="s">
        <v>11</v>
      </c>
      <c r="E34" s="30">
        <v>182.57</v>
      </c>
      <c r="F34" s="3">
        <v>35</v>
      </c>
      <c r="G34" s="4">
        <f>F34*E34</f>
        <v>6389.95</v>
      </c>
      <c r="I34" s="3">
        <v>4</v>
      </c>
      <c r="J34" s="1" t="s">
        <v>4</v>
      </c>
      <c r="K34" s="3" t="s">
        <v>119</v>
      </c>
      <c r="L34" s="1" t="s">
        <v>12</v>
      </c>
      <c r="M34" s="31">
        <v>385</v>
      </c>
      <c r="N34" s="1">
        <v>35</v>
      </c>
      <c r="O34" s="4">
        <f t="shared" si="4"/>
        <v>13475</v>
      </c>
    </row>
    <row r="35" spans="1:15" x14ac:dyDescent="0.25">
      <c r="A35" s="3">
        <v>2</v>
      </c>
      <c r="B35" s="1" t="s">
        <v>9</v>
      </c>
      <c r="C35" s="3" t="s">
        <v>108</v>
      </c>
      <c r="D35" s="1" t="s">
        <v>12</v>
      </c>
      <c r="E35" s="31">
        <v>412</v>
      </c>
      <c r="F35" s="1">
        <v>35</v>
      </c>
      <c r="G35" s="4">
        <f t="shared" ref="G35:G38" si="5">F35*E35</f>
        <v>14420</v>
      </c>
      <c r="I35" s="3">
        <v>5</v>
      </c>
      <c r="J35" s="16" t="s">
        <v>47</v>
      </c>
      <c r="K35" s="3" t="s">
        <v>119</v>
      </c>
      <c r="L35" s="1" t="s">
        <v>13</v>
      </c>
      <c r="M35" s="31">
        <v>40</v>
      </c>
      <c r="N35" s="1">
        <v>80</v>
      </c>
      <c r="O35" s="4">
        <f t="shared" ref="O35:O43" si="6">N35*M35</f>
        <v>3200</v>
      </c>
    </row>
    <row r="36" spans="1:15" x14ac:dyDescent="0.25">
      <c r="A36" s="3">
        <v>3</v>
      </c>
      <c r="B36" s="1" t="s">
        <v>163</v>
      </c>
      <c r="C36" s="3" t="s">
        <v>108</v>
      </c>
      <c r="D36" s="1" t="s">
        <v>12</v>
      </c>
      <c r="E36" s="31">
        <v>48</v>
      </c>
      <c r="F36" s="1">
        <v>70</v>
      </c>
      <c r="G36" s="4">
        <f t="shared" si="5"/>
        <v>3360</v>
      </c>
      <c r="I36" s="3">
        <v>6</v>
      </c>
      <c r="J36" s="1" t="s">
        <v>16</v>
      </c>
      <c r="K36" s="3" t="s">
        <v>119</v>
      </c>
      <c r="L36" s="1" t="s">
        <v>13</v>
      </c>
      <c r="M36" s="31">
        <v>99.428569999999993</v>
      </c>
      <c r="N36" s="1">
        <v>35</v>
      </c>
      <c r="O36" s="4">
        <f t="shared" si="6"/>
        <v>3479.9999499999999</v>
      </c>
    </row>
    <row r="37" spans="1:15" x14ac:dyDescent="0.25">
      <c r="A37" s="3">
        <v>4</v>
      </c>
      <c r="B37" s="1" t="s">
        <v>4</v>
      </c>
      <c r="C37" s="3" t="s">
        <v>108</v>
      </c>
      <c r="D37" s="1" t="s">
        <v>12</v>
      </c>
      <c r="E37" s="31">
        <v>469</v>
      </c>
      <c r="F37" s="1">
        <v>35</v>
      </c>
      <c r="G37" s="4">
        <f t="shared" si="5"/>
        <v>16415</v>
      </c>
      <c r="I37" s="3">
        <v>7</v>
      </c>
      <c r="J37" s="1" t="s">
        <v>141</v>
      </c>
      <c r="K37" s="3" t="s">
        <v>119</v>
      </c>
      <c r="L37" s="1" t="s">
        <v>13</v>
      </c>
      <c r="M37" s="31">
        <v>590</v>
      </c>
      <c r="N37" s="1">
        <v>180</v>
      </c>
      <c r="O37" s="4">
        <f t="shared" si="6"/>
        <v>106200</v>
      </c>
    </row>
    <row r="38" spans="1:15" x14ac:dyDescent="0.25">
      <c r="A38" s="3">
        <v>5</v>
      </c>
      <c r="B38" s="1" t="s">
        <v>164</v>
      </c>
      <c r="C38" s="3" t="s">
        <v>108</v>
      </c>
      <c r="D38" s="1" t="s">
        <v>13</v>
      </c>
      <c r="E38" s="31">
        <v>91</v>
      </c>
      <c r="F38" s="1">
        <v>120</v>
      </c>
      <c r="G38" s="4">
        <f t="shared" si="5"/>
        <v>10920</v>
      </c>
      <c r="I38" s="3">
        <v>8</v>
      </c>
      <c r="J38" s="1" t="s">
        <v>19</v>
      </c>
      <c r="K38" s="3" t="s">
        <v>119</v>
      </c>
      <c r="L38" s="1" t="s">
        <v>13</v>
      </c>
      <c r="M38" s="31">
        <v>580</v>
      </c>
      <c r="N38" s="1">
        <v>15</v>
      </c>
      <c r="O38" s="4">
        <f t="shared" si="6"/>
        <v>8700</v>
      </c>
    </row>
    <row r="39" spans="1:15" x14ac:dyDescent="0.25">
      <c r="A39" s="3">
        <v>6</v>
      </c>
      <c r="B39" s="1" t="s">
        <v>163</v>
      </c>
      <c r="C39" s="3" t="s">
        <v>108</v>
      </c>
      <c r="D39" s="1" t="s">
        <v>13</v>
      </c>
      <c r="E39" s="31">
        <v>38</v>
      </c>
      <c r="F39" s="1">
        <v>70</v>
      </c>
      <c r="G39" s="4">
        <f>F39*E39</f>
        <v>2660</v>
      </c>
      <c r="I39" s="3">
        <v>9</v>
      </c>
      <c r="J39" s="1" t="s">
        <v>16</v>
      </c>
      <c r="K39" s="3" t="s">
        <v>119</v>
      </c>
      <c r="L39" s="1" t="s">
        <v>17</v>
      </c>
      <c r="M39" s="5">
        <v>343.71428571000001</v>
      </c>
      <c r="N39" s="1">
        <v>35</v>
      </c>
      <c r="O39" s="4">
        <f t="shared" si="6"/>
        <v>12029.999999850001</v>
      </c>
    </row>
    <row r="40" spans="1:15" x14ac:dyDescent="0.25">
      <c r="A40" s="3">
        <v>7</v>
      </c>
      <c r="B40" s="16" t="s">
        <v>47</v>
      </c>
      <c r="C40" s="3" t="s">
        <v>108</v>
      </c>
      <c r="D40" s="1" t="s">
        <v>13</v>
      </c>
      <c r="E40" s="31">
        <v>158</v>
      </c>
      <c r="F40" s="1">
        <v>80</v>
      </c>
      <c r="G40" s="4">
        <f t="shared" ref="G40:G50" si="7">F40*E40</f>
        <v>12640</v>
      </c>
      <c r="I40" s="3">
        <v>10</v>
      </c>
      <c r="J40" s="1" t="s">
        <v>47</v>
      </c>
      <c r="K40" s="3" t="s">
        <v>119</v>
      </c>
      <c r="L40" s="1" t="s">
        <v>20</v>
      </c>
      <c r="M40" s="5">
        <v>39</v>
      </c>
      <c r="N40" s="1">
        <v>80</v>
      </c>
      <c r="O40" s="4">
        <f t="shared" si="6"/>
        <v>3120</v>
      </c>
    </row>
    <row r="41" spans="1:15" x14ac:dyDescent="0.25">
      <c r="A41" s="3">
        <v>8</v>
      </c>
      <c r="B41" s="1" t="s">
        <v>16</v>
      </c>
      <c r="C41" s="3" t="s">
        <v>108</v>
      </c>
      <c r="D41" s="1" t="s">
        <v>13</v>
      </c>
      <c r="E41" s="31">
        <v>136</v>
      </c>
      <c r="F41" s="1">
        <v>35</v>
      </c>
      <c r="G41" s="4">
        <f t="shared" si="7"/>
        <v>4760</v>
      </c>
      <c r="I41" s="3">
        <v>11</v>
      </c>
      <c r="J41" s="1" t="s">
        <v>164</v>
      </c>
      <c r="K41" s="3" t="s">
        <v>119</v>
      </c>
      <c r="L41" s="1" t="s">
        <v>20</v>
      </c>
      <c r="M41" s="5">
        <v>66</v>
      </c>
      <c r="N41" s="1">
        <v>120</v>
      </c>
      <c r="O41" s="4">
        <f t="shared" si="6"/>
        <v>7920</v>
      </c>
    </row>
    <row r="42" spans="1:15" x14ac:dyDescent="0.25">
      <c r="A42" s="3">
        <v>9</v>
      </c>
      <c r="B42" s="1" t="s">
        <v>141</v>
      </c>
      <c r="C42" s="3" t="s">
        <v>108</v>
      </c>
      <c r="D42" s="1" t="s">
        <v>13</v>
      </c>
      <c r="E42" s="31">
        <v>15</v>
      </c>
      <c r="F42" s="1">
        <v>180</v>
      </c>
      <c r="G42" s="4">
        <f t="shared" si="7"/>
        <v>2700</v>
      </c>
      <c r="I42" s="3">
        <v>12</v>
      </c>
      <c r="J42" s="1" t="s">
        <v>19</v>
      </c>
      <c r="K42" s="3" t="s">
        <v>119</v>
      </c>
      <c r="L42" s="1" t="s">
        <v>20</v>
      </c>
      <c r="M42" s="5">
        <v>289</v>
      </c>
      <c r="N42" s="1">
        <v>15</v>
      </c>
      <c r="O42" s="4">
        <f t="shared" si="6"/>
        <v>4335</v>
      </c>
    </row>
    <row r="43" spans="1:15" ht="15.75" thickBot="1" x14ac:dyDescent="0.3">
      <c r="A43" s="3">
        <v>10</v>
      </c>
      <c r="B43" s="1" t="s">
        <v>19</v>
      </c>
      <c r="C43" s="3" t="s">
        <v>108</v>
      </c>
      <c r="D43" s="1" t="s">
        <v>13</v>
      </c>
      <c r="E43" s="31">
        <v>1455</v>
      </c>
      <c r="F43" s="1">
        <v>15</v>
      </c>
      <c r="G43" s="4">
        <f t="shared" si="7"/>
        <v>21825</v>
      </c>
      <c r="I43" s="6">
        <v>13</v>
      </c>
      <c r="J43" s="7" t="s">
        <v>16</v>
      </c>
      <c r="K43" s="6" t="s">
        <v>119</v>
      </c>
      <c r="L43" s="7" t="s">
        <v>20</v>
      </c>
      <c r="M43" s="8">
        <v>40</v>
      </c>
      <c r="N43" s="7">
        <v>35</v>
      </c>
      <c r="O43" s="8">
        <f t="shared" si="6"/>
        <v>1400</v>
      </c>
    </row>
    <row r="44" spans="1:15" ht="16.5" thickBot="1" x14ac:dyDescent="0.3">
      <c r="A44" s="3">
        <v>11</v>
      </c>
      <c r="B44" s="1" t="s">
        <v>127</v>
      </c>
      <c r="C44" s="3" t="s">
        <v>108</v>
      </c>
      <c r="D44" s="1" t="s">
        <v>13</v>
      </c>
      <c r="E44" s="5">
        <v>17</v>
      </c>
      <c r="F44" s="1">
        <v>200</v>
      </c>
      <c r="G44" s="4">
        <f t="shared" si="7"/>
        <v>3400</v>
      </c>
      <c r="I44" s="245" t="s">
        <v>232</v>
      </c>
      <c r="J44" s="246"/>
      <c r="K44" s="246"/>
      <c r="L44" s="246"/>
      <c r="M44" s="246"/>
      <c r="N44" s="254"/>
      <c r="O44" s="47">
        <f>140+280+280</f>
        <v>700</v>
      </c>
    </row>
    <row r="45" spans="1:15" ht="16.5" thickBot="1" x14ac:dyDescent="0.3">
      <c r="A45" s="3">
        <v>12</v>
      </c>
      <c r="B45" s="1" t="s">
        <v>16</v>
      </c>
      <c r="C45" s="3" t="s">
        <v>108</v>
      </c>
      <c r="D45" s="1" t="s">
        <v>17</v>
      </c>
      <c r="E45" s="5">
        <v>268.28500000000003</v>
      </c>
      <c r="F45" s="1">
        <v>35</v>
      </c>
      <c r="G45" s="4">
        <f t="shared" si="7"/>
        <v>9389.9750000000004</v>
      </c>
      <c r="I45" s="236" t="s">
        <v>161</v>
      </c>
      <c r="J45" s="237"/>
      <c r="K45" s="237"/>
      <c r="L45" s="237"/>
      <c r="M45" s="237"/>
      <c r="N45" s="238"/>
      <c r="O45" s="51">
        <f>SUM(O31:O43)-O44</f>
        <v>187709.99989984999</v>
      </c>
    </row>
    <row r="46" spans="1:15" ht="16.5" thickBot="1" x14ac:dyDescent="0.3">
      <c r="A46" s="3">
        <v>13</v>
      </c>
      <c r="B46" s="1" t="s">
        <v>166</v>
      </c>
      <c r="C46" s="3" t="s">
        <v>108</v>
      </c>
      <c r="D46" s="1" t="s">
        <v>20</v>
      </c>
      <c r="E46" s="5">
        <v>104</v>
      </c>
      <c r="F46" s="1">
        <v>80</v>
      </c>
      <c r="G46" s="4">
        <f t="shared" si="7"/>
        <v>8320</v>
      </c>
      <c r="I46" s="255" t="s">
        <v>170</v>
      </c>
      <c r="J46" s="256"/>
      <c r="K46" s="256"/>
      <c r="L46" s="256"/>
      <c r="M46" s="256"/>
      <c r="N46" s="256"/>
      <c r="O46" s="257"/>
    </row>
    <row r="47" spans="1:15" x14ac:dyDescent="0.25">
      <c r="A47" s="3">
        <v>14</v>
      </c>
      <c r="B47" s="1" t="s">
        <v>22</v>
      </c>
      <c r="C47" s="3" t="s">
        <v>108</v>
      </c>
      <c r="D47" s="1" t="s">
        <v>20</v>
      </c>
      <c r="E47" s="5">
        <v>2</v>
      </c>
      <c r="F47" s="1">
        <v>200</v>
      </c>
      <c r="G47" s="4">
        <f t="shared" si="7"/>
        <v>400</v>
      </c>
      <c r="I47" s="3">
        <v>1</v>
      </c>
      <c r="J47" s="3" t="s">
        <v>110</v>
      </c>
      <c r="K47" s="3" t="s">
        <v>119</v>
      </c>
      <c r="L47" s="3" t="s">
        <v>104</v>
      </c>
      <c r="M47" s="4">
        <v>27</v>
      </c>
      <c r="N47" s="3">
        <v>120</v>
      </c>
      <c r="O47" s="4">
        <f t="shared" ref="O47" si="8">N47*M47</f>
        <v>3240</v>
      </c>
    </row>
    <row r="48" spans="1:15" x14ac:dyDescent="0.25">
      <c r="A48" s="3">
        <v>15</v>
      </c>
      <c r="B48" s="1" t="s">
        <v>19</v>
      </c>
      <c r="C48" s="3" t="s">
        <v>108</v>
      </c>
      <c r="D48" s="1" t="s">
        <v>20</v>
      </c>
      <c r="E48" s="5">
        <v>556</v>
      </c>
      <c r="F48" s="1">
        <v>15</v>
      </c>
      <c r="G48" s="4">
        <f t="shared" si="7"/>
        <v>8340</v>
      </c>
      <c r="I48" s="3">
        <v>2</v>
      </c>
      <c r="J48" s="3" t="s">
        <v>165</v>
      </c>
      <c r="K48" s="3" t="s">
        <v>119</v>
      </c>
      <c r="L48" s="3" t="s">
        <v>104</v>
      </c>
      <c r="M48" s="4">
        <v>1</v>
      </c>
      <c r="N48" s="3">
        <v>100</v>
      </c>
      <c r="O48" s="4">
        <f>N48*M48</f>
        <v>100</v>
      </c>
    </row>
    <row r="49" spans="1:18" x14ac:dyDescent="0.25">
      <c r="A49" s="3">
        <v>16</v>
      </c>
      <c r="B49" s="1" t="s">
        <v>16</v>
      </c>
      <c r="C49" s="1" t="s">
        <v>108</v>
      </c>
      <c r="D49" s="1" t="s">
        <v>20</v>
      </c>
      <c r="E49" s="5">
        <v>58</v>
      </c>
      <c r="F49" s="1">
        <v>35</v>
      </c>
      <c r="G49" s="5">
        <f t="shared" si="7"/>
        <v>2030</v>
      </c>
      <c r="I49" s="3">
        <v>3</v>
      </c>
      <c r="J49" s="1" t="s">
        <v>94</v>
      </c>
      <c r="K49" s="3" t="s">
        <v>119</v>
      </c>
      <c r="L49" s="1" t="s">
        <v>104</v>
      </c>
      <c r="M49" s="5">
        <v>25</v>
      </c>
      <c r="N49" s="1">
        <v>150</v>
      </c>
      <c r="O49" s="5">
        <f>N49*M49</f>
        <v>3750</v>
      </c>
    </row>
    <row r="50" spans="1:18" ht="15.75" thickBot="1" x14ac:dyDescent="0.3">
      <c r="A50" s="6">
        <v>17</v>
      </c>
      <c r="B50" s="7" t="s">
        <v>21</v>
      </c>
      <c r="C50" s="7" t="s">
        <v>108</v>
      </c>
      <c r="D50" s="7" t="s">
        <v>20</v>
      </c>
      <c r="E50" s="8">
        <v>38</v>
      </c>
      <c r="F50" s="7">
        <v>100</v>
      </c>
      <c r="G50" s="8">
        <f t="shared" si="7"/>
        <v>3800</v>
      </c>
      <c r="I50" s="3">
        <v>4</v>
      </c>
      <c r="J50" s="1" t="s">
        <v>102</v>
      </c>
      <c r="K50" s="3" t="s">
        <v>119</v>
      </c>
      <c r="L50" s="1" t="s">
        <v>104</v>
      </c>
      <c r="M50" s="5">
        <v>40</v>
      </c>
      <c r="N50" s="1">
        <v>120</v>
      </c>
      <c r="O50" s="5">
        <f>N50*M50</f>
        <v>4800</v>
      </c>
    </row>
    <row r="51" spans="1:18" ht="16.5" thickBot="1" x14ac:dyDescent="0.3">
      <c r="A51" s="245" t="s">
        <v>232</v>
      </c>
      <c r="B51" s="246"/>
      <c r="C51" s="246"/>
      <c r="D51" s="246"/>
      <c r="E51" s="246"/>
      <c r="F51" s="254"/>
      <c r="G51" s="47">
        <f>350+200</f>
        <v>550</v>
      </c>
      <c r="I51" s="252" t="s">
        <v>162</v>
      </c>
      <c r="J51" s="253"/>
      <c r="K51" s="253"/>
      <c r="L51" s="253"/>
      <c r="M51" s="253"/>
      <c r="N51" s="253"/>
      <c r="O51" s="43">
        <f>SUM(O47:O50)</f>
        <v>11890</v>
      </c>
    </row>
    <row r="52" spans="1:18" ht="19.5" thickBot="1" x14ac:dyDescent="0.35">
      <c r="A52" s="236" t="s">
        <v>161</v>
      </c>
      <c r="B52" s="237"/>
      <c r="C52" s="237"/>
      <c r="D52" s="237"/>
      <c r="E52" s="237"/>
      <c r="F52" s="238"/>
      <c r="G52" s="51">
        <f>SUM(G34:G50)-G51</f>
        <v>131219.92499999999</v>
      </c>
      <c r="I52" s="250" t="s">
        <v>103</v>
      </c>
      <c r="J52" s="251"/>
      <c r="K52" s="251"/>
      <c r="L52" s="251"/>
      <c r="M52" s="251"/>
      <c r="N52" s="251"/>
      <c r="O52" s="44">
        <f>O45+O51</f>
        <v>199599.99989984999</v>
      </c>
    </row>
    <row r="53" spans="1:18" ht="16.5" thickBot="1" x14ac:dyDescent="0.3">
      <c r="A53" s="255" t="s">
        <v>170</v>
      </c>
      <c r="B53" s="256"/>
      <c r="C53" s="256"/>
      <c r="D53" s="256"/>
      <c r="E53" s="256"/>
      <c r="F53" s="256"/>
      <c r="G53" s="257"/>
      <c r="I53" s="245" t="s">
        <v>95</v>
      </c>
      <c r="J53" s="246"/>
      <c r="K53" s="246"/>
      <c r="L53" s="246"/>
      <c r="M53" s="246"/>
      <c r="N53" s="246"/>
      <c r="O53" s="247"/>
    </row>
    <row r="54" spans="1:18" x14ac:dyDescent="0.25">
      <c r="A54" s="3">
        <v>1</v>
      </c>
      <c r="B54" s="3" t="s">
        <v>110</v>
      </c>
      <c r="C54" s="3" t="s">
        <v>108</v>
      </c>
      <c r="D54" s="3" t="s">
        <v>104</v>
      </c>
      <c r="E54" s="4">
        <v>58</v>
      </c>
      <c r="F54" s="3">
        <v>120</v>
      </c>
      <c r="G54" s="4">
        <f t="shared" ref="G54" si="9">F54*E54</f>
        <v>6960</v>
      </c>
      <c r="I54" s="40" t="s">
        <v>0</v>
      </c>
      <c r="J54" s="40" t="s">
        <v>56</v>
      </c>
      <c r="K54" s="40" t="s">
        <v>3</v>
      </c>
      <c r="L54" s="40" t="s">
        <v>2</v>
      </c>
      <c r="M54" s="40" t="s">
        <v>60</v>
      </c>
      <c r="N54" s="40"/>
      <c r="O54" s="37" t="s">
        <v>57</v>
      </c>
    </row>
    <row r="55" spans="1:18" x14ac:dyDescent="0.25">
      <c r="A55" s="3">
        <v>2</v>
      </c>
      <c r="B55" s="3" t="s">
        <v>165</v>
      </c>
      <c r="C55" s="3" t="s">
        <v>108</v>
      </c>
      <c r="D55" s="3" t="s">
        <v>104</v>
      </c>
      <c r="E55" s="4">
        <v>1</v>
      </c>
      <c r="F55" s="3">
        <v>350</v>
      </c>
      <c r="G55" s="4">
        <f>F55*E55</f>
        <v>350</v>
      </c>
      <c r="I55" s="18">
        <v>1</v>
      </c>
      <c r="J55" s="18" t="s">
        <v>137</v>
      </c>
      <c r="K55" s="18" t="s">
        <v>119</v>
      </c>
      <c r="L55" s="18" t="s">
        <v>167</v>
      </c>
      <c r="M55" s="18">
        <v>5735</v>
      </c>
      <c r="N55" s="18"/>
      <c r="O55" s="21">
        <f>M55</f>
        <v>5735</v>
      </c>
    </row>
    <row r="56" spans="1:18" ht="30" x14ac:dyDescent="0.25">
      <c r="A56" s="3">
        <v>3</v>
      </c>
      <c r="B56" s="1" t="s">
        <v>94</v>
      </c>
      <c r="C56" s="3" t="s">
        <v>108</v>
      </c>
      <c r="D56" s="1" t="s">
        <v>104</v>
      </c>
      <c r="E56" s="5">
        <v>34</v>
      </c>
      <c r="F56" s="1">
        <v>150</v>
      </c>
      <c r="G56" s="5">
        <f>F56*E56</f>
        <v>5100</v>
      </c>
      <c r="I56" s="18">
        <v>2</v>
      </c>
      <c r="J56" s="18" t="s">
        <v>58</v>
      </c>
      <c r="K56" s="18" t="s">
        <v>119</v>
      </c>
      <c r="L56" s="20" t="s">
        <v>59</v>
      </c>
      <c r="M56" s="18">
        <v>2420</v>
      </c>
      <c r="N56" s="18"/>
      <c r="O56" s="21">
        <f t="shared" ref="O56:O58" si="10">M56</f>
        <v>2420</v>
      </c>
    </row>
    <row r="57" spans="1:18" ht="15.75" thickBot="1" x14ac:dyDescent="0.3">
      <c r="A57" s="3">
        <v>4</v>
      </c>
      <c r="B57" s="1" t="s">
        <v>102</v>
      </c>
      <c r="C57" s="3" t="s">
        <v>108</v>
      </c>
      <c r="D57" s="1" t="s">
        <v>104</v>
      </c>
      <c r="E57" s="5">
        <v>79</v>
      </c>
      <c r="F57" s="1">
        <v>120</v>
      </c>
      <c r="G57" s="5">
        <f>F57*E57</f>
        <v>9480</v>
      </c>
      <c r="I57" s="18">
        <v>3</v>
      </c>
      <c r="J57" s="18" t="s">
        <v>30</v>
      </c>
      <c r="K57" s="18" t="s">
        <v>119</v>
      </c>
      <c r="L57" s="20" t="s">
        <v>97</v>
      </c>
      <c r="M57" s="18">
        <v>245</v>
      </c>
      <c r="N57" s="18"/>
      <c r="O57" s="21">
        <f t="shared" si="10"/>
        <v>245</v>
      </c>
    </row>
    <row r="58" spans="1:18" ht="16.5" thickBot="1" x14ac:dyDescent="0.3">
      <c r="A58" s="252" t="s">
        <v>162</v>
      </c>
      <c r="B58" s="253"/>
      <c r="C58" s="253"/>
      <c r="D58" s="253"/>
      <c r="E58" s="253"/>
      <c r="F58" s="253"/>
      <c r="G58" s="43">
        <f>SUM(G54:G57)</f>
        <v>21890</v>
      </c>
      <c r="I58" s="18">
        <v>5</v>
      </c>
      <c r="J58" s="18" t="s">
        <v>168</v>
      </c>
      <c r="K58" s="18" t="s">
        <v>119</v>
      </c>
      <c r="L58" s="18" t="s">
        <v>13</v>
      </c>
      <c r="M58" s="18">
        <v>1920</v>
      </c>
      <c r="N58" s="18"/>
      <c r="O58" s="21">
        <f t="shared" si="10"/>
        <v>1920</v>
      </c>
    </row>
    <row r="59" spans="1:18" ht="19.5" thickBot="1" x14ac:dyDescent="0.35">
      <c r="A59" s="250" t="s">
        <v>103</v>
      </c>
      <c r="B59" s="251"/>
      <c r="C59" s="251"/>
      <c r="D59" s="251"/>
      <c r="E59" s="251"/>
      <c r="F59" s="251"/>
      <c r="G59" s="44">
        <f>G52+G58</f>
        <v>153109.92499999999</v>
      </c>
      <c r="I59" s="245" t="s">
        <v>25</v>
      </c>
      <c r="J59" s="246"/>
      <c r="K59" s="246"/>
      <c r="L59" s="246"/>
      <c r="M59" s="246"/>
      <c r="N59" s="254"/>
      <c r="O59" s="47">
        <f>SUM(O55:O58)</f>
        <v>10320</v>
      </c>
    </row>
    <row r="60" spans="1:18" ht="16.5" thickBot="1" x14ac:dyDescent="0.3">
      <c r="A60" s="245" t="s">
        <v>95</v>
      </c>
      <c r="B60" s="246"/>
      <c r="C60" s="246"/>
      <c r="D60" s="246"/>
      <c r="E60" s="246"/>
      <c r="F60" s="246"/>
      <c r="G60" s="247"/>
      <c r="I60" s="217" t="s">
        <v>101</v>
      </c>
      <c r="J60" s="218"/>
      <c r="K60" s="218"/>
      <c r="L60" s="218"/>
      <c r="M60" s="218"/>
      <c r="N60" s="219"/>
      <c r="O60" s="48">
        <f>O45+O51+O59</f>
        <v>209919.99989984999</v>
      </c>
    </row>
    <row r="61" spans="1:18" ht="15.75" thickBot="1" x14ac:dyDescent="0.3">
      <c r="A61" s="40" t="s">
        <v>0</v>
      </c>
      <c r="B61" s="40" t="s">
        <v>56</v>
      </c>
      <c r="C61" s="40" t="s">
        <v>3</v>
      </c>
      <c r="D61" s="40" t="s">
        <v>2</v>
      </c>
      <c r="E61" s="40" t="s">
        <v>60</v>
      </c>
      <c r="F61" s="40"/>
      <c r="G61" s="37" t="s">
        <v>57</v>
      </c>
      <c r="R61" s="53"/>
    </row>
    <row r="62" spans="1:18" ht="16.5" thickBot="1" x14ac:dyDescent="0.3">
      <c r="A62" s="18">
        <v>1</v>
      </c>
      <c r="B62" s="18" t="s">
        <v>137</v>
      </c>
      <c r="C62" s="18" t="s">
        <v>108</v>
      </c>
      <c r="D62" s="18" t="s">
        <v>167</v>
      </c>
      <c r="E62" s="18">
        <v>2480</v>
      </c>
      <c r="F62" s="18"/>
      <c r="G62" s="21">
        <f>E62</f>
        <v>2480</v>
      </c>
      <c r="I62" s="33" t="s">
        <v>0</v>
      </c>
      <c r="J62" s="34" t="s">
        <v>1</v>
      </c>
      <c r="K62" s="34" t="s">
        <v>3</v>
      </c>
      <c r="L62" s="34" t="s">
        <v>2</v>
      </c>
      <c r="M62" s="34" t="s">
        <v>6</v>
      </c>
      <c r="N62" s="34" t="s">
        <v>7</v>
      </c>
      <c r="O62" s="35" t="s">
        <v>8</v>
      </c>
      <c r="R62" s="53"/>
    </row>
    <row r="63" spans="1:18" ht="30" x14ac:dyDescent="0.25">
      <c r="A63" s="18">
        <v>2</v>
      </c>
      <c r="B63" s="18" t="s">
        <v>58</v>
      </c>
      <c r="C63" s="18" t="s">
        <v>108</v>
      </c>
      <c r="D63" s="20" t="s">
        <v>59</v>
      </c>
      <c r="E63" s="18">
        <v>9075</v>
      </c>
      <c r="F63" s="18"/>
      <c r="G63" s="21">
        <f t="shared" ref="G63:G66" si="11">E63</f>
        <v>9075</v>
      </c>
      <c r="I63" s="3">
        <v>1</v>
      </c>
      <c r="J63" s="3" t="s">
        <v>4</v>
      </c>
      <c r="K63" s="3" t="s">
        <v>216</v>
      </c>
      <c r="L63" s="3" t="s">
        <v>11</v>
      </c>
      <c r="M63" s="30">
        <v>150</v>
      </c>
      <c r="N63" s="3">
        <v>35</v>
      </c>
      <c r="O63" s="4">
        <f>N63*M63</f>
        <v>5250</v>
      </c>
      <c r="R63" s="53"/>
    </row>
    <row r="64" spans="1:18" ht="30" x14ac:dyDescent="0.25">
      <c r="A64" s="18">
        <v>3</v>
      </c>
      <c r="B64" s="18" t="s">
        <v>30</v>
      </c>
      <c r="C64" s="18" t="s">
        <v>108</v>
      </c>
      <c r="D64" s="20" t="s">
        <v>97</v>
      </c>
      <c r="E64" s="18">
        <v>1660</v>
      </c>
      <c r="F64" s="18"/>
      <c r="G64" s="21">
        <f t="shared" si="11"/>
        <v>1660</v>
      </c>
      <c r="I64" s="3">
        <v>2</v>
      </c>
      <c r="J64" s="1" t="s">
        <v>9</v>
      </c>
      <c r="K64" s="3" t="s">
        <v>216</v>
      </c>
      <c r="L64" s="1" t="s">
        <v>12</v>
      </c>
      <c r="M64" s="31">
        <v>379</v>
      </c>
      <c r="N64" s="1">
        <v>35</v>
      </c>
      <c r="O64" s="4">
        <f t="shared" ref="O64:O76" si="12">N64*M64</f>
        <v>13265</v>
      </c>
    </row>
    <row r="65" spans="1:15" x14ac:dyDescent="0.25">
      <c r="A65" s="18">
        <v>4</v>
      </c>
      <c r="B65" s="18" t="s">
        <v>169</v>
      </c>
      <c r="C65" s="18" t="s">
        <v>108</v>
      </c>
      <c r="D65" s="18" t="s">
        <v>93</v>
      </c>
      <c r="E65" s="18">
        <v>250</v>
      </c>
      <c r="F65" s="18"/>
      <c r="G65" s="21">
        <f t="shared" si="11"/>
        <v>250</v>
      </c>
      <c r="I65" s="3">
        <v>3</v>
      </c>
      <c r="J65" s="1" t="s">
        <v>217</v>
      </c>
      <c r="K65" s="3" t="s">
        <v>216</v>
      </c>
      <c r="L65" s="1" t="s">
        <v>12</v>
      </c>
      <c r="M65" s="31">
        <v>35</v>
      </c>
      <c r="N65" s="1">
        <v>80</v>
      </c>
      <c r="O65" s="4">
        <f t="shared" si="12"/>
        <v>2800</v>
      </c>
    </row>
    <row r="66" spans="1:15" ht="15.75" thickBot="1" x14ac:dyDescent="0.3">
      <c r="A66" s="18">
        <v>5</v>
      </c>
      <c r="B66" s="18" t="s">
        <v>168</v>
      </c>
      <c r="C66" s="18" t="s">
        <v>108</v>
      </c>
      <c r="D66" s="18" t="s">
        <v>13</v>
      </c>
      <c r="E66" s="18">
        <v>1190</v>
      </c>
      <c r="F66" s="18"/>
      <c r="G66" s="21">
        <f t="shared" si="11"/>
        <v>1190</v>
      </c>
      <c r="I66" s="3">
        <v>4</v>
      </c>
      <c r="J66" s="1" t="s">
        <v>4</v>
      </c>
      <c r="K66" s="3" t="s">
        <v>216</v>
      </c>
      <c r="L66" s="1" t="s">
        <v>12</v>
      </c>
      <c r="M66" s="31">
        <v>315.42856999999998</v>
      </c>
      <c r="N66" s="1">
        <v>35</v>
      </c>
      <c r="O66" s="4">
        <f t="shared" si="12"/>
        <v>11039.999949999999</v>
      </c>
    </row>
    <row r="67" spans="1:15" ht="16.5" thickBot="1" x14ac:dyDescent="0.3">
      <c r="A67" s="245" t="s">
        <v>25</v>
      </c>
      <c r="B67" s="246"/>
      <c r="C67" s="246"/>
      <c r="D67" s="246"/>
      <c r="E67" s="246"/>
      <c r="F67" s="254"/>
      <c r="G67" s="47">
        <f>SUM(G62:G66)</f>
        <v>14655</v>
      </c>
      <c r="I67" s="3">
        <v>5</v>
      </c>
      <c r="J67" s="16" t="s">
        <v>47</v>
      </c>
      <c r="K67" s="3" t="s">
        <v>216</v>
      </c>
      <c r="L67" s="1" t="s">
        <v>13</v>
      </c>
      <c r="M67" s="31">
        <v>139</v>
      </c>
      <c r="N67" s="1">
        <v>80</v>
      </c>
      <c r="O67" s="4">
        <f t="shared" si="12"/>
        <v>11120</v>
      </c>
    </row>
    <row r="68" spans="1:15" ht="16.5" thickBot="1" x14ac:dyDescent="0.3">
      <c r="A68" s="217" t="s">
        <v>101</v>
      </c>
      <c r="B68" s="218"/>
      <c r="C68" s="218"/>
      <c r="D68" s="218"/>
      <c r="E68" s="218"/>
      <c r="F68" s="219"/>
      <c r="G68" s="48">
        <f>G52+G58+G67</f>
        <v>167764.92499999999</v>
      </c>
      <c r="I68" s="3">
        <v>6</v>
      </c>
      <c r="J68" s="1" t="s">
        <v>16</v>
      </c>
      <c r="K68" s="3" t="s">
        <v>216</v>
      </c>
      <c r="L68" s="1" t="s">
        <v>13</v>
      </c>
      <c r="M68" s="31">
        <v>60</v>
      </c>
      <c r="N68" s="1">
        <v>35</v>
      </c>
      <c r="O68" s="4">
        <f t="shared" si="12"/>
        <v>2100</v>
      </c>
    </row>
    <row r="69" spans="1:15" x14ac:dyDescent="0.25">
      <c r="I69" s="3">
        <v>7</v>
      </c>
      <c r="J69" s="1" t="s">
        <v>220</v>
      </c>
      <c r="K69" s="3" t="s">
        <v>216</v>
      </c>
      <c r="L69" s="1" t="s">
        <v>13</v>
      </c>
      <c r="M69" s="31">
        <v>76</v>
      </c>
      <c r="N69" s="1">
        <v>100</v>
      </c>
      <c r="O69" s="4">
        <f t="shared" si="12"/>
        <v>7600</v>
      </c>
    </row>
    <row r="70" spans="1:15" ht="15.75" thickBot="1" x14ac:dyDescent="0.3">
      <c r="I70" s="3">
        <v>8</v>
      </c>
      <c r="J70" s="1" t="s">
        <v>219</v>
      </c>
      <c r="K70" s="3" t="s">
        <v>216</v>
      </c>
      <c r="L70" s="1" t="s">
        <v>13</v>
      </c>
      <c r="M70" s="31">
        <v>2</v>
      </c>
      <c r="N70" s="1">
        <v>200</v>
      </c>
      <c r="O70" s="4">
        <f t="shared" si="12"/>
        <v>400</v>
      </c>
    </row>
    <row r="71" spans="1:15" ht="16.5" thickBot="1" x14ac:dyDescent="0.3">
      <c r="A71" s="33" t="s">
        <v>0</v>
      </c>
      <c r="B71" s="34" t="s">
        <v>1</v>
      </c>
      <c r="C71" s="34" t="s">
        <v>3</v>
      </c>
      <c r="D71" s="34" t="s">
        <v>2</v>
      </c>
      <c r="E71" s="34" t="s">
        <v>6</v>
      </c>
      <c r="F71" s="34" t="s">
        <v>7</v>
      </c>
      <c r="G71" s="35" t="s">
        <v>8</v>
      </c>
      <c r="I71" s="3">
        <v>9</v>
      </c>
      <c r="J71" s="1" t="s">
        <v>19</v>
      </c>
      <c r="K71" s="3" t="s">
        <v>216</v>
      </c>
      <c r="L71" s="1" t="s">
        <v>13</v>
      </c>
      <c r="M71" s="31">
        <v>654</v>
      </c>
      <c r="N71" s="1">
        <v>15</v>
      </c>
      <c r="O71" s="4">
        <f t="shared" si="12"/>
        <v>9810</v>
      </c>
    </row>
    <row r="72" spans="1:15" x14ac:dyDescent="0.25">
      <c r="A72" s="3">
        <v>1</v>
      </c>
      <c r="B72" s="3" t="s">
        <v>4</v>
      </c>
      <c r="C72" s="3" t="s">
        <v>177</v>
      </c>
      <c r="D72" s="3" t="s">
        <v>11</v>
      </c>
      <c r="E72" s="30">
        <v>158</v>
      </c>
      <c r="F72" s="3">
        <v>35</v>
      </c>
      <c r="G72" s="4">
        <f>F72*E72</f>
        <v>5530</v>
      </c>
      <c r="I72" s="3">
        <v>10</v>
      </c>
      <c r="J72" s="1" t="s">
        <v>16</v>
      </c>
      <c r="K72" s="3" t="s">
        <v>216</v>
      </c>
      <c r="L72" s="1" t="s">
        <v>17</v>
      </c>
      <c r="M72" s="5">
        <v>219.42850000000001</v>
      </c>
      <c r="N72" s="1">
        <v>35</v>
      </c>
      <c r="O72" s="4">
        <f t="shared" si="12"/>
        <v>7679.9975000000004</v>
      </c>
    </row>
    <row r="73" spans="1:15" x14ac:dyDescent="0.25">
      <c r="A73" s="3">
        <v>2</v>
      </c>
      <c r="B73" s="1" t="s">
        <v>9</v>
      </c>
      <c r="C73" s="3" t="s">
        <v>177</v>
      </c>
      <c r="D73" s="1" t="s">
        <v>12</v>
      </c>
      <c r="E73" s="31">
        <v>582</v>
      </c>
      <c r="F73" s="1">
        <v>35</v>
      </c>
      <c r="G73" s="4">
        <f t="shared" ref="G73:G85" si="13">F73*E73</f>
        <v>20370</v>
      </c>
      <c r="I73" s="3">
        <v>11</v>
      </c>
      <c r="J73" s="1" t="s">
        <v>164</v>
      </c>
      <c r="K73" s="3" t="s">
        <v>216</v>
      </c>
      <c r="L73" s="1" t="s">
        <v>20</v>
      </c>
      <c r="M73" s="5">
        <v>23</v>
      </c>
      <c r="N73" s="1">
        <v>120</v>
      </c>
      <c r="O73" s="4">
        <f t="shared" si="12"/>
        <v>2760</v>
      </c>
    </row>
    <row r="74" spans="1:15" x14ac:dyDescent="0.25">
      <c r="A74" s="3">
        <v>3</v>
      </c>
      <c r="B74" s="1" t="s">
        <v>180</v>
      </c>
      <c r="C74" s="3" t="s">
        <v>177</v>
      </c>
      <c r="D74" s="1" t="s">
        <v>12</v>
      </c>
      <c r="E74" s="31">
        <v>38</v>
      </c>
      <c r="F74" s="1">
        <v>80</v>
      </c>
      <c r="G74" s="4">
        <f t="shared" si="13"/>
        <v>3040</v>
      </c>
      <c r="I74" s="3">
        <v>12</v>
      </c>
      <c r="J74" s="1" t="s">
        <v>195</v>
      </c>
      <c r="K74" s="3" t="s">
        <v>216</v>
      </c>
      <c r="L74" s="1" t="s">
        <v>20</v>
      </c>
      <c r="M74" s="5">
        <v>34</v>
      </c>
      <c r="N74" s="1">
        <v>110</v>
      </c>
      <c r="O74" s="4">
        <f t="shared" si="12"/>
        <v>3740</v>
      </c>
    </row>
    <row r="75" spans="1:15" x14ac:dyDescent="0.25">
      <c r="A75" s="3">
        <v>4</v>
      </c>
      <c r="B75" s="1" t="s">
        <v>4</v>
      </c>
      <c r="C75" s="3" t="s">
        <v>177</v>
      </c>
      <c r="D75" s="1" t="s">
        <v>12</v>
      </c>
      <c r="E75" s="31">
        <v>468</v>
      </c>
      <c r="F75" s="1">
        <v>30</v>
      </c>
      <c r="G75" s="4">
        <f t="shared" si="13"/>
        <v>14040</v>
      </c>
      <c r="I75" s="3">
        <v>13</v>
      </c>
      <c r="J75" s="1" t="s">
        <v>19</v>
      </c>
      <c r="K75" s="3" t="s">
        <v>216</v>
      </c>
      <c r="L75" s="1" t="s">
        <v>20</v>
      </c>
      <c r="M75" s="5">
        <v>286</v>
      </c>
      <c r="N75" s="1">
        <v>15</v>
      </c>
      <c r="O75" s="4">
        <f t="shared" si="12"/>
        <v>4290</v>
      </c>
    </row>
    <row r="76" spans="1:15" ht="15.75" thickBot="1" x14ac:dyDescent="0.3">
      <c r="A76" s="3">
        <v>5</v>
      </c>
      <c r="B76" s="16" t="s">
        <v>191</v>
      </c>
      <c r="C76" s="3" t="s">
        <v>177</v>
      </c>
      <c r="D76" s="1" t="s">
        <v>13</v>
      </c>
      <c r="E76" s="31">
        <v>200</v>
      </c>
      <c r="F76" s="1">
        <v>80</v>
      </c>
      <c r="G76" s="4">
        <f t="shared" si="13"/>
        <v>16000</v>
      </c>
      <c r="I76" s="6">
        <v>14</v>
      </c>
      <c r="J76" s="7" t="s">
        <v>16</v>
      </c>
      <c r="K76" s="6" t="s">
        <v>216</v>
      </c>
      <c r="L76" s="7" t="s">
        <v>20</v>
      </c>
      <c r="M76" s="8">
        <v>26</v>
      </c>
      <c r="N76" s="7">
        <v>30</v>
      </c>
      <c r="O76" s="8">
        <f t="shared" si="12"/>
        <v>780</v>
      </c>
    </row>
    <row r="77" spans="1:15" ht="16.5" thickBot="1" x14ac:dyDescent="0.3">
      <c r="A77" s="3">
        <v>6</v>
      </c>
      <c r="B77" s="1" t="s">
        <v>16</v>
      </c>
      <c r="C77" s="3" t="s">
        <v>177</v>
      </c>
      <c r="D77" s="1" t="s">
        <v>13</v>
      </c>
      <c r="E77" s="31">
        <v>103.714285</v>
      </c>
      <c r="F77" s="1">
        <v>35</v>
      </c>
      <c r="G77" s="4">
        <f t="shared" si="13"/>
        <v>3629.9999750000002</v>
      </c>
      <c r="I77" s="245" t="s">
        <v>232</v>
      </c>
      <c r="J77" s="246"/>
      <c r="K77" s="246"/>
      <c r="L77" s="246"/>
      <c r="M77" s="246"/>
      <c r="N77" s="254"/>
      <c r="O77" s="47">
        <f>400+350+120+140</f>
        <v>1010</v>
      </c>
    </row>
    <row r="78" spans="1:15" ht="16.5" thickBot="1" x14ac:dyDescent="0.3">
      <c r="A78" s="3">
        <v>7</v>
      </c>
      <c r="B78" s="1" t="s">
        <v>193</v>
      </c>
      <c r="C78" s="3" t="s">
        <v>177</v>
      </c>
      <c r="D78" s="1" t="s">
        <v>13</v>
      </c>
      <c r="E78" s="31">
        <v>12</v>
      </c>
      <c r="F78" s="1">
        <v>120</v>
      </c>
      <c r="G78" s="4">
        <f t="shared" si="13"/>
        <v>1440</v>
      </c>
      <c r="I78" s="236" t="s">
        <v>161</v>
      </c>
      <c r="J78" s="237"/>
      <c r="K78" s="237"/>
      <c r="L78" s="237"/>
      <c r="M78" s="237"/>
      <c r="N78" s="238"/>
      <c r="O78" s="51">
        <f>SUM(O63:O76)-O77</f>
        <v>81624.997449999995</v>
      </c>
    </row>
    <row r="79" spans="1:15" ht="16.5" thickBot="1" x14ac:dyDescent="0.3">
      <c r="A79" s="3">
        <v>8</v>
      </c>
      <c r="B79" s="1" t="s">
        <v>192</v>
      </c>
      <c r="C79" s="3" t="s">
        <v>177</v>
      </c>
      <c r="D79" s="1" t="s">
        <v>13</v>
      </c>
      <c r="E79" s="31">
        <v>18</v>
      </c>
      <c r="F79" s="1">
        <v>200</v>
      </c>
      <c r="G79" s="4">
        <f t="shared" si="13"/>
        <v>3600</v>
      </c>
      <c r="I79" s="239" t="s">
        <v>170</v>
      </c>
      <c r="J79" s="240"/>
      <c r="K79" s="240"/>
      <c r="L79" s="240"/>
      <c r="M79" s="240"/>
      <c r="N79" s="240"/>
      <c r="O79" s="241"/>
    </row>
    <row r="80" spans="1:15" x14ac:dyDescent="0.25">
      <c r="A80" s="3">
        <v>9</v>
      </c>
      <c r="B80" s="1" t="s">
        <v>19</v>
      </c>
      <c r="C80" s="3" t="s">
        <v>177</v>
      </c>
      <c r="D80" s="1" t="s">
        <v>13</v>
      </c>
      <c r="E80" s="31">
        <v>1426</v>
      </c>
      <c r="F80" s="1">
        <v>15</v>
      </c>
      <c r="G80" s="4">
        <f t="shared" si="13"/>
        <v>21390</v>
      </c>
      <c r="I80" s="3">
        <v>1</v>
      </c>
      <c r="J80" s="3" t="s">
        <v>194</v>
      </c>
      <c r="K80" s="3" t="s">
        <v>216</v>
      </c>
      <c r="L80" s="3" t="s">
        <v>104</v>
      </c>
      <c r="M80" s="4">
        <v>1</v>
      </c>
      <c r="N80" s="3">
        <v>950</v>
      </c>
      <c r="O80" s="4">
        <f>N80*M80</f>
        <v>950</v>
      </c>
    </row>
    <row r="81" spans="1:15" ht="15.75" thickBot="1" x14ac:dyDescent="0.3">
      <c r="A81" s="3">
        <v>10</v>
      </c>
      <c r="B81" s="1" t="s">
        <v>16</v>
      </c>
      <c r="C81" s="3" t="s">
        <v>177</v>
      </c>
      <c r="D81" s="1" t="s">
        <v>17</v>
      </c>
      <c r="E81" s="5">
        <v>343.71427999999997</v>
      </c>
      <c r="F81" s="1">
        <v>35</v>
      </c>
      <c r="G81" s="4">
        <f t="shared" si="13"/>
        <v>12029.9998</v>
      </c>
      <c r="I81" s="3">
        <v>2</v>
      </c>
      <c r="J81" s="1" t="s">
        <v>102</v>
      </c>
      <c r="K81" s="3" t="s">
        <v>216</v>
      </c>
      <c r="L81" s="1" t="s">
        <v>104</v>
      </c>
      <c r="M81" s="5">
        <v>53</v>
      </c>
      <c r="N81" s="1">
        <v>120</v>
      </c>
      <c r="O81" s="5">
        <f>N81*M81</f>
        <v>6360</v>
      </c>
    </row>
    <row r="82" spans="1:15" ht="16.5" thickBot="1" x14ac:dyDescent="0.3">
      <c r="A82" s="3">
        <v>11</v>
      </c>
      <c r="B82" s="1" t="s">
        <v>47</v>
      </c>
      <c r="C82" s="3" t="s">
        <v>177</v>
      </c>
      <c r="D82" s="1" t="s">
        <v>20</v>
      </c>
      <c r="E82" s="5">
        <v>31</v>
      </c>
      <c r="F82" s="1">
        <v>80</v>
      </c>
      <c r="G82" s="4">
        <f t="shared" si="13"/>
        <v>2480</v>
      </c>
      <c r="I82" s="252" t="s">
        <v>162</v>
      </c>
      <c r="J82" s="253"/>
      <c r="K82" s="253"/>
      <c r="L82" s="253"/>
      <c r="M82" s="253"/>
      <c r="N82" s="253"/>
      <c r="O82" s="43">
        <f>SUM(O80:O81)</f>
        <v>7310</v>
      </c>
    </row>
    <row r="83" spans="1:15" ht="19.5" thickBot="1" x14ac:dyDescent="0.35">
      <c r="A83" s="3">
        <v>12</v>
      </c>
      <c r="B83" s="1" t="s">
        <v>195</v>
      </c>
      <c r="C83" s="3" t="s">
        <v>177</v>
      </c>
      <c r="D83" s="1" t="s">
        <v>20</v>
      </c>
      <c r="E83" s="5">
        <v>31</v>
      </c>
      <c r="F83" s="1">
        <v>110</v>
      </c>
      <c r="G83" s="4">
        <f t="shared" si="13"/>
        <v>3410</v>
      </c>
      <c r="I83" s="250" t="s">
        <v>103</v>
      </c>
      <c r="J83" s="251"/>
      <c r="K83" s="251"/>
      <c r="L83" s="251"/>
      <c r="M83" s="251"/>
      <c r="N83" s="251"/>
      <c r="O83" s="44">
        <f>O78+O82</f>
        <v>88934.997449999995</v>
      </c>
    </row>
    <row r="84" spans="1:15" ht="16.5" thickBot="1" x14ac:dyDescent="0.3">
      <c r="A84" s="3">
        <v>13</v>
      </c>
      <c r="B84" s="1" t="s">
        <v>19</v>
      </c>
      <c r="C84" s="3" t="s">
        <v>177</v>
      </c>
      <c r="D84" s="1" t="s">
        <v>20</v>
      </c>
      <c r="E84" s="5">
        <v>405</v>
      </c>
      <c r="F84" s="1">
        <v>15</v>
      </c>
      <c r="G84" s="4">
        <f t="shared" si="13"/>
        <v>6075</v>
      </c>
      <c r="I84" s="245" t="s">
        <v>95</v>
      </c>
      <c r="J84" s="246"/>
      <c r="K84" s="246"/>
      <c r="L84" s="246"/>
      <c r="M84" s="246"/>
      <c r="N84" s="246"/>
      <c r="O84" s="247"/>
    </row>
    <row r="85" spans="1:15" ht="15.75" thickBot="1" x14ac:dyDescent="0.3">
      <c r="A85" s="6">
        <v>14</v>
      </c>
      <c r="B85" s="7" t="s">
        <v>16</v>
      </c>
      <c r="C85" s="6" t="s">
        <v>177</v>
      </c>
      <c r="D85" s="7" t="s">
        <v>20</v>
      </c>
      <c r="E85" s="8">
        <v>34.585714279999998</v>
      </c>
      <c r="F85" s="7">
        <v>35</v>
      </c>
      <c r="G85" s="8">
        <f t="shared" si="13"/>
        <v>1210.4999997999998</v>
      </c>
      <c r="I85" s="40" t="s">
        <v>0</v>
      </c>
      <c r="J85" s="40" t="s">
        <v>56</v>
      </c>
      <c r="K85" s="40" t="s">
        <v>3</v>
      </c>
      <c r="L85" s="40" t="s">
        <v>2</v>
      </c>
      <c r="M85" s="40" t="s">
        <v>60</v>
      </c>
      <c r="N85" s="40"/>
      <c r="O85" s="37" t="s">
        <v>57</v>
      </c>
    </row>
    <row r="86" spans="1:15" ht="16.5" thickBot="1" x14ac:dyDescent="0.3">
      <c r="A86" s="245" t="s">
        <v>232</v>
      </c>
      <c r="B86" s="246"/>
      <c r="C86" s="246"/>
      <c r="D86" s="246"/>
      <c r="E86" s="246"/>
      <c r="F86" s="254"/>
      <c r="G86" s="47">
        <v>2250</v>
      </c>
      <c r="I86" s="18">
        <v>1</v>
      </c>
      <c r="J86" s="18" t="s">
        <v>137</v>
      </c>
      <c r="K86" s="18" t="s">
        <v>216</v>
      </c>
      <c r="L86" s="18" t="s">
        <v>167</v>
      </c>
      <c r="M86" s="18">
        <v>790</v>
      </c>
      <c r="N86" s="18"/>
      <c r="O86" s="21">
        <f>M86</f>
        <v>790</v>
      </c>
    </row>
    <row r="87" spans="1:15" ht="30.75" thickBot="1" x14ac:dyDescent="0.3">
      <c r="A87" s="236" t="s">
        <v>161</v>
      </c>
      <c r="B87" s="237"/>
      <c r="C87" s="237"/>
      <c r="D87" s="237"/>
      <c r="E87" s="237"/>
      <c r="F87" s="238"/>
      <c r="G87" s="51">
        <f>SUM(G72:G85)-G86</f>
        <v>111995.4997748</v>
      </c>
      <c r="I87" s="18">
        <v>2</v>
      </c>
      <c r="J87" s="18" t="s">
        <v>58</v>
      </c>
      <c r="K87" s="18" t="s">
        <v>216</v>
      </c>
      <c r="L87" s="20" t="s">
        <v>59</v>
      </c>
      <c r="M87" s="18">
        <v>3980</v>
      </c>
      <c r="N87" s="18"/>
      <c r="O87" s="21">
        <f t="shared" ref="O87" si="14">M87</f>
        <v>3980</v>
      </c>
    </row>
    <row r="88" spans="1:15" ht="16.5" thickBot="1" x14ac:dyDescent="0.3">
      <c r="A88" s="239" t="s">
        <v>170</v>
      </c>
      <c r="B88" s="240"/>
      <c r="C88" s="240"/>
      <c r="D88" s="240"/>
      <c r="E88" s="240"/>
      <c r="F88" s="240"/>
      <c r="G88" s="241"/>
      <c r="I88" s="245" t="s">
        <v>25</v>
      </c>
      <c r="J88" s="246"/>
      <c r="K88" s="246"/>
      <c r="L88" s="246"/>
      <c r="M88" s="246"/>
      <c r="N88" s="254"/>
      <c r="O88" s="47">
        <f>SUM(O86:O87)</f>
        <v>4770</v>
      </c>
    </row>
    <row r="89" spans="1:15" ht="16.5" thickBot="1" x14ac:dyDescent="0.3">
      <c r="A89" s="3">
        <v>1</v>
      </c>
      <c r="B89" s="3" t="s">
        <v>110</v>
      </c>
      <c r="C89" s="3" t="s">
        <v>177</v>
      </c>
      <c r="D89" s="3" t="s">
        <v>104</v>
      </c>
      <c r="E89" s="4">
        <v>9</v>
      </c>
      <c r="F89" s="3">
        <v>120</v>
      </c>
      <c r="G89" s="4">
        <f t="shared" ref="G89" si="15">F89*E89</f>
        <v>1080</v>
      </c>
      <c r="I89" s="217" t="s">
        <v>101</v>
      </c>
      <c r="J89" s="218"/>
      <c r="K89" s="218"/>
      <c r="L89" s="218"/>
      <c r="M89" s="218"/>
      <c r="N89" s="219"/>
      <c r="O89" s="48">
        <f>O78+O82+O88</f>
        <v>93704.997449999995</v>
      </c>
    </row>
    <row r="90" spans="1:15" ht="15.75" thickBot="1" x14ac:dyDescent="0.3">
      <c r="A90" s="3">
        <v>2</v>
      </c>
      <c r="B90" s="3" t="s">
        <v>194</v>
      </c>
      <c r="C90" s="3" t="s">
        <v>177</v>
      </c>
      <c r="D90" s="3" t="s">
        <v>104</v>
      </c>
      <c r="E90" s="4">
        <v>1</v>
      </c>
      <c r="F90" s="3">
        <v>550</v>
      </c>
      <c r="G90" s="4">
        <v>550</v>
      </c>
    </row>
    <row r="91" spans="1:15" ht="16.5" thickBot="1" x14ac:dyDescent="0.3">
      <c r="A91" s="3">
        <v>3</v>
      </c>
      <c r="B91" s="1" t="s">
        <v>94</v>
      </c>
      <c r="C91" s="3" t="s">
        <v>177</v>
      </c>
      <c r="D91" s="1" t="s">
        <v>104</v>
      </c>
      <c r="E91" s="5">
        <v>23</v>
      </c>
      <c r="F91" s="1">
        <v>150</v>
      </c>
      <c r="G91" s="5">
        <f>F91*E91</f>
        <v>3450</v>
      </c>
      <c r="I91" s="33" t="s">
        <v>0</v>
      </c>
      <c r="J91" s="34" t="s">
        <v>1</v>
      </c>
      <c r="K91" s="34" t="s">
        <v>3</v>
      </c>
      <c r="L91" s="34" t="s">
        <v>2</v>
      </c>
      <c r="M91" s="34" t="s">
        <v>6</v>
      </c>
      <c r="N91" s="34" t="s">
        <v>7</v>
      </c>
      <c r="O91" s="35" t="s">
        <v>8</v>
      </c>
    </row>
    <row r="92" spans="1:15" x14ac:dyDescent="0.25">
      <c r="A92" s="3">
        <v>4</v>
      </c>
      <c r="B92" s="1" t="s">
        <v>102</v>
      </c>
      <c r="C92" s="3" t="s">
        <v>177</v>
      </c>
      <c r="D92" s="1" t="s">
        <v>104</v>
      </c>
      <c r="E92" s="5">
        <v>54</v>
      </c>
      <c r="F92" s="1">
        <v>120</v>
      </c>
      <c r="G92" s="5">
        <f>F92*E92</f>
        <v>6480</v>
      </c>
      <c r="I92" s="3">
        <v>1</v>
      </c>
      <c r="J92" s="3" t="s">
        <v>4</v>
      </c>
      <c r="K92" s="3" t="s">
        <v>261</v>
      </c>
      <c r="L92" s="3" t="s">
        <v>11</v>
      </c>
      <c r="M92" s="30">
        <v>138.8571</v>
      </c>
      <c r="N92" s="3">
        <v>35</v>
      </c>
      <c r="O92" s="4">
        <f>N92*M92</f>
        <v>4859.9984999999997</v>
      </c>
    </row>
    <row r="93" spans="1:15" ht="15.75" thickBot="1" x14ac:dyDescent="0.3">
      <c r="A93" s="7">
        <v>5</v>
      </c>
      <c r="B93" s="7" t="s">
        <v>178</v>
      </c>
      <c r="C93" s="7" t="s">
        <v>177</v>
      </c>
      <c r="D93" s="7" t="s">
        <v>104</v>
      </c>
      <c r="E93" s="8">
        <v>13</v>
      </c>
      <c r="F93" s="7">
        <v>100</v>
      </c>
      <c r="G93" s="8">
        <f>F93*E93</f>
        <v>1300</v>
      </c>
      <c r="I93" s="3">
        <v>2</v>
      </c>
      <c r="J93" s="1" t="s">
        <v>9</v>
      </c>
      <c r="K93" s="3" t="s">
        <v>261</v>
      </c>
      <c r="L93" s="1" t="s">
        <v>12</v>
      </c>
      <c r="M93" s="31">
        <v>472</v>
      </c>
      <c r="N93" s="1">
        <v>35</v>
      </c>
      <c r="O93" s="4">
        <f t="shared" ref="O93:O107" si="16">N93*M93</f>
        <v>16520</v>
      </c>
    </row>
    <row r="94" spans="1:15" ht="16.5" thickBot="1" x14ac:dyDescent="0.3">
      <c r="A94" s="252" t="s">
        <v>162</v>
      </c>
      <c r="B94" s="253"/>
      <c r="C94" s="253"/>
      <c r="D94" s="253"/>
      <c r="E94" s="253"/>
      <c r="F94" s="253"/>
      <c r="G94" s="43">
        <f>SUM(G89:G93)</f>
        <v>12860</v>
      </c>
      <c r="I94" s="3">
        <v>3</v>
      </c>
      <c r="J94" s="1" t="s">
        <v>234</v>
      </c>
      <c r="K94" s="3" t="s">
        <v>261</v>
      </c>
      <c r="L94" s="1" t="s">
        <v>12</v>
      </c>
      <c r="M94" s="31">
        <v>37</v>
      </c>
      <c r="N94" s="1">
        <v>80</v>
      </c>
      <c r="O94" s="4">
        <f t="shared" si="16"/>
        <v>2960</v>
      </c>
    </row>
    <row r="95" spans="1:15" ht="19.5" thickBot="1" x14ac:dyDescent="0.35">
      <c r="A95" s="250" t="s">
        <v>103</v>
      </c>
      <c r="B95" s="251"/>
      <c r="C95" s="251"/>
      <c r="D95" s="251"/>
      <c r="E95" s="251"/>
      <c r="F95" s="251"/>
      <c r="G95" s="44">
        <f>G87+G94</f>
        <v>124855.4997748</v>
      </c>
      <c r="I95" s="3">
        <v>4</v>
      </c>
      <c r="J95" s="1" t="s">
        <v>4</v>
      </c>
      <c r="K95" s="3" t="s">
        <v>261</v>
      </c>
      <c r="L95" s="1" t="s">
        <v>12</v>
      </c>
      <c r="M95" s="31">
        <v>369.42849999999999</v>
      </c>
      <c r="N95" s="1">
        <v>35</v>
      </c>
      <c r="O95" s="4">
        <f t="shared" si="16"/>
        <v>12929.997499999999</v>
      </c>
    </row>
    <row r="96" spans="1:15" ht="16.5" thickBot="1" x14ac:dyDescent="0.3">
      <c r="A96" s="245" t="s">
        <v>95</v>
      </c>
      <c r="B96" s="246"/>
      <c r="C96" s="246"/>
      <c r="D96" s="246"/>
      <c r="E96" s="246"/>
      <c r="F96" s="246"/>
      <c r="G96" s="247"/>
      <c r="I96" s="3">
        <v>5</v>
      </c>
      <c r="J96" s="16" t="s">
        <v>262</v>
      </c>
      <c r="K96" s="3" t="s">
        <v>261</v>
      </c>
      <c r="L96" s="1" t="s">
        <v>13</v>
      </c>
      <c r="M96" s="31">
        <v>25</v>
      </c>
      <c r="N96" s="1">
        <v>180</v>
      </c>
      <c r="O96" s="4">
        <f t="shared" si="16"/>
        <v>4500</v>
      </c>
    </row>
    <row r="97" spans="1:15" x14ac:dyDescent="0.25">
      <c r="A97" s="40" t="s">
        <v>0</v>
      </c>
      <c r="B97" s="40" t="s">
        <v>56</v>
      </c>
      <c r="C97" s="40" t="s">
        <v>3</v>
      </c>
      <c r="D97" s="40" t="s">
        <v>2</v>
      </c>
      <c r="E97" s="40" t="s">
        <v>60</v>
      </c>
      <c r="F97" s="40"/>
      <c r="G97" s="37" t="s">
        <v>57</v>
      </c>
      <c r="I97" s="3">
        <v>6</v>
      </c>
      <c r="J97" s="1" t="s">
        <v>16</v>
      </c>
      <c r="K97" s="3" t="s">
        <v>261</v>
      </c>
      <c r="L97" s="1" t="s">
        <v>13</v>
      </c>
      <c r="M97" s="31">
        <v>135</v>
      </c>
      <c r="N97" s="1">
        <v>35</v>
      </c>
      <c r="O97" s="4">
        <f>N97*M97</f>
        <v>4725</v>
      </c>
    </row>
    <row r="98" spans="1:15" x14ac:dyDescent="0.25">
      <c r="A98" s="18">
        <v>1</v>
      </c>
      <c r="B98" s="18" t="s">
        <v>137</v>
      </c>
      <c r="C98" s="18" t="s">
        <v>177</v>
      </c>
      <c r="D98" s="18" t="s">
        <v>167</v>
      </c>
      <c r="E98" s="18">
        <v>3120</v>
      </c>
      <c r="F98" s="18"/>
      <c r="G98" s="21">
        <f>E98</f>
        <v>3120</v>
      </c>
      <c r="I98" s="3">
        <v>7</v>
      </c>
      <c r="J98" s="1" t="s">
        <v>47</v>
      </c>
      <c r="K98" s="3" t="s">
        <v>261</v>
      </c>
      <c r="L98" s="1" t="s">
        <v>13</v>
      </c>
      <c r="M98" s="31">
        <v>149</v>
      </c>
      <c r="N98" s="1">
        <v>80</v>
      </c>
      <c r="O98" s="4">
        <f t="shared" si="16"/>
        <v>11920</v>
      </c>
    </row>
    <row r="99" spans="1:15" ht="30" x14ac:dyDescent="0.25">
      <c r="A99" s="18">
        <v>2</v>
      </c>
      <c r="B99" s="18" t="s">
        <v>58</v>
      </c>
      <c r="C99" s="18" t="s">
        <v>177</v>
      </c>
      <c r="D99" s="20" t="s">
        <v>59</v>
      </c>
      <c r="E99" s="18">
        <v>9285</v>
      </c>
      <c r="F99" s="18"/>
      <c r="G99" s="21">
        <f t="shared" ref="G99:G101" si="17">E99</f>
        <v>9285</v>
      </c>
      <c r="I99" s="3">
        <v>8</v>
      </c>
      <c r="J99" s="1" t="s">
        <v>219</v>
      </c>
      <c r="K99" s="3" t="s">
        <v>261</v>
      </c>
      <c r="L99" s="1" t="s">
        <v>13</v>
      </c>
      <c r="M99" s="31">
        <v>16</v>
      </c>
      <c r="N99" s="1">
        <v>200</v>
      </c>
      <c r="O99" s="4">
        <f t="shared" si="16"/>
        <v>3200</v>
      </c>
    </row>
    <row r="100" spans="1:15" x14ac:dyDescent="0.25">
      <c r="A100" s="18">
        <v>3</v>
      </c>
      <c r="B100" s="18" t="s">
        <v>215</v>
      </c>
      <c r="C100" s="18" t="s">
        <v>177</v>
      </c>
      <c r="D100" s="20" t="s">
        <v>13</v>
      </c>
      <c r="E100" s="18">
        <v>440</v>
      </c>
      <c r="F100" s="18"/>
      <c r="G100" s="21">
        <f t="shared" si="17"/>
        <v>440</v>
      </c>
      <c r="I100" s="3">
        <v>9</v>
      </c>
      <c r="J100" s="1" t="s">
        <v>19</v>
      </c>
      <c r="K100" s="3" t="s">
        <v>261</v>
      </c>
      <c r="L100" s="1" t="s">
        <v>13</v>
      </c>
      <c r="M100" s="31">
        <v>1022</v>
      </c>
      <c r="N100" s="1">
        <v>15</v>
      </c>
      <c r="O100" s="4">
        <f t="shared" si="16"/>
        <v>15330</v>
      </c>
    </row>
    <row r="101" spans="1:15" ht="15.75" thickBot="1" x14ac:dyDescent="0.3">
      <c r="A101" s="18">
        <v>5</v>
      </c>
      <c r="B101" s="18" t="s">
        <v>168</v>
      </c>
      <c r="C101" s="18" t="s">
        <v>177</v>
      </c>
      <c r="D101" s="18" t="s">
        <v>13</v>
      </c>
      <c r="E101" s="18">
        <v>9640</v>
      </c>
      <c r="F101" s="18"/>
      <c r="G101" s="21">
        <f t="shared" si="17"/>
        <v>9640</v>
      </c>
      <c r="I101" s="3">
        <v>10</v>
      </c>
      <c r="J101" s="1" t="s">
        <v>235</v>
      </c>
      <c r="K101" s="3" t="s">
        <v>261</v>
      </c>
      <c r="L101" s="1" t="s">
        <v>13</v>
      </c>
      <c r="M101" s="31">
        <v>22</v>
      </c>
      <c r="N101" s="1">
        <v>80</v>
      </c>
      <c r="O101" s="4">
        <f t="shared" si="16"/>
        <v>1760</v>
      </c>
    </row>
    <row r="102" spans="1:15" ht="16.5" thickBot="1" x14ac:dyDescent="0.3">
      <c r="A102" s="245" t="s">
        <v>25</v>
      </c>
      <c r="B102" s="246"/>
      <c r="C102" s="246"/>
      <c r="D102" s="246"/>
      <c r="E102" s="246"/>
      <c r="F102" s="254"/>
      <c r="G102" s="47">
        <f>SUM(G98:G101)</f>
        <v>22485</v>
      </c>
      <c r="I102" s="3">
        <v>11</v>
      </c>
      <c r="J102" s="1" t="s">
        <v>16</v>
      </c>
      <c r="K102" s="3" t="s">
        <v>261</v>
      </c>
      <c r="L102" s="1" t="s">
        <v>17</v>
      </c>
      <c r="M102" s="5">
        <v>372</v>
      </c>
      <c r="N102" s="1">
        <v>35</v>
      </c>
      <c r="O102" s="4">
        <f t="shared" si="16"/>
        <v>13020</v>
      </c>
    </row>
    <row r="103" spans="1:15" ht="16.5" thickBot="1" x14ac:dyDescent="0.3">
      <c r="A103" s="217" t="s">
        <v>101</v>
      </c>
      <c r="B103" s="218"/>
      <c r="C103" s="218"/>
      <c r="D103" s="218"/>
      <c r="E103" s="218"/>
      <c r="F103" s="219"/>
      <c r="G103" s="48">
        <f>G87+G94+G102</f>
        <v>147340.4997748</v>
      </c>
      <c r="I103" s="3">
        <v>12</v>
      </c>
      <c r="J103" s="1" t="s">
        <v>264</v>
      </c>
      <c r="K103" s="3" t="s">
        <v>261</v>
      </c>
      <c r="L103" s="1" t="s">
        <v>20</v>
      </c>
      <c r="M103" s="5">
        <v>35</v>
      </c>
      <c r="N103" s="1">
        <v>120</v>
      </c>
      <c r="O103" s="4">
        <f t="shared" si="16"/>
        <v>4200</v>
      </c>
    </row>
    <row r="104" spans="1:15" ht="15.75" thickBot="1" x14ac:dyDescent="0.3">
      <c r="I104" s="3">
        <v>13</v>
      </c>
      <c r="J104" s="1" t="s">
        <v>265</v>
      </c>
      <c r="K104" s="3" t="s">
        <v>261</v>
      </c>
      <c r="L104" s="1" t="s">
        <v>20</v>
      </c>
      <c r="M104" s="5">
        <v>50</v>
      </c>
      <c r="N104" s="1">
        <v>80</v>
      </c>
      <c r="O104" s="4">
        <f t="shared" si="16"/>
        <v>4000</v>
      </c>
    </row>
    <row r="105" spans="1:15" ht="16.5" thickBot="1" x14ac:dyDescent="0.3">
      <c r="A105" s="33" t="s">
        <v>0</v>
      </c>
      <c r="B105" s="34" t="s">
        <v>1</v>
      </c>
      <c r="C105" s="34" t="s">
        <v>3</v>
      </c>
      <c r="D105" s="34" t="s">
        <v>2</v>
      </c>
      <c r="E105" s="34" t="s">
        <v>6</v>
      </c>
      <c r="F105" s="34" t="s">
        <v>7</v>
      </c>
      <c r="G105" s="35" t="s">
        <v>8</v>
      </c>
      <c r="I105" s="3">
        <v>14</v>
      </c>
      <c r="J105" s="1" t="s">
        <v>19</v>
      </c>
      <c r="K105" s="3" t="s">
        <v>261</v>
      </c>
      <c r="L105" s="1" t="s">
        <v>20</v>
      </c>
      <c r="M105" s="5">
        <v>357</v>
      </c>
      <c r="N105" s="1">
        <v>15</v>
      </c>
      <c r="O105" s="4">
        <f t="shared" si="16"/>
        <v>5355</v>
      </c>
    </row>
    <row r="106" spans="1:15" x14ac:dyDescent="0.25">
      <c r="A106" s="3">
        <v>1</v>
      </c>
      <c r="B106" s="3" t="s">
        <v>4</v>
      </c>
      <c r="C106" s="3" t="s">
        <v>233</v>
      </c>
      <c r="D106" s="3" t="s">
        <v>11</v>
      </c>
      <c r="E106" s="30">
        <v>118</v>
      </c>
      <c r="F106" s="3">
        <v>30</v>
      </c>
      <c r="G106" s="4">
        <f>F106*E106</f>
        <v>3540</v>
      </c>
      <c r="I106" s="3">
        <v>15</v>
      </c>
      <c r="J106" s="1" t="s">
        <v>16</v>
      </c>
      <c r="K106" s="3" t="s">
        <v>261</v>
      </c>
      <c r="L106" s="1" t="s">
        <v>20</v>
      </c>
      <c r="M106" s="5">
        <v>50</v>
      </c>
      <c r="N106" s="1">
        <v>35</v>
      </c>
      <c r="O106" s="5">
        <f t="shared" si="16"/>
        <v>1750</v>
      </c>
    </row>
    <row r="107" spans="1:15" x14ac:dyDescent="0.25">
      <c r="A107" s="3">
        <v>2</v>
      </c>
      <c r="B107" s="1" t="s">
        <v>9</v>
      </c>
      <c r="C107" s="3" t="s">
        <v>233</v>
      </c>
      <c r="D107" s="1" t="s">
        <v>12</v>
      </c>
      <c r="E107" s="31">
        <v>449</v>
      </c>
      <c r="F107" s="1">
        <v>35</v>
      </c>
      <c r="G107" s="4">
        <f t="shared" ref="G107:G121" si="18">F107*E107</f>
        <v>15715</v>
      </c>
      <c r="I107" s="3">
        <v>16</v>
      </c>
      <c r="J107" s="1" t="s">
        <v>266</v>
      </c>
      <c r="K107" s="3" t="s">
        <v>261</v>
      </c>
      <c r="L107" s="1" t="s">
        <v>20</v>
      </c>
      <c r="M107" s="5">
        <v>1</v>
      </c>
      <c r="N107" s="1">
        <v>180</v>
      </c>
      <c r="O107" s="5">
        <f t="shared" si="16"/>
        <v>180</v>
      </c>
    </row>
    <row r="108" spans="1:15" ht="16.5" thickBot="1" x14ac:dyDescent="0.3">
      <c r="A108" s="3">
        <v>3</v>
      </c>
      <c r="B108" s="1" t="s">
        <v>234</v>
      </c>
      <c r="C108" s="3" t="s">
        <v>233</v>
      </c>
      <c r="D108" s="1" t="s">
        <v>12</v>
      </c>
      <c r="E108" s="31">
        <v>35</v>
      </c>
      <c r="F108" s="1">
        <v>80</v>
      </c>
      <c r="G108" s="4">
        <f t="shared" si="18"/>
        <v>2800</v>
      </c>
      <c r="I108" s="233" t="s">
        <v>232</v>
      </c>
      <c r="J108" s="234"/>
      <c r="K108" s="234"/>
      <c r="L108" s="234"/>
      <c r="M108" s="234"/>
      <c r="N108" s="235"/>
      <c r="O108" s="57">
        <v>2400</v>
      </c>
    </row>
    <row r="109" spans="1:15" ht="16.5" thickBot="1" x14ac:dyDescent="0.3">
      <c r="A109" s="3">
        <v>4</v>
      </c>
      <c r="B109" s="1" t="s">
        <v>4</v>
      </c>
      <c r="C109" s="3" t="s">
        <v>233</v>
      </c>
      <c r="D109" s="1" t="s">
        <v>12</v>
      </c>
      <c r="E109" s="31">
        <v>309.43</v>
      </c>
      <c r="F109" s="1">
        <v>35</v>
      </c>
      <c r="G109" s="4">
        <f t="shared" si="18"/>
        <v>10830.050000000001</v>
      </c>
      <c r="I109" s="236" t="s">
        <v>161</v>
      </c>
      <c r="J109" s="237"/>
      <c r="K109" s="237"/>
      <c r="L109" s="237"/>
      <c r="M109" s="237"/>
      <c r="N109" s="238"/>
      <c r="O109" s="51">
        <f>SUM(O92:O107)-O108</f>
        <v>104809.996</v>
      </c>
    </row>
    <row r="110" spans="1:15" ht="16.5" thickBot="1" x14ac:dyDescent="0.3">
      <c r="A110" s="3">
        <v>5</v>
      </c>
      <c r="B110" s="16" t="s">
        <v>18</v>
      </c>
      <c r="C110" s="3" t="s">
        <v>233</v>
      </c>
      <c r="D110" s="1" t="s">
        <v>13</v>
      </c>
      <c r="E110" s="31">
        <v>215</v>
      </c>
      <c r="F110" s="1">
        <v>80</v>
      </c>
      <c r="G110" s="4">
        <f t="shared" si="18"/>
        <v>17200</v>
      </c>
      <c r="I110" s="239" t="s">
        <v>170</v>
      </c>
      <c r="J110" s="240"/>
      <c r="K110" s="240"/>
      <c r="L110" s="240"/>
      <c r="M110" s="240"/>
      <c r="N110" s="240"/>
      <c r="O110" s="241"/>
    </row>
    <row r="111" spans="1:15" x14ac:dyDescent="0.25">
      <c r="A111" s="3">
        <v>6</v>
      </c>
      <c r="B111" s="1" t="s">
        <v>16</v>
      </c>
      <c r="C111" s="3" t="s">
        <v>233</v>
      </c>
      <c r="D111" s="1" t="s">
        <v>13</v>
      </c>
      <c r="E111" s="31">
        <v>119</v>
      </c>
      <c r="F111" s="1">
        <v>35</v>
      </c>
      <c r="G111" s="4">
        <f t="shared" si="18"/>
        <v>4165</v>
      </c>
      <c r="I111" s="3">
        <v>1</v>
      </c>
      <c r="J111" s="3" t="s">
        <v>263</v>
      </c>
      <c r="K111" s="3" t="s">
        <v>261</v>
      </c>
      <c r="L111" s="3" t="s">
        <v>104</v>
      </c>
      <c r="M111" s="4">
        <v>8</v>
      </c>
      <c r="N111" s="3">
        <v>150</v>
      </c>
      <c r="O111" s="4">
        <f>N111*M111</f>
        <v>1200</v>
      </c>
    </row>
    <row r="112" spans="1:15" x14ac:dyDescent="0.25">
      <c r="A112" s="3">
        <v>7</v>
      </c>
      <c r="B112" s="1" t="s">
        <v>235</v>
      </c>
      <c r="C112" s="3" t="s">
        <v>233</v>
      </c>
      <c r="D112" s="1" t="s">
        <v>13</v>
      </c>
      <c r="E112" s="31">
        <v>5</v>
      </c>
      <c r="F112" s="1">
        <v>80</v>
      </c>
      <c r="G112" s="4">
        <f t="shared" si="18"/>
        <v>400</v>
      </c>
      <c r="I112" s="3">
        <v>2</v>
      </c>
      <c r="J112" s="3" t="s">
        <v>194</v>
      </c>
      <c r="K112" s="3" t="s">
        <v>261</v>
      </c>
      <c r="L112" s="3" t="s">
        <v>104</v>
      </c>
      <c r="M112" s="4">
        <v>2</v>
      </c>
      <c r="N112" s="3">
        <v>250</v>
      </c>
      <c r="O112" s="4">
        <f t="shared" ref="O112:O114" si="19">N112*M112</f>
        <v>500</v>
      </c>
    </row>
    <row r="113" spans="1:15" x14ac:dyDescent="0.25">
      <c r="A113" s="3">
        <v>8</v>
      </c>
      <c r="B113" s="1" t="s">
        <v>219</v>
      </c>
      <c r="C113" s="3" t="s">
        <v>233</v>
      </c>
      <c r="D113" s="1" t="s">
        <v>13</v>
      </c>
      <c r="E113" s="31">
        <v>28</v>
      </c>
      <c r="F113" s="1">
        <v>200</v>
      </c>
      <c r="G113" s="4">
        <f t="shared" si="18"/>
        <v>5600</v>
      </c>
      <c r="I113" s="3">
        <v>3</v>
      </c>
      <c r="J113" s="1" t="s">
        <v>110</v>
      </c>
      <c r="K113" s="3" t="s">
        <v>261</v>
      </c>
      <c r="L113" s="3" t="s">
        <v>104</v>
      </c>
      <c r="M113" s="5">
        <v>28</v>
      </c>
      <c r="N113" s="1">
        <v>120</v>
      </c>
      <c r="O113" s="4">
        <f t="shared" si="19"/>
        <v>3360</v>
      </c>
    </row>
    <row r="114" spans="1:15" ht="15.75" thickBot="1" x14ac:dyDescent="0.3">
      <c r="A114" s="3">
        <v>9</v>
      </c>
      <c r="B114" s="1" t="s">
        <v>19</v>
      </c>
      <c r="C114" s="3" t="s">
        <v>233</v>
      </c>
      <c r="D114" s="1" t="s">
        <v>13</v>
      </c>
      <c r="E114" s="31">
        <v>1103</v>
      </c>
      <c r="F114" s="1">
        <v>15</v>
      </c>
      <c r="G114" s="4">
        <f t="shared" si="18"/>
        <v>16545</v>
      </c>
      <c r="I114" s="3">
        <v>4</v>
      </c>
      <c r="J114" s="1" t="s">
        <v>102</v>
      </c>
      <c r="K114" s="3" t="s">
        <v>261</v>
      </c>
      <c r="L114" s="3" t="s">
        <v>104</v>
      </c>
      <c r="M114" s="5">
        <v>23</v>
      </c>
      <c r="N114" s="1">
        <v>120</v>
      </c>
      <c r="O114" s="4">
        <f t="shared" si="19"/>
        <v>2760</v>
      </c>
    </row>
    <row r="115" spans="1:15" ht="16.5" thickBot="1" x14ac:dyDescent="0.3">
      <c r="A115" s="3">
        <v>10</v>
      </c>
      <c r="B115" s="1" t="s">
        <v>242</v>
      </c>
      <c r="C115" s="3" t="s">
        <v>233</v>
      </c>
      <c r="D115" s="1" t="s">
        <v>13</v>
      </c>
      <c r="E115" s="31">
        <v>4</v>
      </c>
      <c r="F115" s="1">
        <v>110</v>
      </c>
      <c r="G115" s="4">
        <f t="shared" si="18"/>
        <v>440</v>
      </c>
      <c r="I115" s="252" t="s">
        <v>162</v>
      </c>
      <c r="J115" s="253"/>
      <c r="K115" s="253"/>
      <c r="L115" s="253"/>
      <c r="M115" s="253"/>
      <c r="N115" s="253"/>
      <c r="O115" s="43">
        <f>SUM(O111:O114)</f>
        <v>7820</v>
      </c>
    </row>
    <row r="116" spans="1:15" ht="19.5" thickBot="1" x14ac:dyDescent="0.35">
      <c r="A116" s="3">
        <v>11</v>
      </c>
      <c r="B116" s="1" t="s">
        <v>16</v>
      </c>
      <c r="C116" s="3" t="s">
        <v>233</v>
      </c>
      <c r="D116" s="1" t="s">
        <v>17</v>
      </c>
      <c r="E116" s="5">
        <v>395</v>
      </c>
      <c r="F116" s="1">
        <v>35</v>
      </c>
      <c r="G116" s="4">
        <f t="shared" si="18"/>
        <v>13825</v>
      </c>
      <c r="I116" s="250" t="s">
        <v>103</v>
      </c>
      <c r="J116" s="251"/>
      <c r="K116" s="251"/>
      <c r="L116" s="251"/>
      <c r="M116" s="251"/>
      <c r="N116" s="251"/>
      <c r="O116" s="44">
        <f>O109+O115</f>
        <v>112629.996</v>
      </c>
    </row>
    <row r="117" spans="1:15" ht="16.5" thickBot="1" x14ac:dyDescent="0.3">
      <c r="A117" s="3">
        <v>12</v>
      </c>
      <c r="B117" s="1" t="s">
        <v>219</v>
      </c>
      <c r="C117" s="3" t="s">
        <v>233</v>
      </c>
      <c r="D117" s="1" t="s">
        <v>20</v>
      </c>
      <c r="E117" s="5">
        <v>4</v>
      </c>
      <c r="F117" s="1">
        <v>200</v>
      </c>
      <c r="G117" s="4">
        <f t="shared" si="18"/>
        <v>800</v>
      </c>
      <c r="I117" s="245" t="s">
        <v>95</v>
      </c>
      <c r="J117" s="246"/>
      <c r="K117" s="246"/>
      <c r="L117" s="246"/>
      <c r="M117" s="246"/>
      <c r="N117" s="246"/>
      <c r="O117" s="247"/>
    </row>
    <row r="118" spans="1:15" x14ac:dyDescent="0.25">
      <c r="A118" s="3">
        <v>13</v>
      </c>
      <c r="B118" s="1" t="s">
        <v>47</v>
      </c>
      <c r="C118" s="3" t="s">
        <v>233</v>
      </c>
      <c r="D118" s="1" t="s">
        <v>20</v>
      </c>
      <c r="E118" s="5">
        <v>23</v>
      </c>
      <c r="F118" s="1">
        <v>80</v>
      </c>
      <c r="G118" s="4">
        <f t="shared" si="18"/>
        <v>1840</v>
      </c>
      <c r="I118" s="40" t="s">
        <v>0</v>
      </c>
      <c r="J118" s="40" t="s">
        <v>56</v>
      </c>
      <c r="K118" s="40" t="s">
        <v>3</v>
      </c>
      <c r="L118" s="40" t="s">
        <v>2</v>
      </c>
      <c r="M118" s="40" t="s">
        <v>60</v>
      </c>
      <c r="N118" s="40"/>
      <c r="O118" s="37" t="s">
        <v>57</v>
      </c>
    </row>
    <row r="119" spans="1:15" x14ac:dyDescent="0.25">
      <c r="A119" s="3">
        <v>14</v>
      </c>
      <c r="B119" s="1" t="s">
        <v>19</v>
      </c>
      <c r="C119" s="3" t="s">
        <v>233</v>
      </c>
      <c r="D119" s="1" t="s">
        <v>20</v>
      </c>
      <c r="E119" s="5">
        <v>281</v>
      </c>
      <c r="F119" s="1">
        <v>15</v>
      </c>
      <c r="G119" s="4">
        <f t="shared" si="18"/>
        <v>4215</v>
      </c>
      <c r="I119" s="18">
        <v>1</v>
      </c>
      <c r="J119" s="18" t="s">
        <v>137</v>
      </c>
      <c r="K119" s="18" t="s">
        <v>261</v>
      </c>
      <c r="L119" s="18" t="s">
        <v>167</v>
      </c>
      <c r="M119" s="18">
        <v>4780</v>
      </c>
      <c r="N119" s="18"/>
      <c r="O119" s="21">
        <f>M119</f>
        <v>4780</v>
      </c>
    </row>
    <row r="120" spans="1:15" ht="30" x14ac:dyDescent="0.25">
      <c r="A120" s="3">
        <v>15</v>
      </c>
      <c r="B120" s="1" t="s">
        <v>16</v>
      </c>
      <c r="C120" s="1" t="s">
        <v>233</v>
      </c>
      <c r="D120" s="1" t="s">
        <v>20</v>
      </c>
      <c r="E120" s="5">
        <v>42</v>
      </c>
      <c r="F120" s="1">
        <v>35</v>
      </c>
      <c r="G120" s="5">
        <f t="shared" si="18"/>
        <v>1470</v>
      </c>
      <c r="I120" s="18">
        <v>2</v>
      </c>
      <c r="J120" s="18" t="s">
        <v>58</v>
      </c>
      <c r="K120" s="18" t="s">
        <v>261</v>
      </c>
      <c r="L120" s="20" t="s">
        <v>59</v>
      </c>
      <c r="M120" s="18">
        <v>6390</v>
      </c>
      <c r="N120" s="18"/>
      <c r="O120" s="21">
        <f t="shared" ref="O120:O123" si="20">M120</f>
        <v>6390</v>
      </c>
    </row>
    <row r="121" spans="1:15" x14ac:dyDescent="0.25">
      <c r="A121" s="3">
        <v>16</v>
      </c>
      <c r="B121" s="1" t="s">
        <v>238</v>
      </c>
      <c r="C121" s="1" t="s">
        <v>233</v>
      </c>
      <c r="D121" s="1" t="s">
        <v>20</v>
      </c>
      <c r="E121" s="5">
        <v>80</v>
      </c>
      <c r="F121" s="1">
        <v>120</v>
      </c>
      <c r="G121" s="5">
        <f t="shared" si="18"/>
        <v>9600</v>
      </c>
      <c r="I121" s="18">
        <v>3</v>
      </c>
      <c r="J121" s="18" t="s">
        <v>215</v>
      </c>
      <c r="K121" s="18" t="s">
        <v>261</v>
      </c>
      <c r="L121" s="20" t="s">
        <v>13</v>
      </c>
      <c r="M121" s="18">
        <v>1310</v>
      </c>
      <c r="N121" s="18"/>
      <c r="O121" s="21">
        <f t="shared" si="20"/>
        <v>1310</v>
      </c>
    </row>
    <row r="122" spans="1:15" ht="16.5" thickBot="1" x14ac:dyDescent="0.3">
      <c r="A122" s="233" t="s">
        <v>232</v>
      </c>
      <c r="B122" s="234"/>
      <c r="C122" s="234"/>
      <c r="D122" s="234"/>
      <c r="E122" s="234"/>
      <c r="F122" s="235"/>
      <c r="G122" s="57">
        <v>1500</v>
      </c>
      <c r="I122" s="18">
        <v>4</v>
      </c>
      <c r="J122" s="18" t="s">
        <v>282</v>
      </c>
      <c r="K122" s="18" t="s">
        <v>261</v>
      </c>
      <c r="L122" s="18" t="s">
        <v>13</v>
      </c>
      <c r="M122" s="18">
        <v>9790</v>
      </c>
      <c r="N122" s="18"/>
      <c r="O122" s="21">
        <f t="shared" si="20"/>
        <v>9790</v>
      </c>
    </row>
    <row r="123" spans="1:15" ht="16.5" thickBot="1" x14ac:dyDescent="0.3">
      <c r="A123" s="236" t="s">
        <v>161</v>
      </c>
      <c r="B123" s="237"/>
      <c r="C123" s="237"/>
      <c r="D123" s="237"/>
      <c r="E123" s="237"/>
      <c r="F123" s="238"/>
      <c r="G123" s="51">
        <f>SUM(G106:G121)-G122</f>
        <v>107485.05</v>
      </c>
      <c r="I123" s="18">
        <v>5</v>
      </c>
      <c r="J123" s="18" t="s">
        <v>260</v>
      </c>
      <c r="K123" s="18" t="s">
        <v>261</v>
      </c>
      <c r="L123" s="18" t="s">
        <v>13</v>
      </c>
      <c r="M123" s="18">
        <v>4655</v>
      </c>
      <c r="N123" s="18"/>
      <c r="O123" s="21">
        <f t="shared" si="20"/>
        <v>4655</v>
      </c>
    </row>
    <row r="124" spans="1:15" ht="16.5" thickBot="1" x14ac:dyDescent="0.3">
      <c r="A124" s="239" t="s">
        <v>170</v>
      </c>
      <c r="B124" s="240"/>
      <c r="C124" s="240"/>
      <c r="D124" s="240"/>
      <c r="E124" s="240"/>
      <c r="F124" s="240"/>
      <c r="G124" s="241"/>
      <c r="I124" s="233" t="s">
        <v>25</v>
      </c>
      <c r="J124" s="234"/>
      <c r="K124" s="234"/>
      <c r="L124" s="234"/>
      <c r="M124" s="234"/>
      <c r="N124" s="235"/>
      <c r="O124" s="57">
        <f>SUM(O119:O123)</f>
        <v>26925</v>
      </c>
    </row>
    <row r="125" spans="1:15" ht="16.5" thickBot="1" x14ac:dyDescent="0.3">
      <c r="A125" s="3">
        <v>1</v>
      </c>
      <c r="B125" s="3" t="s">
        <v>194</v>
      </c>
      <c r="C125" s="3" t="s">
        <v>233</v>
      </c>
      <c r="D125" s="3" t="s">
        <v>104</v>
      </c>
      <c r="E125" s="4">
        <v>630</v>
      </c>
      <c r="F125" s="3"/>
      <c r="G125" s="4">
        <v>630</v>
      </c>
      <c r="I125" s="217" t="s">
        <v>101</v>
      </c>
      <c r="J125" s="218"/>
      <c r="K125" s="218"/>
      <c r="L125" s="218"/>
      <c r="M125" s="218"/>
      <c r="N125" s="219"/>
      <c r="O125" s="48">
        <f>O109+O115+O124</f>
        <v>139554.99599999998</v>
      </c>
    </row>
    <row r="126" spans="1:15" ht="15.75" thickBot="1" x14ac:dyDescent="0.3">
      <c r="A126" s="3">
        <v>2</v>
      </c>
      <c r="B126" s="1" t="s">
        <v>102</v>
      </c>
      <c r="C126" s="3" t="s">
        <v>233</v>
      </c>
      <c r="D126" s="1" t="s">
        <v>104</v>
      </c>
      <c r="E126" s="5">
        <v>61</v>
      </c>
      <c r="F126" s="1">
        <v>120</v>
      </c>
      <c r="G126" s="5">
        <f>F126*E126</f>
        <v>7320</v>
      </c>
    </row>
    <row r="127" spans="1:15" ht="16.5" thickBot="1" x14ac:dyDescent="0.3">
      <c r="A127" s="252" t="s">
        <v>162</v>
      </c>
      <c r="B127" s="253"/>
      <c r="C127" s="253"/>
      <c r="D127" s="253"/>
      <c r="E127" s="253"/>
      <c r="F127" s="253"/>
      <c r="G127" s="43">
        <f>SUM(G125:G126)</f>
        <v>7950</v>
      </c>
      <c r="I127" s="33" t="s">
        <v>0</v>
      </c>
      <c r="J127" s="34" t="s">
        <v>1</v>
      </c>
      <c r="K127" s="34" t="s">
        <v>3</v>
      </c>
      <c r="L127" s="34" t="s">
        <v>2</v>
      </c>
      <c r="M127" s="34" t="s">
        <v>6</v>
      </c>
      <c r="N127" s="34" t="s">
        <v>7</v>
      </c>
      <c r="O127" s="35" t="s">
        <v>8</v>
      </c>
    </row>
    <row r="128" spans="1:15" ht="19.5" thickBot="1" x14ac:dyDescent="0.35">
      <c r="A128" s="250" t="s">
        <v>103</v>
      </c>
      <c r="B128" s="251"/>
      <c r="C128" s="251"/>
      <c r="D128" s="251"/>
      <c r="E128" s="251"/>
      <c r="F128" s="251"/>
      <c r="G128" s="44">
        <f>G123+G127</f>
        <v>115435.05</v>
      </c>
      <c r="I128" s="3">
        <v>1</v>
      </c>
      <c r="J128" s="3" t="s">
        <v>4</v>
      </c>
      <c r="K128" s="3" t="s">
        <v>309</v>
      </c>
      <c r="L128" s="3" t="s">
        <v>11</v>
      </c>
      <c r="M128" s="30">
        <v>142.28569999999999</v>
      </c>
      <c r="N128" s="3">
        <v>35</v>
      </c>
      <c r="O128" s="4">
        <f>N128*M128</f>
        <v>4979.9994999999999</v>
      </c>
    </row>
    <row r="129" spans="1:15" ht="16.5" thickBot="1" x14ac:dyDescent="0.3">
      <c r="A129" s="245" t="s">
        <v>95</v>
      </c>
      <c r="B129" s="246"/>
      <c r="C129" s="246"/>
      <c r="D129" s="246"/>
      <c r="E129" s="246"/>
      <c r="F129" s="246"/>
      <c r="G129" s="247"/>
      <c r="I129" s="3">
        <v>2</v>
      </c>
      <c r="J129" s="1" t="s">
        <v>9</v>
      </c>
      <c r="K129" s="3" t="s">
        <v>309</v>
      </c>
      <c r="L129" s="1" t="s">
        <v>12</v>
      </c>
      <c r="M129" s="31">
        <v>433</v>
      </c>
      <c r="N129" s="1">
        <v>35</v>
      </c>
      <c r="O129" s="4">
        <f t="shared" ref="O129:O132" si="21">N129*M129</f>
        <v>15155</v>
      </c>
    </row>
    <row r="130" spans="1:15" x14ac:dyDescent="0.25">
      <c r="A130" s="40" t="s">
        <v>0</v>
      </c>
      <c r="B130" s="40" t="s">
        <v>56</v>
      </c>
      <c r="C130" s="40" t="s">
        <v>3</v>
      </c>
      <c r="D130" s="40" t="s">
        <v>2</v>
      </c>
      <c r="E130" s="40" t="s">
        <v>60</v>
      </c>
      <c r="F130" s="40"/>
      <c r="G130" s="37" t="s">
        <v>57</v>
      </c>
      <c r="I130" s="3">
        <v>3</v>
      </c>
      <c r="J130" s="1" t="s">
        <v>221</v>
      </c>
      <c r="K130" s="3" t="s">
        <v>309</v>
      </c>
      <c r="L130" s="1" t="s">
        <v>12</v>
      </c>
      <c r="M130" s="31">
        <v>28</v>
      </c>
      <c r="N130" s="1">
        <v>80</v>
      </c>
      <c r="O130" s="4">
        <f t="shared" si="21"/>
        <v>2240</v>
      </c>
    </row>
    <row r="131" spans="1:15" x14ac:dyDescent="0.25">
      <c r="A131" s="18">
        <v>1</v>
      </c>
      <c r="B131" s="18" t="s">
        <v>137</v>
      </c>
      <c r="C131" s="18" t="s">
        <v>233</v>
      </c>
      <c r="D131" s="18" t="s">
        <v>167</v>
      </c>
      <c r="E131" s="18">
        <v>4135</v>
      </c>
      <c r="F131" s="18"/>
      <c r="G131" s="21">
        <f>E131</f>
        <v>4135</v>
      </c>
      <c r="I131" s="3">
        <v>4</v>
      </c>
      <c r="J131" s="1" t="s">
        <v>4</v>
      </c>
      <c r="K131" s="3" t="s">
        <v>309</v>
      </c>
      <c r="L131" s="1" t="s">
        <v>12</v>
      </c>
      <c r="M131" s="31">
        <v>363.428</v>
      </c>
      <c r="N131" s="1">
        <v>35</v>
      </c>
      <c r="O131" s="4">
        <f t="shared" si="21"/>
        <v>12719.98</v>
      </c>
    </row>
    <row r="132" spans="1:15" ht="30" x14ac:dyDescent="0.25">
      <c r="A132" s="18">
        <v>2</v>
      </c>
      <c r="B132" s="18" t="s">
        <v>58</v>
      </c>
      <c r="C132" s="18" t="s">
        <v>233</v>
      </c>
      <c r="D132" s="20" t="s">
        <v>59</v>
      </c>
      <c r="E132" s="18">
        <v>2485</v>
      </c>
      <c r="F132" s="18"/>
      <c r="G132" s="21">
        <f t="shared" ref="G132:G136" si="22">E132</f>
        <v>2485</v>
      </c>
      <c r="I132" s="3">
        <v>5</v>
      </c>
      <c r="J132" s="16" t="s">
        <v>287</v>
      </c>
      <c r="K132" s="3" t="s">
        <v>309</v>
      </c>
      <c r="L132" s="1" t="s">
        <v>13</v>
      </c>
      <c r="M132" s="31">
        <v>37.875</v>
      </c>
      <c r="N132" s="1">
        <v>80</v>
      </c>
      <c r="O132" s="30">
        <f t="shared" si="21"/>
        <v>3030</v>
      </c>
    </row>
    <row r="133" spans="1:15" x14ac:dyDescent="0.25">
      <c r="A133" s="18">
        <v>3</v>
      </c>
      <c r="B133" s="18" t="s">
        <v>215</v>
      </c>
      <c r="C133" s="18" t="s">
        <v>233</v>
      </c>
      <c r="D133" s="20" t="s">
        <v>13</v>
      </c>
      <c r="E133" s="18">
        <v>1040</v>
      </c>
      <c r="F133" s="18"/>
      <c r="G133" s="21">
        <f t="shared" si="22"/>
        <v>1040</v>
      </c>
      <c r="I133" s="3">
        <v>6</v>
      </c>
      <c r="J133" s="1" t="s">
        <v>16</v>
      </c>
      <c r="K133" s="3" t="s">
        <v>309</v>
      </c>
      <c r="L133" s="1" t="s">
        <v>13</v>
      </c>
      <c r="M133" s="31">
        <v>158.57140000000001</v>
      </c>
      <c r="N133" s="1">
        <v>35</v>
      </c>
      <c r="O133" s="4">
        <f>N133*M133</f>
        <v>5549.9990000000007</v>
      </c>
    </row>
    <row r="134" spans="1:15" x14ac:dyDescent="0.25">
      <c r="A134" s="18">
        <v>4</v>
      </c>
      <c r="B134" s="18" t="s">
        <v>168</v>
      </c>
      <c r="C134" s="18" t="s">
        <v>233</v>
      </c>
      <c r="D134" s="18" t="s">
        <v>13</v>
      </c>
      <c r="E134" s="18">
        <v>950</v>
      </c>
      <c r="F134" s="18"/>
      <c r="G134" s="21">
        <f t="shared" si="22"/>
        <v>950</v>
      </c>
      <c r="I134" s="3">
        <v>7</v>
      </c>
      <c r="J134" s="1" t="s">
        <v>221</v>
      </c>
      <c r="K134" s="3" t="s">
        <v>309</v>
      </c>
      <c r="L134" s="1" t="s">
        <v>13</v>
      </c>
      <c r="M134" s="31">
        <v>8</v>
      </c>
      <c r="N134" s="1">
        <v>80</v>
      </c>
      <c r="O134" s="4">
        <f t="shared" ref="O134:O143" si="23">N134*M134</f>
        <v>640</v>
      </c>
    </row>
    <row r="135" spans="1:15" x14ac:dyDescent="0.25">
      <c r="A135" s="18">
        <v>5</v>
      </c>
      <c r="B135" s="18" t="s">
        <v>260</v>
      </c>
      <c r="C135" s="18" t="s">
        <v>233</v>
      </c>
      <c r="D135" s="18" t="s">
        <v>13</v>
      </c>
      <c r="E135" s="18">
        <v>190</v>
      </c>
      <c r="F135" s="18"/>
      <c r="G135" s="21">
        <f t="shared" si="22"/>
        <v>190</v>
      </c>
      <c r="I135" s="3">
        <v>8</v>
      </c>
      <c r="J135" s="1" t="s">
        <v>311</v>
      </c>
      <c r="K135" s="3" t="s">
        <v>309</v>
      </c>
      <c r="L135" s="1" t="s">
        <v>13</v>
      </c>
      <c r="M135" s="31">
        <v>34</v>
      </c>
      <c r="N135" s="1">
        <v>110</v>
      </c>
      <c r="O135" s="4">
        <f>N135*M135</f>
        <v>3740</v>
      </c>
    </row>
    <row r="136" spans="1:15" x14ac:dyDescent="0.25">
      <c r="A136" s="18">
        <v>6</v>
      </c>
      <c r="B136" s="18" t="s">
        <v>85</v>
      </c>
      <c r="C136" s="18" t="s">
        <v>233</v>
      </c>
      <c r="D136" s="18" t="s">
        <v>13</v>
      </c>
      <c r="E136" s="18">
        <v>1045</v>
      </c>
      <c r="F136" s="18"/>
      <c r="G136" s="21">
        <f t="shared" si="22"/>
        <v>1045</v>
      </c>
      <c r="I136" s="3">
        <v>9</v>
      </c>
      <c r="J136" s="1" t="s">
        <v>312</v>
      </c>
      <c r="K136" s="3" t="s">
        <v>309</v>
      </c>
      <c r="L136" s="1" t="s">
        <v>13</v>
      </c>
      <c r="M136" s="31">
        <v>12</v>
      </c>
      <c r="N136" s="1">
        <v>180</v>
      </c>
      <c r="O136" s="4">
        <f t="shared" si="23"/>
        <v>2160</v>
      </c>
    </row>
    <row r="137" spans="1:15" ht="16.5" thickBot="1" x14ac:dyDescent="0.3">
      <c r="A137" s="233" t="s">
        <v>25</v>
      </c>
      <c r="B137" s="234"/>
      <c r="C137" s="234"/>
      <c r="D137" s="234"/>
      <c r="E137" s="234"/>
      <c r="F137" s="235"/>
      <c r="G137" s="57">
        <f>SUM(G131:G136)</f>
        <v>9845</v>
      </c>
      <c r="I137" s="3">
        <v>10</v>
      </c>
      <c r="J137" s="1" t="s">
        <v>19</v>
      </c>
      <c r="K137" s="3" t="s">
        <v>309</v>
      </c>
      <c r="L137" s="1" t="s">
        <v>13</v>
      </c>
      <c r="M137" s="31">
        <v>966</v>
      </c>
      <c r="N137" s="1">
        <v>15</v>
      </c>
      <c r="O137" s="4">
        <f t="shared" si="23"/>
        <v>14490</v>
      </c>
    </row>
    <row r="138" spans="1:15" ht="16.5" thickBot="1" x14ac:dyDescent="0.3">
      <c r="A138" s="217" t="s">
        <v>101</v>
      </c>
      <c r="B138" s="218"/>
      <c r="C138" s="218"/>
      <c r="D138" s="218"/>
      <c r="E138" s="218"/>
      <c r="F138" s="219"/>
      <c r="G138" s="48">
        <f>G123+G127+G137</f>
        <v>125280.05</v>
      </c>
      <c r="I138" s="3">
        <v>11</v>
      </c>
      <c r="J138" s="1" t="s">
        <v>313</v>
      </c>
      <c r="K138" s="3" t="s">
        <v>309</v>
      </c>
      <c r="L138" s="1" t="s">
        <v>13</v>
      </c>
      <c r="M138" s="31">
        <v>5</v>
      </c>
      <c r="N138" s="1">
        <v>200</v>
      </c>
      <c r="O138" s="4">
        <f t="shared" si="23"/>
        <v>1000</v>
      </c>
    </row>
    <row r="139" spans="1:15" ht="15.75" thickBot="1" x14ac:dyDescent="0.3">
      <c r="I139" s="3">
        <v>12</v>
      </c>
      <c r="J139" s="1" t="s">
        <v>16</v>
      </c>
      <c r="K139" s="3" t="s">
        <v>309</v>
      </c>
      <c r="L139" s="1" t="s">
        <v>17</v>
      </c>
      <c r="M139" s="5">
        <v>261.14280000000002</v>
      </c>
      <c r="N139" s="1">
        <v>35</v>
      </c>
      <c r="O139" s="4">
        <f t="shared" si="23"/>
        <v>9139.9980000000014</v>
      </c>
    </row>
    <row r="140" spans="1:15" ht="16.5" thickBot="1" x14ac:dyDescent="0.3">
      <c r="A140" s="33" t="s">
        <v>0</v>
      </c>
      <c r="B140" s="34" t="s">
        <v>1</v>
      </c>
      <c r="C140" s="34" t="s">
        <v>3</v>
      </c>
      <c r="D140" s="34" t="s">
        <v>2</v>
      </c>
      <c r="E140" s="34" t="s">
        <v>6</v>
      </c>
      <c r="F140" s="34" t="s">
        <v>7</v>
      </c>
      <c r="G140" s="35" t="s">
        <v>8</v>
      </c>
      <c r="I140" s="3">
        <v>13</v>
      </c>
      <c r="J140" s="1" t="s">
        <v>124</v>
      </c>
      <c r="K140" s="3" t="s">
        <v>309</v>
      </c>
      <c r="L140" s="1" t="s">
        <v>20</v>
      </c>
      <c r="M140" s="5">
        <v>41</v>
      </c>
      <c r="N140" s="1">
        <v>110</v>
      </c>
      <c r="O140" s="4">
        <f t="shared" si="23"/>
        <v>4510</v>
      </c>
    </row>
    <row r="141" spans="1:15" x14ac:dyDescent="0.25">
      <c r="A141" s="3">
        <v>1</v>
      </c>
      <c r="B141" s="3" t="s">
        <v>4</v>
      </c>
      <c r="C141" s="3" t="s">
        <v>283</v>
      </c>
      <c r="D141" s="3" t="s">
        <v>11</v>
      </c>
      <c r="E141" s="30">
        <v>155</v>
      </c>
      <c r="F141" s="3">
        <v>35</v>
      </c>
      <c r="G141" s="4">
        <f>F141*E141</f>
        <v>5425</v>
      </c>
      <c r="I141" s="3">
        <v>14</v>
      </c>
      <c r="J141" s="1" t="s">
        <v>19</v>
      </c>
      <c r="K141" s="3" t="s">
        <v>309</v>
      </c>
      <c r="L141" s="1" t="s">
        <v>20</v>
      </c>
      <c r="M141" s="5">
        <v>297</v>
      </c>
      <c r="N141" s="1">
        <v>15</v>
      </c>
      <c r="O141" s="4">
        <f t="shared" si="23"/>
        <v>4455</v>
      </c>
    </row>
    <row r="142" spans="1:15" x14ac:dyDescent="0.25">
      <c r="A142" s="3">
        <v>2</v>
      </c>
      <c r="B142" s="1" t="s">
        <v>9</v>
      </c>
      <c r="C142" s="3" t="s">
        <v>283</v>
      </c>
      <c r="D142" s="1" t="s">
        <v>12</v>
      </c>
      <c r="E142" s="31">
        <v>462</v>
      </c>
      <c r="F142" s="1">
        <v>35</v>
      </c>
      <c r="G142" s="4">
        <f t="shared" ref="G142:G145" si="24">F142*E142</f>
        <v>16170</v>
      </c>
      <c r="I142" s="3">
        <v>15</v>
      </c>
      <c r="J142" s="1" t="s">
        <v>16</v>
      </c>
      <c r="K142" s="3" t="s">
        <v>309</v>
      </c>
      <c r="L142" s="1" t="s">
        <v>20</v>
      </c>
      <c r="M142" s="5">
        <v>36</v>
      </c>
      <c r="N142" s="1">
        <v>35</v>
      </c>
      <c r="O142" s="5">
        <f t="shared" si="23"/>
        <v>1260</v>
      </c>
    </row>
    <row r="143" spans="1:15" x14ac:dyDescent="0.25">
      <c r="A143" s="3">
        <v>3</v>
      </c>
      <c r="B143" s="1" t="s">
        <v>284</v>
      </c>
      <c r="C143" s="3" t="s">
        <v>283</v>
      </c>
      <c r="D143" s="1" t="s">
        <v>12</v>
      </c>
      <c r="E143" s="31">
        <v>16</v>
      </c>
      <c r="F143" s="1">
        <v>70</v>
      </c>
      <c r="G143" s="4">
        <f t="shared" si="24"/>
        <v>1120</v>
      </c>
      <c r="I143" s="3">
        <v>16</v>
      </c>
      <c r="J143" s="1" t="s">
        <v>181</v>
      </c>
      <c r="K143" s="3" t="s">
        <v>309</v>
      </c>
      <c r="L143" s="1" t="s">
        <v>20</v>
      </c>
      <c r="M143" s="5">
        <v>4</v>
      </c>
      <c r="N143" s="1">
        <v>200</v>
      </c>
      <c r="O143" s="5">
        <f t="shared" si="23"/>
        <v>800</v>
      </c>
    </row>
    <row r="144" spans="1:15" ht="16.5" thickBot="1" x14ac:dyDescent="0.3">
      <c r="A144" s="3">
        <v>4</v>
      </c>
      <c r="B144" s="1" t="s">
        <v>4</v>
      </c>
      <c r="C144" s="3" t="s">
        <v>283</v>
      </c>
      <c r="D144" s="1" t="s">
        <v>12</v>
      </c>
      <c r="E144" s="31">
        <v>358</v>
      </c>
      <c r="F144" s="1">
        <v>35</v>
      </c>
      <c r="G144" s="4">
        <f t="shared" si="24"/>
        <v>12530</v>
      </c>
      <c r="I144" s="233" t="s">
        <v>232</v>
      </c>
      <c r="J144" s="234"/>
      <c r="K144" s="234"/>
      <c r="L144" s="234"/>
      <c r="M144" s="234"/>
      <c r="N144" s="235"/>
      <c r="O144" s="57">
        <v>1330</v>
      </c>
    </row>
    <row r="145" spans="1:15" ht="16.5" thickBot="1" x14ac:dyDescent="0.3">
      <c r="A145" s="3">
        <v>5</v>
      </c>
      <c r="B145" s="16" t="s">
        <v>286</v>
      </c>
      <c r="C145" s="3" t="s">
        <v>283</v>
      </c>
      <c r="D145" s="1" t="s">
        <v>13</v>
      </c>
      <c r="E145" s="31">
        <v>23</v>
      </c>
      <c r="F145" s="1">
        <v>180</v>
      </c>
      <c r="G145" s="4">
        <f t="shared" si="24"/>
        <v>4140</v>
      </c>
      <c r="I145" s="236" t="s">
        <v>161</v>
      </c>
      <c r="J145" s="237"/>
      <c r="K145" s="237"/>
      <c r="L145" s="237"/>
      <c r="M145" s="237"/>
      <c r="N145" s="238"/>
      <c r="O145" s="51">
        <f>SUM(O128:O143)-O144</f>
        <v>84539.976500000004</v>
      </c>
    </row>
    <row r="146" spans="1:15" ht="16.5" thickBot="1" x14ac:dyDescent="0.3">
      <c r="A146" s="3">
        <v>6</v>
      </c>
      <c r="B146" s="1" t="s">
        <v>16</v>
      </c>
      <c r="C146" s="3" t="s">
        <v>283</v>
      </c>
      <c r="D146" s="1" t="s">
        <v>13</v>
      </c>
      <c r="E146" s="31">
        <v>100</v>
      </c>
      <c r="F146" s="1">
        <v>35</v>
      </c>
      <c r="G146" s="4">
        <f>F146*E146</f>
        <v>3500</v>
      </c>
      <c r="I146" s="239" t="s">
        <v>170</v>
      </c>
      <c r="J146" s="240"/>
      <c r="K146" s="240"/>
      <c r="L146" s="240"/>
      <c r="M146" s="240"/>
      <c r="N146" s="240"/>
      <c r="O146" s="241"/>
    </row>
    <row r="147" spans="1:15" x14ac:dyDescent="0.25">
      <c r="A147" s="3">
        <v>7</v>
      </c>
      <c r="B147" s="1" t="s">
        <v>285</v>
      </c>
      <c r="C147" s="3" t="s">
        <v>283</v>
      </c>
      <c r="D147" s="1" t="s">
        <v>13</v>
      </c>
      <c r="E147" s="31">
        <v>43</v>
      </c>
      <c r="F147" s="1">
        <v>80</v>
      </c>
      <c r="G147" s="4">
        <f t="shared" ref="G147:G159" si="25">F147*E147</f>
        <v>3440</v>
      </c>
      <c r="I147" s="3">
        <v>1</v>
      </c>
      <c r="J147" s="3" t="s">
        <v>263</v>
      </c>
      <c r="K147" s="3" t="s">
        <v>309</v>
      </c>
      <c r="L147" s="3" t="s">
        <v>104</v>
      </c>
      <c r="M147" s="4">
        <v>8</v>
      </c>
      <c r="N147" s="3">
        <v>150</v>
      </c>
      <c r="O147" s="4">
        <f>N147*M147</f>
        <v>1200</v>
      </c>
    </row>
    <row r="148" spans="1:15" x14ac:dyDescent="0.25">
      <c r="A148" s="3">
        <v>8</v>
      </c>
      <c r="B148" s="1" t="s">
        <v>124</v>
      </c>
      <c r="C148" s="3" t="s">
        <v>283</v>
      </c>
      <c r="D148" s="1" t="s">
        <v>13</v>
      </c>
      <c r="E148" s="31">
        <v>124</v>
      </c>
      <c r="F148" s="1">
        <v>110</v>
      </c>
      <c r="G148" s="4">
        <f t="shared" si="25"/>
        <v>13640</v>
      </c>
      <c r="I148" s="3">
        <v>2</v>
      </c>
      <c r="J148" s="3" t="s">
        <v>194</v>
      </c>
      <c r="K148" s="3" t="s">
        <v>309</v>
      </c>
      <c r="L148" s="3" t="s">
        <v>104</v>
      </c>
      <c r="M148" s="4">
        <v>1</v>
      </c>
      <c r="N148" s="3">
        <v>1350</v>
      </c>
      <c r="O148" s="4">
        <f t="shared" ref="O148:O151" si="26">N148*M148</f>
        <v>1350</v>
      </c>
    </row>
    <row r="149" spans="1:15" x14ac:dyDescent="0.25">
      <c r="A149" s="3">
        <v>9</v>
      </c>
      <c r="B149" s="1" t="s">
        <v>141</v>
      </c>
      <c r="C149" s="3" t="s">
        <v>283</v>
      </c>
      <c r="D149" s="1" t="s">
        <v>13</v>
      </c>
      <c r="E149" s="31">
        <v>320</v>
      </c>
      <c r="F149" s="1">
        <v>1</v>
      </c>
      <c r="G149" s="4">
        <f t="shared" si="25"/>
        <v>320</v>
      </c>
      <c r="H149" s="53"/>
      <c r="I149" s="3">
        <v>3</v>
      </c>
      <c r="J149" s="1" t="s">
        <v>110</v>
      </c>
      <c r="K149" s="3" t="s">
        <v>309</v>
      </c>
      <c r="L149" s="3" t="s">
        <v>104</v>
      </c>
      <c r="M149" s="5">
        <v>16</v>
      </c>
      <c r="N149" s="1">
        <v>120</v>
      </c>
      <c r="O149" s="4">
        <f t="shared" si="26"/>
        <v>1920</v>
      </c>
    </row>
    <row r="150" spans="1:15" x14ac:dyDescent="0.25">
      <c r="A150" s="3">
        <v>10</v>
      </c>
      <c r="B150" s="1" t="s">
        <v>19</v>
      </c>
      <c r="C150" s="3" t="s">
        <v>283</v>
      </c>
      <c r="D150" s="1" t="s">
        <v>13</v>
      </c>
      <c r="E150" s="31">
        <v>1401</v>
      </c>
      <c r="F150" s="1">
        <v>15</v>
      </c>
      <c r="G150" s="4">
        <f t="shared" si="25"/>
        <v>21015</v>
      </c>
      <c r="H150" s="53"/>
      <c r="I150" s="3">
        <v>4</v>
      </c>
      <c r="J150" s="1" t="s">
        <v>102</v>
      </c>
      <c r="K150" s="3" t="s">
        <v>309</v>
      </c>
      <c r="L150" s="3" t="s">
        <v>104</v>
      </c>
      <c r="M150" s="5">
        <v>42</v>
      </c>
      <c r="N150" s="1">
        <v>120</v>
      </c>
      <c r="O150" s="4">
        <f t="shared" si="26"/>
        <v>5040</v>
      </c>
    </row>
    <row r="151" spans="1:15" ht="15.75" thickBot="1" x14ac:dyDescent="0.3">
      <c r="A151" s="3">
        <v>11</v>
      </c>
      <c r="B151" s="1" t="s">
        <v>287</v>
      </c>
      <c r="C151" s="3" t="s">
        <v>283</v>
      </c>
      <c r="D151" s="1" t="s">
        <v>13</v>
      </c>
      <c r="E151" s="31">
        <v>56</v>
      </c>
      <c r="F151" s="1">
        <v>80</v>
      </c>
      <c r="G151" s="4">
        <f t="shared" si="25"/>
        <v>4480</v>
      </c>
      <c r="H151" s="53"/>
      <c r="I151" s="7">
        <v>5</v>
      </c>
      <c r="J151" s="7" t="s">
        <v>178</v>
      </c>
      <c r="K151" s="3" t="s">
        <v>309</v>
      </c>
      <c r="L151" s="3" t="s">
        <v>104</v>
      </c>
      <c r="M151" s="8">
        <v>13</v>
      </c>
      <c r="N151" s="7">
        <v>50</v>
      </c>
      <c r="O151" s="4">
        <f t="shared" si="26"/>
        <v>650</v>
      </c>
    </row>
    <row r="152" spans="1:15" ht="16.5" thickBot="1" x14ac:dyDescent="0.3">
      <c r="A152" s="3">
        <v>12</v>
      </c>
      <c r="B152" s="1" t="s">
        <v>16</v>
      </c>
      <c r="C152" s="3" t="s">
        <v>283</v>
      </c>
      <c r="D152" s="1" t="s">
        <v>17</v>
      </c>
      <c r="E152" s="5">
        <v>353</v>
      </c>
      <c r="F152" s="1">
        <v>35</v>
      </c>
      <c r="G152" s="4">
        <f t="shared" si="25"/>
        <v>12355</v>
      </c>
      <c r="I152" s="252" t="s">
        <v>162</v>
      </c>
      <c r="J152" s="253"/>
      <c r="K152" s="253"/>
      <c r="L152" s="253"/>
      <c r="M152" s="253"/>
      <c r="N152" s="253"/>
      <c r="O152" s="43">
        <f>SUM(O147:O151)</f>
        <v>10160</v>
      </c>
    </row>
    <row r="153" spans="1:15" ht="19.5" thickBot="1" x14ac:dyDescent="0.35">
      <c r="A153" s="3">
        <v>13</v>
      </c>
      <c r="B153" s="1" t="s">
        <v>288</v>
      </c>
      <c r="C153" s="3" t="s">
        <v>283</v>
      </c>
      <c r="D153" s="1" t="s">
        <v>20</v>
      </c>
      <c r="E153" s="5">
        <v>25</v>
      </c>
      <c r="F153" s="1">
        <v>80</v>
      </c>
      <c r="G153" s="4">
        <f t="shared" si="25"/>
        <v>2000</v>
      </c>
      <c r="I153" s="250" t="s">
        <v>103</v>
      </c>
      <c r="J153" s="251"/>
      <c r="K153" s="251"/>
      <c r="L153" s="251"/>
      <c r="M153" s="251"/>
      <c r="N153" s="251"/>
      <c r="O153" s="44">
        <f>O145+O152</f>
        <v>94699.976500000004</v>
      </c>
    </row>
    <row r="154" spans="1:15" ht="16.5" thickBot="1" x14ac:dyDescent="0.3">
      <c r="A154" s="3">
        <v>14</v>
      </c>
      <c r="B154" s="1" t="s">
        <v>308</v>
      </c>
      <c r="C154" s="3" t="s">
        <v>283</v>
      </c>
      <c r="D154" s="1" t="s">
        <v>20</v>
      </c>
      <c r="E154" s="5">
        <v>4</v>
      </c>
      <c r="F154" s="1">
        <v>100</v>
      </c>
      <c r="G154" s="4">
        <f t="shared" si="25"/>
        <v>400</v>
      </c>
      <c r="H154" s="53"/>
      <c r="I154" s="245" t="s">
        <v>95</v>
      </c>
      <c r="J154" s="246"/>
      <c r="K154" s="246"/>
      <c r="L154" s="246"/>
      <c r="M154" s="246"/>
      <c r="N154" s="246"/>
      <c r="O154" s="247"/>
    </row>
    <row r="155" spans="1:15" x14ac:dyDescent="0.25">
      <c r="A155" s="3">
        <v>15</v>
      </c>
      <c r="B155" s="1" t="s">
        <v>19</v>
      </c>
      <c r="C155" s="3" t="s">
        <v>283</v>
      </c>
      <c r="D155" s="1" t="s">
        <v>20</v>
      </c>
      <c r="E155" s="5">
        <v>273</v>
      </c>
      <c r="F155" s="1">
        <v>15</v>
      </c>
      <c r="G155" s="4">
        <f t="shared" si="25"/>
        <v>4095</v>
      </c>
      <c r="H155" s="53"/>
      <c r="I155" s="40" t="s">
        <v>0</v>
      </c>
      <c r="J155" s="40" t="s">
        <v>56</v>
      </c>
      <c r="K155" s="40" t="s">
        <v>3</v>
      </c>
      <c r="L155" s="40" t="s">
        <v>2</v>
      </c>
      <c r="M155" s="40" t="s">
        <v>60</v>
      </c>
      <c r="N155" s="40"/>
      <c r="O155" s="37" t="s">
        <v>57</v>
      </c>
    </row>
    <row r="156" spans="1:15" x14ac:dyDescent="0.25">
      <c r="A156" s="3">
        <v>16</v>
      </c>
      <c r="B156" s="1" t="s">
        <v>16</v>
      </c>
      <c r="C156" s="3" t="s">
        <v>283</v>
      </c>
      <c r="D156" s="1" t="s">
        <v>20</v>
      </c>
      <c r="E156" s="5">
        <v>54</v>
      </c>
      <c r="F156" s="1">
        <v>35</v>
      </c>
      <c r="G156" s="5">
        <f t="shared" si="25"/>
        <v>1890</v>
      </c>
      <c r="I156" s="18">
        <v>1</v>
      </c>
      <c r="J156" s="18" t="s">
        <v>137</v>
      </c>
      <c r="K156" s="18" t="s">
        <v>309</v>
      </c>
      <c r="L156" s="18" t="s">
        <v>167</v>
      </c>
      <c r="M156" s="18">
        <v>9425</v>
      </c>
      <c r="N156" s="18"/>
      <c r="O156" s="21">
        <f>M156</f>
        <v>9425</v>
      </c>
    </row>
    <row r="157" spans="1:15" ht="30" x14ac:dyDescent="0.25">
      <c r="A157" s="3">
        <v>17</v>
      </c>
      <c r="B157" s="1" t="s">
        <v>307</v>
      </c>
      <c r="C157" s="3" t="s">
        <v>283</v>
      </c>
      <c r="D157" s="1" t="s">
        <v>20</v>
      </c>
      <c r="E157" s="5">
        <v>30</v>
      </c>
      <c r="F157" s="1">
        <v>120</v>
      </c>
      <c r="G157" s="5">
        <f t="shared" si="25"/>
        <v>3600</v>
      </c>
      <c r="I157" s="18">
        <v>2</v>
      </c>
      <c r="J157" s="18" t="s">
        <v>58</v>
      </c>
      <c r="K157" s="18" t="s">
        <v>309</v>
      </c>
      <c r="L157" s="20" t="s">
        <v>59</v>
      </c>
      <c r="M157" s="18">
        <v>5280</v>
      </c>
      <c r="N157" s="18"/>
      <c r="O157" s="21">
        <f t="shared" ref="O157:O159" si="27">M157</f>
        <v>5280</v>
      </c>
    </row>
    <row r="158" spans="1:15" x14ac:dyDescent="0.25">
      <c r="A158" s="1">
        <v>18</v>
      </c>
      <c r="B158" s="1" t="s">
        <v>164</v>
      </c>
      <c r="C158" s="3" t="s">
        <v>283</v>
      </c>
      <c r="D158" s="1" t="s">
        <v>20</v>
      </c>
      <c r="E158" s="5">
        <v>3</v>
      </c>
      <c r="F158" s="1">
        <v>110</v>
      </c>
      <c r="G158" s="5">
        <f t="shared" si="25"/>
        <v>330</v>
      </c>
      <c r="I158" s="18">
        <v>3</v>
      </c>
      <c r="J158" s="18" t="s">
        <v>215</v>
      </c>
      <c r="K158" s="18" t="s">
        <v>309</v>
      </c>
      <c r="L158" s="20" t="s">
        <v>13</v>
      </c>
      <c r="M158" s="18">
        <v>785</v>
      </c>
      <c r="N158" s="18"/>
      <c r="O158" s="21">
        <f t="shared" si="27"/>
        <v>785</v>
      </c>
    </row>
    <row r="159" spans="1:15" x14ac:dyDescent="0.25">
      <c r="A159" s="1">
        <v>19</v>
      </c>
      <c r="B159" s="1" t="s">
        <v>32</v>
      </c>
      <c r="C159" s="3" t="s">
        <v>283</v>
      </c>
      <c r="D159" s="1" t="s">
        <v>20</v>
      </c>
      <c r="E159" s="5">
        <v>1</v>
      </c>
      <c r="F159" s="1">
        <v>120</v>
      </c>
      <c r="G159" s="5">
        <f t="shared" si="25"/>
        <v>120</v>
      </c>
      <c r="I159" s="18">
        <v>4</v>
      </c>
      <c r="J159" s="18" t="s">
        <v>169</v>
      </c>
      <c r="K159" s="18" t="s">
        <v>309</v>
      </c>
      <c r="L159" s="18" t="s">
        <v>93</v>
      </c>
      <c r="M159" s="18">
        <v>490</v>
      </c>
      <c r="N159" s="18"/>
      <c r="O159" s="21">
        <f t="shared" si="27"/>
        <v>490</v>
      </c>
    </row>
    <row r="160" spans="1:15" ht="16.5" thickBot="1" x14ac:dyDescent="0.3">
      <c r="A160" s="233" t="s">
        <v>232</v>
      </c>
      <c r="B160" s="234"/>
      <c r="C160" s="234"/>
      <c r="D160" s="234"/>
      <c r="E160" s="234"/>
      <c r="F160" s="235"/>
      <c r="G160" s="57">
        <v>2360</v>
      </c>
      <c r="I160" s="233" t="s">
        <v>25</v>
      </c>
      <c r="J160" s="234"/>
      <c r="K160" s="234"/>
      <c r="L160" s="234"/>
      <c r="M160" s="234"/>
      <c r="N160" s="235"/>
      <c r="O160" s="57">
        <f>SUM(O156:O159)</f>
        <v>15980</v>
      </c>
    </row>
    <row r="161" spans="1:15" ht="16.5" thickBot="1" x14ac:dyDescent="0.3">
      <c r="A161" s="236" t="s">
        <v>161</v>
      </c>
      <c r="B161" s="237"/>
      <c r="C161" s="237"/>
      <c r="D161" s="237"/>
      <c r="E161" s="237"/>
      <c r="F161" s="238"/>
      <c r="G161" s="51">
        <f>SUM(G141:G159)-G160</f>
        <v>108210</v>
      </c>
      <c r="I161" s="217" t="s">
        <v>101</v>
      </c>
      <c r="J161" s="218"/>
      <c r="K161" s="218"/>
      <c r="L161" s="218"/>
      <c r="M161" s="218"/>
      <c r="N161" s="219"/>
      <c r="O161" s="48">
        <f>O145+O152+O160</f>
        <v>110679.9765</v>
      </c>
    </row>
    <row r="162" spans="1:15" ht="16.5" thickBot="1" x14ac:dyDescent="0.3">
      <c r="A162" s="239" t="s">
        <v>170</v>
      </c>
      <c r="B162" s="240"/>
      <c r="C162" s="240"/>
      <c r="D162" s="240"/>
      <c r="E162" s="240"/>
      <c r="F162" s="240"/>
      <c r="G162" s="241"/>
    </row>
    <row r="163" spans="1:15" ht="16.5" thickBot="1" x14ac:dyDescent="0.3">
      <c r="A163" s="3">
        <v>1</v>
      </c>
      <c r="B163" s="3" t="s">
        <v>263</v>
      </c>
      <c r="C163" s="3" t="s">
        <v>283</v>
      </c>
      <c r="D163" s="3" t="s">
        <v>104</v>
      </c>
      <c r="E163" s="4">
        <v>20</v>
      </c>
      <c r="F163" s="3">
        <v>150</v>
      </c>
      <c r="G163" s="4">
        <f>F163*E163</f>
        <v>3000</v>
      </c>
      <c r="I163" s="33" t="s">
        <v>0</v>
      </c>
      <c r="J163" s="34" t="s">
        <v>1</v>
      </c>
      <c r="K163" s="34" t="s">
        <v>3</v>
      </c>
      <c r="L163" s="34" t="s">
        <v>2</v>
      </c>
      <c r="M163" s="34" t="s">
        <v>6</v>
      </c>
      <c r="N163" s="34" t="s">
        <v>7</v>
      </c>
      <c r="O163" s="35" t="s">
        <v>8</v>
      </c>
    </row>
    <row r="164" spans="1:15" x14ac:dyDescent="0.25">
      <c r="A164" s="3">
        <v>2</v>
      </c>
      <c r="B164" s="3" t="s">
        <v>194</v>
      </c>
      <c r="C164" s="3" t="s">
        <v>283</v>
      </c>
      <c r="D164" s="3" t="s">
        <v>104</v>
      </c>
      <c r="E164" s="4">
        <v>1</v>
      </c>
      <c r="F164" s="3">
        <v>1320</v>
      </c>
      <c r="G164" s="4">
        <f t="shared" ref="G164:G167" si="28">F164*E164</f>
        <v>1320</v>
      </c>
      <c r="I164" s="3">
        <v>1</v>
      </c>
      <c r="J164" s="3" t="s">
        <v>4</v>
      </c>
      <c r="K164" s="3" t="s">
        <v>357</v>
      </c>
      <c r="L164" s="3" t="s">
        <v>11</v>
      </c>
      <c r="M164" s="30">
        <v>166.28570999999999</v>
      </c>
      <c r="N164" s="3">
        <v>35</v>
      </c>
      <c r="O164" s="4">
        <f>N164*M164</f>
        <v>5819.9998500000002</v>
      </c>
    </row>
    <row r="165" spans="1:15" x14ac:dyDescent="0.25">
      <c r="A165" s="3">
        <v>3</v>
      </c>
      <c r="B165" s="1" t="s">
        <v>110</v>
      </c>
      <c r="C165" s="3" t="s">
        <v>283</v>
      </c>
      <c r="D165" s="3" t="s">
        <v>104</v>
      </c>
      <c r="E165" s="5">
        <v>17</v>
      </c>
      <c r="F165" s="1">
        <v>120</v>
      </c>
      <c r="G165" s="4">
        <f t="shared" si="28"/>
        <v>2040</v>
      </c>
      <c r="I165" s="3">
        <v>2</v>
      </c>
      <c r="J165" s="1" t="s">
        <v>9</v>
      </c>
      <c r="K165" s="3" t="s">
        <v>357</v>
      </c>
      <c r="L165" s="1" t="s">
        <v>12</v>
      </c>
      <c r="M165" s="31">
        <v>397</v>
      </c>
      <c r="N165" s="1">
        <v>35</v>
      </c>
      <c r="O165" s="4">
        <f t="shared" ref="O165:O168" si="29">N165*M165</f>
        <v>13895</v>
      </c>
    </row>
    <row r="166" spans="1:15" x14ac:dyDescent="0.25">
      <c r="A166" s="3">
        <v>4</v>
      </c>
      <c r="B166" s="1" t="s">
        <v>102</v>
      </c>
      <c r="C166" s="3" t="s">
        <v>283</v>
      </c>
      <c r="D166" s="3" t="s">
        <v>104</v>
      </c>
      <c r="E166" s="5">
        <v>45</v>
      </c>
      <c r="F166" s="1">
        <v>120</v>
      </c>
      <c r="G166" s="4">
        <f t="shared" si="28"/>
        <v>5400</v>
      </c>
      <c r="I166" s="3">
        <v>3</v>
      </c>
      <c r="J166" s="1" t="s">
        <v>358</v>
      </c>
      <c r="K166" s="3" t="s">
        <v>357</v>
      </c>
      <c r="L166" s="1" t="s">
        <v>12</v>
      </c>
      <c r="M166" s="31">
        <v>28</v>
      </c>
      <c r="N166" s="1">
        <v>50</v>
      </c>
      <c r="O166" s="4">
        <f t="shared" si="29"/>
        <v>1400</v>
      </c>
    </row>
    <row r="167" spans="1:15" ht="15.75" thickBot="1" x14ac:dyDescent="0.3">
      <c r="A167" s="7">
        <v>5</v>
      </c>
      <c r="B167" s="7" t="s">
        <v>178</v>
      </c>
      <c r="C167" s="3" t="s">
        <v>283</v>
      </c>
      <c r="D167" s="3" t="s">
        <v>104</v>
      </c>
      <c r="E167" s="8">
        <v>1</v>
      </c>
      <c r="F167" s="7">
        <v>600</v>
      </c>
      <c r="G167" s="4">
        <f t="shared" si="28"/>
        <v>600</v>
      </c>
      <c r="I167" s="3">
        <v>4</v>
      </c>
      <c r="J167" s="1" t="s">
        <v>4</v>
      </c>
      <c r="K167" s="3" t="s">
        <v>357</v>
      </c>
      <c r="L167" s="1" t="s">
        <v>12</v>
      </c>
      <c r="M167" s="31">
        <v>382.28570000000002</v>
      </c>
      <c r="N167" s="1">
        <v>35</v>
      </c>
      <c r="O167" s="4">
        <f t="shared" si="29"/>
        <v>13379.9995</v>
      </c>
    </row>
    <row r="168" spans="1:15" ht="16.5" thickBot="1" x14ac:dyDescent="0.3">
      <c r="A168" s="252" t="s">
        <v>162</v>
      </c>
      <c r="B168" s="253"/>
      <c r="C168" s="253"/>
      <c r="D168" s="253"/>
      <c r="E168" s="253"/>
      <c r="F168" s="253"/>
      <c r="G168" s="43">
        <f>SUM(G163:G167)</f>
        <v>12360</v>
      </c>
      <c r="I168" s="3">
        <v>5</v>
      </c>
      <c r="J168" s="16" t="s">
        <v>47</v>
      </c>
      <c r="K168" s="3" t="s">
        <v>357</v>
      </c>
      <c r="L168" s="1" t="s">
        <v>13</v>
      </c>
      <c r="M168" s="31">
        <v>168</v>
      </c>
      <c r="N168" s="1">
        <v>80</v>
      </c>
      <c r="O168" s="30">
        <f t="shared" si="29"/>
        <v>13440</v>
      </c>
    </row>
    <row r="169" spans="1:15" ht="19.5" thickBot="1" x14ac:dyDescent="0.35">
      <c r="A169" s="250" t="s">
        <v>103</v>
      </c>
      <c r="B169" s="251"/>
      <c r="C169" s="251"/>
      <c r="D169" s="251"/>
      <c r="E169" s="251"/>
      <c r="F169" s="251"/>
      <c r="G169" s="44">
        <f>G161+G168</f>
        <v>120570</v>
      </c>
      <c r="I169" s="3">
        <v>6</v>
      </c>
      <c r="J169" s="1" t="s">
        <v>16</v>
      </c>
      <c r="K169" s="3" t="s">
        <v>357</v>
      </c>
      <c r="L169" s="1" t="s">
        <v>13</v>
      </c>
      <c r="M169" s="31">
        <v>105.42</v>
      </c>
      <c r="N169" s="1">
        <v>35</v>
      </c>
      <c r="O169" s="4">
        <f>N169*M169</f>
        <v>3689.7000000000003</v>
      </c>
    </row>
    <row r="170" spans="1:15" ht="16.5" thickBot="1" x14ac:dyDescent="0.3">
      <c r="A170" s="245" t="s">
        <v>95</v>
      </c>
      <c r="B170" s="246"/>
      <c r="C170" s="246"/>
      <c r="D170" s="246"/>
      <c r="E170" s="246"/>
      <c r="F170" s="246"/>
      <c r="G170" s="247"/>
      <c r="I170" s="3">
        <v>7</v>
      </c>
      <c r="J170" s="1" t="s">
        <v>124</v>
      </c>
      <c r="K170" s="3" t="s">
        <v>357</v>
      </c>
      <c r="L170" s="1" t="s">
        <v>13</v>
      </c>
      <c r="M170" s="31">
        <v>4</v>
      </c>
      <c r="N170" s="1">
        <v>110</v>
      </c>
      <c r="O170" s="4">
        <f t="shared" ref="O170" si="30">N170*M170</f>
        <v>440</v>
      </c>
    </row>
    <row r="171" spans="1:15" x14ac:dyDescent="0.25">
      <c r="A171" s="40" t="s">
        <v>0</v>
      </c>
      <c r="B171" s="40" t="s">
        <v>56</v>
      </c>
      <c r="C171" s="40" t="s">
        <v>3</v>
      </c>
      <c r="D171" s="40" t="s">
        <v>2</v>
      </c>
      <c r="E171" s="40" t="s">
        <v>60</v>
      </c>
      <c r="F171" s="40"/>
      <c r="G171" s="37" t="s">
        <v>57</v>
      </c>
      <c r="I171" s="3">
        <v>8</v>
      </c>
      <c r="J171" s="1" t="s">
        <v>360</v>
      </c>
      <c r="K171" s="3" t="s">
        <v>357</v>
      </c>
      <c r="L171" s="1" t="s">
        <v>13</v>
      </c>
      <c r="M171" s="31">
        <v>35</v>
      </c>
      <c r="N171" s="1">
        <v>180</v>
      </c>
      <c r="O171" s="4">
        <f t="shared" ref="O171:O176" si="31">N171*M171</f>
        <v>6300</v>
      </c>
    </row>
    <row r="172" spans="1:15" x14ac:dyDescent="0.25">
      <c r="A172" s="18">
        <v>1</v>
      </c>
      <c r="B172" s="18" t="s">
        <v>137</v>
      </c>
      <c r="C172" s="18" t="s">
        <v>283</v>
      </c>
      <c r="D172" s="18" t="s">
        <v>167</v>
      </c>
      <c r="E172" s="18">
        <v>4600</v>
      </c>
      <c r="F172" s="18"/>
      <c r="G172" s="21">
        <f>E172</f>
        <v>4600</v>
      </c>
      <c r="I172" s="3">
        <v>9</v>
      </c>
      <c r="J172" s="1" t="s">
        <v>19</v>
      </c>
      <c r="K172" s="3" t="s">
        <v>357</v>
      </c>
      <c r="L172" s="1" t="s">
        <v>13</v>
      </c>
      <c r="M172" s="31">
        <v>1292</v>
      </c>
      <c r="N172" s="1">
        <v>15</v>
      </c>
      <c r="O172" s="4">
        <f t="shared" si="31"/>
        <v>19380</v>
      </c>
    </row>
    <row r="173" spans="1:15" ht="30" x14ac:dyDescent="0.25">
      <c r="A173" s="18">
        <v>2</v>
      </c>
      <c r="B173" s="18" t="s">
        <v>58</v>
      </c>
      <c r="C173" s="18" t="s">
        <v>283</v>
      </c>
      <c r="D173" s="20" t="s">
        <v>59</v>
      </c>
      <c r="E173" s="18">
        <v>5865</v>
      </c>
      <c r="F173" s="18"/>
      <c r="G173" s="21">
        <f t="shared" ref="G173:G177" si="32">E173</f>
        <v>5865</v>
      </c>
      <c r="I173" s="1">
        <v>10</v>
      </c>
      <c r="J173" s="1" t="s">
        <v>16</v>
      </c>
      <c r="K173" s="1" t="s">
        <v>357</v>
      </c>
      <c r="L173" s="1" t="s">
        <v>17</v>
      </c>
      <c r="M173" s="31">
        <v>358.28710000000001</v>
      </c>
      <c r="N173" s="1">
        <v>35</v>
      </c>
      <c r="O173" s="5">
        <f t="shared" si="31"/>
        <v>12540.048500000001</v>
      </c>
    </row>
    <row r="174" spans="1:15" x14ac:dyDescent="0.25">
      <c r="A174" s="18">
        <v>3</v>
      </c>
      <c r="B174" s="18" t="s">
        <v>215</v>
      </c>
      <c r="C174" s="18" t="s">
        <v>283</v>
      </c>
      <c r="D174" s="20" t="s">
        <v>13</v>
      </c>
      <c r="E174" s="18">
        <v>1395</v>
      </c>
      <c r="F174" s="18"/>
      <c r="G174" s="21">
        <f t="shared" si="32"/>
        <v>1395</v>
      </c>
      <c r="I174" s="1">
        <v>11</v>
      </c>
      <c r="J174" s="1" t="s">
        <v>18</v>
      </c>
      <c r="K174" s="1" t="s">
        <v>357</v>
      </c>
      <c r="L174" s="1" t="s">
        <v>20</v>
      </c>
      <c r="M174" s="5">
        <v>33</v>
      </c>
      <c r="N174" s="1">
        <v>80</v>
      </c>
      <c r="O174" s="5">
        <f t="shared" si="31"/>
        <v>2640</v>
      </c>
    </row>
    <row r="175" spans="1:15" x14ac:dyDescent="0.25">
      <c r="A175" s="18">
        <v>4</v>
      </c>
      <c r="B175" s="18" t="s">
        <v>282</v>
      </c>
      <c r="C175" s="18" t="s">
        <v>283</v>
      </c>
      <c r="D175" s="18" t="s">
        <v>13</v>
      </c>
      <c r="E175" s="18">
        <v>11860</v>
      </c>
      <c r="F175" s="18"/>
      <c r="G175" s="21">
        <f t="shared" si="32"/>
        <v>11860</v>
      </c>
      <c r="I175" s="1">
        <v>12</v>
      </c>
      <c r="J175" s="1" t="s">
        <v>19</v>
      </c>
      <c r="K175" s="1" t="s">
        <v>357</v>
      </c>
      <c r="L175" s="1" t="s">
        <v>20</v>
      </c>
      <c r="M175" s="5">
        <v>202</v>
      </c>
      <c r="N175" s="1">
        <v>15</v>
      </c>
      <c r="O175" s="5">
        <f t="shared" si="31"/>
        <v>3030</v>
      </c>
    </row>
    <row r="176" spans="1:15" x14ac:dyDescent="0.25">
      <c r="A176" s="18">
        <v>5</v>
      </c>
      <c r="B176" s="18" t="s">
        <v>260</v>
      </c>
      <c r="C176" s="18" t="s">
        <v>283</v>
      </c>
      <c r="D176" s="18" t="s">
        <v>13</v>
      </c>
      <c r="E176" s="18">
        <v>4355</v>
      </c>
      <c r="F176" s="18"/>
      <c r="G176" s="21">
        <f t="shared" si="32"/>
        <v>4355</v>
      </c>
      <c r="I176" s="1">
        <v>13</v>
      </c>
      <c r="J176" s="1" t="s">
        <v>16</v>
      </c>
      <c r="K176" s="3" t="s">
        <v>357</v>
      </c>
      <c r="L176" s="1" t="s">
        <v>20</v>
      </c>
      <c r="M176" s="5">
        <v>36</v>
      </c>
      <c r="N176" s="1">
        <v>35</v>
      </c>
      <c r="O176" s="5">
        <f t="shared" si="31"/>
        <v>1260</v>
      </c>
    </row>
    <row r="177" spans="1:15" ht="16.5" thickBot="1" x14ac:dyDescent="0.3">
      <c r="A177" s="18">
        <v>6</v>
      </c>
      <c r="B177" s="18" t="s">
        <v>169</v>
      </c>
      <c r="C177" s="18" t="s">
        <v>283</v>
      </c>
      <c r="D177" s="18" t="s">
        <v>93</v>
      </c>
      <c r="E177" s="18">
        <v>250</v>
      </c>
      <c r="F177" s="18"/>
      <c r="G177" s="21">
        <f t="shared" si="32"/>
        <v>250</v>
      </c>
      <c r="I177" s="233" t="s">
        <v>232</v>
      </c>
      <c r="J177" s="234"/>
      <c r="K177" s="234"/>
      <c r="L177" s="234"/>
      <c r="M177" s="234"/>
      <c r="N177" s="235"/>
      <c r="O177" s="57">
        <v>1430</v>
      </c>
    </row>
    <row r="178" spans="1:15" ht="16.5" thickBot="1" x14ac:dyDescent="0.3">
      <c r="A178" s="233" t="s">
        <v>25</v>
      </c>
      <c r="B178" s="234"/>
      <c r="C178" s="234"/>
      <c r="D178" s="234"/>
      <c r="E178" s="234"/>
      <c r="F178" s="235"/>
      <c r="G178" s="57">
        <f>SUM(G172:G177)</f>
        <v>28325</v>
      </c>
      <c r="I178" s="236" t="s">
        <v>161</v>
      </c>
      <c r="J178" s="237"/>
      <c r="K178" s="237"/>
      <c r="L178" s="237"/>
      <c r="M178" s="237"/>
      <c r="N178" s="238"/>
      <c r="O178" s="51">
        <f>SUM(O164:O176)-O177</f>
        <v>95784.74785</v>
      </c>
    </row>
    <row r="179" spans="1:15" ht="16.5" thickBot="1" x14ac:dyDescent="0.3">
      <c r="A179" s="217" t="s">
        <v>101</v>
      </c>
      <c r="B179" s="218"/>
      <c r="C179" s="218"/>
      <c r="D179" s="218"/>
      <c r="E179" s="218"/>
      <c r="F179" s="219"/>
      <c r="G179" s="48">
        <f>G161+G168+G178</f>
        <v>148895</v>
      </c>
      <c r="I179" s="239" t="s">
        <v>170</v>
      </c>
      <c r="J179" s="240"/>
      <c r="K179" s="240"/>
      <c r="L179" s="240"/>
      <c r="M179" s="240"/>
      <c r="N179" s="240"/>
      <c r="O179" s="241"/>
    </row>
    <row r="180" spans="1:15" ht="15.75" thickBot="1" x14ac:dyDescent="0.3">
      <c r="I180" s="3">
        <v>1</v>
      </c>
      <c r="J180" s="3" t="s">
        <v>263</v>
      </c>
      <c r="K180" s="3" t="s">
        <v>357</v>
      </c>
      <c r="L180" s="3" t="s">
        <v>104</v>
      </c>
      <c r="M180" s="4">
        <v>14</v>
      </c>
      <c r="N180" s="3">
        <v>150</v>
      </c>
      <c r="O180" s="4">
        <f>N180*M180</f>
        <v>2100</v>
      </c>
    </row>
    <row r="181" spans="1:15" ht="16.5" thickBot="1" x14ac:dyDescent="0.3">
      <c r="A181" s="33" t="s">
        <v>0</v>
      </c>
      <c r="B181" s="34" t="s">
        <v>1</v>
      </c>
      <c r="C181" s="34" t="s">
        <v>3</v>
      </c>
      <c r="D181" s="34" t="s">
        <v>2</v>
      </c>
      <c r="E181" s="34" t="s">
        <v>6</v>
      </c>
      <c r="F181" s="34" t="s">
        <v>7</v>
      </c>
      <c r="G181" s="35" t="s">
        <v>8</v>
      </c>
      <c r="I181" s="3">
        <v>2</v>
      </c>
      <c r="J181" s="3" t="s">
        <v>194</v>
      </c>
      <c r="K181" s="3" t="s">
        <v>357</v>
      </c>
      <c r="L181" s="3" t="s">
        <v>104</v>
      </c>
      <c r="M181" s="4">
        <v>1</v>
      </c>
      <c r="N181" s="3">
        <v>620</v>
      </c>
      <c r="O181" s="4">
        <f t="shared" ref="O181:O185" si="33">N181*M181</f>
        <v>620</v>
      </c>
    </row>
    <row r="182" spans="1:15" x14ac:dyDescent="0.25">
      <c r="A182" s="3">
        <v>1</v>
      </c>
      <c r="B182" s="3" t="s">
        <v>4</v>
      </c>
      <c r="C182" s="3" t="s">
        <v>339</v>
      </c>
      <c r="D182" s="3" t="s">
        <v>11</v>
      </c>
      <c r="E182" s="30">
        <v>129.42850000000001</v>
      </c>
      <c r="F182" s="3">
        <v>35</v>
      </c>
      <c r="G182" s="4">
        <f>F182*E182</f>
        <v>4529.9975000000004</v>
      </c>
      <c r="I182" s="3">
        <v>3</v>
      </c>
      <c r="J182" s="1" t="s">
        <v>110</v>
      </c>
      <c r="K182" s="3" t="s">
        <v>357</v>
      </c>
      <c r="L182" s="3" t="s">
        <v>104</v>
      </c>
      <c r="M182" s="5">
        <v>16</v>
      </c>
      <c r="N182" s="1">
        <v>120</v>
      </c>
      <c r="O182" s="4">
        <f t="shared" si="33"/>
        <v>1920</v>
      </c>
    </row>
    <row r="183" spans="1:15" x14ac:dyDescent="0.25">
      <c r="A183" s="3">
        <v>2</v>
      </c>
      <c r="B183" s="1" t="s">
        <v>9</v>
      </c>
      <c r="C183" s="3" t="s">
        <v>339</v>
      </c>
      <c r="D183" s="1" t="s">
        <v>12</v>
      </c>
      <c r="E183" s="31">
        <v>420</v>
      </c>
      <c r="F183" s="1">
        <v>35</v>
      </c>
      <c r="G183" s="4">
        <f t="shared" ref="G183:G186" si="34">F183*E183</f>
        <v>14700</v>
      </c>
      <c r="I183" s="3">
        <v>4</v>
      </c>
      <c r="J183" s="1" t="s">
        <v>102</v>
      </c>
      <c r="K183" s="3" t="s">
        <v>357</v>
      </c>
      <c r="L183" s="3" t="s">
        <v>104</v>
      </c>
      <c r="M183" s="5">
        <v>29</v>
      </c>
      <c r="N183" s="1">
        <v>120</v>
      </c>
      <c r="O183" s="4">
        <f t="shared" si="33"/>
        <v>3480</v>
      </c>
    </row>
    <row r="184" spans="1:15" x14ac:dyDescent="0.25">
      <c r="A184" s="3">
        <v>3</v>
      </c>
      <c r="B184" s="1" t="s">
        <v>221</v>
      </c>
      <c r="C184" s="3" t="s">
        <v>339</v>
      </c>
      <c r="D184" s="1" t="s">
        <v>12</v>
      </c>
      <c r="E184" s="31">
        <v>14</v>
      </c>
      <c r="F184" s="1">
        <v>80</v>
      </c>
      <c r="G184" s="4">
        <f t="shared" si="34"/>
        <v>1120</v>
      </c>
      <c r="I184" s="3">
        <v>5</v>
      </c>
      <c r="J184" s="1" t="s">
        <v>341</v>
      </c>
      <c r="K184" s="3" t="s">
        <v>357</v>
      </c>
      <c r="L184" s="1" t="s">
        <v>104</v>
      </c>
      <c r="M184" s="5">
        <v>257</v>
      </c>
      <c r="N184" s="1">
        <v>30</v>
      </c>
      <c r="O184" s="4">
        <f t="shared" si="33"/>
        <v>7710</v>
      </c>
    </row>
    <row r="185" spans="1:15" x14ac:dyDescent="0.25">
      <c r="A185" s="3">
        <v>4</v>
      </c>
      <c r="B185" s="1" t="s">
        <v>4</v>
      </c>
      <c r="C185" s="3" t="s">
        <v>339</v>
      </c>
      <c r="D185" s="1" t="s">
        <v>12</v>
      </c>
      <c r="E185" s="31">
        <v>354.85700000000003</v>
      </c>
      <c r="F185" s="1">
        <v>35</v>
      </c>
      <c r="G185" s="4">
        <f t="shared" si="34"/>
        <v>12419.995000000001</v>
      </c>
      <c r="I185" s="3">
        <v>6</v>
      </c>
      <c r="J185" s="1" t="s">
        <v>178</v>
      </c>
      <c r="K185" s="3" t="s">
        <v>357</v>
      </c>
      <c r="L185" s="1" t="s">
        <v>104</v>
      </c>
      <c r="M185" s="5">
        <v>1</v>
      </c>
      <c r="N185" s="1">
        <v>1600</v>
      </c>
      <c r="O185" s="5">
        <f t="shared" si="33"/>
        <v>1600</v>
      </c>
    </row>
    <row r="186" spans="1:15" ht="16.5" thickBot="1" x14ac:dyDescent="0.3">
      <c r="A186" s="3">
        <v>5</v>
      </c>
      <c r="B186" s="16" t="s">
        <v>32</v>
      </c>
      <c r="C186" s="3" t="s">
        <v>339</v>
      </c>
      <c r="D186" s="1" t="s">
        <v>13</v>
      </c>
      <c r="E186" s="31">
        <v>422.666</v>
      </c>
      <c r="F186" s="1">
        <v>180</v>
      </c>
      <c r="G186" s="30">
        <f t="shared" si="34"/>
        <v>76079.88</v>
      </c>
      <c r="I186" s="248" t="s">
        <v>162</v>
      </c>
      <c r="J186" s="249"/>
      <c r="K186" s="249"/>
      <c r="L186" s="249"/>
      <c r="M186" s="249"/>
      <c r="N186" s="249"/>
      <c r="O186" s="70">
        <f>SUM(O180:O185)</f>
        <v>17430</v>
      </c>
    </row>
    <row r="187" spans="1:15" ht="19.5" thickBot="1" x14ac:dyDescent="0.35">
      <c r="A187" s="3">
        <v>6</v>
      </c>
      <c r="B187" s="1" t="s">
        <v>16</v>
      </c>
      <c r="C187" s="3" t="s">
        <v>339</v>
      </c>
      <c r="D187" s="1" t="s">
        <v>13</v>
      </c>
      <c r="E187" s="31">
        <v>36.857100000000003</v>
      </c>
      <c r="F187" s="1">
        <v>35</v>
      </c>
      <c r="G187" s="4">
        <f>F187*E187</f>
        <v>1289.9985000000001</v>
      </c>
      <c r="I187" s="250" t="s">
        <v>103</v>
      </c>
      <c r="J187" s="251"/>
      <c r="K187" s="251"/>
      <c r="L187" s="251"/>
      <c r="M187" s="251"/>
      <c r="N187" s="251"/>
      <c r="O187" s="44">
        <f>O178+O186</f>
        <v>113214.74785</v>
      </c>
    </row>
    <row r="188" spans="1:15" ht="16.5" thickBot="1" x14ac:dyDescent="0.3">
      <c r="A188" s="3">
        <v>7</v>
      </c>
      <c r="B188" s="1" t="s">
        <v>340</v>
      </c>
      <c r="C188" s="3" t="s">
        <v>339</v>
      </c>
      <c r="D188" s="1" t="s">
        <v>13</v>
      </c>
      <c r="E188" s="31">
        <v>13</v>
      </c>
      <c r="F188" s="1">
        <v>320</v>
      </c>
      <c r="G188" s="4">
        <f t="shared" ref="G188" si="35">F188*E188</f>
        <v>4160</v>
      </c>
      <c r="H188" s="53"/>
      <c r="I188" s="245" t="s">
        <v>95</v>
      </c>
      <c r="J188" s="246"/>
      <c r="K188" s="246"/>
      <c r="L188" s="246"/>
      <c r="M188" s="246"/>
      <c r="N188" s="246"/>
      <c r="O188" s="247"/>
    </row>
    <row r="189" spans="1:15" x14ac:dyDescent="0.25">
      <c r="A189" s="3">
        <v>8</v>
      </c>
      <c r="B189" s="1" t="s">
        <v>241</v>
      </c>
      <c r="C189" s="3" t="s">
        <v>339</v>
      </c>
      <c r="D189" s="1" t="s">
        <v>13</v>
      </c>
      <c r="E189" s="31">
        <v>44</v>
      </c>
      <c r="F189" s="1">
        <v>80</v>
      </c>
      <c r="G189" s="4">
        <f>F189*E189</f>
        <v>3520</v>
      </c>
      <c r="I189" s="40" t="s">
        <v>0</v>
      </c>
      <c r="J189" s="40" t="s">
        <v>56</v>
      </c>
      <c r="K189" s="40" t="s">
        <v>3</v>
      </c>
      <c r="L189" s="40" t="s">
        <v>2</v>
      </c>
      <c r="M189" s="40" t="s">
        <v>60</v>
      </c>
      <c r="N189" s="40"/>
      <c r="O189" s="37" t="s">
        <v>57</v>
      </c>
    </row>
    <row r="190" spans="1:15" x14ac:dyDescent="0.25">
      <c r="A190" s="3">
        <v>9</v>
      </c>
      <c r="B190" s="1" t="s">
        <v>43</v>
      </c>
      <c r="C190" s="3" t="s">
        <v>339</v>
      </c>
      <c r="D190" s="1" t="s">
        <v>13</v>
      </c>
      <c r="E190" s="31">
        <v>6</v>
      </c>
      <c r="F190" s="1">
        <v>20</v>
      </c>
      <c r="G190" s="4">
        <f t="shared" ref="G190:G193" si="36">F190*E190</f>
        <v>120</v>
      </c>
      <c r="I190" s="18">
        <v>1</v>
      </c>
      <c r="J190" s="18" t="s">
        <v>137</v>
      </c>
      <c r="K190" s="18" t="s">
        <v>357</v>
      </c>
      <c r="L190" s="18" t="s">
        <v>167</v>
      </c>
      <c r="M190" s="18">
        <v>4735</v>
      </c>
      <c r="N190" s="18"/>
      <c r="O190" s="21">
        <f>M190</f>
        <v>4735</v>
      </c>
    </row>
    <row r="191" spans="1:15" ht="30" x14ac:dyDescent="0.25">
      <c r="A191" s="3">
        <v>10</v>
      </c>
      <c r="B191" s="1" t="s">
        <v>19</v>
      </c>
      <c r="C191" s="3" t="s">
        <v>339</v>
      </c>
      <c r="D191" s="1" t="s">
        <v>13</v>
      </c>
      <c r="E191" s="31">
        <v>544</v>
      </c>
      <c r="F191" s="1">
        <v>15</v>
      </c>
      <c r="G191" s="4">
        <f t="shared" si="36"/>
        <v>8160</v>
      </c>
      <c r="H191" s="69"/>
      <c r="I191" s="18">
        <v>2</v>
      </c>
      <c r="J191" s="18" t="s">
        <v>58</v>
      </c>
      <c r="K191" s="18" t="s">
        <v>357</v>
      </c>
      <c r="L191" s="20" t="s">
        <v>59</v>
      </c>
      <c r="M191" s="18">
        <v>6755</v>
      </c>
      <c r="N191" s="18"/>
      <c r="O191" s="21">
        <f t="shared" ref="O191:O192" si="37">M191</f>
        <v>6755</v>
      </c>
    </row>
    <row r="192" spans="1:15" x14ac:dyDescent="0.25">
      <c r="A192" s="3">
        <v>11</v>
      </c>
      <c r="B192" s="1" t="s">
        <v>16</v>
      </c>
      <c r="C192" s="3" t="s">
        <v>339</v>
      </c>
      <c r="D192" s="1" t="s">
        <v>17</v>
      </c>
      <c r="E192" s="31">
        <v>351.42849999999999</v>
      </c>
      <c r="F192" s="1">
        <v>35</v>
      </c>
      <c r="G192" s="4">
        <f t="shared" si="36"/>
        <v>12299.997499999999</v>
      </c>
      <c r="I192" s="18">
        <v>3</v>
      </c>
      <c r="J192" s="18" t="s">
        <v>169</v>
      </c>
      <c r="K192" s="18" t="s">
        <v>357</v>
      </c>
      <c r="L192" s="18" t="s">
        <v>93</v>
      </c>
      <c r="M192" s="18">
        <v>250</v>
      </c>
      <c r="N192" s="18"/>
      <c r="O192" s="21">
        <f t="shared" si="37"/>
        <v>250</v>
      </c>
    </row>
    <row r="193" spans="1:15" ht="16.5" thickBot="1" x14ac:dyDescent="0.3">
      <c r="A193" s="3">
        <v>12</v>
      </c>
      <c r="B193" s="1" t="s">
        <v>273</v>
      </c>
      <c r="C193" s="3" t="s">
        <v>339</v>
      </c>
      <c r="D193" s="1" t="s">
        <v>20</v>
      </c>
      <c r="E193" s="5">
        <v>81</v>
      </c>
      <c r="F193" s="1">
        <v>120</v>
      </c>
      <c r="G193" s="4">
        <f t="shared" si="36"/>
        <v>9720</v>
      </c>
      <c r="I193" s="233" t="s">
        <v>25</v>
      </c>
      <c r="J193" s="234"/>
      <c r="K193" s="234"/>
      <c r="L193" s="234"/>
      <c r="M193" s="234"/>
      <c r="N193" s="235"/>
      <c r="O193" s="57">
        <f>SUM(O190:O192)</f>
        <v>11740</v>
      </c>
    </row>
    <row r="194" spans="1:15" ht="16.5" thickBot="1" x14ac:dyDescent="0.3">
      <c r="A194" s="3">
        <v>13</v>
      </c>
      <c r="B194" s="1" t="s">
        <v>19</v>
      </c>
      <c r="C194" s="3" t="s">
        <v>339</v>
      </c>
      <c r="D194" s="1" t="s">
        <v>20</v>
      </c>
      <c r="E194" s="5">
        <v>106</v>
      </c>
      <c r="F194" s="1">
        <v>15</v>
      </c>
      <c r="G194" s="4">
        <f t="shared" ref="G194:G195" si="38">F194*E194</f>
        <v>1590</v>
      </c>
      <c r="I194" s="217" t="s">
        <v>101</v>
      </c>
      <c r="J194" s="218"/>
      <c r="K194" s="218"/>
      <c r="L194" s="218"/>
      <c r="M194" s="218"/>
      <c r="N194" s="219"/>
      <c r="O194" s="48">
        <f>O178+O186+O193</f>
        <v>124954.74785</v>
      </c>
    </row>
    <row r="195" spans="1:15" ht="15.75" thickBot="1" x14ac:dyDescent="0.3">
      <c r="A195" s="3">
        <v>14</v>
      </c>
      <c r="B195" s="1" t="s">
        <v>16</v>
      </c>
      <c r="C195" s="3" t="s">
        <v>339</v>
      </c>
      <c r="D195" s="1" t="s">
        <v>20</v>
      </c>
      <c r="E195" s="5">
        <v>41.142847000000003</v>
      </c>
      <c r="F195" s="1">
        <v>35</v>
      </c>
      <c r="G195" s="5">
        <f t="shared" si="38"/>
        <v>1439.9996450000001</v>
      </c>
    </row>
    <row r="196" spans="1:15" ht="16.5" thickBot="1" x14ac:dyDescent="0.3">
      <c r="A196" s="233" t="s">
        <v>232</v>
      </c>
      <c r="B196" s="234"/>
      <c r="C196" s="234"/>
      <c r="D196" s="234"/>
      <c r="E196" s="234"/>
      <c r="F196" s="235"/>
      <c r="G196" s="57">
        <v>2950</v>
      </c>
      <c r="I196" s="33" t="s">
        <v>0</v>
      </c>
      <c r="J196" s="34" t="s">
        <v>1</v>
      </c>
      <c r="K196" s="34" t="s">
        <v>3</v>
      </c>
      <c r="L196" s="34" t="s">
        <v>2</v>
      </c>
      <c r="M196" s="34" t="s">
        <v>6</v>
      </c>
      <c r="N196" s="34" t="s">
        <v>7</v>
      </c>
      <c r="O196" s="35" t="s">
        <v>8</v>
      </c>
    </row>
    <row r="197" spans="1:15" ht="16.5" thickBot="1" x14ac:dyDescent="0.3">
      <c r="A197" s="236" t="s">
        <v>161</v>
      </c>
      <c r="B197" s="237"/>
      <c r="C197" s="237"/>
      <c r="D197" s="237"/>
      <c r="E197" s="237"/>
      <c r="F197" s="238"/>
      <c r="G197" s="51">
        <f>SUM(G182:G195)-G196</f>
        <v>148199.86814500001</v>
      </c>
      <c r="I197" s="3">
        <v>1</v>
      </c>
      <c r="J197" s="3" t="s">
        <v>4</v>
      </c>
      <c r="K197" s="3" t="s">
        <v>357</v>
      </c>
      <c r="L197" s="3" t="s">
        <v>11</v>
      </c>
      <c r="M197" s="30">
        <v>105.42</v>
      </c>
      <c r="N197" s="3">
        <v>35</v>
      </c>
      <c r="O197" s="4">
        <f>N197*M197</f>
        <v>3689.7000000000003</v>
      </c>
    </row>
    <row r="198" spans="1:15" ht="16.5" thickBot="1" x14ac:dyDescent="0.3">
      <c r="A198" s="239" t="s">
        <v>170</v>
      </c>
      <c r="B198" s="240"/>
      <c r="C198" s="240"/>
      <c r="D198" s="240"/>
      <c r="E198" s="240"/>
      <c r="F198" s="240"/>
      <c r="G198" s="241"/>
      <c r="I198" s="3">
        <v>2</v>
      </c>
      <c r="J198" s="1" t="s">
        <v>9</v>
      </c>
      <c r="K198" s="3" t="s">
        <v>387</v>
      </c>
      <c r="L198" s="1" t="s">
        <v>12</v>
      </c>
      <c r="M198" s="31">
        <v>433</v>
      </c>
      <c r="N198" s="1">
        <v>35</v>
      </c>
      <c r="O198" s="4">
        <f t="shared" ref="O198:O201" si="39">N198*M198</f>
        <v>15155</v>
      </c>
    </row>
    <row r="199" spans="1:15" x14ac:dyDescent="0.25">
      <c r="A199" s="3">
        <v>1</v>
      </c>
      <c r="B199" s="3" t="s">
        <v>263</v>
      </c>
      <c r="C199" s="3" t="s">
        <v>339</v>
      </c>
      <c r="D199" s="3" t="s">
        <v>104</v>
      </c>
      <c r="E199" s="4">
        <v>9</v>
      </c>
      <c r="F199" s="3">
        <v>150</v>
      </c>
      <c r="G199" s="4">
        <f>F199*E199</f>
        <v>1350</v>
      </c>
      <c r="I199" s="3">
        <v>3</v>
      </c>
      <c r="J199" s="1" t="s">
        <v>270</v>
      </c>
      <c r="K199" s="3" t="s">
        <v>387</v>
      </c>
      <c r="L199" s="1" t="s">
        <v>12</v>
      </c>
      <c r="M199" s="31">
        <v>31</v>
      </c>
      <c r="N199" s="1">
        <v>50</v>
      </c>
      <c r="O199" s="4">
        <f t="shared" si="39"/>
        <v>1550</v>
      </c>
    </row>
    <row r="200" spans="1:15" x14ac:dyDescent="0.25">
      <c r="A200" s="3">
        <v>2</v>
      </c>
      <c r="B200" s="3" t="s">
        <v>194</v>
      </c>
      <c r="C200" s="3" t="s">
        <v>339</v>
      </c>
      <c r="D200" s="3" t="s">
        <v>104</v>
      </c>
      <c r="E200" s="4">
        <v>1</v>
      </c>
      <c r="F200" s="3">
        <v>1350</v>
      </c>
      <c r="G200" s="4">
        <f t="shared" ref="G200:G203" si="40">F200*E200</f>
        <v>1350</v>
      </c>
      <c r="I200" s="3">
        <v>4</v>
      </c>
      <c r="J200" s="1" t="s">
        <v>4</v>
      </c>
      <c r="K200" s="3" t="s">
        <v>387</v>
      </c>
      <c r="L200" s="1" t="s">
        <v>12</v>
      </c>
      <c r="M200" s="31">
        <v>330</v>
      </c>
      <c r="N200" s="1">
        <v>35</v>
      </c>
      <c r="O200" s="4">
        <f t="shared" si="39"/>
        <v>11550</v>
      </c>
    </row>
    <row r="201" spans="1:15" x14ac:dyDescent="0.25">
      <c r="A201" s="3">
        <v>3</v>
      </c>
      <c r="B201" s="1" t="s">
        <v>110</v>
      </c>
      <c r="C201" s="3" t="s">
        <v>339</v>
      </c>
      <c r="D201" s="3" t="s">
        <v>104</v>
      </c>
      <c r="E201" s="5">
        <v>12</v>
      </c>
      <c r="F201" s="1">
        <v>120</v>
      </c>
      <c r="G201" s="4">
        <f t="shared" si="40"/>
        <v>1440</v>
      </c>
      <c r="I201" s="3">
        <v>5</v>
      </c>
      <c r="J201" s="1" t="s">
        <v>124</v>
      </c>
      <c r="K201" s="3" t="s">
        <v>387</v>
      </c>
      <c r="L201" s="1" t="s">
        <v>13</v>
      </c>
      <c r="M201" s="31">
        <v>185</v>
      </c>
      <c r="N201" s="1">
        <v>110</v>
      </c>
      <c r="O201" s="30">
        <f t="shared" si="39"/>
        <v>20350</v>
      </c>
    </row>
    <row r="202" spans="1:15" x14ac:dyDescent="0.25">
      <c r="A202" s="3">
        <v>4</v>
      </c>
      <c r="B202" s="1" t="s">
        <v>102</v>
      </c>
      <c r="C202" s="3" t="s">
        <v>339</v>
      </c>
      <c r="D202" s="3" t="s">
        <v>104</v>
      </c>
      <c r="E202" s="5">
        <v>28</v>
      </c>
      <c r="F202" s="1">
        <v>120</v>
      </c>
      <c r="G202" s="4">
        <f t="shared" si="40"/>
        <v>3360</v>
      </c>
      <c r="I202" s="3">
        <v>6</v>
      </c>
      <c r="J202" s="1" t="s">
        <v>388</v>
      </c>
      <c r="K202" s="3" t="s">
        <v>387</v>
      </c>
      <c r="L202" s="1" t="s">
        <v>13</v>
      </c>
      <c r="M202" s="31">
        <v>30</v>
      </c>
      <c r="N202" s="1">
        <v>230</v>
      </c>
      <c r="O202" s="4">
        <f>N202*M202</f>
        <v>6900</v>
      </c>
    </row>
    <row r="203" spans="1:15" x14ac:dyDescent="0.25">
      <c r="A203" s="3">
        <v>5</v>
      </c>
      <c r="B203" s="1" t="s">
        <v>341</v>
      </c>
      <c r="C203" s="1" t="s">
        <v>339</v>
      </c>
      <c r="D203" s="1" t="s">
        <v>104</v>
      </c>
      <c r="E203" s="5">
        <v>165</v>
      </c>
      <c r="F203" s="1">
        <v>30</v>
      </c>
      <c r="G203" s="4">
        <f t="shared" si="40"/>
        <v>4950</v>
      </c>
      <c r="I203" s="3">
        <v>7</v>
      </c>
      <c r="J203" s="1" t="s">
        <v>19</v>
      </c>
      <c r="K203" s="3" t="s">
        <v>387</v>
      </c>
      <c r="L203" s="1" t="s">
        <v>13</v>
      </c>
      <c r="M203" s="31">
        <v>1332</v>
      </c>
      <c r="N203" s="1">
        <v>15</v>
      </c>
      <c r="O203" s="4">
        <f t="shared" ref="O203:O212" si="41">N203*M203</f>
        <v>19980</v>
      </c>
    </row>
    <row r="204" spans="1:15" ht="16.5" thickBot="1" x14ac:dyDescent="0.3">
      <c r="A204" s="248" t="s">
        <v>162</v>
      </c>
      <c r="B204" s="249"/>
      <c r="C204" s="249"/>
      <c r="D204" s="249"/>
      <c r="E204" s="249"/>
      <c r="F204" s="249"/>
      <c r="G204" s="70">
        <f>SUM(G199:G203)</f>
        <v>12450</v>
      </c>
      <c r="I204" s="3">
        <v>8</v>
      </c>
      <c r="J204" s="1" t="s">
        <v>16</v>
      </c>
      <c r="K204" s="3" t="s">
        <v>387</v>
      </c>
      <c r="L204" s="1" t="s">
        <v>13</v>
      </c>
      <c r="M204" s="31">
        <v>110.57</v>
      </c>
      <c r="N204" s="1">
        <v>35</v>
      </c>
      <c r="O204" s="5">
        <f t="shared" si="41"/>
        <v>3869.95</v>
      </c>
    </row>
    <row r="205" spans="1:15" ht="19.5" thickBot="1" x14ac:dyDescent="0.35">
      <c r="A205" s="250" t="s">
        <v>103</v>
      </c>
      <c r="B205" s="251"/>
      <c r="C205" s="251"/>
      <c r="D205" s="251"/>
      <c r="E205" s="251"/>
      <c r="F205" s="251"/>
      <c r="G205" s="44">
        <f>G197+G204</f>
        <v>160649.86814500001</v>
      </c>
      <c r="I205" s="3">
        <v>9</v>
      </c>
      <c r="J205" s="1" t="s">
        <v>33</v>
      </c>
      <c r="K205" s="3" t="s">
        <v>387</v>
      </c>
      <c r="L205" s="1" t="s">
        <v>13</v>
      </c>
      <c r="M205" s="31">
        <v>20</v>
      </c>
      <c r="N205" s="1">
        <v>5</v>
      </c>
      <c r="O205" s="5">
        <f t="shared" si="41"/>
        <v>100</v>
      </c>
    </row>
    <row r="206" spans="1:15" ht="16.5" thickBot="1" x14ac:dyDescent="0.3">
      <c r="A206" s="245" t="s">
        <v>95</v>
      </c>
      <c r="B206" s="246"/>
      <c r="C206" s="246"/>
      <c r="D206" s="246"/>
      <c r="E206" s="246"/>
      <c r="F206" s="246"/>
      <c r="G206" s="247"/>
      <c r="I206" s="3">
        <v>10</v>
      </c>
      <c r="J206" s="1" t="s">
        <v>16</v>
      </c>
      <c r="K206" s="3" t="s">
        <v>387</v>
      </c>
      <c r="L206" s="1" t="s">
        <v>389</v>
      </c>
      <c r="M206" s="31">
        <v>336.85</v>
      </c>
      <c r="N206" s="1">
        <v>35</v>
      </c>
      <c r="O206" s="5">
        <f t="shared" si="41"/>
        <v>11789.75</v>
      </c>
    </row>
    <row r="207" spans="1:15" x14ac:dyDescent="0.25">
      <c r="A207" s="40" t="s">
        <v>0</v>
      </c>
      <c r="B207" s="40" t="s">
        <v>56</v>
      </c>
      <c r="C207" s="40" t="s">
        <v>3</v>
      </c>
      <c r="D207" s="40" t="s">
        <v>2</v>
      </c>
      <c r="E207" s="40" t="s">
        <v>60</v>
      </c>
      <c r="F207" s="40"/>
      <c r="G207" s="37" t="s">
        <v>57</v>
      </c>
      <c r="I207" s="3">
        <v>11</v>
      </c>
      <c r="J207" s="1" t="s">
        <v>343</v>
      </c>
      <c r="K207" s="3" t="s">
        <v>387</v>
      </c>
      <c r="L207" s="1" t="s">
        <v>20</v>
      </c>
      <c r="M207" s="5">
        <v>34</v>
      </c>
      <c r="N207" s="1">
        <v>80</v>
      </c>
      <c r="O207" s="5">
        <f t="shared" si="41"/>
        <v>2720</v>
      </c>
    </row>
    <row r="208" spans="1:15" x14ac:dyDescent="0.25">
      <c r="A208" s="18">
        <v>1</v>
      </c>
      <c r="B208" s="18" t="s">
        <v>137</v>
      </c>
      <c r="C208" s="18" t="s">
        <v>339</v>
      </c>
      <c r="D208" s="18" t="s">
        <v>167</v>
      </c>
      <c r="E208" s="18">
        <v>6920</v>
      </c>
      <c r="F208" s="18"/>
      <c r="G208" s="21">
        <f>E208</f>
        <v>6920</v>
      </c>
      <c r="I208" s="3">
        <v>12</v>
      </c>
      <c r="J208" s="1" t="s">
        <v>19</v>
      </c>
      <c r="K208" s="3" t="s">
        <v>387</v>
      </c>
      <c r="L208" s="1" t="s">
        <v>20</v>
      </c>
      <c r="M208" s="5">
        <v>223</v>
      </c>
      <c r="N208" s="1">
        <v>15</v>
      </c>
      <c r="O208" s="5">
        <f t="shared" si="41"/>
        <v>3345</v>
      </c>
    </row>
    <row r="209" spans="1:15" ht="30" x14ac:dyDescent="0.25">
      <c r="A209" s="18">
        <v>2</v>
      </c>
      <c r="B209" s="18" t="s">
        <v>58</v>
      </c>
      <c r="C209" s="18" t="s">
        <v>339</v>
      </c>
      <c r="D209" s="20" t="s">
        <v>59</v>
      </c>
      <c r="E209" s="18">
        <v>16360</v>
      </c>
      <c r="F209" s="18"/>
      <c r="G209" s="21">
        <f t="shared" ref="G209:G213" si="42">E209</f>
        <v>16360</v>
      </c>
      <c r="I209" s="3">
        <v>13</v>
      </c>
      <c r="J209" s="1" t="s">
        <v>16</v>
      </c>
      <c r="K209" s="3" t="s">
        <v>387</v>
      </c>
      <c r="L209" s="1" t="s">
        <v>20</v>
      </c>
      <c r="M209" s="5">
        <v>61</v>
      </c>
      <c r="N209" s="1">
        <v>35</v>
      </c>
      <c r="O209" s="5">
        <f t="shared" si="41"/>
        <v>2135</v>
      </c>
    </row>
    <row r="210" spans="1:15" x14ac:dyDescent="0.25">
      <c r="A210" s="18">
        <v>3</v>
      </c>
      <c r="B210" s="18" t="s">
        <v>215</v>
      </c>
      <c r="C210" s="18" t="s">
        <v>339</v>
      </c>
      <c r="D210" s="20" t="s">
        <v>13</v>
      </c>
      <c r="E210" s="18">
        <v>1160</v>
      </c>
      <c r="F210" s="18"/>
      <c r="G210" s="21">
        <f t="shared" si="42"/>
        <v>1160</v>
      </c>
      <c r="I210" s="3">
        <v>14</v>
      </c>
      <c r="J210" s="1" t="s">
        <v>392</v>
      </c>
      <c r="K210" s="3" t="s">
        <v>387</v>
      </c>
      <c r="L210" s="1" t="s">
        <v>20</v>
      </c>
      <c r="M210" s="5">
        <v>1</v>
      </c>
      <c r="N210" s="1">
        <v>110</v>
      </c>
      <c r="O210" s="5">
        <f t="shared" si="41"/>
        <v>110</v>
      </c>
    </row>
    <row r="211" spans="1:15" x14ac:dyDescent="0.25">
      <c r="A211" s="18">
        <v>4</v>
      </c>
      <c r="B211" s="18" t="s">
        <v>282</v>
      </c>
      <c r="C211" s="18" t="s">
        <v>339</v>
      </c>
      <c r="D211" s="18" t="s">
        <v>13</v>
      </c>
      <c r="E211" s="18">
        <v>11240</v>
      </c>
      <c r="F211" s="18"/>
      <c r="G211" s="21">
        <f t="shared" si="42"/>
        <v>11240</v>
      </c>
      <c r="I211" s="3">
        <v>15</v>
      </c>
      <c r="J211" s="1" t="s">
        <v>396</v>
      </c>
      <c r="K211" s="3" t="s">
        <v>387</v>
      </c>
      <c r="L211" s="1" t="s">
        <v>20</v>
      </c>
      <c r="M211" s="5">
        <v>9</v>
      </c>
      <c r="N211" s="1">
        <v>110</v>
      </c>
      <c r="O211" s="5">
        <f t="shared" si="41"/>
        <v>990</v>
      </c>
    </row>
    <row r="212" spans="1:15" x14ac:dyDescent="0.25">
      <c r="A212" s="18">
        <v>5</v>
      </c>
      <c r="B212" s="18" t="s">
        <v>260</v>
      </c>
      <c r="C212" s="18" t="s">
        <v>339</v>
      </c>
      <c r="D212" s="18" t="s">
        <v>13</v>
      </c>
      <c r="E212" s="18">
        <v>340</v>
      </c>
      <c r="F212" s="18"/>
      <c r="G212" s="21">
        <f t="shared" si="42"/>
        <v>340</v>
      </c>
      <c r="I212" s="3">
        <v>16</v>
      </c>
      <c r="J212" s="1" t="s">
        <v>393</v>
      </c>
      <c r="K212" s="3" t="s">
        <v>387</v>
      </c>
      <c r="L212" s="1" t="s">
        <v>20</v>
      </c>
      <c r="M212" s="5">
        <v>5</v>
      </c>
      <c r="N212" s="1">
        <v>120</v>
      </c>
      <c r="O212" s="5">
        <f t="shared" si="41"/>
        <v>600</v>
      </c>
    </row>
    <row r="213" spans="1:15" ht="16.5" thickBot="1" x14ac:dyDescent="0.3">
      <c r="A213" s="18">
        <v>6</v>
      </c>
      <c r="B213" s="18" t="s">
        <v>169</v>
      </c>
      <c r="C213" s="18" t="s">
        <v>339</v>
      </c>
      <c r="D213" s="18" t="s">
        <v>93</v>
      </c>
      <c r="E213" s="18">
        <v>510</v>
      </c>
      <c r="F213" s="18"/>
      <c r="G213" s="21">
        <f t="shared" si="42"/>
        <v>510</v>
      </c>
      <c r="I213" s="233" t="s">
        <v>232</v>
      </c>
      <c r="J213" s="234"/>
      <c r="K213" s="234"/>
      <c r="L213" s="234"/>
      <c r="M213" s="234"/>
      <c r="N213" s="235"/>
      <c r="O213" s="57">
        <f>855+80+120</f>
        <v>1055</v>
      </c>
    </row>
    <row r="214" spans="1:15" ht="16.5" thickBot="1" x14ac:dyDescent="0.3">
      <c r="A214" s="233" t="s">
        <v>25</v>
      </c>
      <c r="B214" s="234"/>
      <c r="C214" s="234"/>
      <c r="D214" s="234"/>
      <c r="E214" s="234"/>
      <c r="F214" s="235"/>
      <c r="G214" s="57">
        <f>SUM(G208:G213)</f>
        <v>36530</v>
      </c>
      <c r="I214" s="236" t="s">
        <v>161</v>
      </c>
      <c r="J214" s="237"/>
      <c r="K214" s="237"/>
      <c r="L214" s="237"/>
      <c r="M214" s="237"/>
      <c r="N214" s="238"/>
      <c r="O214" s="51">
        <f>SUM(O197:O212)-O213</f>
        <v>103779.4</v>
      </c>
    </row>
    <row r="215" spans="1:15" ht="16.5" thickBot="1" x14ac:dyDescent="0.3">
      <c r="A215" s="217" t="s">
        <v>101</v>
      </c>
      <c r="B215" s="218"/>
      <c r="C215" s="218"/>
      <c r="D215" s="218"/>
      <c r="E215" s="218"/>
      <c r="F215" s="219"/>
      <c r="G215" s="48">
        <f>G197+G204+G214</f>
        <v>197179.86814500001</v>
      </c>
      <c r="I215" s="239" t="s">
        <v>170</v>
      </c>
      <c r="J215" s="240"/>
      <c r="K215" s="240"/>
      <c r="L215" s="240"/>
      <c r="M215" s="240"/>
      <c r="N215" s="240"/>
      <c r="O215" s="241"/>
    </row>
    <row r="216" spans="1:15" ht="15.75" thickBot="1" x14ac:dyDescent="0.3">
      <c r="I216" s="3">
        <v>1</v>
      </c>
      <c r="J216" s="3" t="s">
        <v>263</v>
      </c>
      <c r="K216" s="3" t="s">
        <v>387</v>
      </c>
      <c r="L216" s="3" t="s">
        <v>104</v>
      </c>
      <c r="M216" s="4">
        <v>10</v>
      </c>
      <c r="N216" s="3">
        <v>150</v>
      </c>
      <c r="O216" s="4">
        <f>N216*M216</f>
        <v>1500</v>
      </c>
    </row>
    <row r="217" spans="1:15" ht="16.5" thickBot="1" x14ac:dyDescent="0.3">
      <c r="A217" s="33" t="s">
        <v>0</v>
      </c>
      <c r="B217" s="34" t="s">
        <v>1</v>
      </c>
      <c r="C217" s="34" t="s">
        <v>3</v>
      </c>
      <c r="D217" s="34" t="s">
        <v>2</v>
      </c>
      <c r="E217" s="34" t="s">
        <v>6</v>
      </c>
      <c r="F217" s="34" t="s">
        <v>7</v>
      </c>
      <c r="G217" s="35" t="s">
        <v>8</v>
      </c>
      <c r="I217" s="3">
        <v>2</v>
      </c>
      <c r="J217" s="3" t="s">
        <v>194</v>
      </c>
      <c r="K217" s="3" t="s">
        <v>387</v>
      </c>
      <c r="L217" s="3" t="s">
        <v>104</v>
      </c>
      <c r="M217" s="4">
        <v>1</v>
      </c>
      <c r="N217" s="3">
        <v>500</v>
      </c>
      <c r="O217" s="4">
        <f t="shared" ref="O217:O221" si="43">N217*M217</f>
        <v>500</v>
      </c>
    </row>
    <row r="218" spans="1:15" x14ac:dyDescent="0.25">
      <c r="A218" s="3">
        <v>1</v>
      </c>
      <c r="B218" s="3" t="s">
        <v>4</v>
      </c>
      <c r="C218" s="3" t="s">
        <v>377</v>
      </c>
      <c r="D218" s="3" t="s">
        <v>11</v>
      </c>
      <c r="E218" s="30">
        <v>140.8571</v>
      </c>
      <c r="F218" s="3">
        <v>35</v>
      </c>
      <c r="G218" s="4">
        <f>F218*E218</f>
        <v>4929.9984999999997</v>
      </c>
      <c r="I218" s="3">
        <v>3</v>
      </c>
      <c r="J218" s="1" t="s">
        <v>110</v>
      </c>
      <c r="K218" s="3" t="s">
        <v>387</v>
      </c>
      <c r="L218" s="3" t="s">
        <v>104</v>
      </c>
      <c r="M218" s="5">
        <v>3</v>
      </c>
      <c r="N218" s="1">
        <v>120</v>
      </c>
      <c r="O218" s="4">
        <f t="shared" si="43"/>
        <v>360</v>
      </c>
    </row>
    <row r="219" spans="1:15" x14ac:dyDescent="0.25">
      <c r="A219" s="3">
        <v>2</v>
      </c>
      <c r="B219" s="1" t="s">
        <v>9</v>
      </c>
      <c r="C219" s="3" t="s">
        <v>377</v>
      </c>
      <c r="D219" s="1" t="s">
        <v>12</v>
      </c>
      <c r="E219" s="31">
        <v>345</v>
      </c>
      <c r="F219" s="1">
        <v>35</v>
      </c>
      <c r="G219" s="4">
        <f t="shared" ref="G219:G222" si="44">F219*E219</f>
        <v>12075</v>
      </c>
      <c r="I219" s="3">
        <v>4</v>
      </c>
      <c r="J219" s="1" t="s">
        <v>102</v>
      </c>
      <c r="K219" s="3" t="s">
        <v>387</v>
      </c>
      <c r="L219" s="3" t="s">
        <v>104</v>
      </c>
      <c r="M219" s="5">
        <v>23</v>
      </c>
      <c r="N219" s="1">
        <v>120</v>
      </c>
      <c r="O219" s="4">
        <f t="shared" si="43"/>
        <v>2760</v>
      </c>
    </row>
    <row r="220" spans="1:15" x14ac:dyDescent="0.25">
      <c r="A220" s="3">
        <v>3</v>
      </c>
      <c r="B220" s="1" t="s">
        <v>270</v>
      </c>
      <c r="C220" s="3" t="s">
        <v>377</v>
      </c>
      <c r="D220" s="1" t="s">
        <v>12</v>
      </c>
      <c r="E220" s="31">
        <v>24</v>
      </c>
      <c r="F220" s="1">
        <v>50</v>
      </c>
      <c r="G220" s="4">
        <f t="shared" si="44"/>
        <v>1200</v>
      </c>
      <c r="I220" s="3">
        <v>5</v>
      </c>
      <c r="J220" s="1" t="s">
        <v>341</v>
      </c>
      <c r="K220" s="3" t="s">
        <v>387</v>
      </c>
      <c r="L220" s="1" t="s">
        <v>104</v>
      </c>
      <c r="M220" s="5">
        <v>268</v>
      </c>
      <c r="N220" s="1">
        <v>30</v>
      </c>
      <c r="O220" s="4">
        <f t="shared" si="43"/>
        <v>8040</v>
      </c>
    </row>
    <row r="221" spans="1:15" x14ac:dyDescent="0.25">
      <c r="A221" s="3">
        <v>4</v>
      </c>
      <c r="B221" s="1" t="s">
        <v>4</v>
      </c>
      <c r="C221" s="3" t="s">
        <v>377</v>
      </c>
      <c r="D221" s="1" t="s">
        <v>12</v>
      </c>
      <c r="E221" s="31">
        <v>294.8571</v>
      </c>
      <c r="F221" s="1">
        <v>35</v>
      </c>
      <c r="G221" s="4">
        <f t="shared" si="44"/>
        <v>10319.9985</v>
      </c>
      <c r="I221" s="3">
        <v>6</v>
      </c>
      <c r="J221" s="1" t="s">
        <v>178</v>
      </c>
      <c r="K221" s="3" t="s">
        <v>387</v>
      </c>
      <c r="L221" s="1" t="s">
        <v>104</v>
      </c>
      <c r="M221" s="5">
        <v>2</v>
      </c>
      <c r="N221" s="1">
        <v>50</v>
      </c>
      <c r="O221" s="5">
        <f t="shared" si="43"/>
        <v>100</v>
      </c>
    </row>
    <row r="222" spans="1:15" ht="16.5" thickBot="1" x14ac:dyDescent="0.3">
      <c r="A222" s="3">
        <v>5</v>
      </c>
      <c r="B222" s="1" t="s">
        <v>384</v>
      </c>
      <c r="C222" s="3" t="s">
        <v>377</v>
      </c>
      <c r="D222" s="1" t="s">
        <v>13</v>
      </c>
      <c r="E222" s="31">
        <v>83</v>
      </c>
      <c r="F222" s="1">
        <v>150</v>
      </c>
      <c r="G222" s="30">
        <f t="shared" si="44"/>
        <v>12450</v>
      </c>
      <c r="I222" s="248" t="s">
        <v>162</v>
      </c>
      <c r="J222" s="249"/>
      <c r="K222" s="249"/>
      <c r="L222" s="249"/>
      <c r="M222" s="249"/>
      <c r="N222" s="249"/>
      <c r="O222" s="70">
        <f>SUM(O216:O221)</f>
        <v>13260</v>
      </c>
    </row>
    <row r="223" spans="1:15" ht="19.5" thickBot="1" x14ac:dyDescent="0.35">
      <c r="A223" s="3">
        <v>6</v>
      </c>
      <c r="B223" s="1" t="s">
        <v>16</v>
      </c>
      <c r="C223" s="3" t="s">
        <v>377</v>
      </c>
      <c r="D223" s="1" t="s">
        <v>13</v>
      </c>
      <c r="E223" s="31">
        <v>41.14</v>
      </c>
      <c r="F223" s="1">
        <v>35</v>
      </c>
      <c r="G223" s="4">
        <f>F223*E223</f>
        <v>1439.9</v>
      </c>
      <c r="I223" s="250" t="s">
        <v>103</v>
      </c>
      <c r="J223" s="251"/>
      <c r="K223" s="251"/>
      <c r="L223" s="251"/>
      <c r="M223" s="251"/>
      <c r="N223" s="251"/>
      <c r="O223" s="44">
        <f>O214+O222</f>
        <v>117039.4</v>
      </c>
    </row>
    <row r="224" spans="1:15" ht="16.5" thickBot="1" x14ac:dyDescent="0.3">
      <c r="A224" s="3">
        <v>7</v>
      </c>
      <c r="B224" s="1" t="s">
        <v>19</v>
      </c>
      <c r="C224" s="3" t="s">
        <v>377</v>
      </c>
      <c r="D224" s="1" t="s">
        <v>13</v>
      </c>
      <c r="E224" s="31">
        <v>559</v>
      </c>
      <c r="F224" s="1">
        <v>15</v>
      </c>
      <c r="G224" s="4">
        <f t="shared" ref="G224:G225" si="45">F224*E224</f>
        <v>8385</v>
      </c>
      <c r="I224" s="245" t="s">
        <v>95</v>
      </c>
      <c r="J224" s="246"/>
      <c r="K224" s="246"/>
      <c r="L224" s="246"/>
      <c r="M224" s="246"/>
      <c r="N224" s="246"/>
      <c r="O224" s="247"/>
    </row>
    <row r="225" spans="1:18" x14ac:dyDescent="0.25">
      <c r="A225" s="3">
        <v>8</v>
      </c>
      <c r="B225" s="1" t="s">
        <v>16</v>
      </c>
      <c r="C225" s="3" t="s">
        <v>377</v>
      </c>
      <c r="D225" s="1" t="s">
        <v>17</v>
      </c>
      <c r="E225" s="31">
        <v>129.41999999999999</v>
      </c>
      <c r="F225" s="1">
        <v>35</v>
      </c>
      <c r="G225" s="5">
        <f t="shared" si="45"/>
        <v>4529.7</v>
      </c>
      <c r="I225" s="40" t="s">
        <v>0</v>
      </c>
      <c r="J225" s="40" t="s">
        <v>56</v>
      </c>
      <c r="K225" s="40" t="s">
        <v>3</v>
      </c>
      <c r="L225" s="40" t="s">
        <v>2</v>
      </c>
      <c r="M225" s="40" t="s">
        <v>60</v>
      </c>
      <c r="N225" s="40"/>
      <c r="O225" s="37" t="s">
        <v>57</v>
      </c>
    </row>
    <row r="226" spans="1:18" x14ac:dyDescent="0.25">
      <c r="A226" s="3">
        <v>9</v>
      </c>
      <c r="B226" s="1" t="s">
        <v>47</v>
      </c>
      <c r="C226" s="3" t="s">
        <v>377</v>
      </c>
      <c r="D226" s="1" t="s">
        <v>20</v>
      </c>
      <c r="E226" s="5">
        <v>23</v>
      </c>
      <c r="F226" s="1">
        <v>80</v>
      </c>
      <c r="G226" s="5">
        <f>F226*E226</f>
        <v>1840</v>
      </c>
      <c r="I226" s="18">
        <v>1</v>
      </c>
      <c r="J226" s="18" t="s">
        <v>137</v>
      </c>
      <c r="K226" s="18" t="s">
        <v>387</v>
      </c>
      <c r="L226" s="18" t="s">
        <v>167</v>
      </c>
      <c r="M226" s="18">
        <v>4650</v>
      </c>
      <c r="N226" s="18"/>
      <c r="O226" s="21">
        <f>M226</f>
        <v>4650</v>
      </c>
    </row>
    <row r="227" spans="1:18" ht="30" x14ac:dyDescent="0.25">
      <c r="A227" s="3">
        <v>10</v>
      </c>
      <c r="B227" s="1" t="s">
        <v>19</v>
      </c>
      <c r="C227" s="3" t="s">
        <v>377</v>
      </c>
      <c r="D227" s="1" t="s">
        <v>20</v>
      </c>
      <c r="E227" s="5">
        <v>195</v>
      </c>
      <c r="F227" s="1">
        <v>15</v>
      </c>
      <c r="G227" s="5">
        <f>F227*E227</f>
        <v>2925</v>
      </c>
      <c r="I227" s="18">
        <v>2</v>
      </c>
      <c r="J227" s="18" t="s">
        <v>58</v>
      </c>
      <c r="K227" s="18" t="s">
        <v>387</v>
      </c>
      <c r="L227" s="20" t="s">
        <v>59</v>
      </c>
      <c r="M227" s="18">
        <v>7220</v>
      </c>
      <c r="N227" s="18"/>
      <c r="O227" s="21">
        <f t="shared" ref="O227:O231" si="46">M227</f>
        <v>7220</v>
      </c>
    </row>
    <row r="228" spans="1:18" x14ac:dyDescent="0.25">
      <c r="A228" s="3">
        <v>11</v>
      </c>
      <c r="B228" s="1" t="s">
        <v>16</v>
      </c>
      <c r="C228" s="3" t="s">
        <v>377</v>
      </c>
      <c r="D228" s="1" t="s">
        <v>20</v>
      </c>
      <c r="E228" s="5">
        <v>24</v>
      </c>
      <c r="F228" s="1">
        <v>35</v>
      </c>
      <c r="G228" s="5">
        <f>F228*E228</f>
        <v>840</v>
      </c>
      <c r="I228" s="18">
        <v>3</v>
      </c>
      <c r="J228" s="18" t="s">
        <v>215</v>
      </c>
      <c r="K228" s="18" t="s">
        <v>387</v>
      </c>
      <c r="L228" s="20" t="s">
        <v>13</v>
      </c>
      <c r="M228" s="18">
        <v>335</v>
      </c>
      <c r="N228" s="18"/>
      <c r="O228" s="21">
        <f t="shared" si="46"/>
        <v>335</v>
      </c>
    </row>
    <row r="229" spans="1:18" x14ac:dyDescent="0.25">
      <c r="A229" s="3">
        <v>12</v>
      </c>
      <c r="B229" s="1" t="s">
        <v>384</v>
      </c>
      <c r="C229" s="3" t="s">
        <v>377</v>
      </c>
      <c r="D229" s="1" t="s">
        <v>20</v>
      </c>
      <c r="E229" s="1">
        <v>9</v>
      </c>
      <c r="F229" s="1">
        <v>150</v>
      </c>
      <c r="G229" s="5">
        <f>F229*E229</f>
        <v>1350</v>
      </c>
      <c r="I229" s="18">
        <v>4</v>
      </c>
      <c r="J229" s="18" t="s">
        <v>282</v>
      </c>
      <c r="K229" s="18" t="s">
        <v>387</v>
      </c>
      <c r="L229" s="18" t="s">
        <v>13</v>
      </c>
      <c r="M229" s="18">
        <v>8140</v>
      </c>
      <c r="N229" s="18"/>
      <c r="O229" s="21">
        <f t="shared" si="46"/>
        <v>8140</v>
      </c>
    </row>
    <row r="230" spans="1:18" ht="16.5" thickBot="1" x14ac:dyDescent="0.3">
      <c r="A230" s="233" t="s">
        <v>232</v>
      </c>
      <c r="B230" s="234"/>
      <c r="C230" s="234"/>
      <c r="D230" s="234"/>
      <c r="E230" s="234"/>
      <c r="F230" s="235"/>
      <c r="G230" s="57">
        <f>'Steaching Dep'!E190+'Steaching Dep'!E191+'Steaching Dep'!E193+'Steaching Dep'!E203+'Steaching Dep'!E204+'Steaching Dep'!E205+'Steaching Dep'!E211+'Steaching Dep'!E212+'Steaching Dep'!E215+'Guest House'!E55+'Guest House'!E57</f>
        <v>1830</v>
      </c>
      <c r="I230" s="18">
        <v>5</v>
      </c>
      <c r="J230" s="18" t="s">
        <v>260</v>
      </c>
      <c r="K230" s="18" t="s">
        <v>387</v>
      </c>
      <c r="L230" s="18" t="s">
        <v>13</v>
      </c>
      <c r="M230" s="18">
        <v>1440</v>
      </c>
      <c r="N230" s="18"/>
      <c r="O230" s="21">
        <f t="shared" si="46"/>
        <v>1440</v>
      </c>
    </row>
    <row r="231" spans="1:18" ht="16.5" thickBot="1" x14ac:dyDescent="0.3">
      <c r="A231" s="236" t="s">
        <v>161</v>
      </c>
      <c r="B231" s="237"/>
      <c r="C231" s="237"/>
      <c r="D231" s="237"/>
      <c r="E231" s="237"/>
      <c r="F231" s="238"/>
      <c r="G231" s="51">
        <f>SUM(G218:G229)-G230</f>
        <v>60454.597000000002</v>
      </c>
      <c r="I231" s="18">
        <v>6</v>
      </c>
      <c r="J231" s="18" t="s">
        <v>169</v>
      </c>
      <c r="K231" s="18" t="s">
        <v>387</v>
      </c>
      <c r="L231" s="18" t="s">
        <v>93</v>
      </c>
      <c r="M231" s="18">
        <v>250</v>
      </c>
      <c r="N231" s="18"/>
      <c r="O231" s="21">
        <f t="shared" si="46"/>
        <v>250</v>
      </c>
    </row>
    <row r="232" spans="1:18" ht="16.5" thickBot="1" x14ac:dyDescent="0.3">
      <c r="A232" s="239" t="s">
        <v>170</v>
      </c>
      <c r="B232" s="240"/>
      <c r="C232" s="240"/>
      <c r="D232" s="240"/>
      <c r="E232" s="240"/>
      <c r="F232" s="240"/>
      <c r="G232" s="241"/>
      <c r="I232" s="233" t="s">
        <v>25</v>
      </c>
      <c r="J232" s="234"/>
      <c r="K232" s="234"/>
      <c r="L232" s="234"/>
      <c r="M232" s="234"/>
      <c r="N232" s="235"/>
      <c r="O232" s="57">
        <f>SUM(O226:O231)</f>
        <v>22035</v>
      </c>
    </row>
    <row r="233" spans="1:18" ht="16.5" thickBot="1" x14ac:dyDescent="0.3">
      <c r="A233" s="3">
        <v>1</v>
      </c>
      <c r="B233" s="3" t="s">
        <v>263</v>
      </c>
      <c r="C233" s="3" t="s">
        <v>377</v>
      </c>
      <c r="D233" s="3" t="s">
        <v>104</v>
      </c>
      <c r="E233" s="4">
        <v>7</v>
      </c>
      <c r="F233" s="3">
        <v>150</v>
      </c>
      <c r="G233" s="4">
        <f>F233*E233</f>
        <v>1050</v>
      </c>
      <c r="I233" s="217" t="s">
        <v>101</v>
      </c>
      <c r="J233" s="218"/>
      <c r="K233" s="218"/>
      <c r="L233" s="218"/>
      <c r="M233" s="218"/>
      <c r="N233" s="219"/>
      <c r="O233" s="48">
        <f>O214+O222+O232</f>
        <v>139074.4</v>
      </c>
      <c r="R233" s="53"/>
    </row>
    <row r="234" spans="1:18" ht="15.75" thickBot="1" x14ac:dyDescent="0.3">
      <c r="A234" s="3">
        <v>2</v>
      </c>
      <c r="B234" s="3" t="s">
        <v>194</v>
      </c>
      <c r="C234" s="3" t="s">
        <v>377</v>
      </c>
      <c r="D234" s="3" t="s">
        <v>104</v>
      </c>
      <c r="E234" s="4">
        <v>1</v>
      </c>
      <c r="F234" s="3">
        <v>200</v>
      </c>
      <c r="G234" s="4">
        <f t="shared" ref="G234:G238" si="47">F234*E234</f>
        <v>200</v>
      </c>
    </row>
    <row r="235" spans="1:18" ht="16.5" thickBot="1" x14ac:dyDescent="0.3">
      <c r="A235" s="3">
        <v>3</v>
      </c>
      <c r="B235" s="1" t="s">
        <v>110</v>
      </c>
      <c r="C235" s="3" t="s">
        <v>377</v>
      </c>
      <c r="D235" s="3" t="s">
        <v>104</v>
      </c>
      <c r="E235" s="5">
        <v>1</v>
      </c>
      <c r="F235" s="1">
        <v>120</v>
      </c>
      <c r="G235" s="4">
        <f t="shared" si="47"/>
        <v>120</v>
      </c>
      <c r="I235" s="33" t="s">
        <v>0</v>
      </c>
      <c r="J235" s="34" t="s">
        <v>1</v>
      </c>
      <c r="K235" s="34" t="s">
        <v>3</v>
      </c>
      <c r="L235" s="34" t="s">
        <v>2</v>
      </c>
      <c r="M235" s="34" t="s">
        <v>6</v>
      </c>
      <c r="N235" s="34" t="s">
        <v>7</v>
      </c>
      <c r="O235" s="35" t="s">
        <v>8</v>
      </c>
    </row>
    <row r="236" spans="1:18" x14ac:dyDescent="0.25">
      <c r="A236" s="3">
        <v>4</v>
      </c>
      <c r="B236" s="1" t="s">
        <v>102</v>
      </c>
      <c r="C236" s="3" t="s">
        <v>377</v>
      </c>
      <c r="D236" s="3" t="s">
        <v>104</v>
      </c>
      <c r="E236" s="5">
        <v>13</v>
      </c>
      <c r="F236" s="1">
        <v>120</v>
      </c>
      <c r="G236" s="4">
        <f t="shared" si="47"/>
        <v>1560</v>
      </c>
      <c r="I236" s="3">
        <v>1</v>
      </c>
      <c r="J236" s="3" t="s">
        <v>4</v>
      </c>
      <c r="K236" s="3" t="s">
        <v>423</v>
      </c>
      <c r="L236" s="3" t="s">
        <v>11</v>
      </c>
      <c r="M236" s="30">
        <v>155.13999999999999</v>
      </c>
      <c r="N236" s="3">
        <v>35</v>
      </c>
      <c r="O236" s="4">
        <f>N236*M236</f>
        <v>5429.9</v>
      </c>
    </row>
    <row r="237" spans="1:18" x14ac:dyDescent="0.25">
      <c r="A237" s="3">
        <v>5</v>
      </c>
      <c r="B237" s="1" t="s">
        <v>341</v>
      </c>
      <c r="C237" s="3" t="s">
        <v>377</v>
      </c>
      <c r="D237" s="1" t="s">
        <v>104</v>
      </c>
      <c r="E237" s="5">
        <v>58</v>
      </c>
      <c r="F237" s="1">
        <v>30</v>
      </c>
      <c r="G237" s="4">
        <f t="shared" si="47"/>
        <v>1740</v>
      </c>
      <c r="I237" s="3">
        <v>2</v>
      </c>
      <c r="J237" s="1" t="s">
        <v>9</v>
      </c>
      <c r="K237" s="3" t="s">
        <v>423</v>
      </c>
      <c r="L237" s="1" t="s">
        <v>12</v>
      </c>
      <c r="M237" s="31">
        <v>356</v>
      </c>
      <c r="N237" s="1">
        <v>35</v>
      </c>
      <c r="O237" s="4">
        <f t="shared" ref="O237:O240" si="48">N237*M237</f>
        <v>12460</v>
      </c>
    </row>
    <row r="238" spans="1:18" x14ac:dyDescent="0.25">
      <c r="A238" s="3">
        <v>6</v>
      </c>
      <c r="B238" s="1" t="s">
        <v>178</v>
      </c>
      <c r="C238" s="3" t="s">
        <v>377</v>
      </c>
      <c r="D238" s="1" t="s">
        <v>104</v>
      </c>
      <c r="E238" s="5">
        <v>9</v>
      </c>
      <c r="F238" s="1">
        <v>50</v>
      </c>
      <c r="G238" s="5">
        <f t="shared" si="47"/>
        <v>450</v>
      </c>
      <c r="I238" s="3">
        <v>3</v>
      </c>
      <c r="J238" s="1" t="s">
        <v>424</v>
      </c>
      <c r="K238" s="3" t="s">
        <v>423</v>
      </c>
      <c r="L238" s="1" t="s">
        <v>12</v>
      </c>
      <c r="M238" s="31">
        <v>33</v>
      </c>
      <c r="N238" s="1">
        <v>50</v>
      </c>
      <c r="O238" s="4">
        <f t="shared" si="48"/>
        <v>1650</v>
      </c>
    </row>
    <row r="239" spans="1:18" ht="16.5" thickBot="1" x14ac:dyDescent="0.3">
      <c r="A239" s="248" t="s">
        <v>162</v>
      </c>
      <c r="B239" s="249"/>
      <c r="C239" s="249"/>
      <c r="D239" s="249"/>
      <c r="E239" s="249"/>
      <c r="F239" s="249"/>
      <c r="G239" s="70">
        <f>SUM(G233:G238)</f>
        <v>5120</v>
      </c>
      <c r="I239" s="3">
        <v>4</v>
      </c>
      <c r="J239" s="1" t="s">
        <v>4</v>
      </c>
      <c r="K239" s="3" t="s">
        <v>423</v>
      </c>
      <c r="L239" s="1" t="s">
        <v>12</v>
      </c>
      <c r="M239" s="31">
        <v>366</v>
      </c>
      <c r="N239" s="1">
        <v>35</v>
      </c>
      <c r="O239" s="4">
        <f t="shared" si="48"/>
        <v>12810</v>
      </c>
    </row>
    <row r="240" spans="1:18" ht="19.5" thickBot="1" x14ac:dyDescent="0.35">
      <c r="A240" s="250" t="s">
        <v>103</v>
      </c>
      <c r="B240" s="251"/>
      <c r="C240" s="251"/>
      <c r="D240" s="251"/>
      <c r="E240" s="251"/>
      <c r="F240" s="251"/>
      <c r="G240" s="44">
        <f>G231+G239</f>
        <v>65574.597000000009</v>
      </c>
      <c r="I240" s="3">
        <v>5</v>
      </c>
      <c r="J240" s="1" t="s">
        <v>425</v>
      </c>
      <c r="K240" s="3" t="s">
        <v>423</v>
      </c>
      <c r="L240" s="1" t="s">
        <v>13</v>
      </c>
      <c r="M240" s="31">
        <v>13</v>
      </c>
      <c r="N240" s="1">
        <v>180</v>
      </c>
      <c r="O240" s="30">
        <f t="shared" si="48"/>
        <v>2340</v>
      </c>
    </row>
    <row r="241" spans="1:15" ht="16.5" thickBot="1" x14ac:dyDescent="0.3">
      <c r="A241" s="245" t="s">
        <v>95</v>
      </c>
      <c r="B241" s="246"/>
      <c r="C241" s="246"/>
      <c r="D241" s="246"/>
      <c r="E241" s="246"/>
      <c r="F241" s="246"/>
      <c r="G241" s="247"/>
      <c r="I241" s="3">
        <v>6</v>
      </c>
      <c r="J241" s="1" t="s">
        <v>124</v>
      </c>
      <c r="K241" s="3" t="s">
        <v>423</v>
      </c>
      <c r="L241" s="1" t="s">
        <v>13</v>
      </c>
      <c r="M241" s="31">
        <v>172</v>
      </c>
      <c r="N241" s="1">
        <v>110</v>
      </c>
      <c r="O241" s="4">
        <f>N241*M241</f>
        <v>18920</v>
      </c>
    </row>
    <row r="242" spans="1:15" x14ac:dyDescent="0.25">
      <c r="A242" s="40" t="s">
        <v>0</v>
      </c>
      <c r="B242" s="40" t="s">
        <v>56</v>
      </c>
      <c r="C242" s="40" t="s">
        <v>3</v>
      </c>
      <c r="D242" s="40" t="s">
        <v>2</v>
      </c>
      <c r="E242" s="40" t="s">
        <v>60</v>
      </c>
      <c r="F242" s="40"/>
      <c r="G242" s="37" t="s">
        <v>57</v>
      </c>
      <c r="I242" s="3">
        <v>7</v>
      </c>
      <c r="J242" s="1" t="s">
        <v>19</v>
      </c>
      <c r="K242" s="3" t="s">
        <v>423</v>
      </c>
      <c r="L242" s="1" t="s">
        <v>13</v>
      </c>
      <c r="M242" s="31">
        <v>1308</v>
      </c>
      <c r="N242" s="1">
        <v>15</v>
      </c>
      <c r="O242" s="4">
        <f t="shared" ref="O242:O250" si="49">N242*M242</f>
        <v>19620</v>
      </c>
    </row>
    <row r="243" spans="1:15" ht="30" x14ac:dyDescent="0.25">
      <c r="A243" s="18">
        <v>1</v>
      </c>
      <c r="B243" s="18" t="s">
        <v>58</v>
      </c>
      <c r="C243" s="18" t="s">
        <v>377</v>
      </c>
      <c r="D243" s="20" t="s">
        <v>59</v>
      </c>
      <c r="E243" s="18">
        <v>4750</v>
      </c>
      <c r="F243" s="18"/>
      <c r="G243" s="21">
        <f t="shared" ref="G243:G244" si="50">E243</f>
        <v>4750</v>
      </c>
      <c r="I243" s="3">
        <v>8</v>
      </c>
      <c r="J243" s="1" t="s">
        <v>16</v>
      </c>
      <c r="K243" s="3" t="s">
        <v>423</v>
      </c>
      <c r="L243" s="1" t="s">
        <v>13</v>
      </c>
      <c r="M243" s="31">
        <v>115.71420000000001</v>
      </c>
      <c r="N243" s="1">
        <v>35</v>
      </c>
      <c r="O243" s="5">
        <f t="shared" si="49"/>
        <v>4049.9970000000003</v>
      </c>
    </row>
    <row r="244" spans="1:15" x14ac:dyDescent="0.25">
      <c r="A244" s="18">
        <v>2</v>
      </c>
      <c r="B244" s="18" t="s">
        <v>169</v>
      </c>
      <c r="C244" s="18" t="s">
        <v>377</v>
      </c>
      <c r="D244" s="18" t="s">
        <v>93</v>
      </c>
      <c r="E244" s="18">
        <v>390</v>
      </c>
      <c r="F244" s="18"/>
      <c r="G244" s="21">
        <f t="shared" si="50"/>
        <v>390</v>
      </c>
      <c r="I244" s="3">
        <v>9</v>
      </c>
      <c r="J244" s="1" t="s">
        <v>426</v>
      </c>
      <c r="K244" s="3" t="s">
        <v>423</v>
      </c>
      <c r="L244" s="1" t="s">
        <v>13</v>
      </c>
      <c r="M244" s="31">
        <v>5</v>
      </c>
      <c r="N244" s="1">
        <v>220</v>
      </c>
      <c r="O244" s="5">
        <f t="shared" si="49"/>
        <v>1100</v>
      </c>
    </row>
    <row r="245" spans="1:15" ht="16.5" thickBot="1" x14ac:dyDescent="0.3">
      <c r="A245" s="233" t="s">
        <v>25</v>
      </c>
      <c r="B245" s="234"/>
      <c r="C245" s="234"/>
      <c r="D245" s="234"/>
      <c r="E245" s="234"/>
      <c r="F245" s="235"/>
      <c r="G245" s="57">
        <f>SUM(G243:G244)</f>
        <v>5140</v>
      </c>
      <c r="I245" s="3">
        <v>10</v>
      </c>
      <c r="J245" s="1" t="s">
        <v>43</v>
      </c>
      <c r="K245" s="3" t="s">
        <v>423</v>
      </c>
      <c r="L245" s="1" t="s">
        <v>13</v>
      </c>
      <c r="M245" s="31">
        <v>1</v>
      </c>
      <c r="N245" s="1">
        <v>80</v>
      </c>
      <c r="O245" s="5">
        <f t="shared" si="49"/>
        <v>80</v>
      </c>
    </row>
    <row r="246" spans="1:15" ht="16.5" thickBot="1" x14ac:dyDescent="0.3">
      <c r="A246" s="217" t="s">
        <v>101</v>
      </c>
      <c r="B246" s="218"/>
      <c r="C246" s="218"/>
      <c r="D246" s="218"/>
      <c r="E246" s="218"/>
      <c r="F246" s="219"/>
      <c r="G246" s="48">
        <f>G231+G239+G245</f>
        <v>70714.597000000009</v>
      </c>
      <c r="I246" s="3">
        <v>11</v>
      </c>
      <c r="J246" s="1" t="s">
        <v>16</v>
      </c>
      <c r="K246" s="3" t="s">
        <v>423</v>
      </c>
      <c r="L246" s="1" t="s">
        <v>389</v>
      </c>
      <c r="M246" s="31">
        <v>336</v>
      </c>
      <c r="N246" s="1">
        <v>35</v>
      </c>
      <c r="O246" s="5">
        <f t="shared" si="49"/>
        <v>11760</v>
      </c>
    </row>
    <row r="247" spans="1:15" ht="15.75" thickBot="1" x14ac:dyDescent="0.3">
      <c r="I247" s="3">
        <v>12</v>
      </c>
      <c r="J247" s="1" t="s">
        <v>191</v>
      </c>
      <c r="K247" s="3" t="s">
        <v>423</v>
      </c>
      <c r="L247" s="1" t="s">
        <v>20</v>
      </c>
      <c r="M247" s="5">
        <v>52</v>
      </c>
      <c r="N247" s="1">
        <v>80</v>
      </c>
      <c r="O247" s="5">
        <f t="shared" si="49"/>
        <v>4160</v>
      </c>
    </row>
    <row r="248" spans="1:15" ht="16.5" thickBot="1" x14ac:dyDescent="0.3">
      <c r="A248" s="33" t="s">
        <v>0</v>
      </c>
      <c r="B248" s="34" t="s">
        <v>1</v>
      </c>
      <c r="C248" s="34" t="s">
        <v>3</v>
      </c>
      <c r="D248" s="34" t="s">
        <v>2</v>
      </c>
      <c r="E248" s="34" t="s">
        <v>6</v>
      </c>
      <c r="F248" s="34" t="s">
        <v>7</v>
      </c>
      <c r="G248" s="35" t="s">
        <v>8</v>
      </c>
      <c r="I248" s="3">
        <v>13</v>
      </c>
      <c r="J248" s="1" t="s">
        <v>19</v>
      </c>
      <c r="K248" s="3" t="s">
        <v>423</v>
      </c>
      <c r="L248" s="1" t="s">
        <v>20</v>
      </c>
      <c r="M248" s="5">
        <v>354</v>
      </c>
      <c r="N248" s="1">
        <v>15</v>
      </c>
      <c r="O248" s="5">
        <f t="shared" si="49"/>
        <v>5310</v>
      </c>
    </row>
    <row r="249" spans="1:15" x14ac:dyDescent="0.25">
      <c r="A249" s="3">
        <v>1</v>
      </c>
      <c r="B249" s="3" t="s">
        <v>4</v>
      </c>
      <c r="C249" s="3" t="s">
        <v>398</v>
      </c>
      <c r="D249" s="3" t="s">
        <v>11</v>
      </c>
      <c r="E249" s="30">
        <v>150.57140000000001</v>
      </c>
      <c r="F249" s="3">
        <v>35</v>
      </c>
      <c r="G249" s="4">
        <f>F249*E249</f>
        <v>5269.9990000000007</v>
      </c>
      <c r="I249" s="3">
        <v>14</v>
      </c>
      <c r="J249" s="1" t="s">
        <v>16</v>
      </c>
      <c r="K249" s="3" t="s">
        <v>423</v>
      </c>
      <c r="L249" s="1" t="s">
        <v>20</v>
      </c>
      <c r="M249" s="5">
        <v>48.857140000000001</v>
      </c>
      <c r="N249" s="1">
        <v>35</v>
      </c>
      <c r="O249" s="5">
        <f t="shared" si="49"/>
        <v>1709.9999</v>
      </c>
    </row>
    <row r="250" spans="1:15" x14ac:dyDescent="0.25">
      <c r="A250" s="3">
        <v>2</v>
      </c>
      <c r="B250" s="1" t="s">
        <v>9</v>
      </c>
      <c r="C250" s="3" t="s">
        <v>398</v>
      </c>
      <c r="D250" s="1" t="s">
        <v>12</v>
      </c>
      <c r="E250" s="31">
        <v>471</v>
      </c>
      <c r="F250" s="1">
        <v>35</v>
      </c>
      <c r="G250" s="4">
        <f t="shared" ref="G250:G253" si="51">F250*E250</f>
        <v>16485</v>
      </c>
      <c r="I250" s="3">
        <v>15</v>
      </c>
      <c r="J250" s="1" t="s">
        <v>427</v>
      </c>
      <c r="K250" s="3" t="s">
        <v>423</v>
      </c>
      <c r="L250" s="1" t="s">
        <v>20</v>
      </c>
      <c r="M250" s="5">
        <v>13</v>
      </c>
      <c r="N250" s="1">
        <v>200</v>
      </c>
      <c r="O250" s="5">
        <f t="shared" si="49"/>
        <v>2600</v>
      </c>
    </row>
    <row r="251" spans="1:15" ht="16.5" thickBot="1" x14ac:dyDescent="0.3">
      <c r="A251" s="3">
        <v>3</v>
      </c>
      <c r="B251" s="1" t="s">
        <v>270</v>
      </c>
      <c r="C251" s="3" t="s">
        <v>398</v>
      </c>
      <c r="D251" s="1" t="s">
        <v>12</v>
      </c>
      <c r="E251" s="31">
        <v>27</v>
      </c>
      <c r="F251" s="1">
        <v>50</v>
      </c>
      <c r="G251" s="4">
        <f t="shared" si="51"/>
        <v>1350</v>
      </c>
      <c r="I251" s="233" t="s">
        <v>232</v>
      </c>
      <c r="J251" s="234"/>
      <c r="K251" s="234"/>
      <c r="L251" s="234"/>
      <c r="M251" s="234"/>
      <c r="N251" s="235"/>
      <c r="O251" s="57">
        <f>O266+O267+O268+O269+O272+O283+O285+O288</f>
        <v>4540</v>
      </c>
    </row>
    <row r="252" spans="1:15" ht="16.5" thickBot="1" x14ac:dyDescent="0.3">
      <c r="A252" s="3">
        <v>4</v>
      </c>
      <c r="B252" s="1" t="s">
        <v>4</v>
      </c>
      <c r="C252" s="3" t="s">
        <v>398</v>
      </c>
      <c r="D252" s="1" t="s">
        <v>12</v>
      </c>
      <c r="E252" s="31">
        <v>374.57</v>
      </c>
      <c r="F252" s="1">
        <v>35</v>
      </c>
      <c r="G252" s="4">
        <f t="shared" si="51"/>
        <v>13109.949999999999</v>
      </c>
      <c r="I252" s="236" t="s">
        <v>161</v>
      </c>
      <c r="J252" s="237"/>
      <c r="K252" s="237"/>
      <c r="L252" s="237"/>
      <c r="M252" s="237"/>
      <c r="N252" s="238"/>
      <c r="O252" s="51">
        <f>SUM(O236:O250)-O251</f>
        <v>99459.896899999992</v>
      </c>
    </row>
    <row r="253" spans="1:15" ht="16.5" thickBot="1" x14ac:dyDescent="0.3">
      <c r="A253" s="3">
        <v>5</v>
      </c>
      <c r="B253" s="1" t="s">
        <v>414</v>
      </c>
      <c r="C253" s="3" t="s">
        <v>398</v>
      </c>
      <c r="D253" s="1" t="s">
        <v>13</v>
      </c>
      <c r="E253" s="31">
        <v>172</v>
      </c>
      <c r="F253" s="1">
        <v>80</v>
      </c>
      <c r="G253" s="30">
        <f t="shared" si="51"/>
        <v>13760</v>
      </c>
      <c r="I253" s="239" t="s">
        <v>170</v>
      </c>
      <c r="J253" s="240"/>
      <c r="K253" s="240"/>
      <c r="L253" s="240"/>
      <c r="M253" s="240"/>
      <c r="N253" s="240"/>
      <c r="O253" s="241"/>
    </row>
    <row r="254" spans="1:15" x14ac:dyDescent="0.25">
      <c r="A254" s="3">
        <v>6</v>
      </c>
      <c r="B254" s="1" t="s">
        <v>200</v>
      </c>
      <c r="C254" s="3" t="s">
        <v>398</v>
      </c>
      <c r="D254" s="1" t="s">
        <v>13</v>
      </c>
      <c r="E254" s="31">
        <v>32</v>
      </c>
      <c r="F254" s="1">
        <v>250</v>
      </c>
      <c r="G254" s="4">
        <f>F254*E254</f>
        <v>8000</v>
      </c>
      <c r="I254" s="3">
        <v>1</v>
      </c>
      <c r="J254" s="3" t="s">
        <v>399</v>
      </c>
      <c r="K254" s="3" t="s">
        <v>423</v>
      </c>
      <c r="L254" s="3" t="s">
        <v>104</v>
      </c>
      <c r="M254" s="4">
        <v>14</v>
      </c>
      <c r="N254" s="3">
        <v>120</v>
      </c>
      <c r="O254" s="4">
        <f>N254*M254</f>
        <v>1680</v>
      </c>
    </row>
    <row r="255" spans="1:15" x14ac:dyDescent="0.25">
      <c r="A255" s="3">
        <v>7</v>
      </c>
      <c r="B255" s="1" t="s">
        <v>19</v>
      </c>
      <c r="C255" s="3" t="s">
        <v>398</v>
      </c>
      <c r="D255" s="1" t="s">
        <v>13</v>
      </c>
      <c r="E255" s="31">
        <v>1147</v>
      </c>
      <c r="F255" s="1">
        <v>15</v>
      </c>
      <c r="G255" s="4">
        <f t="shared" ref="G255:G262" si="52">F255*E255</f>
        <v>17205</v>
      </c>
      <c r="I255" s="3">
        <v>2</v>
      </c>
      <c r="J255" s="3" t="s">
        <v>194</v>
      </c>
      <c r="K255" s="3" t="s">
        <v>423</v>
      </c>
      <c r="L255" s="3" t="s">
        <v>104</v>
      </c>
      <c r="M255" s="4">
        <v>1</v>
      </c>
      <c r="N255" s="3">
        <v>900</v>
      </c>
      <c r="O255" s="4">
        <f t="shared" ref="O255:O258" si="53">N255*M255</f>
        <v>900</v>
      </c>
    </row>
    <row r="256" spans="1:15" x14ac:dyDescent="0.25">
      <c r="A256" s="3">
        <v>8</v>
      </c>
      <c r="B256" s="1" t="s">
        <v>16</v>
      </c>
      <c r="C256" s="3" t="s">
        <v>398</v>
      </c>
      <c r="D256" s="1" t="s">
        <v>13</v>
      </c>
      <c r="E256" s="31">
        <v>96.85</v>
      </c>
      <c r="F256" s="1">
        <v>35</v>
      </c>
      <c r="G256" s="5">
        <f t="shared" si="52"/>
        <v>3389.75</v>
      </c>
      <c r="I256" s="3">
        <v>3</v>
      </c>
      <c r="J256" s="1" t="s">
        <v>110</v>
      </c>
      <c r="K256" s="3" t="s">
        <v>423</v>
      </c>
      <c r="L256" s="3" t="s">
        <v>104</v>
      </c>
      <c r="M256" s="5">
        <v>12</v>
      </c>
      <c r="N256" s="1">
        <v>120</v>
      </c>
      <c r="O256" s="4">
        <f t="shared" si="53"/>
        <v>1440</v>
      </c>
    </row>
    <row r="257" spans="1:15" x14ac:dyDescent="0.25">
      <c r="A257" s="3">
        <v>9</v>
      </c>
      <c r="B257" s="1" t="s">
        <v>33</v>
      </c>
      <c r="C257" s="3" t="s">
        <v>398</v>
      </c>
      <c r="D257" s="1" t="s">
        <v>13</v>
      </c>
      <c r="E257" s="31">
        <v>2</v>
      </c>
      <c r="F257" s="1">
        <v>30</v>
      </c>
      <c r="G257" s="5">
        <f t="shared" si="52"/>
        <v>60</v>
      </c>
      <c r="I257" s="3">
        <v>4</v>
      </c>
      <c r="J257" s="1" t="s">
        <v>102</v>
      </c>
      <c r="K257" s="3" t="s">
        <v>423</v>
      </c>
      <c r="L257" s="3" t="s">
        <v>104</v>
      </c>
      <c r="M257" s="5">
        <v>29</v>
      </c>
      <c r="N257" s="1">
        <v>120</v>
      </c>
      <c r="O257" s="4">
        <f t="shared" si="53"/>
        <v>3480</v>
      </c>
    </row>
    <row r="258" spans="1:15" x14ac:dyDescent="0.25">
      <c r="A258" s="3">
        <v>10</v>
      </c>
      <c r="B258" s="1" t="s">
        <v>16</v>
      </c>
      <c r="C258" s="3" t="s">
        <v>398</v>
      </c>
      <c r="D258" s="1" t="s">
        <v>389</v>
      </c>
      <c r="E258" s="31">
        <v>335.14</v>
      </c>
      <c r="F258" s="1">
        <v>35</v>
      </c>
      <c r="G258" s="5">
        <f t="shared" si="52"/>
        <v>11729.9</v>
      </c>
      <c r="I258" s="3">
        <v>5</v>
      </c>
      <c r="J258" s="1" t="s">
        <v>341</v>
      </c>
      <c r="K258" s="3" t="s">
        <v>423</v>
      </c>
      <c r="L258" s="1" t="s">
        <v>104</v>
      </c>
      <c r="M258" s="5">
        <v>321</v>
      </c>
      <c r="N258" s="1">
        <v>30</v>
      </c>
      <c r="O258" s="4">
        <f t="shared" si="53"/>
        <v>9630</v>
      </c>
    </row>
    <row r="259" spans="1:15" ht="16.5" thickBot="1" x14ac:dyDescent="0.3">
      <c r="A259" s="3">
        <v>11</v>
      </c>
      <c r="B259" s="1" t="s">
        <v>268</v>
      </c>
      <c r="C259" s="3" t="s">
        <v>398</v>
      </c>
      <c r="D259" s="1" t="s">
        <v>20</v>
      </c>
      <c r="E259" s="5">
        <v>37</v>
      </c>
      <c r="F259" s="1">
        <v>80</v>
      </c>
      <c r="G259" s="5">
        <f t="shared" si="52"/>
        <v>2960</v>
      </c>
      <c r="I259" s="248" t="s">
        <v>162</v>
      </c>
      <c r="J259" s="249"/>
      <c r="K259" s="249"/>
      <c r="L259" s="249"/>
      <c r="M259" s="249"/>
      <c r="N259" s="249"/>
      <c r="O259" s="70">
        <f>SUM(O254:O258)</f>
        <v>17130</v>
      </c>
    </row>
    <row r="260" spans="1:15" ht="19.5" thickBot="1" x14ac:dyDescent="0.35">
      <c r="A260" s="3">
        <v>12</v>
      </c>
      <c r="B260" s="1" t="s">
        <v>19</v>
      </c>
      <c r="C260" s="3" t="s">
        <v>398</v>
      </c>
      <c r="D260" s="1" t="s">
        <v>20</v>
      </c>
      <c r="E260" s="5">
        <v>305</v>
      </c>
      <c r="F260" s="1">
        <v>15</v>
      </c>
      <c r="G260" s="5">
        <f t="shared" si="52"/>
        <v>4575</v>
      </c>
      <c r="I260" s="250" t="s">
        <v>103</v>
      </c>
      <c r="J260" s="251"/>
      <c r="K260" s="251"/>
      <c r="L260" s="251"/>
      <c r="M260" s="251"/>
      <c r="N260" s="251"/>
      <c r="O260" s="44">
        <f>O252+O259</f>
        <v>116589.89689999999</v>
      </c>
    </row>
    <row r="261" spans="1:15" ht="16.5" thickBot="1" x14ac:dyDescent="0.3">
      <c r="A261" s="3">
        <v>13</v>
      </c>
      <c r="B261" s="1" t="s">
        <v>16</v>
      </c>
      <c r="C261" s="3" t="s">
        <v>398</v>
      </c>
      <c r="D261" s="1" t="s">
        <v>20</v>
      </c>
      <c r="E261" s="5">
        <v>51.42</v>
      </c>
      <c r="F261" s="1">
        <v>35</v>
      </c>
      <c r="G261" s="5">
        <f t="shared" si="52"/>
        <v>1799.7</v>
      </c>
      <c r="I261" s="245" t="s">
        <v>95</v>
      </c>
      <c r="J261" s="246"/>
      <c r="K261" s="246"/>
      <c r="L261" s="246"/>
      <c r="M261" s="246"/>
      <c r="N261" s="246"/>
      <c r="O261" s="247"/>
    </row>
    <row r="262" spans="1:15" ht="16.5" thickBot="1" x14ac:dyDescent="0.3">
      <c r="A262" s="3">
        <v>14</v>
      </c>
      <c r="B262" s="1" t="s">
        <v>392</v>
      </c>
      <c r="C262" s="3" t="s">
        <v>398</v>
      </c>
      <c r="D262" s="1" t="s">
        <v>20</v>
      </c>
      <c r="E262" s="5">
        <v>11</v>
      </c>
      <c r="F262" s="1">
        <v>110</v>
      </c>
      <c r="G262" s="5">
        <f t="shared" si="52"/>
        <v>1210</v>
      </c>
      <c r="I262" s="92" t="s">
        <v>0</v>
      </c>
      <c r="J262" s="93" t="s">
        <v>1</v>
      </c>
      <c r="K262" s="93" t="s">
        <v>3</v>
      </c>
      <c r="L262" s="93" t="s">
        <v>2</v>
      </c>
      <c r="M262" s="93" t="s">
        <v>6</v>
      </c>
      <c r="N262" s="93" t="s">
        <v>7</v>
      </c>
      <c r="O262" s="94" t="s">
        <v>8</v>
      </c>
    </row>
    <row r="263" spans="1:15" ht="16.5" thickBot="1" x14ac:dyDescent="0.3">
      <c r="A263" s="233" t="s">
        <v>232</v>
      </c>
      <c r="B263" s="234"/>
      <c r="C263" s="234"/>
      <c r="D263" s="234"/>
      <c r="E263" s="234"/>
      <c r="F263" s="235"/>
      <c r="G263" s="57">
        <f>'Steaching Dep'!E238+'Steaching Dep'!E244+'Steaching Dep'!E246+'Steaching Dep'!E245+Admin!E141+'Guest House'!E71+'Guest House'!E73</f>
        <v>1770</v>
      </c>
      <c r="I263" s="3">
        <v>1</v>
      </c>
      <c r="J263" s="3" t="s">
        <v>4</v>
      </c>
      <c r="K263" s="3" t="s">
        <v>423</v>
      </c>
      <c r="L263" s="3" t="s">
        <v>11</v>
      </c>
      <c r="M263" s="30">
        <v>5</v>
      </c>
      <c r="N263" s="3">
        <v>35</v>
      </c>
      <c r="O263" s="4">
        <f>N263*M263</f>
        <v>175</v>
      </c>
    </row>
    <row r="264" spans="1:15" ht="16.5" thickBot="1" x14ac:dyDescent="0.3">
      <c r="A264" s="236" t="s">
        <v>161</v>
      </c>
      <c r="B264" s="237"/>
      <c r="C264" s="237"/>
      <c r="D264" s="237"/>
      <c r="E264" s="237"/>
      <c r="F264" s="238"/>
      <c r="G264" s="51">
        <f>SUM(G249:G262)-G263</f>
        <v>99134.298999999985</v>
      </c>
      <c r="I264" s="3">
        <v>2</v>
      </c>
      <c r="J264" s="3" t="s">
        <v>88</v>
      </c>
      <c r="K264" s="3" t="s">
        <v>423</v>
      </c>
      <c r="L264" s="1" t="s">
        <v>12</v>
      </c>
      <c r="M264" s="3">
        <v>8</v>
      </c>
      <c r="N264" s="1">
        <v>35</v>
      </c>
      <c r="O264" s="4">
        <f>N264*M264</f>
        <v>280</v>
      </c>
    </row>
    <row r="265" spans="1:15" ht="16.5" thickBot="1" x14ac:dyDescent="0.3">
      <c r="A265" s="239" t="s">
        <v>170</v>
      </c>
      <c r="B265" s="240"/>
      <c r="C265" s="240"/>
      <c r="D265" s="240"/>
      <c r="E265" s="240"/>
      <c r="F265" s="240"/>
      <c r="G265" s="241"/>
      <c r="I265" s="3">
        <v>3</v>
      </c>
      <c r="J265" s="1" t="s">
        <v>196</v>
      </c>
      <c r="K265" s="3" t="s">
        <v>423</v>
      </c>
      <c r="L265" s="1" t="s">
        <v>12</v>
      </c>
      <c r="M265" s="1">
        <v>7</v>
      </c>
      <c r="N265" s="1">
        <v>50</v>
      </c>
      <c r="O265" s="4">
        <f t="shared" ref="O265:O285" si="54">N265*M265</f>
        <v>350</v>
      </c>
    </row>
    <row r="266" spans="1:15" x14ac:dyDescent="0.25">
      <c r="A266" s="3">
        <v>1</v>
      </c>
      <c r="B266" s="3" t="s">
        <v>263</v>
      </c>
      <c r="C266" s="3" t="s">
        <v>398</v>
      </c>
      <c r="D266" s="3" t="s">
        <v>104</v>
      </c>
      <c r="E266" s="4">
        <v>10</v>
      </c>
      <c r="F266" s="3">
        <v>150</v>
      </c>
      <c r="G266" s="4">
        <f>F266*E266</f>
        <v>1500</v>
      </c>
      <c r="I266" s="3">
        <v>4</v>
      </c>
      <c r="J266" s="1" t="s">
        <v>197</v>
      </c>
      <c r="K266" s="3" t="s">
        <v>423</v>
      </c>
      <c r="L266" s="1" t="s">
        <v>12</v>
      </c>
      <c r="M266" s="1">
        <v>16</v>
      </c>
      <c r="N266" s="1">
        <v>40</v>
      </c>
      <c r="O266" s="4">
        <f t="shared" si="54"/>
        <v>640</v>
      </c>
    </row>
    <row r="267" spans="1:15" x14ac:dyDescent="0.25">
      <c r="A267" s="3">
        <v>2</v>
      </c>
      <c r="B267" s="3" t="s">
        <v>194</v>
      </c>
      <c r="C267" s="3" t="s">
        <v>398</v>
      </c>
      <c r="D267" s="3" t="s">
        <v>104</v>
      </c>
      <c r="E267" s="4">
        <v>1</v>
      </c>
      <c r="F267" s="3">
        <v>400</v>
      </c>
      <c r="G267" s="4">
        <f t="shared" ref="G267:G271" si="55">F267*E267</f>
        <v>400</v>
      </c>
      <c r="I267" s="3">
        <v>5</v>
      </c>
      <c r="J267" s="96" t="s">
        <v>294</v>
      </c>
      <c r="K267" s="3" t="s">
        <v>423</v>
      </c>
      <c r="L267" s="1" t="s">
        <v>12</v>
      </c>
      <c r="M267" s="1">
        <v>1</v>
      </c>
      <c r="N267" s="1">
        <v>120</v>
      </c>
      <c r="O267" s="1">
        <f>N267*M267</f>
        <v>120</v>
      </c>
    </row>
    <row r="268" spans="1:15" x14ac:dyDescent="0.25">
      <c r="A268" s="3">
        <v>3</v>
      </c>
      <c r="B268" s="1" t="s">
        <v>110</v>
      </c>
      <c r="C268" s="3" t="s">
        <v>398</v>
      </c>
      <c r="D268" s="3" t="s">
        <v>104</v>
      </c>
      <c r="E268" s="5">
        <v>10</v>
      </c>
      <c r="F268" s="1">
        <v>120</v>
      </c>
      <c r="G268" s="4">
        <f t="shared" si="55"/>
        <v>1200</v>
      </c>
      <c r="I268" s="3">
        <v>6</v>
      </c>
      <c r="J268" s="96" t="s">
        <v>368</v>
      </c>
      <c r="K268" s="3" t="s">
        <v>423</v>
      </c>
      <c r="L268" s="1" t="s">
        <v>12</v>
      </c>
      <c r="M268" s="1">
        <v>1</v>
      </c>
      <c r="N268" s="1">
        <v>80</v>
      </c>
      <c r="O268" s="1">
        <f>N268*M268</f>
        <v>80</v>
      </c>
    </row>
    <row r="269" spans="1:15" x14ac:dyDescent="0.25">
      <c r="A269" s="3">
        <v>4</v>
      </c>
      <c r="B269" s="1" t="s">
        <v>102</v>
      </c>
      <c r="C269" s="3" t="s">
        <v>398</v>
      </c>
      <c r="D269" s="3" t="s">
        <v>104</v>
      </c>
      <c r="E269" s="5">
        <v>25</v>
      </c>
      <c r="F269" s="1">
        <v>120</v>
      </c>
      <c r="G269" s="4">
        <f t="shared" si="55"/>
        <v>3000</v>
      </c>
      <c r="I269" s="3">
        <v>7</v>
      </c>
      <c r="J269" s="1" t="s">
        <v>179</v>
      </c>
      <c r="K269" s="3" t="s">
        <v>423</v>
      </c>
      <c r="L269" s="1" t="s">
        <v>13</v>
      </c>
      <c r="M269" s="1">
        <v>22</v>
      </c>
      <c r="N269" s="1">
        <v>70</v>
      </c>
      <c r="O269" s="4">
        <f t="shared" si="54"/>
        <v>1540</v>
      </c>
    </row>
    <row r="270" spans="1:15" x14ac:dyDescent="0.25">
      <c r="A270" s="3">
        <v>5</v>
      </c>
      <c r="B270" s="1" t="s">
        <v>341</v>
      </c>
      <c r="C270" s="3" t="s">
        <v>398</v>
      </c>
      <c r="D270" s="1" t="s">
        <v>104</v>
      </c>
      <c r="E270" s="5">
        <v>296</v>
      </c>
      <c r="F270" s="1">
        <v>30</v>
      </c>
      <c r="G270" s="4">
        <f t="shared" si="55"/>
        <v>8880</v>
      </c>
      <c r="I270" s="3">
        <v>8</v>
      </c>
      <c r="J270" s="1" t="s">
        <v>178</v>
      </c>
      <c r="K270" s="3" t="s">
        <v>423</v>
      </c>
      <c r="L270" s="1" t="s">
        <v>13</v>
      </c>
      <c r="M270" s="1">
        <v>2.25</v>
      </c>
      <c r="N270" s="1">
        <v>400</v>
      </c>
      <c r="O270" s="4">
        <f t="shared" si="54"/>
        <v>900</v>
      </c>
    </row>
    <row r="271" spans="1:15" x14ac:dyDescent="0.25">
      <c r="A271" s="3">
        <v>6</v>
      </c>
      <c r="B271" s="1" t="s">
        <v>178</v>
      </c>
      <c r="C271" s="3" t="s">
        <v>398</v>
      </c>
      <c r="D271" s="1" t="s">
        <v>104</v>
      </c>
      <c r="E271" s="5">
        <v>5</v>
      </c>
      <c r="F271" s="1">
        <v>50</v>
      </c>
      <c r="G271" s="5">
        <f t="shared" si="55"/>
        <v>250</v>
      </c>
      <c r="I271" s="3">
        <v>9</v>
      </c>
      <c r="J271" s="1" t="s">
        <v>43</v>
      </c>
      <c r="K271" s="3" t="s">
        <v>423</v>
      </c>
      <c r="L271" s="1" t="s">
        <v>13</v>
      </c>
      <c r="M271" s="1">
        <v>10</v>
      </c>
      <c r="N271" s="1">
        <v>25</v>
      </c>
      <c r="O271" s="4">
        <f t="shared" si="54"/>
        <v>250</v>
      </c>
    </row>
    <row r="272" spans="1:15" ht="16.5" thickBot="1" x14ac:dyDescent="0.3">
      <c r="A272" s="248" t="s">
        <v>162</v>
      </c>
      <c r="B272" s="249"/>
      <c r="C272" s="249"/>
      <c r="D272" s="249"/>
      <c r="E272" s="249"/>
      <c r="F272" s="249"/>
      <c r="G272" s="70">
        <f>SUM(G266:G271)</f>
        <v>15230</v>
      </c>
      <c r="I272" s="3">
        <v>10</v>
      </c>
      <c r="J272" s="1" t="s">
        <v>292</v>
      </c>
      <c r="K272" s="3" t="s">
        <v>423</v>
      </c>
      <c r="L272" s="1" t="s">
        <v>13</v>
      </c>
      <c r="M272" s="1">
        <v>1</v>
      </c>
      <c r="N272" s="1">
        <v>90</v>
      </c>
      <c r="O272" s="4">
        <f t="shared" si="54"/>
        <v>90</v>
      </c>
    </row>
    <row r="273" spans="1:15" ht="19.5" thickBot="1" x14ac:dyDescent="0.35">
      <c r="A273" s="250" t="s">
        <v>103</v>
      </c>
      <c r="B273" s="251"/>
      <c r="C273" s="251"/>
      <c r="D273" s="251"/>
      <c r="E273" s="251"/>
      <c r="F273" s="251"/>
      <c r="G273" s="44">
        <f>G264+G272</f>
        <v>114364.29899999998</v>
      </c>
      <c r="I273" s="3">
        <v>11</v>
      </c>
      <c r="J273" s="1" t="s">
        <v>19</v>
      </c>
      <c r="K273" s="3" t="s">
        <v>423</v>
      </c>
      <c r="L273" s="1" t="s">
        <v>13</v>
      </c>
      <c r="M273" s="1">
        <v>52</v>
      </c>
      <c r="N273" s="1">
        <v>15</v>
      </c>
      <c r="O273" s="4">
        <f t="shared" si="54"/>
        <v>780</v>
      </c>
    </row>
    <row r="274" spans="1:15" ht="16.5" thickBot="1" x14ac:dyDescent="0.3">
      <c r="A274" s="245" t="s">
        <v>95</v>
      </c>
      <c r="B274" s="246"/>
      <c r="C274" s="246"/>
      <c r="D274" s="246"/>
      <c r="E274" s="246"/>
      <c r="F274" s="246"/>
      <c r="G274" s="247"/>
      <c r="I274" s="3">
        <v>12</v>
      </c>
      <c r="J274" s="1" t="s">
        <v>47</v>
      </c>
      <c r="K274" s="3" t="s">
        <v>423</v>
      </c>
      <c r="L274" s="1" t="s">
        <v>13</v>
      </c>
      <c r="M274" s="1">
        <v>3</v>
      </c>
      <c r="N274" s="1">
        <v>80</v>
      </c>
      <c r="O274" s="4">
        <f t="shared" si="54"/>
        <v>240</v>
      </c>
    </row>
    <row r="275" spans="1:15" x14ac:dyDescent="0.25">
      <c r="A275" s="40" t="s">
        <v>0</v>
      </c>
      <c r="B275" s="40" t="s">
        <v>56</v>
      </c>
      <c r="C275" s="40" t="s">
        <v>3</v>
      </c>
      <c r="D275" s="40" t="s">
        <v>2</v>
      </c>
      <c r="E275" s="40" t="s">
        <v>60</v>
      </c>
      <c r="F275" s="40"/>
      <c r="G275" s="37" t="s">
        <v>57</v>
      </c>
      <c r="I275" s="3">
        <v>13</v>
      </c>
      <c r="J275" s="1" t="s">
        <v>369</v>
      </c>
      <c r="K275" s="3" t="s">
        <v>423</v>
      </c>
      <c r="L275" s="1" t="s">
        <v>13</v>
      </c>
      <c r="M275" s="1">
        <v>3</v>
      </c>
      <c r="N275" s="1">
        <v>110</v>
      </c>
      <c r="O275" s="4">
        <f t="shared" si="54"/>
        <v>330</v>
      </c>
    </row>
    <row r="276" spans="1:15" x14ac:dyDescent="0.25">
      <c r="A276" s="18">
        <v>1</v>
      </c>
      <c r="B276" s="18" t="s">
        <v>137</v>
      </c>
      <c r="C276" s="18" t="s">
        <v>398</v>
      </c>
      <c r="D276" s="18" t="s">
        <v>167</v>
      </c>
      <c r="E276" s="18">
        <f>1775+1770</f>
        <v>3545</v>
      </c>
      <c r="F276" s="18"/>
      <c r="G276" s="21">
        <f>E276</f>
        <v>3545</v>
      </c>
      <c r="I276" s="3">
        <v>14</v>
      </c>
      <c r="J276" s="1" t="s">
        <v>458</v>
      </c>
      <c r="K276" s="3" t="s">
        <v>423</v>
      </c>
      <c r="L276" s="1" t="s">
        <v>13</v>
      </c>
      <c r="M276" s="1">
        <v>2</v>
      </c>
      <c r="N276" s="1">
        <v>80</v>
      </c>
      <c r="O276" s="4">
        <f t="shared" si="54"/>
        <v>160</v>
      </c>
    </row>
    <row r="277" spans="1:15" ht="30" x14ac:dyDescent="0.25">
      <c r="A277" s="18">
        <v>2</v>
      </c>
      <c r="B277" s="18" t="s">
        <v>58</v>
      </c>
      <c r="C277" s="18" t="s">
        <v>398</v>
      </c>
      <c r="D277" s="20" t="s">
        <v>59</v>
      </c>
      <c r="E277" s="18">
        <f>5460+1250</f>
        <v>6710</v>
      </c>
      <c r="F277" s="18"/>
      <c r="G277" s="21">
        <f t="shared" ref="G277:G283" si="56">E277</f>
        <v>6710</v>
      </c>
      <c r="I277" s="3">
        <v>15</v>
      </c>
      <c r="J277" s="18" t="s">
        <v>254</v>
      </c>
      <c r="K277" s="3" t="s">
        <v>423</v>
      </c>
      <c r="L277" s="1" t="s">
        <v>13</v>
      </c>
      <c r="M277" s="20">
        <v>4</v>
      </c>
      <c r="N277" s="1">
        <v>225</v>
      </c>
      <c r="O277" s="4">
        <f t="shared" ref="O277:O282" si="57">N277*M277</f>
        <v>900</v>
      </c>
    </row>
    <row r="278" spans="1:15" x14ac:dyDescent="0.25">
      <c r="A278" s="18">
        <v>3</v>
      </c>
      <c r="B278" s="18" t="s">
        <v>215</v>
      </c>
      <c r="C278" s="18" t="s">
        <v>398</v>
      </c>
      <c r="D278" s="20" t="s">
        <v>13</v>
      </c>
      <c r="E278" s="18">
        <v>590</v>
      </c>
      <c r="F278" s="18"/>
      <c r="G278" s="21">
        <f t="shared" si="56"/>
        <v>590</v>
      </c>
      <c r="I278" s="3">
        <v>16</v>
      </c>
      <c r="J278" s="18" t="s">
        <v>459</v>
      </c>
      <c r="K278" s="3" t="s">
        <v>423</v>
      </c>
      <c r="L278" s="1" t="s">
        <v>13</v>
      </c>
      <c r="M278" s="20">
        <v>1</v>
      </c>
      <c r="N278" s="1">
        <v>200</v>
      </c>
      <c r="O278" s="4">
        <f t="shared" si="57"/>
        <v>200</v>
      </c>
    </row>
    <row r="279" spans="1:15" x14ac:dyDescent="0.25">
      <c r="A279" s="18">
        <v>4</v>
      </c>
      <c r="B279" s="18" t="s">
        <v>282</v>
      </c>
      <c r="C279" s="18" t="s">
        <v>398</v>
      </c>
      <c r="D279" s="18" t="s">
        <v>13</v>
      </c>
      <c r="E279" s="18"/>
      <c r="F279" s="18"/>
      <c r="G279" s="21">
        <f t="shared" si="56"/>
        <v>0</v>
      </c>
      <c r="I279" s="3">
        <v>17</v>
      </c>
      <c r="J279" s="18" t="s">
        <v>405</v>
      </c>
      <c r="K279" s="3" t="s">
        <v>423</v>
      </c>
      <c r="L279" s="1" t="s">
        <v>13</v>
      </c>
      <c r="M279" s="20">
        <v>6</v>
      </c>
      <c r="N279" s="1">
        <v>50</v>
      </c>
      <c r="O279" s="4">
        <f t="shared" si="57"/>
        <v>300</v>
      </c>
    </row>
    <row r="280" spans="1:15" x14ac:dyDescent="0.25">
      <c r="A280" s="18"/>
      <c r="B280" s="18"/>
      <c r="C280" s="18"/>
      <c r="D280" s="18"/>
      <c r="E280" s="18"/>
      <c r="F280" s="18"/>
      <c r="G280" s="21"/>
      <c r="I280" s="3">
        <v>18</v>
      </c>
      <c r="J280" s="18" t="s">
        <v>460</v>
      </c>
      <c r="K280" s="3" t="s">
        <v>423</v>
      </c>
      <c r="L280" s="1" t="s">
        <v>13</v>
      </c>
      <c r="M280" s="20">
        <v>6</v>
      </c>
      <c r="N280" s="1">
        <v>180</v>
      </c>
      <c r="O280" s="4">
        <f t="shared" si="57"/>
        <v>1080</v>
      </c>
    </row>
    <row r="281" spans="1:15" x14ac:dyDescent="0.25">
      <c r="A281" s="18"/>
      <c r="B281" s="18"/>
      <c r="C281" s="18"/>
      <c r="D281" s="18"/>
      <c r="E281" s="18"/>
      <c r="F281" s="18"/>
      <c r="G281" s="21"/>
      <c r="I281" s="3">
        <v>19</v>
      </c>
      <c r="J281" s="1" t="s">
        <v>433</v>
      </c>
      <c r="K281" s="3" t="s">
        <v>423</v>
      </c>
      <c r="L281" s="1" t="s">
        <v>13</v>
      </c>
      <c r="M281" s="1">
        <v>12</v>
      </c>
      <c r="N281" s="1">
        <v>320</v>
      </c>
      <c r="O281" s="4">
        <f t="shared" si="57"/>
        <v>3840</v>
      </c>
    </row>
    <row r="282" spans="1:15" x14ac:dyDescent="0.25">
      <c r="A282" s="18">
        <v>5</v>
      </c>
      <c r="B282" s="18" t="s">
        <v>260</v>
      </c>
      <c r="C282" s="18" t="s">
        <v>398</v>
      </c>
      <c r="D282" s="18" t="s">
        <v>13</v>
      </c>
      <c r="E282" s="18">
        <v>1755</v>
      </c>
      <c r="F282" s="18"/>
      <c r="G282" s="21">
        <f t="shared" si="56"/>
        <v>1755</v>
      </c>
      <c r="I282" s="3">
        <v>20</v>
      </c>
      <c r="J282" s="1" t="s">
        <v>341</v>
      </c>
      <c r="K282" s="3" t="s">
        <v>423</v>
      </c>
      <c r="L282" s="1" t="s">
        <v>389</v>
      </c>
      <c r="M282" s="1">
        <v>2</v>
      </c>
      <c r="N282" s="1">
        <v>30</v>
      </c>
      <c r="O282" s="4">
        <f t="shared" si="57"/>
        <v>60</v>
      </c>
    </row>
    <row r="283" spans="1:15" x14ac:dyDescent="0.25">
      <c r="A283" s="18">
        <v>6</v>
      </c>
      <c r="B283" s="18" t="s">
        <v>169</v>
      </c>
      <c r="C283" s="18" t="s">
        <v>398</v>
      </c>
      <c r="D283" s="18" t="s">
        <v>93</v>
      </c>
      <c r="E283" s="18">
        <v>250</v>
      </c>
      <c r="F283" s="18"/>
      <c r="G283" s="21">
        <f t="shared" si="56"/>
        <v>250</v>
      </c>
      <c r="I283" s="3">
        <v>21</v>
      </c>
      <c r="J283" s="1" t="s">
        <v>435</v>
      </c>
      <c r="K283" s="3" t="s">
        <v>423</v>
      </c>
      <c r="L283" s="1" t="s">
        <v>389</v>
      </c>
      <c r="M283" s="1">
        <v>1</v>
      </c>
      <c r="N283" s="1">
        <v>150</v>
      </c>
      <c r="O283" s="4">
        <f t="shared" si="54"/>
        <v>150</v>
      </c>
    </row>
    <row r="284" spans="1:15" ht="16.5" thickBot="1" x14ac:dyDescent="0.3">
      <c r="A284" s="233" t="s">
        <v>25</v>
      </c>
      <c r="B284" s="234"/>
      <c r="C284" s="234"/>
      <c r="D284" s="234"/>
      <c r="E284" s="234"/>
      <c r="F284" s="235"/>
      <c r="G284" s="57">
        <f>SUM(G276:G283)</f>
        <v>12850</v>
      </c>
      <c r="I284" s="3">
        <v>22</v>
      </c>
      <c r="J284" s="1" t="s">
        <v>399</v>
      </c>
      <c r="K284" s="3" t="s">
        <v>423</v>
      </c>
      <c r="L284" s="1" t="s">
        <v>20</v>
      </c>
      <c r="M284" s="1">
        <v>4</v>
      </c>
      <c r="N284" s="1">
        <v>120</v>
      </c>
      <c r="O284" s="4">
        <f t="shared" si="54"/>
        <v>480</v>
      </c>
    </row>
    <row r="285" spans="1:15" ht="16.5" thickBot="1" x14ac:dyDescent="0.3">
      <c r="A285" s="217" t="s">
        <v>101</v>
      </c>
      <c r="B285" s="218"/>
      <c r="C285" s="218"/>
      <c r="D285" s="218"/>
      <c r="E285" s="218"/>
      <c r="F285" s="219"/>
      <c r="G285" s="48">
        <f>G264+G272+G284</f>
        <v>127214.29899999998</v>
      </c>
      <c r="I285" s="3">
        <v>23</v>
      </c>
      <c r="J285" s="24" t="s">
        <v>402</v>
      </c>
      <c r="K285" s="3" t="s">
        <v>423</v>
      </c>
      <c r="L285" s="1" t="s">
        <v>20</v>
      </c>
      <c r="M285" s="24">
        <v>17</v>
      </c>
      <c r="N285" s="1">
        <v>40</v>
      </c>
      <c r="O285" s="4">
        <f t="shared" si="54"/>
        <v>680</v>
      </c>
    </row>
    <row r="286" spans="1:15" ht="15.75" thickBot="1" x14ac:dyDescent="0.3">
      <c r="I286" s="3">
        <v>24</v>
      </c>
      <c r="J286" s="24" t="s">
        <v>236</v>
      </c>
      <c r="K286" s="3" t="s">
        <v>423</v>
      </c>
      <c r="L286" s="1" t="s">
        <v>20</v>
      </c>
      <c r="M286" s="24">
        <v>5</v>
      </c>
      <c r="N286" s="1">
        <v>35</v>
      </c>
      <c r="O286" s="4">
        <f t="shared" ref="O286:O292" si="58">N286*M286</f>
        <v>175</v>
      </c>
    </row>
    <row r="287" spans="1:15" ht="16.5" thickBot="1" x14ac:dyDescent="0.3">
      <c r="A287" s="33" t="s">
        <v>0</v>
      </c>
      <c r="B287" s="34" t="s">
        <v>1</v>
      </c>
      <c r="C287" s="34" t="s">
        <v>3</v>
      </c>
      <c r="D287" s="34" t="s">
        <v>2</v>
      </c>
      <c r="E287" s="34" t="s">
        <v>6</v>
      </c>
      <c r="F287" s="34" t="s">
        <v>7</v>
      </c>
      <c r="G287" s="35" t="s">
        <v>8</v>
      </c>
      <c r="I287" s="3">
        <v>25</v>
      </c>
      <c r="J287" s="24" t="s">
        <v>102</v>
      </c>
      <c r="K287" s="3" t="s">
        <v>423</v>
      </c>
      <c r="L287" s="1" t="s">
        <v>20</v>
      </c>
      <c r="M287" s="24">
        <v>4</v>
      </c>
      <c r="N287" s="1">
        <v>120</v>
      </c>
      <c r="O287" s="4">
        <f t="shared" si="58"/>
        <v>480</v>
      </c>
    </row>
    <row r="288" spans="1:15" x14ac:dyDescent="0.25">
      <c r="A288" s="3">
        <v>1</v>
      </c>
      <c r="B288" s="3" t="s">
        <v>4</v>
      </c>
      <c r="C288" s="67">
        <v>46023</v>
      </c>
      <c r="D288" s="3" t="s">
        <v>11</v>
      </c>
      <c r="E288" s="30">
        <v>199</v>
      </c>
      <c r="F288" s="3">
        <v>30</v>
      </c>
      <c r="G288" s="4">
        <f>F288*E288</f>
        <v>5970</v>
      </c>
      <c r="I288" s="3">
        <v>26</v>
      </c>
      <c r="J288" s="1" t="s">
        <v>197</v>
      </c>
      <c r="K288" s="3" t="s">
        <v>423</v>
      </c>
      <c r="L288" s="1" t="s">
        <v>20</v>
      </c>
      <c r="M288" s="1">
        <v>31</v>
      </c>
      <c r="N288" s="1">
        <v>40</v>
      </c>
      <c r="O288" s="1">
        <f t="shared" si="58"/>
        <v>1240</v>
      </c>
    </row>
    <row r="289" spans="1:15" x14ac:dyDescent="0.25">
      <c r="A289" s="3">
        <v>2</v>
      </c>
      <c r="B289" s="1" t="s">
        <v>9</v>
      </c>
      <c r="C289" s="67">
        <v>46023</v>
      </c>
      <c r="D289" s="1" t="s">
        <v>12</v>
      </c>
      <c r="E289" s="31">
        <v>420</v>
      </c>
      <c r="F289" s="1">
        <v>35</v>
      </c>
      <c r="G289" s="4">
        <f t="shared" ref="G289:G292" si="59">F289*E289</f>
        <v>14700</v>
      </c>
      <c r="I289" s="3">
        <v>27</v>
      </c>
      <c r="J289" s="24" t="s">
        <v>191</v>
      </c>
      <c r="K289" s="3" t="s">
        <v>423</v>
      </c>
      <c r="L289" s="1" t="s">
        <v>20</v>
      </c>
      <c r="M289" s="24">
        <v>8</v>
      </c>
      <c r="N289" s="1">
        <v>80</v>
      </c>
      <c r="O289" s="5">
        <f t="shared" si="58"/>
        <v>640</v>
      </c>
    </row>
    <row r="290" spans="1:15" x14ac:dyDescent="0.25">
      <c r="A290" s="3">
        <v>3</v>
      </c>
      <c r="B290" s="1" t="s">
        <v>241</v>
      </c>
      <c r="C290" s="67">
        <v>46023</v>
      </c>
      <c r="D290" s="1" t="s">
        <v>12</v>
      </c>
      <c r="E290" s="31">
        <v>32</v>
      </c>
      <c r="F290" s="1">
        <v>50</v>
      </c>
      <c r="G290" s="4">
        <f t="shared" si="59"/>
        <v>1600</v>
      </c>
      <c r="I290" s="3">
        <v>28</v>
      </c>
      <c r="J290" s="1" t="s">
        <v>19</v>
      </c>
      <c r="K290" s="3" t="s">
        <v>423</v>
      </c>
      <c r="L290" s="1" t="s">
        <v>20</v>
      </c>
      <c r="M290" s="1">
        <v>46</v>
      </c>
      <c r="N290" s="1">
        <v>15</v>
      </c>
      <c r="O290" s="1">
        <f t="shared" si="58"/>
        <v>690</v>
      </c>
    </row>
    <row r="291" spans="1:15" x14ac:dyDescent="0.25">
      <c r="A291" s="3">
        <v>4</v>
      </c>
      <c r="B291" s="1" t="s">
        <v>4</v>
      </c>
      <c r="C291" s="67">
        <v>46023</v>
      </c>
      <c r="D291" s="1" t="s">
        <v>12</v>
      </c>
      <c r="E291" s="31">
        <v>384</v>
      </c>
      <c r="F291" s="1">
        <v>30</v>
      </c>
      <c r="G291" s="4">
        <f t="shared" si="59"/>
        <v>11520</v>
      </c>
      <c r="I291" s="3">
        <v>29</v>
      </c>
      <c r="J291" s="1" t="s">
        <v>461</v>
      </c>
      <c r="K291" s="3" t="s">
        <v>423</v>
      </c>
      <c r="L291" s="1" t="s">
        <v>20</v>
      </c>
      <c r="M291" s="1">
        <v>4</v>
      </c>
      <c r="N291" s="1">
        <v>110</v>
      </c>
      <c r="O291" s="1">
        <f t="shared" si="58"/>
        <v>440</v>
      </c>
    </row>
    <row r="292" spans="1:15" x14ac:dyDescent="0.25">
      <c r="A292" s="3">
        <v>5</v>
      </c>
      <c r="B292" s="1" t="s">
        <v>18</v>
      </c>
      <c r="C292" s="67">
        <v>46023</v>
      </c>
      <c r="D292" s="1" t="s">
        <v>13</v>
      </c>
      <c r="E292" s="31">
        <v>173</v>
      </c>
      <c r="F292" s="1">
        <v>80</v>
      </c>
      <c r="G292" s="30">
        <f t="shared" si="59"/>
        <v>13840</v>
      </c>
      <c r="I292" s="1">
        <v>30</v>
      </c>
      <c r="J292" s="1" t="s">
        <v>462</v>
      </c>
      <c r="K292" s="1" t="s">
        <v>423</v>
      </c>
      <c r="L292" s="1" t="s">
        <v>20</v>
      </c>
      <c r="M292" s="1">
        <v>1</v>
      </c>
      <c r="N292" s="1">
        <v>80</v>
      </c>
      <c r="O292" s="1">
        <f t="shared" si="58"/>
        <v>80</v>
      </c>
    </row>
    <row r="293" spans="1:15" ht="16.5" thickBot="1" x14ac:dyDescent="0.3">
      <c r="A293" s="3">
        <v>6</v>
      </c>
      <c r="B293" s="1" t="s">
        <v>432</v>
      </c>
      <c r="C293" s="67">
        <v>46023</v>
      </c>
      <c r="D293" s="1" t="s">
        <v>13</v>
      </c>
      <c r="E293" s="31">
        <v>22</v>
      </c>
      <c r="F293" s="1">
        <v>180</v>
      </c>
      <c r="G293" s="4">
        <f>F293*E293</f>
        <v>3960</v>
      </c>
      <c r="I293" s="242" t="s">
        <v>25</v>
      </c>
      <c r="J293" s="243"/>
      <c r="K293" s="243"/>
      <c r="L293" s="243"/>
      <c r="M293" s="243"/>
      <c r="N293" s="244"/>
      <c r="O293" s="57">
        <f>SUM(O263:O292)</f>
        <v>17370</v>
      </c>
    </row>
    <row r="294" spans="1:15" ht="16.5" thickBot="1" x14ac:dyDescent="0.3">
      <c r="A294" s="3">
        <v>7</v>
      </c>
      <c r="B294" s="1" t="s">
        <v>19</v>
      </c>
      <c r="C294" s="67">
        <v>46023</v>
      </c>
      <c r="D294" s="1" t="s">
        <v>13</v>
      </c>
      <c r="E294" s="31">
        <v>1208</v>
      </c>
      <c r="F294" s="1">
        <v>15</v>
      </c>
      <c r="G294" s="4">
        <f t="shared" ref="G294:G301" si="60">F294*E294</f>
        <v>18120</v>
      </c>
      <c r="I294" s="217" t="s">
        <v>101</v>
      </c>
      <c r="J294" s="218"/>
      <c r="K294" s="218"/>
      <c r="L294" s="218"/>
      <c r="M294" s="218"/>
      <c r="N294" s="219"/>
      <c r="O294" s="48">
        <f>O293+O259+O252</f>
        <v>133959.89689999999</v>
      </c>
    </row>
    <row r="295" spans="1:15" ht="15.75" thickBot="1" x14ac:dyDescent="0.3">
      <c r="A295" s="3">
        <v>8</v>
      </c>
      <c r="B295" s="1" t="s">
        <v>16</v>
      </c>
      <c r="C295" s="67">
        <v>46023</v>
      </c>
      <c r="D295" s="1" t="s">
        <v>13</v>
      </c>
      <c r="E295" s="31">
        <v>109</v>
      </c>
      <c r="F295" s="1">
        <v>30</v>
      </c>
      <c r="G295" s="5">
        <f t="shared" si="60"/>
        <v>3270</v>
      </c>
      <c r="I295" s="38"/>
      <c r="J295" s="97"/>
      <c r="K295" s="38"/>
      <c r="L295" s="39"/>
      <c r="M295" s="38"/>
      <c r="N295" s="38"/>
      <c r="O295" s="38"/>
    </row>
    <row r="296" spans="1:15" ht="16.5" thickBot="1" x14ac:dyDescent="0.3">
      <c r="A296" s="3">
        <v>9</v>
      </c>
      <c r="B296" s="1" t="s">
        <v>43</v>
      </c>
      <c r="C296" s="67">
        <v>46023</v>
      </c>
      <c r="D296" s="1" t="s">
        <v>13</v>
      </c>
      <c r="E296" s="31">
        <v>2</v>
      </c>
      <c r="F296" s="1">
        <v>30</v>
      </c>
      <c r="G296" s="5">
        <f t="shared" si="60"/>
        <v>60</v>
      </c>
      <c r="I296" s="33" t="s">
        <v>0</v>
      </c>
      <c r="J296" s="34" t="s">
        <v>1</v>
      </c>
      <c r="K296" s="34" t="s">
        <v>3</v>
      </c>
      <c r="L296" s="34" t="s">
        <v>2</v>
      </c>
      <c r="M296" s="34" t="s">
        <v>6</v>
      </c>
      <c r="N296" s="34" t="s">
        <v>7</v>
      </c>
      <c r="O296" s="35" t="s">
        <v>8</v>
      </c>
    </row>
    <row r="297" spans="1:15" x14ac:dyDescent="0.25">
      <c r="A297" s="3">
        <v>10</v>
      </c>
      <c r="B297" s="1" t="s">
        <v>16</v>
      </c>
      <c r="C297" s="67">
        <v>46023</v>
      </c>
      <c r="D297" s="1" t="s">
        <v>389</v>
      </c>
      <c r="E297" s="31">
        <v>289</v>
      </c>
      <c r="F297" s="1">
        <v>30</v>
      </c>
      <c r="G297" s="5">
        <f t="shared" si="60"/>
        <v>8670</v>
      </c>
      <c r="I297" s="3">
        <v>1</v>
      </c>
      <c r="J297" s="3" t="s">
        <v>4</v>
      </c>
      <c r="K297" s="67">
        <v>46024</v>
      </c>
      <c r="L297" s="3" t="s">
        <v>11</v>
      </c>
      <c r="M297" s="30">
        <v>188</v>
      </c>
      <c r="N297" s="3">
        <v>30</v>
      </c>
      <c r="O297" s="4">
        <f>N297*M297</f>
        <v>5640</v>
      </c>
    </row>
    <row r="298" spans="1:15" x14ac:dyDescent="0.25">
      <c r="A298" s="3">
        <v>11</v>
      </c>
      <c r="B298" s="1" t="s">
        <v>124</v>
      </c>
      <c r="C298" s="67">
        <v>46023</v>
      </c>
      <c r="D298" s="1" t="s">
        <v>20</v>
      </c>
      <c r="E298" s="5">
        <v>55</v>
      </c>
      <c r="F298" s="1">
        <v>110</v>
      </c>
      <c r="G298" s="5">
        <f t="shared" si="60"/>
        <v>6050</v>
      </c>
      <c r="I298" s="3">
        <v>2</v>
      </c>
      <c r="J298" s="1" t="s">
        <v>9</v>
      </c>
      <c r="K298" s="67">
        <v>46024</v>
      </c>
      <c r="L298" s="1" t="s">
        <v>12</v>
      </c>
      <c r="M298" s="31">
        <v>336</v>
      </c>
      <c r="N298" s="1">
        <v>35</v>
      </c>
      <c r="O298" s="4">
        <f t="shared" ref="O298:O301" si="61">N298*M298</f>
        <v>11760</v>
      </c>
    </row>
    <row r="299" spans="1:15" x14ac:dyDescent="0.25">
      <c r="A299" s="3">
        <v>12</v>
      </c>
      <c r="B299" s="1" t="s">
        <v>19</v>
      </c>
      <c r="C299" s="67">
        <v>46023</v>
      </c>
      <c r="D299" s="1" t="s">
        <v>20</v>
      </c>
      <c r="E299" s="5">
        <v>327</v>
      </c>
      <c r="F299" s="1">
        <v>15</v>
      </c>
      <c r="G299" s="5">
        <f t="shared" si="60"/>
        <v>4905</v>
      </c>
      <c r="I299" s="3">
        <v>3</v>
      </c>
      <c r="J299" s="1" t="s">
        <v>241</v>
      </c>
      <c r="K299" s="67">
        <v>46024</v>
      </c>
      <c r="L299" s="1" t="s">
        <v>12</v>
      </c>
      <c r="M299" s="31">
        <v>31</v>
      </c>
      <c r="N299" s="1">
        <v>50</v>
      </c>
      <c r="O299" s="4">
        <f t="shared" si="61"/>
        <v>1550</v>
      </c>
    </row>
    <row r="300" spans="1:15" x14ac:dyDescent="0.25">
      <c r="A300" s="3">
        <v>13</v>
      </c>
      <c r="B300" s="1" t="s">
        <v>16</v>
      </c>
      <c r="C300" s="67">
        <v>46023</v>
      </c>
      <c r="D300" s="1" t="s">
        <v>20</v>
      </c>
      <c r="E300" s="5">
        <v>52</v>
      </c>
      <c r="F300" s="1">
        <v>30</v>
      </c>
      <c r="G300" s="5">
        <f t="shared" si="60"/>
        <v>1560</v>
      </c>
      <c r="I300" s="3">
        <v>4</v>
      </c>
      <c r="J300" s="1" t="s">
        <v>4</v>
      </c>
      <c r="K300" s="67">
        <v>46024</v>
      </c>
      <c r="L300" s="1" t="s">
        <v>12</v>
      </c>
      <c r="M300" s="31">
        <v>351</v>
      </c>
      <c r="N300" s="1">
        <v>30</v>
      </c>
      <c r="O300" s="4">
        <f t="shared" si="61"/>
        <v>10530</v>
      </c>
    </row>
    <row r="301" spans="1:15" x14ac:dyDescent="0.25">
      <c r="A301" s="3">
        <v>14</v>
      </c>
      <c r="B301" s="1" t="s">
        <v>406</v>
      </c>
      <c r="C301" s="67">
        <v>46023</v>
      </c>
      <c r="D301" s="1" t="s">
        <v>20</v>
      </c>
      <c r="E301" s="5">
        <v>5</v>
      </c>
      <c r="F301" s="1">
        <v>110</v>
      </c>
      <c r="G301" s="5">
        <f t="shared" si="60"/>
        <v>550</v>
      </c>
      <c r="I301" s="3">
        <v>5</v>
      </c>
      <c r="J301" s="1" t="s">
        <v>433</v>
      </c>
      <c r="K301" s="67">
        <v>46024</v>
      </c>
      <c r="L301" s="1" t="s">
        <v>13</v>
      </c>
      <c r="M301" s="31">
        <v>392</v>
      </c>
      <c r="N301" s="1">
        <v>180</v>
      </c>
      <c r="O301" s="30">
        <f t="shared" si="61"/>
        <v>70560</v>
      </c>
    </row>
    <row r="302" spans="1:15" ht="16.5" thickBot="1" x14ac:dyDescent="0.3">
      <c r="A302" s="233" t="s">
        <v>232</v>
      </c>
      <c r="B302" s="234"/>
      <c r="C302" s="234"/>
      <c r="D302" s="234"/>
      <c r="E302" s="234"/>
      <c r="F302" s="235"/>
      <c r="G302" s="57">
        <f>G317+G318+G319+G320+G322+G328</f>
        <v>1950</v>
      </c>
      <c r="I302" s="3">
        <v>6</v>
      </c>
      <c r="J302" s="1" t="s">
        <v>466</v>
      </c>
      <c r="K302" s="67">
        <v>46024</v>
      </c>
      <c r="L302" s="1" t="s">
        <v>13</v>
      </c>
      <c r="M302" s="31">
        <v>44</v>
      </c>
      <c r="N302" s="1">
        <v>110</v>
      </c>
      <c r="O302" s="4">
        <f>N302*M302</f>
        <v>4840</v>
      </c>
    </row>
    <row r="303" spans="1:15" ht="16.5" thickBot="1" x14ac:dyDescent="0.3">
      <c r="A303" s="236" t="s">
        <v>161</v>
      </c>
      <c r="B303" s="237"/>
      <c r="C303" s="237"/>
      <c r="D303" s="237"/>
      <c r="E303" s="237"/>
      <c r="F303" s="238"/>
      <c r="G303" s="51">
        <f>SUM(G288:G301)-G302</f>
        <v>92825</v>
      </c>
      <c r="I303" s="3">
        <v>7</v>
      </c>
      <c r="J303" s="1" t="s">
        <v>19</v>
      </c>
      <c r="K303" s="67">
        <v>46024</v>
      </c>
      <c r="L303" s="1" t="s">
        <v>13</v>
      </c>
      <c r="M303" s="31">
        <v>590</v>
      </c>
      <c r="N303" s="1">
        <v>15</v>
      </c>
      <c r="O303" s="4">
        <f t="shared" ref="O303:O313" si="62">N303*M303</f>
        <v>8850</v>
      </c>
    </row>
    <row r="304" spans="1:15" ht="16.5" thickBot="1" x14ac:dyDescent="0.3">
      <c r="A304" s="239" t="s">
        <v>170</v>
      </c>
      <c r="B304" s="240"/>
      <c r="C304" s="240"/>
      <c r="D304" s="240"/>
      <c r="E304" s="240"/>
      <c r="F304" s="240"/>
      <c r="G304" s="241"/>
      <c r="I304" s="3">
        <v>8</v>
      </c>
      <c r="J304" s="1" t="s">
        <v>340</v>
      </c>
      <c r="K304" s="67">
        <v>46024</v>
      </c>
      <c r="L304" s="1" t="s">
        <v>13</v>
      </c>
      <c r="M304" s="31">
        <v>27</v>
      </c>
      <c r="N304" s="1">
        <v>320</v>
      </c>
      <c r="O304" s="5">
        <f t="shared" si="62"/>
        <v>8640</v>
      </c>
    </row>
    <row r="305" spans="1:15" x14ac:dyDescent="0.25">
      <c r="A305" s="3">
        <v>1</v>
      </c>
      <c r="B305" s="3" t="s">
        <v>399</v>
      </c>
      <c r="C305" s="67">
        <v>46023</v>
      </c>
      <c r="D305" s="3" t="s">
        <v>104</v>
      </c>
      <c r="E305" s="4">
        <v>12</v>
      </c>
      <c r="F305" s="3">
        <v>120</v>
      </c>
      <c r="G305" s="4">
        <f>F305*E305</f>
        <v>1440</v>
      </c>
      <c r="I305" s="3">
        <v>9</v>
      </c>
      <c r="J305" s="1" t="s">
        <v>43</v>
      </c>
      <c r="K305" s="67">
        <v>46024</v>
      </c>
      <c r="L305" s="1" t="s">
        <v>13</v>
      </c>
      <c r="M305" s="31">
        <v>8</v>
      </c>
      <c r="N305" s="1">
        <v>30</v>
      </c>
      <c r="O305" s="5">
        <f t="shared" si="62"/>
        <v>240</v>
      </c>
    </row>
    <row r="306" spans="1:15" x14ac:dyDescent="0.25">
      <c r="A306" s="3">
        <v>2</v>
      </c>
      <c r="B306" s="3" t="s">
        <v>194</v>
      </c>
      <c r="C306" s="67">
        <v>46023</v>
      </c>
      <c r="D306" s="3" t="s">
        <v>104</v>
      </c>
      <c r="E306" s="4">
        <v>1</v>
      </c>
      <c r="F306" s="3">
        <v>110</v>
      </c>
      <c r="G306" s="4">
        <f t="shared" ref="G306:G310" si="63">F306*E306</f>
        <v>110</v>
      </c>
      <c r="I306" s="3">
        <v>10</v>
      </c>
      <c r="J306" s="1" t="s">
        <v>16</v>
      </c>
      <c r="K306" s="67">
        <v>46024</v>
      </c>
      <c r="L306" s="1" t="s">
        <v>13</v>
      </c>
      <c r="M306" s="31">
        <v>122</v>
      </c>
      <c r="N306" s="1">
        <v>30</v>
      </c>
      <c r="O306" s="5">
        <f t="shared" si="62"/>
        <v>3660</v>
      </c>
    </row>
    <row r="307" spans="1:15" x14ac:dyDescent="0.25">
      <c r="A307" s="3">
        <v>3</v>
      </c>
      <c r="B307" s="1" t="s">
        <v>110</v>
      </c>
      <c r="C307" s="67">
        <v>46023</v>
      </c>
      <c r="D307" s="3" t="s">
        <v>104</v>
      </c>
      <c r="E307" s="5">
        <v>14</v>
      </c>
      <c r="F307" s="1">
        <v>120</v>
      </c>
      <c r="G307" s="4">
        <f t="shared" si="63"/>
        <v>1680</v>
      </c>
      <c r="I307" s="3">
        <v>11</v>
      </c>
      <c r="J307" s="1" t="s">
        <v>482</v>
      </c>
      <c r="K307" s="67">
        <v>46024</v>
      </c>
      <c r="L307" s="1" t="s">
        <v>17</v>
      </c>
      <c r="M307" s="5">
        <v>380</v>
      </c>
      <c r="N307" s="1">
        <v>30</v>
      </c>
      <c r="O307" s="5">
        <f t="shared" si="62"/>
        <v>11400</v>
      </c>
    </row>
    <row r="308" spans="1:15" x14ac:dyDescent="0.25">
      <c r="A308" s="3">
        <v>4</v>
      </c>
      <c r="B308" s="1" t="s">
        <v>102</v>
      </c>
      <c r="C308" s="67">
        <v>46023</v>
      </c>
      <c r="D308" s="3" t="s">
        <v>104</v>
      </c>
      <c r="E308" s="5">
        <v>45</v>
      </c>
      <c r="F308" s="1">
        <v>120</v>
      </c>
      <c r="G308" s="4">
        <f t="shared" si="63"/>
        <v>5400</v>
      </c>
      <c r="I308" s="3">
        <v>12</v>
      </c>
      <c r="J308" s="1" t="s">
        <v>19</v>
      </c>
      <c r="K308" s="67">
        <v>46024</v>
      </c>
      <c r="L308" s="1" t="s">
        <v>20</v>
      </c>
      <c r="M308" s="5">
        <v>177</v>
      </c>
      <c r="N308" s="1">
        <v>15</v>
      </c>
      <c r="O308" s="5">
        <f t="shared" si="62"/>
        <v>2655</v>
      </c>
    </row>
    <row r="309" spans="1:15" x14ac:dyDescent="0.25">
      <c r="A309" s="3">
        <v>5</v>
      </c>
      <c r="B309" s="1" t="s">
        <v>341</v>
      </c>
      <c r="C309" s="67">
        <v>46023</v>
      </c>
      <c r="D309" s="1" t="s">
        <v>104</v>
      </c>
      <c r="E309" s="5">
        <v>320</v>
      </c>
      <c r="F309" s="1">
        <v>30</v>
      </c>
      <c r="G309" s="4">
        <f t="shared" si="63"/>
        <v>9600</v>
      </c>
      <c r="I309" s="3">
        <v>13</v>
      </c>
      <c r="J309" s="1" t="s">
        <v>16</v>
      </c>
      <c r="K309" s="67">
        <v>46024</v>
      </c>
      <c r="L309" s="1" t="s">
        <v>20</v>
      </c>
      <c r="M309" s="5">
        <v>47</v>
      </c>
      <c r="N309" s="1">
        <v>30</v>
      </c>
      <c r="O309" s="5">
        <f t="shared" si="62"/>
        <v>1410</v>
      </c>
    </row>
    <row r="310" spans="1:15" x14ac:dyDescent="0.25">
      <c r="A310" s="3">
        <v>6</v>
      </c>
      <c r="B310" s="1" t="s">
        <v>178</v>
      </c>
      <c r="C310" s="67">
        <v>46023</v>
      </c>
      <c r="D310" s="1" t="s">
        <v>104</v>
      </c>
      <c r="E310" s="5">
        <v>1</v>
      </c>
      <c r="F310" s="1">
        <v>50</v>
      </c>
      <c r="G310" s="5">
        <f t="shared" si="63"/>
        <v>50</v>
      </c>
      <c r="I310" s="3">
        <v>14</v>
      </c>
      <c r="J310" s="1" t="s">
        <v>406</v>
      </c>
      <c r="K310" s="67">
        <v>46024</v>
      </c>
      <c r="L310" s="1" t="s">
        <v>20</v>
      </c>
      <c r="M310" s="5">
        <v>5</v>
      </c>
      <c r="N310" s="1">
        <v>120</v>
      </c>
      <c r="O310" s="5">
        <f t="shared" si="62"/>
        <v>600</v>
      </c>
    </row>
    <row r="311" spans="1:15" ht="16.5" thickBot="1" x14ac:dyDescent="0.3">
      <c r="A311" s="223" t="s">
        <v>162</v>
      </c>
      <c r="B311" s="224"/>
      <c r="C311" s="224"/>
      <c r="D311" s="224"/>
      <c r="E311" s="224"/>
      <c r="F311" s="225"/>
      <c r="G311" s="70">
        <f>SUM(G305:G310)</f>
        <v>18280</v>
      </c>
      <c r="I311" s="3">
        <v>15</v>
      </c>
      <c r="J311" s="1" t="s">
        <v>433</v>
      </c>
      <c r="K311" s="67">
        <v>46024</v>
      </c>
      <c r="L311" s="1" t="s">
        <v>20</v>
      </c>
      <c r="M311" s="5">
        <v>19</v>
      </c>
      <c r="N311" s="1">
        <v>180</v>
      </c>
      <c r="O311" s="5">
        <f t="shared" si="62"/>
        <v>3420</v>
      </c>
    </row>
    <row r="312" spans="1:15" ht="19.5" thickBot="1" x14ac:dyDescent="0.35">
      <c r="A312" s="226" t="s">
        <v>103</v>
      </c>
      <c r="B312" s="227"/>
      <c r="C312" s="227"/>
      <c r="D312" s="227"/>
      <c r="E312" s="227"/>
      <c r="F312" s="228"/>
      <c r="G312" s="44">
        <f>G303+G311</f>
        <v>111105</v>
      </c>
      <c r="I312" s="3">
        <v>16</v>
      </c>
      <c r="J312" s="1" t="s">
        <v>191</v>
      </c>
      <c r="K312" s="67">
        <v>46024</v>
      </c>
      <c r="L312" s="1" t="s">
        <v>20</v>
      </c>
      <c r="M312" s="5">
        <v>17</v>
      </c>
      <c r="N312" s="1">
        <v>80</v>
      </c>
      <c r="O312" s="5">
        <f t="shared" si="62"/>
        <v>1360</v>
      </c>
    </row>
    <row r="313" spans="1:15" ht="16.5" thickBot="1" x14ac:dyDescent="0.3">
      <c r="A313" s="245" t="s">
        <v>95</v>
      </c>
      <c r="B313" s="246"/>
      <c r="C313" s="246"/>
      <c r="D313" s="246"/>
      <c r="E313" s="246"/>
      <c r="F313" s="246"/>
      <c r="G313" s="247"/>
      <c r="I313" s="3">
        <v>17</v>
      </c>
      <c r="J313" s="1" t="s">
        <v>463</v>
      </c>
      <c r="K313" s="67">
        <v>46024</v>
      </c>
      <c r="L313" s="1" t="s">
        <v>20</v>
      </c>
      <c r="M313" s="5">
        <v>2</v>
      </c>
      <c r="N313" s="1">
        <v>180</v>
      </c>
      <c r="O313" s="5">
        <f t="shared" si="62"/>
        <v>360</v>
      </c>
    </row>
    <row r="314" spans="1:15" ht="16.5" thickBot="1" x14ac:dyDescent="0.3">
      <c r="A314" s="92" t="s">
        <v>0</v>
      </c>
      <c r="B314" s="93" t="s">
        <v>1</v>
      </c>
      <c r="C314" s="93" t="s">
        <v>3</v>
      </c>
      <c r="D314" s="93" t="s">
        <v>2</v>
      </c>
      <c r="E314" s="93" t="s">
        <v>6</v>
      </c>
      <c r="F314" s="93" t="s">
        <v>7</v>
      </c>
      <c r="G314" s="94" t="s">
        <v>8</v>
      </c>
      <c r="I314" s="233" t="s">
        <v>232</v>
      </c>
      <c r="J314" s="234"/>
      <c r="K314" s="234"/>
      <c r="L314" s="234"/>
      <c r="M314" s="234"/>
      <c r="N314" s="235"/>
      <c r="O314" s="57">
        <f>O328+O329+O339+O342+O343+O344</f>
        <v>2960</v>
      </c>
    </row>
    <row r="315" spans="1:15" ht="16.5" thickBot="1" x14ac:dyDescent="0.3">
      <c r="A315" s="3">
        <v>1</v>
      </c>
      <c r="B315" s="3" t="s">
        <v>88</v>
      </c>
      <c r="C315" s="67">
        <v>46023</v>
      </c>
      <c r="D315" s="1" t="s">
        <v>12</v>
      </c>
      <c r="E315" s="3">
        <v>8</v>
      </c>
      <c r="F315" s="1">
        <v>35</v>
      </c>
      <c r="G315" s="4">
        <f>F315*E315</f>
        <v>280</v>
      </c>
      <c r="I315" s="236" t="s">
        <v>161</v>
      </c>
      <c r="J315" s="237"/>
      <c r="K315" s="237"/>
      <c r="L315" s="237"/>
      <c r="M315" s="237"/>
      <c r="N315" s="238"/>
      <c r="O315" s="51">
        <f>SUM(O297:O313)-O314</f>
        <v>144515</v>
      </c>
    </row>
    <row r="316" spans="1:15" ht="16.5" thickBot="1" x14ac:dyDescent="0.3">
      <c r="A316" s="3">
        <v>2</v>
      </c>
      <c r="B316" s="1" t="s">
        <v>196</v>
      </c>
      <c r="C316" s="67">
        <v>46023</v>
      </c>
      <c r="D316" s="1" t="s">
        <v>12</v>
      </c>
      <c r="E316" s="1">
        <v>12</v>
      </c>
      <c r="F316" s="1">
        <v>50</v>
      </c>
      <c r="G316" s="4">
        <f t="shared" ref="G316:G318" si="64">F316*E316</f>
        <v>600</v>
      </c>
      <c r="I316" s="239" t="s">
        <v>170</v>
      </c>
      <c r="J316" s="240"/>
      <c r="K316" s="240"/>
      <c r="L316" s="240"/>
      <c r="M316" s="240"/>
      <c r="N316" s="240"/>
      <c r="O316" s="241"/>
    </row>
    <row r="317" spans="1:15" x14ac:dyDescent="0.25">
      <c r="A317" s="3">
        <v>3</v>
      </c>
      <c r="B317" s="1" t="s">
        <v>197</v>
      </c>
      <c r="C317" s="67">
        <v>46023</v>
      </c>
      <c r="D317" s="1" t="s">
        <v>12</v>
      </c>
      <c r="E317" s="1">
        <v>13</v>
      </c>
      <c r="F317" s="1">
        <v>40</v>
      </c>
      <c r="G317" s="4">
        <f t="shared" si="64"/>
        <v>520</v>
      </c>
      <c r="I317" s="3">
        <v>1</v>
      </c>
      <c r="J317" s="3" t="s">
        <v>399</v>
      </c>
      <c r="K317" s="67">
        <v>46024</v>
      </c>
      <c r="L317" s="3" t="s">
        <v>104</v>
      </c>
      <c r="M317" s="4">
        <v>3</v>
      </c>
      <c r="N317" s="3">
        <v>120</v>
      </c>
      <c r="O317" s="4">
        <f>N317*M317</f>
        <v>360</v>
      </c>
    </row>
    <row r="318" spans="1:15" x14ac:dyDescent="0.25">
      <c r="A318" s="3">
        <v>4</v>
      </c>
      <c r="B318" s="1" t="s">
        <v>383</v>
      </c>
      <c r="C318" s="67">
        <v>46023</v>
      </c>
      <c r="D318" s="1" t="s">
        <v>12</v>
      </c>
      <c r="E318" s="1">
        <v>1</v>
      </c>
      <c r="F318" s="1">
        <v>220</v>
      </c>
      <c r="G318" s="4">
        <f t="shared" si="64"/>
        <v>220</v>
      </c>
      <c r="I318" s="3">
        <v>2</v>
      </c>
      <c r="J318" s="3" t="s">
        <v>194</v>
      </c>
      <c r="K318" s="67">
        <v>46024</v>
      </c>
      <c r="L318" s="3" t="s">
        <v>104</v>
      </c>
      <c r="M318" s="4">
        <v>1</v>
      </c>
      <c r="N318" s="3">
        <v>150</v>
      </c>
      <c r="O318" s="4">
        <f t="shared" ref="O318:O322" si="65">N318*M318</f>
        <v>150</v>
      </c>
    </row>
    <row r="319" spans="1:15" x14ac:dyDescent="0.25">
      <c r="A319" s="3">
        <v>5</v>
      </c>
      <c r="B319" s="96" t="s">
        <v>294</v>
      </c>
      <c r="C319" s="67">
        <v>46024</v>
      </c>
      <c r="D319" s="1" t="s">
        <v>12</v>
      </c>
      <c r="E319" s="1">
        <v>1</v>
      </c>
      <c r="F319" s="1">
        <v>120</v>
      </c>
      <c r="G319" s="1">
        <f>F319*E319</f>
        <v>120</v>
      </c>
      <c r="I319" s="3">
        <v>3</v>
      </c>
      <c r="J319" s="1" t="s">
        <v>110</v>
      </c>
      <c r="K319" s="67">
        <v>46024</v>
      </c>
      <c r="L319" s="3" t="s">
        <v>104</v>
      </c>
      <c r="M319" s="5">
        <v>3</v>
      </c>
      <c r="N319" s="1">
        <v>120</v>
      </c>
      <c r="O319" s="4">
        <f t="shared" si="65"/>
        <v>360</v>
      </c>
    </row>
    <row r="320" spans="1:15" x14ac:dyDescent="0.25">
      <c r="A320" s="3">
        <v>6</v>
      </c>
      <c r="B320" s="1" t="s">
        <v>179</v>
      </c>
      <c r="C320" s="67">
        <v>46023</v>
      </c>
      <c r="D320" s="1" t="s">
        <v>13</v>
      </c>
      <c r="E320" s="1">
        <v>11</v>
      </c>
      <c r="F320" s="1">
        <v>70</v>
      </c>
      <c r="G320" s="4">
        <f t="shared" ref="G320:G323" si="66">F320*E320</f>
        <v>770</v>
      </c>
      <c r="I320" s="3">
        <v>4</v>
      </c>
      <c r="J320" s="1" t="s">
        <v>102</v>
      </c>
      <c r="K320" s="67">
        <v>46024</v>
      </c>
      <c r="L320" s="3" t="s">
        <v>104</v>
      </c>
      <c r="M320" s="5">
        <v>31</v>
      </c>
      <c r="N320" s="1">
        <v>120</v>
      </c>
      <c r="O320" s="4">
        <f t="shared" si="65"/>
        <v>3720</v>
      </c>
    </row>
    <row r="321" spans="1:15" x14ac:dyDescent="0.25">
      <c r="A321" s="3">
        <v>7</v>
      </c>
      <c r="B321" s="1" t="s">
        <v>43</v>
      </c>
      <c r="C321" s="67">
        <v>46023</v>
      </c>
      <c r="D321" s="1" t="s">
        <v>13</v>
      </c>
      <c r="E321" s="1">
        <v>3</v>
      </c>
      <c r="F321" s="1">
        <v>30</v>
      </c>
      <c r="G321" s="4">
        <f t="shared" si="66"/>
        <v>90</v>
      </c>
      <c r="I321" s="3">
        <v>5</v>
      </c>
      <c r="J321" s="1" t="s">
        <v>341</v>
      </c>
      <c r="K321" s="67">
        <v>46024</v>
      </c>
      <c r="L321" s="1" t="s">
        <v>104</v>
      </c>
      <c r="M321" s="5">
        <v>298</v>
      </c>
      <c r="N321" s="1">
        <v>30</v>
      </c>
      <c r="O321" s="4">
        <f t="shared" si="65"/>
        <v>8940</v>
      </c>
    </row>
    <row r="322" spans="1:15" x14ac:dyDescent="0.25">
      <c r="A322" s="3">
        <v>8</v>
      </c>
      <c r="B322" s="1" t="s">
        <v>292</v>
      </c>
      <c r="C322" s="67">
        <v>46023</v>
      </c>
      <c r="D322" s="1" t="s">
        <v>13</v>
      </c>
      <c r="E322" s="1">
        <v>2</v>
      </c>
      <c r="F322" s="1">
        <v>90</v>
      </c>
      <c r="G322" s="4">
        <f t="shared" si="66"/>
        <v>180</v>
      </c>
      <c r="I322" s="3">
        <v>6</v>
      </c>
      <c r="J322" s="1" t="s">
        <v>178</v>
      </c>
      <c r="K322" s="67">
        <v>46024</v>
      </c>
      <c r="L322" s="1" t="s">
        <v>104</v>
      </c>
      <c r="M322" s="5">
        <v>24</v>
      </c>
      <c r="N322" s="1">
        <v>50</v>
      </c>
      <c r="O322" s="5">
        <f t="shared" si="65"/>
        <v>1200</v>
      </c>
    </row>
    <row r="323" spans="1:15" ht="16.5" thickBot="1" x14ac:dyDescent="0.3">
      <c r="A323" s="3">
        <v>9</v>
      </c>
      <c r="B323" s="1" t="s">
        <v>19</v>
      </c>
      <c r="C323" s="67">
        <v>46023</v>
      </c>
      <c r="D323" s="1" t="s">
        <v>13</v>
      </c>
      <c r="E323" s="1">
        <v>32</v>
      </c>
      <c r="F323" s="1">
        <v>15</v>
      </c>
      <c r="G323" s="4">
        <f t="shared" si="66"/>
        <v>480</v>
      </c>
      <c r="I323" s="223" t="s">
        <v>162</v>
      </c>
      <c r="J323" s="224"/>
      <c r="K323" s="224"/>
      <c r="L323" s="224"/>
      <c r="M323" s="224"/>
      <c r="N323" s="225"/>
      <c r="O323" s="70">
        <f>SUM(O317:O322)</f>
        <v>14730</v>
      </c>
    </row>
    <row r="324" spans="1:15" ht="19.5" thickBot="1" x14ac:dyDescent="0.35">
      <c r="A324" s="3">
        <v>10</v>
      </c>
      <c r="B324" s="18" t="s">
        <v>254</v>
      </c>
      <c r="C324" s="67">
        <v>46023</v>
      </c>
      <c r="D324" s="1" t="s">
        <v>13</v>
      </c>
      <c r="E324" s="20">
        <v>12</v>
      </c>
      <c r="F324" s="1">
        <v>225</v>
      </c>
      <c r="G324" s="4">
        <f>F324*E324</f>
        <v>2700</v>
      </c>
      <c r="I324" s="226" t="s">
        <v>103</v>
      </c>
      <c r="J324" s="227"/>
      <c r="K324" s="227"/>
      <c r="L324" s="227"/>
      <c r="M324" s="227"/>
      <c r="N324" s="228"/>
      <c r="O324" s="44">
        <f>O315+O323</f>
        <v>159245</v>
      </c>
    </row>
    <row r="325" spans="1:15" ht="16.5" thickBot="1" x14ac:dyDescent="0.3">
      <c r="A325" s="3">
        <v>11</v>
      </c>
      <c r="B325" s="18" t="s">
        <v>463</v>
      </c>
      <c r="C325" s="67">
        <v>46023</v>
      </c>
      <c r="D325" s="1" t="s">
        <v>13</v>
      </c>
      <c r="E325" s="20">
        <v>7</v>
      </c>
      <c r="F325" s="1">
        <v>180</v>
      </c>
      <c r="G325" s="4">
        <f>F325*E325</f>
        <v>1260</v>
      </c>
      <c r="I325" s="245" t="s">
        <v>95</v>
      </c>
      <c r="J325" s="246"/>
      <c r="K325" s="246"/>
      <c r="L325" s="246"/>
      <c r="M325" s="246"/>
      <c r="N325" s="246"/>
      <c r="O325" s="247"/>
    </row>
    <row r="326" spans="1:15" ht="16.5" thickBot="1" x14ac:dyDescent="0.3">
      <c r="A326" s="3">
        <v>12</v>
      </c>
      <c r="B326" s="1" t="s">
        <v>433</v>
      </c>
      <c r="C326" s="67">
        <v>46023</v>
      </c>
      <c r="D326" s="1" t="s">
        <v>13</v>
      </c>
      <c r="E326" s="1">
        <v>5</v>
      </c>
      <c r="F326" s="1">
        <v>320</v>
      </c>
      <c r="G326" s="4">
        <f>F326*E326</f>
        <v>1600</v>
      </c>
      <c r="I326" s="92" t="s">
        <v>0</v>
      </c>
      <c r="J326" s="93" t="s">
        <v>1</v>
      </c>
      <c r="K326" s="93" t="s">
        <v>3</v>
      </c>
      <c r="L326" s="93" t="s">
        <v>2</v>
      </c>
      <c r="M326" s="93" t="s">
        <v>6</v>
      </c>
      <c r="N326" s="93" t="s">
        <v>7</v>
      </c>
      <c r="O326" s="94" t="s">
        <v>8</v>
      </c>
    </row>
    <row r="327" spans="1:15" x14ac:dyDescent="0.25">
      <c r="A327" s="3">
        <v>13</v>
      </c>
      <c r="B327" s="1" t="s">
        <v>399</v>
      </c>
      <c r="C327" s="67">
        <v>46023</v>
      </c>
      <c r="D327" s="1" t="s">
        <v>20</v>
      </c>
      <c r="E327" s="1">
        <v>6</v>
      </c>
      <c r="F327" s="1">
        <v>120</v>
      </c>
      <c r="G327" s="4">
        <f t="shared" ref="G327:G328" si="67">F327*E327</f>
        <v>720</v>
      </c>
      <c r="I327" s="3">
        <v>1</v>
      </c>
      <c r="J327" s="1" t="s">
        <v>196</v>
      </c>
      <c r="K327" s="67">
        <v>46024</v>
      </c>
      <c r="L327" s="1" t="s">
        <v>12</v>
      </c>
      <c r="M327" s="1">
        <v>5</v>
      </c>
      <c r="N327" s="1">
        <v>50</v>
      </c>
      <c r="O327" s="4">
        <f t="shared" ref="O327:O328" si="68">N327*M327</f>
        <v>250</v>
      </c>
    </row>
    <row r="328" spans="1:15" ht="16.5" customHeight="1" x14ac:dyDescent="0.25">
      <c r="A328" s="3">
        <v>14</v>
      </c>
      <c r="B328" s="24" t="s">
        <v>402</v>
      </c>
      <c r="C328" s="67">
        <v>46023</v>
      </c>
      <c r="D328" s="1" t="s">
        <v>20</v>
      </c>
      <c r="E328" s="24">
        <v>2</v>
      </c>
      <c r="F328" s="1">
        <v>70</v>
      </c>
      <c r="G328" s="4">
        <f t="shared" si="67"/>
        <v>140</v>
      </c>
      <c r="I328" s="3">
        <v>2</v>
      </c>
      <c r="J328" s="1" t="s">
        <v>197</v>
      </c>
      <c r="K328" s="67">
        <v>46024</v>
      </c>
      <c r="L328" s="1" t="s">
        <v>12</v>
      </c>
      <c r="M328" s="1">
        <v>24</v>
      </c>
      <c r="N328" s="1">
        <v>40</v>
      </c>
      <c r="O328" s="4">
        <f t="shared" si="68"/>
        <v>960</v>
      </c>
    </row>
    <row r="329" spans="1:15" x14ac:dyDescent="0.25">
      <c r="A329" s="3">
        <v>15</v>
      </c>
      <c r="B329" s="24" t="s">
        <v>236</v>
      </c>
      <c r="C329" s="67">
        <v>46023</v>
      </c>
      <c r="D329" s="1" t="s">
        <v>20</v>
      </c>
      <c r="E329" s="24">
        <v>38</v>
      </c>
      <c r="F329" s="1">
        <v>35</v>
      </c>
      <c r="G329" s="4">
        <f>F329*E329</f>
        <v>1330</v>
      </c>
      <c r="I329" s="3">
        <v>3</v>
      </c>
      <c r="J329" s="1" t="s">
        <v>179</v>
      </c>
      <c r="K329" s="67">
        <v>46024</v>
      </c>
      <c r="L329" s="1" t="s">
        <v>13</v>
      </c>
      <c r="M329" s="1">
        <v>14</v>
      </c>
      <c r="N329" s="1">
        <v>70</v>
      </c>
      <c r="O329" s="4">
        <f t="shared" ref="O329:O333" si="69">N329*M329</f>
        <v>980</v>
      </c>
    </row>
    <row r="330" spans="1:15" x14ac:dyDescent="0.25">
      <c r="A330" s="3">
        <v>16</v>
      </c>
      <c r="B330" s="24" t="s">
        <v>124</v>
      </c>
      <c r="C330" s="67">
        <v>46023</v>
      </c>
      <c r="D330" s="1" t="s">
        <v>20</v>
      </c>
      <c r="E330" s="24">
        <v>42</v>
      </c>
      <c r="F330" s="1">
        <v>110</v>
      </c>
      <c r="G330" s="4">
        <f>F330*E330</f>
        <v>4620</v>
      </c>
      <c r="I330" s="3">
        <v>4</v>
      </c>
      <c r="J330" s="1" t="s">
        <v>43</v>
      </c>
      <c r="K330" s="67">
        <v>46024</v>
      </c>
      <c r="L330" s="1" t="s">
        <v>13</v>
      </c>
      <c r="M330" s="1">
        <v>15</v>
      </c>
      <c r="N330" s="1">
        <v>30</v>
      </c>
      <c r="O330" s="4">
        <f t="shared" si="69"/>
        <v>450</v>
      </c>
    </row>
    <row r="331" spans="1:15" x14ac:dyDescent="0.25">
      <c r="A331" s="3">
        <v>17</v>
      </c>
      <c r="B331" s="1" t="s">
        <v>19</v>
      </c>
      <c r="C331" s="67">
        <v>46023</v>
      </c>
      <c r="D331" s="1" t="s">
        <v>20</v>
      </c>
      <c r="E331" s="1">
        <v>126</v>
      </c>
      <c r="F331" s="1">
        <v>15</v>
      </c>
      <c r="G331" s="1">
        <f>F331*E331</f>
        <v>1890</v>
      </c>
      <c r="I331" s="3">
        <v>5</v>
      </c>
      <c r="J331" s="1" t="s">
        <v>346</v>
      </c>
      <c r="K331" s="67">
        <v>46024</v>
      </c>
      <c r="L331" s="1" t="s">
        <v>13</v>
      </c>
      <c r="M331" s="1">
        <v>1</v>
      </c>
      <c r="N331" s="1">
        <v>1600</v>
      </c>
      <c r="O331" s="4">
        <f>N331*M331</f>
        <v>1600</v>
      </c>
    </row>
    <row r="332" spans="1:15" x14ac:dyDescent="0.25">
      <c r="A332" s="3">
        <v>18</v>
      </c>
      <c r="B332" s="1" t="s">
        <v>406</v>
      </c>
      <c r="C332" s="67">
        <v>46023</v>
      </c>
      <c r="D332" s="1" t="s">
        <v>20</v>
      </c>
      <c r="E332" s="1">
        <v>80</v>
      </c>
      <c r="F332" s="1">
        <v>110</v>
      </c>
      <c r="G332" s="1">
        <f>F332*E332</f>
        <v>8800</v>
      </c>
      <c r="I332" s="3">
        <v>6</v>
      </c>
      <c r="J332" s="1" t="s">
        <v>178</v>
      </c>
      <c r="K332" s="67">
        <v>46024</v>
      </c>
      <c r="L332" s="1" t="s">
        <v>13</v>
      </c>
      <c r="M332" s="1">
        <v>2.75</v>
      </c>
      <c r="N332" s="1">
        <v>400</v>
      </c>
      <c r="O332" s="4">
        <f>N332*M332</f>
        <v>1100</v>
      </c>
    </row>
    <row r="333" spans="1:15" ht="16.5" thickBot="1" x14ac:dyDescent="0.3">
      <c r="A333" s="242" t="s">
        <v>25</v>
      </c>
      <c r="B333" s="243"/>
      <c r="C333" s="243"/>
      <c r="D333" s="243"/>
      <c r="E333" s="243"/>
      <c r="F333" s="244"/>
      <c r="G333" s="57">
        <f>SUM(G315:G332)</f>
        <v>26320</v>
      </c>
      <c r="I333" s="3">
        <v>7</v>
      </c>
      <c r="J333" s="1" t="s">
        <v>19</v>
      </c>
      <c r="K333" s="67">
        <v>46024</v>
      </c>
      <c r="L333" s="1" t="s">
        <v>13</v>
      </c>
      <c r="M333" s="1">
        <v>23</v>
      </c>
      <c r="N333" s="1">
        <v>15</v>
      </c>
      <c r="O333" s="4">
        <f t="shared" si="69"/>
        <v>345</v>
      </c>
    </row>
    <row r="334" spans="1:15" ht="16.5" thickBot="1" x14ac:dyDescent="0.3">
      <c r="A334" s="217" t="s">
        <v>101</v>
      </c>
      <c r="B334" s="218"/>
      <c r="C334" s="218"/>
      <c r="D334" s="218"/>
      <c r="E334" s="218"/>
      <c r="F334" s="219"/>
      <c r="G334" s="48">
        <f>G333+G311+G303</f>
        <v>137425</v>
      </c>
      <c r="I334" s="3">
        <v>8</v>
      </c>
      <c r="J334" s="18" t="s">
        <v>488</v>
      </c>
      <c r="K334" s="67">
        <v>46024</v>
      </c>
      <c r="L334" s="1" t="s">
        <v>13</v>
      </c>
      <c r="M334" s="20">
        <v>23</v>
      </c>
      <c r="N334" s="1">
        <v>320</v>
      </c>
      <c r="O334" s="4">
        <f>N334*M334</f>
        <v>7360</v>
      </c>
    </row>
    <row r="335" spans="1:15" ht="15.75" thickBot="1" x14ac:dyDescent="0.3">
      <c r="E335" s="81"/>
      <c r="F335" s="81"/>
      <c r="G335" s="82"/>
      <c r="I335" s="3">
        <v>9</v>
      </c>
      <c r="J335" s="1" t="s">
        <v>433</v>
      </c>
      <c r="K335" s="67">
        <v>46024</v>
      </c>
      <c r="L335" s="1" t="s">
        <v>13</v>
      </c>
      <c r="M335" s="1">
        <v>2</v>
      </c>
      <c r="N335" s="1">
        <v>180</v>
      </c>
      <c r="O335" s="4">
        <f>N335*M335</f>
        <v>360</v>
      </c>
    </row>
    <row r="336" spans="1:15" ht="16.5" thickBot="1" x14ac:dyDescent="0.3">
      <c r="A336" s="33" t="s">
        <v>0</v>
      </c>
      <c r="B336" s="34" t="s">
        <v>1</v>
      </c>
      <c r="C336" s="34" t="s">
        <v>3</v>
      </c>
      <c r="D336" s="34" t="s">
        <v>2</v>
      </c>
      <c r="E336" s="34" t="s">
        <v>6</v>
      </c>
      <c r="F336" s="34" t="s">
        <v>7</v>
      </c>
      <c r="G336" s="35" t="s">
        <v>8</v>
      </c>
      <c r="H336" s="53"/>
      <c r="I336" s="3">
        <v>10</v>
      </c>
      <c r="J336" s="1" t="s">
        <v>102</v>
      </c>
      <c r="K336" s="67">
        <v>46024</v>
      </c>
      <c r="L336" s="1" t="s">
        <v>17</v>
      </c>
      <c r="M336" s="1">
        <v>4</v>
      </c>
      <c r="N336" s="1">
        <v>120</v>
      </c>
      <c r="O336" s="4">
        <f t="shared" ref="O336" si="70">N336*M336</f>
        <v>480</v>
      </c>
    </row>
    <row r="337" spans="1:15" x14ac:dyDescent="0.25">
      <c r="A337" s="3">
        <v>1</v>
      </c>
      <c r="B337" s="3" t="s">
        <v>4</v>
      </c>
      <c r="C337" s="67">
        <v>46025</v>
      </c>
      <c r="D337" s="3" t="s">
        <v>11</v>
      </c>
      <c r="E337" s="30">
        <v>166</v>
      </c>
      <c r="F337" s="3">
        <v>30</v>
      </c>
      <c r="G337" s="4">
        <f>F337*E337</f>
        <v>4980</v>
      </c>
      <c r="I337" s="3">
        <v>11</v>
      </c>
      <c r="J337" s="18" t="s">
        <v>463</v>
      </c>
      <c r="K337" s="67">
        <v>46024</v>
      </c>
      <c r="L337" s="1" t="s">
        <v>20</v>
      </c>
      <c r="M337" s="20">
        <v>4</v>
      </c>
      <c r="N337" s="1">
        <v>180</v>
      </c>
      <c r="O337" s="4">
        <f>N337*M337</f>
        <v>720</v>
      </c>
    </row>
    <row r="338" spans="1:15" x14ac:dyDescent="0.25">
      <c r="A338" s="3">
        <v>2</v>
      </c>
      <c r="B338" s="1" t="s">
        <v>9</v>
      </c>
      <c r="C338" s="67">
        <v>46025</v>
      </c>
      <c r="D338" s="1" t="s">
        <v>12</v>
      </c>
      <c r="E338" s="31">
        <v>398</v>
      </c>
      <c r="F338" s="1">
        <v>35</v>
      </c>
      <c r="G338" s="4">
        <f t="shared" ref="G338:G341" si="71">F338*E338</f>
        <v>13930</v>
      </c>
      <c r="I338" s="3">
        <v>12</v>
      </c>
      <c r="J338" s="1" t="s">
        <v>399</v>
      </c>
      <c r="K338" s="67">
        <v>46024</v>
      </c>
      <c r="L338" s="1" t="s">
        <v>20</v>
      </c>
      <c r="M338" s="1">
        <v>4</v>
      </c>
      <c r="N338" s="1">
        <v>120</v>
      </c>
      <c r="O338" s="4">
        <f t="shared" ref="O338:O339" si="72">N338*M338</f>
        <v>480</v>
      </c>
    </row>
    <row r="339" spans="1:15" x14ac:dyDescent="0.25">
      <c r="A339" s="3">
        <v>3</v>
      </c>
      <c r="B339" s="1" t="s">
        <v>241</v>
      </c>
      <c r="C339" s="67">
        <v>46025</v>
      </c>
      <c r="D339" s="1" t="s">
        <v>12</v>
      </c>
      <c r="E339" s="31">
        <v>34</v>
      </c>
      <c r="F339" s="1">
        <v>50</v>
      </c>
      <c r="G339" s="4">
        <f t="shared" si="71"/>
        <v>1700</v>
      </c>
      <c r="I339" s="3">
        <v>13</v>
      </c>
      <c r="J339" s="24" t="s">
        <v>402</v>
      </c>
      <c r="K339" s="67">
        <v>46024</v>
      </c>
      <c r="L339" s="1" t="s">
        <v>20</v>
      </c>
      <c r="M339" s="24">
        <v>10</v>
      </c>
      <c r="N339" s="1">
        <v>70</v>
      </c>
      <c r="O339" s="4">
        <f t="shared" si="72"/>
        <v>700</v>
      </c>
    </row>
    <row r="340" spans="1:15" x14ac:dyDescent="0.25">
      <c r="A340" s="3">
        <v>4</v>
      </c>
      <c r="B340" s="1" t="s">
        <v>4</v>
      </c>
      <c r="C340" s="67">
        <v>46025</v>
      </c>
      <c r="D340" s="1" t="s">
        <v>12</v>
      </c>
      <c r="E340" s="31">
        <v>356</v>
      </c>
      <c r="F340" s="1">
        <v>30</v>
      </c>
      <c r="G340" s="4">
        <f t="shared" si="71"/>
        <v>10680</v>
      </c>
      <c r="I340" s="3">
        <v>14</v>
      </c>
      <c r="J340" s="24" t="s">
        <v>236</v>
      </c>
      <c r="K340" s="67">
        <v>46024</v>
      </c>
      <c r="L340" s="1" t="s">
        <v>20</v>
      </c>
      <c r="M340" s="24">
        <v>42</v>
      </c>
      <c r="N340" s="1">
        <v>35</v>
      </c>
      <c r="O340" s="4">
        <f>N340*M340</f>
        <v>1470</v>
      </c>
    </row>
    <row r="341" spans="1:15" x14ac:dyDescent="0.25">
      <c r="A341" s="3">
        <v>5</v>
      </c>
      <c r="B341" s="1" t="s">
        <v>14</v>
      </c>
      <c r="C341" s="67">
        <v>46025</v>
      </c>
      <c r="D341" s="1" t="s">
        <v>13</v>
      </c>
      <c r="E341" s="31">
        <v>171</v>
      </c>
      <c r="F341" s="1">
        <v>80</v>
      </c>
      <c r="G341" s="30">
        <f t="shared" si="71"/>
        <v>13680</v>
      </c>
      <c r="I341" s="3">
        <v>15</v>
      </c>
      <c r="J341" s="24" t="s">
        <v>278</v>
      </c>
      <c r="K341" s="67">
        <v>46024</v>
      </c>
      <c r="L341" s="1" t="s">
        <v>20</v>
      </c>
      <c r="M341" s="24">
        <v>117</v>
      </c>
      <c r="N341" s="1">
        <v>110</v>
      </c>
      <c r="O341" s="4">
        <f>N341*M341</f>
        <v>12870</v>
      </c>
    </row>
    <row r="342" spans="1:15" x14ac:dyDescent="0.25">
      <c r="A342" s="3">
        <v>6</v>
      </c>
      <c r="B342" s="1" t="s">
        <v>466</v>
      </c>
      <c r="C342" s="67">
        <v>46025</v>
      </c>
      <c r="D342" s="1" t="s">
        <v>13</v>
      </c>
      <c r="E342" s="31">
        <v>16</v>
      </c>
      <c r="F342" s="1">
        <v>220</v>
      </c>
      <c r="G342" s="4">
        <f>F342*E342</f>
        <v>3520</v>
      </c>
      <c r="I342" s="3">
        <v>16</v>
      </c>
      <c r="J342" s="24" t="s">
        <v>226</v>
      </c>
      <c r="K342" s="67">
        <v>46024</v>
      </c>
      <c r="L342" s="1"/>
      <c r="M342" s="24">
        <v>6</v>
      </c>
      <c r="N342" s="1">
        <v>20</v>
      </c>
      <c r="O342" s="4">
        <f>N342*M342</f>
        <v>120</v>
      </c>
    </row>
    <row r="343" spans="1:15" x14ac:dyDescent="0.25">
      <c r="A343" s="3">
        <v>7</v>
      </c>
      <c r="B343" s="1" t="s">
        <v>19</v>
      </c>
      <c r="C343" s="67">
        <v>46025</v>
      </c>
      <c r="D343" s="1" t="s">
        <v>13</v>
      </c>
      <c r="E343" s="31">
        <v>1130</v>
      </c>
      <c r="F343" s="1">
        <v>15</v>
      </c>
      <c r="G343" s="4">
        <f t="shared" ref="G343:G351" si="73">F343*E343</f>
        <v>16950</v>
      </c>
      <c r="I343" s="3">
        <v>17</v>
      </c>
      <c r="J343" s="1" t="s">
        <v>490</v>
      </c>
      <c r="K343" s="67">
        <v>46024</v>
      </c>
      <c r="L343" s="1"/>
      <c r="M343" s="1">
        <v>5</v>
      </c>
      <c r="N343" s="1">
        <v>20</v>
      </c>
      <c r="O343" s="1">
        <f>N343*M343</f>
        <v>100</v>
      </c>
    </row>
    <row r="344" spans="1:15" x14ac:dyDescent="0.25">
      <c r="A344" s="3">
        <v>8</v>
      </c>
      <c r="B344" s="1" t="s">
        <v>43</v>
      </c>
      <c r="C344" s="67">
        <v>46025</v>
      </c>
      <c r="D344" s="1" t="s">
        <v>13</v>
      </c>
      <c r="E344" s="31">
        <v>3</v>
      </c>
      <c r="F344" s="1">
        <v>30</v>
      </c>
      <c r="G344" s="5">
        <f t="shared" si="73"/>
        <v>90</v>
      </c>
      <c r="I344" s="3">
        <v>18</v>
      </c>
      <c r="J344" s="1" t="s">
        <v>491</v>
      </c>
      <c r="K344" s="67">
        <v>46024</v>
      </c>
      <c r="L344" s="1"/>
      <c r="M344" s="1">
        <v>1</v>
      </c>
      <c r="N344" s="1">
        <v>100</v>
      </c>
      <c r="O344" s="1">
        <f>N344*M344</f>
        <v>100</v>
      </c>
    </row>
    <row r="345" spans="1:15" ht="16.5" thickBot="1" x14ac:dyDescent="0.3">
      <c r="A345" s="3">
        <v>9</v>
      </c>
      <c r="B345" s="1" t="s">
        <v>16</v>
      </c>
      <c r="C345" s="67">
        <v>46025</v>
      </c>
      <c r="D345" s="1" t="s">
        <v>13</v>
      </c>
      <c r="E345" s="31">
        <v>100</v>
      </c>
      <c r="F345" s="1">
        <v>30</v>
      </c>
      <c r="G345" s="5">
        <f t="shared" si="73"/>
        <v>3000</v>
      </c>
      <c r="I345" s="242" t="s">
        <v>25</v>
      </c>
      <c r="J345" s="243"/>
      <c r="K345" s="243"/>
      <c r="L345" s="243"/>
      <c r="M345" s="243"/>
      <c r="N345" s="244"/>
      <c r="O345" s="57">
        <f>SUM(O327:O344)</f>
        <v>30445</v>
      </c>
    </row>
    <row r="346" spans="1:15" ht="16.5" thickBot="1" x14ac:dyDescent="0.3">
      <c r="A346" s="3">
        <v>10</v>
      </c>
      <c r="B346" s="1" t="s">
        <v>482</v>
      </c>
      <c r="C346" s="67">
        <v>46025</v>
      </c>
      <c r="D346" s="1" t="s">
        <v>17</v>
      </c>
      <c r="E346" s="5">
        <v>324</v>
      </c>
      <c r="F346" s="1">
        <v>30</v>
      </c>
      <c r="G346" s="5">
        <f t="shared" si="73"/>
        <v>9720</v>
      </c>
      <c r="I346" s="217" t="s">
        <v>101</v>
      </c>
      <c r="J346" s="218"/>
      <c r="K346" s="218"/>
      <c r="L346" s="218"/>
      <c r="M346" s="218"/>
      <c r="N346" s="219"/>
      <c r="O346" s="48">
        <f>O345+O323+O315</f>
        <v>189690</v>
      </c>
    </row>
    <row r="347" spans="1:15" ht="15.75" thickBot="1" x14ac:dyDescent="0.3">
      <c r="A347" s="3">
        <v>11</v>
      </c>
      <c r="B347" s="1" t="s">
        <v>19</v>
      </c>
      <c r="C347" s="67">
        <v>46025</v>
      </c>
      <c r="D347" s="1" t="s">
        <v>20</v>
      </c>
      <c r="E347" s="5">
        <v>233</v>
      </c>
      <c r="F347" s="1">
        <v>15</v>
      </c>
      <c r="G347" s="5">
        <f t="shared" si="73"/>
        <v>3495</v>
      </c>
    </row>
    <row r="348" spans="1:15" ht="16.5" thickBot="1" x14ac:dyDescent="0.3">
      <c r="A348" s="3">
        <v>12</v>
      </c>
      <c r="B348" s="1" t="s">
        <v>16</v>
      </c>
      <c r="C348" s="67">
        <v>46025</v>
      </c>
      <c r="D348" s="1" t="s">
        <v>20</v>
      </c>
      <c r="E348" s="5">
        <v>41</v>
      </c>
      <c r="F348" s="1">
        <v>30</v>
      </c>
      <c r="G348" s="5">
        <f t="shared" si="73"/>
        <v>1230</v>
      </c>
      <c r="I348" s="33" t="s">
        <v>0</v>
      </c>
      <c r="J348" s="34" t="s">
        <v>1</v>
      </c>
      <c r="K348" s="34" t="s">
        <v>3</v>
      </c>
      <c r="L348" s="34" t="s">
        <v>2</v>
      </c>
      <c r="M348" s="34" t="s">
        <v>6</v>
      </c>
      <c r="N348" s="34" t="s">
        <v>7</v>
      </c>
      <c r="O348" s="35" t="s">
        <v>8</v>
      </c>
    </row>
    <row r="349" spans="1:15" x14ac:dyDescent="0.25">
      <c r="A349" s="3">
        <v>13</v>
      </c>
      <c r="B349" s="1" t="s">
        <v>14</v>
      </c>
      <c r="C349" s="67">
        <v>46025</v>
      </c>
      <c r="D349" s="1" t="s">
        <v>20</v>
      </c>
      <c r="E349" s="5">
        <v>27</v>
      </c>
      <c r="F349" s="1">
        <v>80</v>
      </c>
      <c r="G349" s="5">
        <f t="shared" si="73"/>
        <v>2160</v>
      </c>
      <c r="I349" s="3">
        <v>1</v>
      </c>
      <c r="J349" s="3" t="s">
        <v>4</v>
      </c>
      <c r="K349" s="67">
        <v>46026</v>
      </c>
      <c r="L349" s="3" t="s">
        <v>11</v>
      </c>
      <c r="M349" s="30">
        <v>167</v>
      </c>
      <c r="N349" s="3">
        <v>30</v>
      </c>
      <c r="O349" s="4">
        <f>N349*M349</f>
        <v>5010</v>
      </c>
    </row>
    <row r="350" spans="1:15" x14ac:dyDescent="0.25">
      <c r="A350" s="3">
        <v>14</v>
      </c>
      <c r="B350" s="1" t="s">
        <v>519</v>
      </c>
      <c r="C350" s="67">
        <v>46025</v>
      </c>
      <c r="D350" s="1" t="s">
        <v>20</v>
      </c>
      <c r="E350" s="5">
        <v>7</v>
      </c>
      <c r="F350" s="1">
        <v>110</v>
      </c>
      <c r="G350" s="5">
        <f t="shared" si="73"/>
        <v>770</v>
      </c>
      <c r="I350" s="3">
        <v>2</v>
      </c>
      <c r="J350" s="1" t="s">
        <v>9</v>
      </c>
      <c r="K350" s="67">
        <v>46026</v>
      </c>
      <c r="L350" s="1" t="s">
        <v>12</v>
      </c>
      <c r="M350" s="31">
        <v>365</v>
      </c>
      <c r="N350" s="1">
        <v>35</v>
      </c>
      <c r="O350" s="4">
        <f t="shared" ref="O350:O353" si="74">N350*M350</f>
        <v>12775</v>
      </c>
    </row>
    <row r="351" spans="1:15" x14ac:dyDescent="0.25">
      <c r="A351" s="3">
        <v>15</v>
      </c>
      <c r="B351" s="1" t="s">
        <v>520</v>
      </c>
      <c r="C351" s="67">
        <v>46025</v>
      </c>
      <c r="D351" s="1" t="s">
        <v>20</v>
      </c>
      <c r="E351" s="5">
        <v>2</v>
      </c>
      <c r="F351" s="1">
        <v>270</v>
      </c>
      <c r="G351" s="5">
        <f t="shared" si="73"/>
        <v>540</v>
      </c>
      <c r="I351" s="3">
        <v>3</v>
      </c>
      <c r="J351" s="1" t="s">
        <v>241</v>
      </c>
      <c r="K351" s="67">
        <v>46026</v>
      </c>
      <c r="L351" s="1" t="s">
        <v>12</v>
      </c>
      <c r="M351" s="31">
        <v>35</v>
      </c>
      <c r="N351" s="1">
        <v>50</v>
      </c>
      <c r="O351" s="4">
        <f t="shared" si="74"/>
        <v>1750</v>
      </c>
    </row>
    <row r="352" spans="1:15" ht="16.5" thickBot="1" x14ac:dyDescent="0.3">
      <c r="A352" s="233" t="s">
        <v>232</v>
      </c>
      <c r="B352" s="234"/>
      <c r="C352" s="234"/>
      <c r="D352" s="234"/>
      <c r="E352" s="234"/>
      <c r="F352" s="235"/>
      <c r="G352" s="57">
        <f>G369+G377+G382+G383+G384</f>
        <v>2140</v>
      </c>
      <c r="I352" s="3">
        <v>4</v>
      </c>
      <c r="J352" s="1" t="s">
        <v>4</v>
      </c>
      <c r="K352" s="67">
        <v>46026</v>
      </c>
      <c r="L352" s="1" t="s">
        <v>12</v>
      </c>
      <c r="M352" s="31">
        <v>244</v>
      </c>
      <c r="N352" s="1">
        <v>30</v>
      </c>
      <c r="O352" s="4">
        <f t="shared" si="74"/>
        <v>7320</v>
      </c>
    </row>
    <row r="353" spans="1:15" ht="16.5" thickBot="1" x14ac:dyDescent="0.3">
      <c r="A353" s="236" t="s">
        <v>161</v>
      </c>
      <c r="B353" s="237"/>
      <c r="C353" s="237"/>
      <c r="D353" s="237"/>
      <c r="E353" s="237"/>
      <c r="F353" s="238"/>
      <c r="G353" s="51">
        <f>SUM(G337:G351)-G352</f>
        <v>84305</v>
      </c>
      <c r="I353" s="3">
        <v>5</v>
      </c>
      <c r="J353" s="1" t="s">
        <v>436</v>
      </c>
      <c r="K353" s="67">
        <v>46026</v>
      </c>
      <c r="L353" s="1" t="s">
        <v>12</v>
      </c>
      <c r="M353" s="31">
        <v>2</v>
      </c>
      <c r="N353" s="1">
        <v>50</v>
      </c>
      <c r="O353" s="30">
        <f t="shared" si="74"/>
        <v>100</v>
      </c>
    </row>
    <row r="354" spans="1:15" ht="16.5" thickBot="1" x14ac:dyDescent="0.3">
      <c r="A354" s="239" t="s">
        <v>170</v>
      </c>
      <c r="B354" s="240"/>
      <c r="C354" s="240"/>
      <c r="D354" s="240"/>
      <c r="E354" s="240"/>
      <c r="F354" s="240"/>
      <c r="G354" s="241"/>
      <c r="I354" s="3">
        <v>6</v>
      </c>
      <c r="J354" s="1" t="s">
        <v>122</v>
      </c>
      <c r="K354" s="67">
        <v>46026</v>
      </c>
      <c r="L354" s="1" t="s">
        <v>13</v>
      </c>
      <c r="M354" s="31">
        <v>49</v>
      </c>
      <c r="N354" s="1">
        <v>120</v>
      </c>
      <c r="O354" s="4">
        <f>N354*M354</f>
        <v>5880</v>
      </c>
    </row>
    <row r="355" spans="1:15" x14ac:dyDescent="0.25">
      <c r="A355" s="3">
        <v>1</v>
      </c>
      <c r="B355" s="3" t="s">
        <v>399</v>
      </c>
      <c r="C355" s="67">
        <v>46025</v>
      </c>
      <c r="D355" s="3" t="s">
        <v>104</v>
      </c>
      <c r="E355" s="4">
        <v>2</v>
      </c>
      <c r="F355" s="3">
        <v>120</v>
      </c>
      <c r="G355" s="4">
        <f>F355*E355</f>
        <v>240</v>
      </c>
      <c r="I355" s="3">
        <v>7</v>
      </c>
      <c r="J355" s="1" t="s">
        <v>19</v>
      </c>
      <c r="K355" s="67">
        <v>46026</v>
      </c>
      <c r="L355" s="1" t="s">
        <v>13</v>
      </c>
      <c r="M355" s="31">
        <v>293</v>
      </c>
      <c r="N355" s="1">
        <v>15</v>
      </c>
      <c r="O355" s="4">
        <f t="shared" ref="O355:O362" si="75">N355*M355</f>
        <v>4395</v>
      </c>
    </row>
    <row r="356" spans="1:15" x14ac:dyDescent="0.25">
      <c r="A356" s="3">
        <v>2</v>
      </c>
      <c r="B356" s="3" t="s">
        <v>194</v>
      </c>
      <c r="C356" s="67">
        <v>46025</v>
      </c>
      <c r="D356" s="3" t="s">
        <v>104</v>
      </c>
      <c r="E356" s="4">
        <v>1</v>
      </c>
      <c r="F356" s="3">
        <v>50</v>
      </c>
      <c r="G356" s="4">
        <f t="shared" ref="G356:G360" si="76">F356*E356</f>
        <v>50</v>
      </c>
      <c r="I356" s="3">
        <v>8</v>
      </c>
      <c r="J356" s="1" t="s">
        <v>14</v>
      </c>
      <c r="K356" s="67">
        <v>46026</v>
      </c>
      <c r="L356" s="1" t="s">
        <v>13</v>
      </c>
      <c r="M356" s="31">
        <v>40</v>
      </c>
      <c r="N356" s="1">
        <v>80</v>
      </c>
      <c r="O356" s="5">
        <f t="shared" si="75"/>
        <v>3200</v>
      </c>
    </row>
    <row r="357" spans="1:15" x14ac:dyDescent="0.25">
      <c r="A357" s="3">
        <v>3</v>
      </c>
      <c r="B357" s="1" t="s">
        <v>110</v>
      </c>
      <c r="C357" s="67">
        <v>46025</v>
      </c>
      <c r="D357" s="3" t="s">
        <v>104</v>
      </c>
      <c r="E357" s="5">
        <v>13</v>
      </c>
      <c r="F357" s="1">
        <v>120</v>
      </c>
      <c r="G357" s="4">
        <f t="shared" si="76"/>
        <v>1560</v>
      </c>
      <c r="I357" s="3">
        <v>9</v>
      </c>
      <c r="J357" s="1" t="s">
        <v>16</v>
      </c>
      <c r="K357" s="67">
        <v>46026</v>
      </c>
      <c r="L357" s="1" t="s">
        <v>13</v>
      </c>
      <c r="M357" s="31">
        <v>47</v>
      </c>
      <c r="N357" s="1">
        <v>30</v>
      </c>
      <c r="O357" s="5">
        <f t="shared" si="75"/>
        <v>1410</v>
      </c>
    </row>
    <row r="358" spans="1:15" x14ac:dyDescent="0.25">
      <c r="A358" s="3">
        <v>4</v>
      </c>
      <c r="B358" s="1" t="s">
        <v>102</v>
      </c>
      <c r="C358" s="67">
        <v>46025</v>
      </c>
      <c r="D358" s="3" t="s">
        <v>104</v>
      </c>
      <c r="E358" s="5">
        <v>37</v>
      </c>
      <c r="F358" s="1">
        <v>120</v>
      </c>
      <c r="G358" s="4">
        <f t="shared" si="76"/>
        <v>4440</v>
      </c>
      <c r="I358" s="3">
        <v>10</v>
      </c>
      <c r="J358" s="1" t="s">
        <v>482</v>
      </c>
      <c r="K358" s="67">
        <v>46026</v>
      </c>
      <c r="L358" s="1" t="s">
        <v>17</v>
      </c>
      <c r="M358" s="5">
        <v>163</v>
      </c>
      <c r="N358" s="1">
        <v>30</v>
      </c>
      <c r="O358" s="5">
        <f t="shared" si="75"/>
        <v>4890</v>
      </c>
    </row>
    <row r="359" spans="1:15" x14ac:dyDescent="0.25">
      <c r="A359" s="3">
        <v>5</v>
      </c>
      <c r="B359" s="1" t="s">
        <v>341</v>
      </c>
      <c r="C359" s="67">
        <v>46025</v>
      </c>
      <c r="D359" s="1" t="s">
        <v>104</v>
      </c>
      <c r="E359" s="5">
        <v>328</v>
      </c>
      <c r="F359" s="1">
        <v>30</v>
      </c>
      <c r="G359" s="4">
        <f t="shared" si="76"/>
        <v>9840</v>
      </c>
      <c r="I359" s="3">
        <v>11</v>
      </c>
      <c r="J359" s="1" t="s">
        <v>19</v>
      </c>
      <c r="K359" s="67">
        <v>46026</v>
      </c>
      <c r="L359" s="1" t="s">
        <v>20</v>
      </c>
      <c r="M359" s="5">
        <v>219</v>
      </c>
      <c r="N359" s="1">
        <v>15</v>
      </c>
      <c r="O359" s="5">
        <f t="shared" si="75"/>
        <v>3285</v>
      </c>
    </row>
    <row r="360" spans="1:15" x14ac:dyDescent="0.25">
      <c r="A360" s="3">
        <v>6</v>
      </c>
      <c r="B360" s="1" t="s">
        <v>178</v>
      </c>
      <c r="C360" s="67">
        <v>46025</v>
      </c>
      <c r="D360" s="1" t="s">
        <v>104</v>
      </c>
      <c r="E360" s="5">
        <v>24</v>
      </c>
      <c r="F360" s="1">
        <v>50</v>
      </c>
      <c r="G360" s="5">
        <f t="shared" si="76"/>
        <v>1200</v>
      </c>
      <c r="I360" s="3">
        <v>12</v>
      </c>
      <c r="J360" s="1" t="s">
        <v>16</v>
      </c>
      <c r="K360" s="67">
        <v>46026</v>
      </c>
      <c r="L360" s="1" t="s">
        <v>20</v>
      </c>
      <c r="M360" s="5">
        <v>31</v>
      </c>
      <c r="N360" s="1">
        <v>30</v>
      </c>
      <c r="O360" s="5">
        <f t="shared" si="75"/>
        <v>930</v>
      </c>
    </row>
    <row r="361" spans="1:15" ht="16.5" thickBot="1" x14ac:dyDescent="0.3">
      <c r="A361" s="223" t="s">
        <v>162</v>
      </c>
      <c r="B361" s="224"/>
      <c r="C361" s="224"/>
      <c r="D361" s="224"/>
      <c r="E361" s="224"/>
      <c r="F361" s="225"/>
      <c r="G361" s="70">
        <f>SUM(G355:G360)</f>
        <v>17330</v>
      </c>
      <c r="I361" s="3">
        <v>13</v>
      </c>
      <c r="J361" s="1" t="s">
        <v>537</v>
      </c>
      <c r="K361" s="67">
        <v>46026</v>
      </c>
      <c r="L361" s="1" t="s">
        <v>20</v>
      </c>
      <c r="M361" s="5">
        <v>30</v>
      </c>
      <c r="N361" s="1">
        <v>150</v>
      </c>
      <c r="O361" s="5">
        <f t="shared" si="75"/>
        <v>4500</v>
      </c>
    </row>
    <row r="362" spans="1:15" ht="19.5" thickBot="1" x14ac:dyDescent="0.35">
      <c r="A362" s="226" t="s">
        <v>103</v>
      </c>
      <c r="B362" s="227"/>
      <c r="C362" s="227"/>
      <c r="D362" s="227"/>
      <c r="E362" s="227"/>
      <c r="F362" s="228"/>
      <c r="G362" s="44">
        <f>G353+G361</f>
        <v>101635</v>
      </c>
      <c r="I362" s="3">
        <v>14</v>
      </c>
      <c r="J362" s="1" t="s">
        <v>538</v>
      </c>
      <c r="K362" s="67">
        <v>46026</v>
      </c>
      <c r="L362" s="1" t="s">
        <v>20</v>
      </c>
      <c r="M362" s="5">
        <v>3</v>
      </c>
      <c r="N362" s="1">
        <v>100</v>
      </c>
      <c r="O362" s="5">
        <f t="shared" si="75"/>
        <v>300</v>
      </c>
    </row>
    <row r="363" spans="1:15" ht="16.5" thickBot="1" x14ac:dyDescent="0.3">
      <c r="A363" s="245" t="s">
        <v>95</v>
      </c>
      <c r="B363" s="246"/>
      <c r="C363" s="246"/>
      <c r="D363" s="246"/>
      <c r="E363" s="246"/>
      <c r="F363" s="246"/>
      <c r="G363" s="247"/>
      <c r="I363" s="233" t="s">
        <v>232</v>
      </c>
      <c r="J363" s="234"/>
      <c r="K363" s="234"/>
      <c r="L363" s="234"/>
      <c r="M363" s="234"/>
      <c r="N363" s="235"/>
      <c r="O363" s="57"/>
    </row>
    <row r="364" spans="1:15" ht="16.5" thickBot="1" x14ac:dyDescent="0.3">
      <c r="A364" s="102" t="s">
        <v>0</v>
      </c>
      <c r="B364" s="103" t="s">
        <v>1</v>
      </c>
      <c r="C364" s="103" t="s">
        <v>3</v>
      </c>
      <c r="D364" s="103" t="s">
        <v>2</v>
      </c>
      <c r="E364" s="103" t="s">
        <v>6</v>
      </c>
      <c r="F364" s="103" t="s">
        <v>7</v>
      </c>
      <c r="G364" s="104" t="s">
        <v>8</v>
      </c>
      <c r="I364" s="236" t="s">
        <v>161</v>
      </c>
      <c r="J364" s="237"/>
      <c r="K364" s="237"/>
      <c r="L364" s="237"/>
      <c r="M364" s="237"/>
      <c r="N364" s="238"/>
      <c r="O364" s="51">
        <f>SUM(O349:O362)-O363</f>
        <v>55745</v>
      </c>
    </row>
    <row r="365" spans="1:15" ht="16.5" thickBot="1" x14ac:dyDescent="0.3">
      <c r="A365" s="59">
        <v>1</v>
      </c>
      <c r="B365" s="59" t="s">
        <v>9</v>
      </c>
      <c r="C365" s="66">
        <v>46025</v>
      </c>
      <c r="D365" s="1" t="s">
        <v>12</v>
      </c>
      <c r="E365" s="59">
        <v>10</v>
      </c>
      <c r="F365" s="59">
        <v>35</v>
      </c>
      <c r="G365" s="5">
        <f t="shared" ref="G365:G370" si="77">F365*E365</f>
        <v>350</v>
      </c>
      <c r="I365" s="239" t="s">
        <v>170</v>
      </c>
      <c r="J365" s="240"/>
      <c r="K365" s="240"/>
      <c r="L365" s="240"/>
      <c r="M365" s="240"/>
      <c r="N365" s="240"/>
      <c r="O365" s="241"/>
    </row>
    <row r="366" spans="1:15" ht="15" customHeight="1" x14ac:dyDescent="0.25">
      <c r="A366" s="59">
        <v>2</v>
      </c>
      <c r="B366" s="1" t="s">
        <v>196</v>
      </c>
      <c r="C366" s="66">
        <v>46025</v>
      </c>
      <c r="D366" s="1" t="s">
        <v>12</v>
      </c>
      <c r="E366" s="1">
        <v>8</v>
      </c>
      <c r="F366" s="1">
        <v>50</v>
      </c>
      <c r="G366" s="5">
        <f t="shared" si="77"/>
        <v>400</v>
      </c>
      <c r="I366" s="3">
        <v>1</v>
      </c>
      <c r="J366" s="3" t="s">
        <v>399</v>
      </c>
      <c r="K366" s="67">
        <v>46026</v>
      </c>
      <c r="L366" s="3" t="s">
        <v>104</v>
      </c>
      <c r="M366" s="4">
        <v>3</v>
      </c>
      <c r="N366" s="3">
        <v>120</v>
      </c>
      <c r="O366" s="4">
        <f>N366*M366</f>
        <v>360</v>
      </c>
    </row>
    <row r="367" spans="1:15" x14ac:dyDescent="0.25">
      <c r="A367" s="59">
        <v>3</v>
      </c>
      <c r="B367" s="1" t="s">
        <v>236</v>
      </c>
      <c r="C367" s="66">
        <v>46025</v>
      </c>
      <c r="D367" s="1" t="s">
        <v>12</v>
      </c>
      <c r="E367" s="1">
        <v>5</v>
      </c>
      <c r="F367" s="1">
        <v>35</v>
      </c>
      <c r="G367" s="5">
        <f t="shared" si="77"/>
        <v>175</v>
      </c>
      <c r="I367" s="3">
        <v>2</v>
      </c>
      <c r="J367" s="3" t="s">
        <v>194</v>
      </c>
      <c r="K367" s="67">
        <v>46026</v>
      </c>
      <c r="L367" s="3" t="s">
        <v>104</v>
      </c>
      <c r="M367" s="4">
        <v>1</v>
      </c>
      <c r="N367" s="3">
        <v>150</v>
      </c>
      <c r="O367" s="4">
        <f t="shared" ref="O367:O371" si="78">N367*M367</f>
        <v>150</v>
      </c>
    </row>
    <row r="368" spans="1:15" x14ac:dyDescent="0.25">
      <c r="A368" s="59">
        <v>4</v>
      </c>
      <c r="B368" s="1" t="s">
        <v>525</v>
      </c>
      <c r="C368" s="66">
        <v>46025</v>
      </c>
      <c r="D368" s="1" t="s">
        <v>13</v>
      </c>
      <c r="E368" s="1">
        <v>5</v>
      </c>
      <c r="F368" s="1">
        <v>50</v>
      </c>
      <c r="G368" s="5">
        <f t="shared" si="77"/>
        <v>250</v>
      </c>
      <c r="I368" s="3">
        <v>3</v>
      </c>
      <c r="J368" s="1" t="s">
        <v>110</v>
      </c>
      <c r="K368" s="67">
        <v>46026</v>
      </c>
      <c r="L368" s="3" t="s">
        <v>104</v>
      </c>
      <c r="M368" s="5">
        <v>2</v>
      </c>
      <c r="N368" s="1">
        <v>120</v>
      </c>
      <c r="O368" s="4">
        <f t="shared" si="78"/>
        <v>240</v>
      </c>
    </row>
    <row r="369" spans="1:15" x14ac:dyDescent="0.25">
      <c r="A369" s="59">
        <v>5</v>
      </c>
      <c r="B369" s="1" t="s">
        <v>179</v>
      </c>
      <c r="C369" s="66">
        <v>46025</v>
      </c>
      <c r="D369" s="1" t="s">
        <v>13</v>
      </c>
      <c r="E369" s="1">
        <v>12</v>
      </c>
      <c r="F369" s="1">
        <v>70</v>
      </c>
      <c r="G369" s="5">
        <f t="shared" si="77"/>
        <v>840</v>
      </c>
      <c r="I369" s="3">
        <v>4</v>
      </c>
      <c r="J369" s="1" t="s">
        <v>102</v>
      </c>
      <c r="K369" s="67">
        <v>46026</v>
      </c>
      <c r="L369" s="3" t="s">
        <v>104</v>
      </c>
      <c r="M369" s="5">
        <v>6</v>
      </c>
      <c r="N369" s="1">
        <v>120</v>
      </c>
      <c r="O369" s="4">
        <f t="shared" si="78"/>
        <v>720</v>
      </c>
    </row>
    <row r="370" spans="1:15" x14ac:dyDescent="0.25">
      <c r="A370" s="59">
        <v>6</v>
      </c>
      <c r="B370" s="1" t="s">
        <v>43</v>
      </c>
      <c r="C370" s="66">
        <v>46025</v>
      </c>
      <c r="D370" s="1" t="s">
        <v>13</v>
      </c>
      <c r="E370" s="1">
        <v>5</v>
      </c>
      <c r="F370" s="1">
        <v>30</v>
      </c>
      <c r="G370" s="5">
        <f t="shared" si="77"/>
        <v>150</v>
      </c>
      <c r="I370" s="3">
        <v>5</v>
      </c>
      <c r="J370" s="1" t="s">
        <v>341</v>
      </c>
      <c r="K370" s="67">
        <v>46026</v>
      </c>
      <c r="L370" s="1" t="s">
        <v>104</v>
      </c>
      <c r="M370" s="5">
        <v>107</v>
      </c>
      <c r="N370" s="1">
        <v>30</v>
      </c>
      <c r="O370" s="4">
        <f t="shared" si="78"/>
        <v>3210</v>
      </c>
    </row>
    <row r="371" spans="1:15" ht="15" customHeight="1" x14ac:dyDescent="0.25">
      <c r="A371" s="59">
        <v>7</v>
      </c>
      <c r="B371" s="1" t="s">
        <v>236</v>
      </c>
      <c r="C371" s="66">
        <v>46025</v>
      </c>
      <c r="D371" s="1" t="s">
        <v>13</v>
      </c>
      <c r="E371" s="1">
        <v>29</v>
      </c>
      <c r="F371" s="1">
        <v>35</v>
      </c>
      <c r="G371" s="5">
        <f>F371*E371</f>
        <v>1015</v>
      </c>
      <c r="I371" s="3">
        <v>6</v>
      </c>
      <c r="J371" s="1" t="s">
        <v>178</v>
      </c>
      <c r="K371" s="67">
        <v>46026</v>
      </c>
      <c r="L371" s="1" t="s">
        <v>104</v>
      </c>
      <c r="M371" s="5">
        <v>10</v>
      </c>
      <c r="N371" s="1">
        <v>50</v>
      </c>
      <c r="O371" s="5">
        <f t="shared" si="78"/>
        <v>500</v>
      </c>
    </row>
    <row r="372" spans="1:15" ht="16.5" thickBot="1" x14ac:dyDescent="0.3">
      <c r="A372" s="59">
        <v>8</v>
      </c>
      <c r="B372" s="1" t="s">
        <v>178</v>
      </c>
      <c r="C372" s="66">
        <v>46025</v>
      </c>
      <c r="D372" s="1" t="s">
        <v>13</v>
      </c>
      <c r="E372" s="1">
        <v>0.5</v>
      </c>
      <c r="F372" s="1">
        <v>400</v>
      </c>
      <c r="G372" s="5">
        <f>F372*E372</f>
        <v>200</v>
      </c>
      <c r="I372" s="223" t="s">
        <v>162</v>
      </c>
      <c r="J372" s="224"/>
      <c r="K372" s="224"/>
      <c r="L372" s="224"/>
      <c r="M372" s="224"/>
      <c r="N372" s="225"/>
      <c r="O372" s="70">
        <f>SUM(O366:O371)</f>
        <v>5180</v>
      </c>
    </row>
    <row r="373" spans="1:15" ht="19.5" thickBot="1" x14ac:dyDescent="0.35">
      <c r="A373" s="59">
        <v>9</v>
      </c>
      <c r="B373" s="1" t="s">
        <v>19</v>
      </c>
      <c r="C373" s="66">
        <v>46025</v>
      </c>
      <c r="D373" s="1" t="s">
        <v>13</v>
      </c>
      <c r="E373" s="1">
        <v>66</v>
      </c>
      <c r="F373" s="1">
        <v>15</v>
      </c>
      <c r="G373" s="5">
        <f t="shared" ref="G373" si="79">F373*E373</f>
        <v>990</v>
      </c>
      <c r="I373" s="226" t="s">
        <v>103</v>
      </c>
      <c r="J373" s="227"/>
      <c r="K373" s="227"/>
      <c r="L373" s="227"/>
      <c r="M373" s="227"/>
      <c r="N373" s="228"/>
      <c r="O373" s="44">
        <f>O364+O372</f>
        <v>60925</v>
      </c>
    </row>
    <row r="374" spans="1:15" ht="16.5" thickBot="1" x14ac:dyDescent="0.3">
      <c r="A374" s="59">
        <v>10</v>
      </c>
      <c r="B374" s="18" t="s">
        <v>521</v>
      </c>
      <c r="C374" s="66">
        <v>46025</v>
      </c>
      <c r="D374" s="1" t="s">
        <v>13</v>
      </c>
      <c r="E374" s="20">
        <v>12</v>
      </c>
      <c r="F374" s="1">
        <v>220</v>
      </c>
      <c r="G374" s="5">
        <f>F374*E374</f>
        <v>2640</v>
      </c>
      <c r="I374" s="245" t="s">
        <v>95</v>
      </c>
      <c r="J374" s="246"/>
      <c r="K374" s="246"/>
      <c r="L374" s="246"/>
      <c r="M374" s="246"/>
      <c r="N374" s="246"/>
      <c r="O374" s="247"/>
    </row>
    <row r="375" spans="1:15" ht="15.75" x14ac:dyDescent="0.25">
      <c r="A375" s="59">
        <v>11</v>
      </c>
      <c r="B375" s="1" t="s">
        <v>524</v>
      </c>
      <c r="C375" s="66">
        <v>46025</v>
      </c>
      <c r="D375" s="1" t="s">
        <v>13</v>
      </c>
      <c r="E375" s="1">
        <v>4</v>
      </c>
      <c r="F375" s="1">
        <v>130</v>
      </c>
      <c r="G375" s="5">
        <f>F375*E375</f>
        <v>520</v>
      </c>
      <c r="I375" s="102" t="s">
        <v>0</v>
      </c>
      <c r="J375" s="103" t="s">
        <v>1</v>
      </c>
      <c r="K375" s="103" t="s">
        <v>3</v>
      </c>
      <c r="L375" s="103" t="s">
        <v>2</v>
      </c>
      <c r="M375" s="103" t="s">
        <v>6</v>
      </c>
      <c r="N375" s="103" t="s">
        <v>7</v>
      </c>
      <c r="O375" s="104" t="s">
        <v>8</v>
      </c>
    </row>
    <row r="376" spans="1:15" ht="15" customHeight="1" x14ac:dyDescent="0.25">
      <c r="A376" s="59">
        <v>12</v>
      </c>
      <c r="B376" s="18" t="s">
        <v>523</v>
      </c>
      <c r="C376" s="66">
        <v>46025</v>
      </c>
      <c r="D376" s="1" t="s">
        <v>20</v>
      </c>
      <c r="E376" s="20">
        <v>1</v>
      </c>
      <c r="F376" s="1">
        <v>180</v>
      </c>
      <c r="G376" s="5">
        <f>F376*E376</f>
        <v>180</v>
      </c>
      <c r="I376" s="59">
        <v>1</v>
      </c>
      <c r="J376" s="59" t="s">
        <v>9</v>
      </c>
      <c r="K376" s="66">
        <v>46026</v>
      </c>
      <c r="L376" s="1" t="s">
        <v>12</v>
      </c>
      <c r="M376" s="59">
        <v>9</v>
      </c>
      <c r="N376" s="59">
        <v>35</v>
      </c>
      <c r="O376" s="5">
        <f t="shared" ref="O376:O377" si="80">N376*M376</f>
        <v>315</v>
      </c>
    </row>
    <row r="377" spans="1:15" x14ac:dyDescent="0.25">
      <c r="A377" s="59">
        <v>13</v>
      </c>
      <c r="B377" s="24" t="s">
        <v>402</v>
      </c>
      <c r="C377" s="66">
        <v>46025</v>
      </c>
      <c r="D377" s="1" t="s">
        <v>20</v>
      </c>
      <c r="E377" s="24">
        <v>6</v>
      </c>
      <c r="F377" s="1">
        <v>70</v>
      </c>
      <c r="G377" s="5">
        <f t="shared" ref="G377" si="81">F377*E377</f>
        <v>420</v>
      </c>
      <c r="I377" s="59">
        <v>2</v>
      </c>
      <c r="J377" s="1" t="s">
        <v>440</v>
      </c>
      <c r="K377" s="66">
        <v>46026</v>
      </c>
      <c r="L377" s="1" t="s">
        <v>13</v>
      </c>
      <c r="M377" s="1">
        <v>4</v>
      </c>
      <c r="N377" s="1">
        <v>50</v>
      </c>
      <c r="O377" s="5">
        <f t="shared" si="80"/>
        <v>200</v>
      </c>
    </row>
    <row r="378" spans="1:15" x14ac:dyDescent="0.25">
      <c r="A378" s="59">
        <v>14</v>
      </c>
      <c r="B378" s="24" t="s">
        <v>236</v>
      </c>
      <c r="C378" s="66">
        <v>46025</v>
      </c>
      <c r="D378" s="1" t="s">
        <v>20</v>
      </c>
      <c r="E378" s="24">
        <v>11</v>
      </c>
      <c r="F378" s="1">
        <v>35</v>
      </c>
      <c r="G378" s="5">
        <f>F378*E378</f>
        <v>385</v>
      </c>
      <c r="I378" s="59">
        <v>3</v>
      </c>
      <c r="J378" s="1" t="s">
        <v>19</v>
      </c>
      <c r="K378" s="66">
        <v>46026</v>
      </c>
      <c r="L378" s="1" t="s">
        <v>13</v>
      </c>
      <c r="M378" s="1">
        <v>22</v>
      </c>
      <c r="N378" s="1">
        <v>15</v>
      </c>
      <c r="O378" s="5">
        <f t="shared" ref="O378" si="82">N378*M378</f>
        <v>330</v>
      </c>
    </row>
    <row r="379" spans="1:15" x14ac:dyDescent="0.25">
      <c r="A379" s="59">
        <v>15</v>
      </c>
      <c r="B379" s="24" t="s">
        <v>19</v>
      </c>
      <c r="C379" s="66">
        <v>46025</v>
      </c>
      <c r="D379" s="1" t="s">
        <v>20</v>
      </c>
      <c r="E379" s="24">
        <v>36</v>
      </c>
      <c r="F379" s="1">
        <v>15</v>
      </c>
      <c r="G379" s="5">
        <f>F379*E379</f>
        <v>540</v>
      </c>
      <c r="I379" s="59">
        <v>4</v>
      </c>
      <c r="J379" s="18" t="s">
        <v>537</v>
      </c>
      <c r="K379" s="66">
        <v>46026</v>
      </c>
      <c r="L379" s="1" t="s">
        <v>20</v>
      </c>
      <c r="M379" s="20">
        <v>1</v>
      </c>
      <c r="N379" s="1">
        <v>180</v>
      </c>
      <c r="O379" s="5">
        <f>N379*M379</f>
        <v>180</v>
      </c>
    </row>
    <row r="380" spans="1:15" ht="16.5" thickBot="1" x14ac:dyDescent="0.3">
      <c r="A380" s="59">
        <v>16</v>
      </c>
      <c r="B380" s="1" t="s">
        <v>102</v>
      </c>
      <c r="C380" s="66">
        <v>46025</v>
      </c>
      <c r="D380" s="1" t="s">
        <v>310</v>
      </c>
      <c r="E380" s="1">
        <v>4</v>
      </c>
      <c r="F380" s="1">
        <v>120</v>
      </c>
      <c r="G380" s="5">
        <f t="shared" ref="G380" si="83">F380*E380</f>
        <v>480</v>
      </c>
      <c r="I380" s="242" t="s">
        <v>25</v>
      </c>
      <c r="J380" s="243"/>
      <c r="K380" s="243"/>
      <c r="L380" s="243"/>
      <c r="M380" s="243"/>
      <c r="N380" s="244"/>
      <c r="O380" s="57">
        <f>SUM(O376:O379)</f>
        <v>1025</v>
      </c>
    </row>
    <row r="381" spans="1:15" ht="16.5" thickBot="1" x14ac:dyDescent="0.3">
      <c r="A381" s="59">
        <v>17</v>
      </c>
      <c r="B381" s="1" t="s">
        <v>399</v>
      </c>
      <c r="C381" s="66">
        <v>46025</v>
      </c>
      <c r="D381" s="1" t="s">
        <v>310</v>
      </c>
      <c r="E381" s="1">
        <v>7</v>
      </c>
      <c r="F381" s="1">
        <v>120</v>
      </c>
      <c r="G381" s="5">
        <f>F381*E381</f>
        <v>840</v>
      </c>
      <c r="I381" s="217" t="s">
        <v>101</v>
      </c>
      <c r="J381" s="218"/>
      <c r="K381" s="218"/>
      <c r="L381" s="218"/>
      <c r="M381" s="218"/>
      <c r="N381" s="219"/>
      <c r="O381" s="48">
        <f>O380+O372+O364</f>
        <v>61950</v>
      </c>
    </row>
    <row r="382" spans="1:15" ht="15.75" thickBot="1" x14ac:dyDescent="0.3">
      <c r="A382" s="59">
        <v>18</v>
      </c>
      <c r="B382" s="24" t="s">
        <v>272</v>
      </c>
      <c r="C382" s="66">
        <v>46025</v>
      </c>
      <c r="D382" s="1" t="s">
        <v>310</v>
      </c>
      <c r="E382" s="24">
        <v>1</v>
      </c>
      <c r="F382" s="1">
        <v>360</v>
      </c>
      <c r="G382" s="5">
        <f>F382*E382</f>
        <v>360</v>
      </c>
    </row>
    <row r="383" spans="1:15" ht="16.5" thickBot="1" x14ac:dyDescent="0.3">
      <c r="A383" s="59">
        <v>19</v>
      </c>
      <c r="B383" s="24" t="s">
        <v>324</v>
      </c>
      <c r="C383" s="66">
        <v>46025</v>
      </c>
      <c r="D383" s="1" t="s">
        <v>310</v>
      </c>
      <c r="E383" s="24">
        <v>2</v>
      </c>
      <c r="F383" s="1">
        <v>120</v>
      </c>
      <c r="G383" s="5">
        <f>F383*E383</f>
        <v>240</v>
      </c>
      <c r="I383" s="33" t="s">
        <v>0</v>
      </c>
      <c r="J383" s="34" t="s">
        <v>1</v>
      </c>
      <c r="K383" s="34" t="s">
        <v>3</v>
      </c>
      <c r="L383" s="34" t="s">
        <v>2</v>
      </c>
      <c r="M383" s="34" t="s">
        <v>6</v>
      </c>
      <c r="N383" s="34" t="s">
        <v>7</v>
      </c>
      <c r="O383" s="35" t="s">
        <v>8</v>
      </c>
    </row>
    <row r="384" spans="1:15" ht="15" customHeight="1" x14ac:dyDescent="0.25">
      <c r="A384" s="59">
        <v>20</v>
      </c>
      <c r="B384" s="1" t="s">
        <v>197</v>
      </c>
      <c r="C384" s="66">
        <v>46025</v>
      </c>
      <c r="D384" s="1" t="s">
        <v>310</v>
      </c>
      <c r="E384" s="1">
        <v>7</v>
      </c>
      <c r="F384" s="1">
        <v>40</v>
      </c>
      <c r="G384" s="1">
        <f>F384*E384</f>
        <v>280</v>
      </c>
      <c r="I384" s="3">
        <v>1</v>
      </c>
      <c r="J384" s="3" t="s">
        <v>4</v>
      </c>
      <c r="K384" s="67">
        <v>46028</v>
      </c>
      <c r="L384" s="3" t="s">
        <v>11</v>
      </c>
      <c r="M384" s="30">
        <v>150</v>
      </c>
      <c r="N384" s="3">
        <v>30</v>
      </c>
      <c r="O384" s="4">
        <f>N384*M384</f>
        <v>4500</v>
      </c>
    </row>
    <row r="385" spans="1:15" x14ac:dyDescent="0.25">
      <c r="A385" s="59">
        <v>21</v>
      </c>
      <c r="B385" s="1" t="s">
        <v>522</v>
      </c>
      <c r="C385" s="66">
        <v>46025</v>
      </c>
      <c r="D385" s="1" t="s">
        <v>310</v>
      </c>
      <c r="E385" s="1">
        <v>0.5</v>
      </c>
      <c r="F385" s="1">
        <v>480</v>
      </c>
      <c r="G385" s="1">
        <f>F385*E385</f>
        <v>240</v>
      </c>
      <c r="I385" s="3">
        <v>2</v>
      </c>
      <c r="J385" s="1" t="s">
        <v>9</v>
      </c>
      <c r="K385" s="67">
        <v>46028</v>
      </c>
      <c r="L385" s="1" t="s">
        <v>12</v>
      </c>
      <c r="M385" s="31">
        <v>388</v>
      </c>
      <c r="N385" s="1">
        <v>35</v>
      </c>
      <c r="O385" s="4">
        <f t="shared" ref="O385:O388" si="84">N385*M385</f>
        <v>13580</v>
      </c>
    </row>
    <row r="386" spans="1:15" ht="15" customHeight="1" thickBot="1" x14ac:dyDescent="0.3">
      <c r="A386" s="242" t="s">
        <v>25</v>
      </c>
      <c r="B386" s="243"/>
      <c r="C386" s="243"/>
      <c r="D386" s="243"/>
      <c r="E386" s="243"/>
      <c r="F386" s="244"/>
      <c r="G386" s="57">
        <f>SUM(G365:G385)</f>
        <v>11495</v>
      </c>
      <c r="I386" s="3">
        <v>3</v>
      </c>
      <c r="J386" s="1" t="s">
        <v>568</v>
      </c>
      <c r="K386" s="67">
        <v>46028</v>
      </c>
      <c r="L386" s="1" t="s">
        <v>12</v>
      </c>
      <c r="M386" s="31">
        <v>31</v>
      </c>
      <c r="N386" s="1">
        <v>50</v>
      </c>
      <c r="O386" s="4">
        <f t="shared" si="84"/>
        <v>1550</v>
      </c>
    </row>
    <row r="387" spans="1:15" ht="16.5" thickBot="1" x14ac:dyDescent="0.3">
      <c r="A387" s="217" t="s">
        <v>101</v>
      </c>
      <c r="B387" s="218"/>
      <c r="C387" s="218"/>
      <c r="D387" s="218"/>
      <c r="E387" s="218"/>
      <c r="F387" s="219"/>
      <c r="G387" s="48">
        <f>G386+G361+G353</f>
        <v>113130</v>
      </c>
      <c r="I387" s="3">
        <v>4</v>
      </c>
      <c r="J387" s="1" t="s">
        <v>4</v>
      </c>
      <c r="K387" s="67">
        <v>46028</v>
      </c>
      <c r="L387" s="1" t="s">
        <v>12</v>
      </c>
      <c r="M387" s="31">
        <v>391</v>
      </c>
      <c r="N387" s="1">
        <v>30</v>
      </c>
      <c r="O387" s="4">
        <f t="shared" si="84"/>
        <v>11730</v>
      </c>
    </row>
    <row r="388" spans="1:15" ht="15.75" thickBot="1" x14ac:dyDescent="0.3">
      <c r="I388" s="3">
        <v>5</v>
      </c>
      <c r="J388" s="1" t="s">
        <v>47</v>
      </c>
      <c r="K388" s="67">
        <v>46028</v>
      </c>
      <c r="L388" s="1" t="s">
        <v>13</v>
      </c>
      <c r="M388" s="31">
        <v>149</v>
      </c>
      <c r="N388" s="1">
        <v>80</v>
      </c>
      <c r="O388" s="30">
        <f t="shared" si="84"/>
        <v>11920</v>
      </c>
    </row>
    <row r="389" spans="1:15" ht="16.5" thickBot="1" x14ac:dyDescent="0.3">
      <c r="A389" s="33" t="s">
        <v>0</v>
      </c>
      <c r="B389" s="34" t="s">
        <v>1</v>
      </c>
      <c r="C389" s="34" t="s">
        <v>3</v>
      </c>
      <c r="D389" s="34" t="s">
        <v>2</v>
      </c>
      <c r="E389" s="34" t="s">
        <v>6</v>
      </c>
      <c r="F389" s="34" t="s">
        <v>7</v>
      </c>
      <c r="G389" s="35" t="s">
        <v>8</v>
      </c>
      <c r="I389" s="3">
        <v>6</v>
      </c>
      <c r="J389" s="1" t="s">
        <v>109</v>
      </c>
      <c r="K389" s="67">
        <v>46028</v>
      </c>
      <c r="L389" s="1" t="s">
        <v>13</v>
      </c>
      <c r="M389" s="31">
        <v>27</v>
      </c>
      <c r="N389" s="1">
        <v>180</v>
      </c>
      <c r="O389" s="4">
        <f>N389*M389</f>
        <v>4860</v>
      </c>
    </row>
    <row r="390" spans="1:15" x14ac:dyDescent="0.25">
      <c r="A390" s="3">
        <v>1</v>
      </c>
      <c r="B390" s="3" t="s">
        <v>4</v>
      </c>
      <c r="C390" s="67">
        <v>46027</v>
      </c>
      <c r="D390" s="3" t="s">
        <v>11</v>
      </c>
      <c r="E390" s="30">
        <v>103</v>
      </c>
      <c r="F390" s="3">
        <v>30</v>
      </c>
      <c r="G390" s="4">
        <f>F390*E390</f>
        <v>3090</v>
      </c>
      <c r="I390" s="3">
        <v>7</v>
      </c>
      <c r="J390" s="1" t="s">
        <v>19</v>
      </c>
      <c r="K390" s="67">
        <v>46028</v>
      </c>
      <c r="L390" s="1" t="s">
        <v>13</v>
      </c>
      <c r="M390" s="31">
        <v>1028</v>
      </c>
      <c r="N390" s="1">
        <v>15</v>
      </c>
      <c r="O390" s="4">
        <f t="shared" ref="O390:O397" si="85">N390*M390</f>
        <v>15420</v>
      </c>
    </row>
    <row r="391" spans="1:15" ht="15" customHeight="1" x14ac:dyDescent="0.25">
      <c r="A391" s="3">
        <v>2</v>
      </c>
      <c r="B391" s="1" t="s">
        <v>9</v>
      </c>
      <c r="C391" s="67">
        <v>46027</v>
      </c>
      <c r="D391" s="1" t="s">
        <v>12</v>
      </c>
      <c r="E391" s="31">
        <v>398</v>
      </c>
      <c r="F391" s="1">
        <v>35</v>
      </c>
      <c r="G391" s="4">
        <f t="shared" ref="G391:G394" si="86">F391*E391</f>
        <v>13930</v>
      </c>
      <c r="I391" s="3">
        <v>8</v>
      </c>
      <c r="J391" s="1" t="s">
        <v>33</v>
      </c>
      <c r="K391" s="67">
        <v>46028</v>
      </c>
      <c r="L391" s="1" t="s">
        <v>13</v>
      </c>
      <c r="M391" s="31">
        <v>5</v>
      </c>
      <c r="N391" s="1">
        <v>30</v>
      </c>
      <c r="O391" s="5">
        <f t="shared" si="85"/>
        <v>150</v>
      </c>
    </row>
    <row r="392" spans="1:15" x14ac:dyDescent="0.25">
      <c r="A392" s="3">
        <v>3</v>
      </c>
      <c r="B392" s="1" t="s">
        <v>241</v>
      </c>
      <c r="C392" s="67">
        <v>46027</v>
      </c>
      <c r="D392" s="1" t="s">
        <v>12</v>
      </c>
      <c r="E392" s="31">
        <v>33</v>
      </c>
      <c r="F392" s="1">
        <v>50</v>
      </c>
      <c r="G392" s="4">
        <f t="shared" si="86"/>
        <v>1650</v>
      </c>
      <c r="I392" s="3">
        <v>9</v>
      </c>
      <c r="J392" s="1" t="s">
        <v>482</v>
      </c>
      <c r="K392" s="67">
        <v>46028</v>
      </c>
      <c r="L392" s="1" t="s">
        <v>13</v>
      </c>
      <c r="M392" s="5">
        <v>146</v>
      </c>
      <c r="N392" s="1">
        <v>30</v>
      </c>
      <c r="O392" s="5">
        <f t="shared" si="85"/>
        <v>4380</v>
      </c>
    </row>
    <row r="393" spans="1:15" x14ac:dyDescent="0.25">
      <c r="A393" s="3">
        <v>4</v>
      </c>
      <c r="B393" s="1" t="s">
        <v>4</v>
      </c>
      <c r="C393" s="67">
        <v>46027</v>
      </c>
      <c r="D393" s="1" t="s">
        <v>12</v>
      </c>
      <c r="E393" s="31">
        <v>351</v>
      </c>
      <c r="F393" s="1">
        <v>30</v>
      </c>
      <c r="G393" s="4">
        <f t="shared" si="86"/>
        <v>10530</v>
      </c>
      <c r="I393" s="3">
        <v>10</v>
      </c>
      <c r="J393" s="1" t="s">
        <v>482</v>
      </c>
      <c r="K393" s="67">
        <v>46028</v>
      </c>
      <c r="L393" s="1" t="s">
        <v>17</v>
      </c>
      <c r="M393" s="5">
        <v>380</v>
      </c>
      <c r="N393" s="1">
        <v>30</v>
      </c>
      <c r="O393" s="5">
        <f t="shared" si="85"/>
        <v>11400</v>
      </c>
    </row>
    <row r="394" spans="1:15" ht="15" customHeight="1" x14ac:dyDescent="0.25">
      <c r="A394" s="3">
        <v>5</v>
      </c>
      <c r="B394" s="1" t="s">
        <v>562</v>
      </c>
      <c r="C394" s="67">
        <v>46027</v>
      </c>
      <c r="D394" s="1" t="s">
        <v>13</v>
      </c>
      <c r="E394" s="31">
        <v>14</v>
      </c>
      <c r="F394" s="1">
        <v>220</v>
      </c>
      <c r="G394" s="30">
        <f t="shared" si="86"/>
        <v>3080</v>
      </c>
      <c r="I394" s="3">
        <v>11</v>
      </c>
      <c r="J394" s="1" t="s">
        <v>19</v>
      </c>
      <c r="K394" s="67">
        <v>46028</v>
      </c>
      <c r="L394" s="1" t="s">
        <v>20</v>
      </c>
      <c r="M394" s="5">
        <v>309</v>
      </c>
      <c r="N394" s="1">
        <v>15</v>
      </c>
      <c r="O394" s="5">
        <f t="shared" si="85"/>
        <v>4635</v>
      </c>
    </row>
    <row r="395" spans="1:15" x14ac:dyDescent="0.25">
      <c r="A395" s="3">
        <v>6</v>
      </c>
      <c r="B395" s="1" t="s">
        <v>466</v>
      </c>
      <c r="C395" s="67">
        <v>46027</v>
      </c>
      <c r="D395" s="1" t="s">
        <v>13</v>
      </c>
      <c r="E395" s="31">
        <v>154</v>
      </c>
      <c r="F395" s="1">
        <v>110</v>
      </c>
      <c r="G395" s="4">
        <f>F395*E395</f>
        <v>16940</v>
      </c>
      <c r="I395" s="3">
        <v>12</v>
      </c>
      <c r="J395" s="1" t="s">
        <v>16</v>
      </c>
      <c r="K395" s="67">
        <v>46028</v>
      </c>
      <c r="L395" s="1" t="s">
        <v>20</v>
      </c>
      <c r="M395" s="5">
        <v>51</v>
      </c>
      <c r="N395" s="1">
        <v>30</v>
      </c>
      <c r="O395" s="5">
        <f t="shared" si="85"/>
        <v>1530</v>
      </c>
    </row>
    <row r="396" spans="1:15" x14ac:dyDescent="0.25">
      <c r="A396" s="3">
        <v>7</v>
      </c>
      <c r="B396" s="1" t="s">
        <v>19</v>
      </c>
      <c r="C396" s="67">
        <v>46027</v>
      </c>
      <c r="D396" s="1" t="s">
        <v>13</v>
      </c>
      <c r="E396" s="31">
        <v>1133</v>
      </c>
      <c r="F396" s="1">
        <v>15</v>
      </c>
      <c r="G396" s="4">
        <f t="shared" ref="G396:G402" si="87">F396*E396</f>
        <v>16995</v>
      </c>
      <c r="I396" s="3">
        <v>13</v>
      </c>
      <c r="J396" s="1" t="s">
        <v>18</v>
      </c>
      <c r="K396" s="67">
        <v>46028</v>
      </c>
      <c r="L396" s="1" t="s">
        <v>20</v>
      </c>
      <c r="M396" s="5">
        <v>36</v>
      </c>
      <c r="N396" s="1">
        <v>80</v>
      </c>
      <c r="O396" s="5">
        <f t="shared" si="85"/>
        <v>2880</v>
      </c>
    </row>
    <row r="397" spans="1:15" x14ac:dyDescent="0.25">
      <c r="A397" s="3">
        <v>8</v>
      </c>
      <c r="B397" s="1" t="s">
        <v>16</v>
      </c>
      <c r="C397" s="67">
        <v>46027</v>
      </c>
      <c r="D397" s="1" t="s">
        <v>13</v>
      </c>
      <c r="E397" s="31">
        <v>114</v>
      </c>
      <c r="F397" s="1">
        <v>30</v>
      </c>
      <c r="G397" s="5">
        <f t="shared" si="87"/>
        <v>3420</v>
      </c>
      <c r="I397" s="3">
        <v>14</v>
      </c>
      <c r="J397" s="1" t="s">
        <v>581</v>
      </c>
      <c r="K397" s="67">
        <v>46028</v>
      </c>
      <c r="L397" s="1" t="s">
        <v>20</v>
      </c>
      <c r="M397" s="5">
        <v>10</v>
      </c>
      <c r="N397" s="1">
        <v>270</v>
      </c>
      <c r="O397" s="5">
        <f t="shared" si="85"/>
        <v>2700</v>
      </c>
    </row>
    <row r="398" spans="1:15" ht="16.5" thickBot="1" x14ac:dyDescent="0.3">
      <c r="A398" s="3">
        <v>9</v>
      </c>
      <c r="B398" s="1" t="s">
        <v>482</v>
      </c>
      <c r="C398" s="67">
        <v>46027</v>
      </c>
      <c r="D398" s="1" t="s">
        <v>17</v>
      </c>
      <c r="E398" s="5">
        <v>298</v>
      </c>
      <c r="F398" s="1">
        <v>30</v>
      </c>
      <c r="G398" s="5">
        <f t="shared" si="87"/>
        <v>8940</v>
      </c>
      <c r="I398" s="233" t="s">
        <v>232</v>
      </c>
      <c r="J398" s="234"/>
      <c r="K398" s="234"/>
      <c r="L398" s="234"/>
      <c r="M398" s="234"/>
      <c r="N398" s="235"/>
      <c r="O398" s="57">
        <f>O414+O424+O428+O429+O430+O431+O432</f>
        <v>2630</v>
      </c>
    </row>
    <row r="399" spans="1:15" ht="16.5" thickBot="1" x14ac:dyDescent="0.3">
      <c r="A399" s="3">
        <v>10</v>
      </c>
      <c r="B399" s="1" t="s">
        <v>19</v>
      </c>
      <c r="C399" s="67">
        <v>46027</v>
      </c>
      <c r="D399" s="1" t="s">
        <v>20</v>
      </c>
      <c r="E399" s="5">
        <v>306</v>
      </c>
      <c r="F399" s="1">
        <v>15</v>
      </c>
      <c r="G399" s="5">
        <f t="shared" si="87"/>
        <v>4590</v>
      </c>
      <c r="I399" s="236" t="s">
        <v>161</v>
      </c>
      <c r="J399" s="237"/>
      <c r="K399" s="237"/>
      <c r="L399" s="237"/>
      <c r="M399" s="237"/>
      <c r="N399" s="238"/>
      <c r="O399" s="51">
        <f>SUM(O384:O397)-O398</f>
        <v>88605</v>
      </c>
    </row>
    <row r="400" spans="1:15" ht="16.5" thickBot="1" x14ac:dyDescent="0.3">
      <c r="A400" s="3">
        <v>11</v>
      </c>
      <c r="B400" s="1" t="s">
        <v>16</v>
      </c>
      <c r="C400" s="67">
        <v>46027</v>
      </c>
      <c r="D400" s="1" t="s">
        <v>20</v>
      </c>
      <c r="E400" s="5">
        <v>59</v>
      </c>
      <c r="F400" s="1">
        <v>30</v>
      </c>
      <c r="G400" s="5">
        <f t="shared" si="87"/>
        <v>1770</v>
      </c>
      <c r="I400" s="239" t="s">
        <v>170</v>
      </c>
      <c r="J400" s="240"/>
      <c r="K400" s="240"/>
      <c r="L400" s="240"/>
      <c r="M400" s="240"/>
      <c r="N400" s="240"/>
      <c r="O400" s="241"/>
    </row>
    <row r="401" spans="1:16" ht="15" customHeight="1" x14ac:dyDescent="0.25">
      <c r="A401" s="3">
        <v>12</v>
      </c>
      <c r="B401" s="1" t="s">
        <v>14</v>
      </c>
      <c r="C401" s="67">
        <v>46027</v>
      </c>
      <c r="D401" s="1" t="s">
        <v>20</v>
      </c>
      <c r="E401" s="5">
        <v>32</v>
      </c>
      <c r="F401" s="1">
        <v>80</v>
      </c>
      <c r="G401" s="5">
        <f t="shared" si="87"/>
        <v>2560</v>
      </c>
      <c r="I401" s="3">
        <v>1</v>
      </c>
      <c r="J401" s="3" t="s">
        <v>399</v>
      </c>
      <c r="K401" s="67">
        <v>46028</v>
      </c>
      <c r="L401" s="3" t="s">
        <v>310</v>
      </c>
      <c r="M401" s="4">
        <v>9</v>
      </c>
      <c r="N401" s="3">
        <v>120</v>
      </c>
      <c r="O401" s="4">
        <f>N401*M401</f>
        <v>1080</v>
      </c>
    </row>
    <row r="402" spans="1:16" x14ac:dyDescent="0.25">
      <c r="A402" s="3">
        <v>13</v>
      </c>
      <c r="B402" s="1" t="s">
        <v>564</v>
      </c>
      <c r="C402" s="67">
        <v>46027</v>
      </c>
      <c r="D402" s="1" t="s">
        <v>20</v>
      </c>
      <c r="E402" s="5">
        <v>7</v>
      </c>
      <c r="F402" s="1">
        <v>220</v>
      </c>
      <c r="G402" s="5">
        <f t="shared" si="87"/>
        <v>1540</v>
      </c>
      <c r="I402" s="3">
        <v>2</v>
      </c>
      <c r="J402" s="3" t="s">
        <v>194</v>
      </c>
      <c r="K402" s="67">
        <v>46028</v>
      </c>
      <c r="L402" s="3" t="s">
        <v>310</v>
      </c>
      <c r="M402" s="4">
        <v>1</v>
      </c>
      <c r="N402" s="3">
        <v>900</v>
      </c>
      <c r="O402" s="4">
        <f t="shared" ref="O402:O406" si="88">N402*M402</f>
        <v>900</v>
      </c>
    </row>
    <row r="403" spans="1:16" ht="16.5" thickBot="1" x14ac:dyDescent="0.3">
      <c r="A403" s="233" t="s">
        <v>232</v>
      </c>
      <c r="B403" s="234"/>
      <c r="C403" s="234"/>
      <c r="D403" s="234"/>
      <c r="E403" s="234"/>
      <c r="F403" s="235"/>
      <c r="G403" s="57">
        <f>G420+G428+G432+G433</f>
        <v>2170</v>
      </c>
      <c r="I403" s="3">
        <v>3</v>
      </c>
      <c r="J403" s="1" t="s">
        <v>110</v>
      </c>
      <c r="K403" s="67">
        <v>46028</v>
      </c>
      <c r="L403" s="3" t="s">
        <v>310</v>
      </c>
      <c r="M403" s="5">
        <v>7</v>
      </c>
      <c r="N403" s="1">
        <v>120</v>
      </c>
      <c r="O403" s="4">
        <f t="shared" si="88"/>
        <v>840</v>
      </c>
      <c r="P403" s="53"/>
    </row>
    <row r="404" spans="1:16" ht="16.5" thickBot="1" x14ac:dyDescent="0.3">
      <c r="A404" s="236" t="s">
        <v>161</v>
      </c>
      <c r="B404" s="237"/>
      <c r="C404" s="237"/>
      <c r="D404" s="237"/>
      <c r="E404" s="237"/>
      <c r="F404" s="238"/>
      <c r="G404" s="51">
        <f>SUM(G390:G402)-G403</f>
        <v>86865</v>
      </c>
      <c r="I404" s="3">
        <v>4</v>
      </c>
      <c r="J404" s="1" t="s">
        <v>102</v>
      </c>
      <c r="K404" s="67">
        <v>46028</v>
      </c>
      <c r="L404" s="3" t="s">
        <v>310</v>
      </c>
      <c r="M404" s="5">
        <v>21</v>
      </c>
      <c r="N404" s="1">
        <v>120</v>
      </c>
      <c r="O404" s="4">
        <f t="shared" si="88"/>
        <v>2520</v>
      </c>
    </row>
    <row r="405" spans="1:16" ht="16.5" thickBot="1" x14ac:dyDescent="0.3">
      <c r="A405" s="239" t="s">
        <v>170</v>
      </c>
      <c r="B405" s="240"/>
      <c r="C405" s="240"/>
      <c r="D405" s="240"/>
      <c r="E405" s="240"/>
      <c r="F405" s="240"/>
      <c r="G405" s="241"/>
      <c r="I405" s="3">
        <v>5</v>
      </c>
      <c r="J405" s="1" t="s">
        <v>341</v>
      </c>
      <c r="K405" s="67">
        <v>46028</v>
      </c>
      <c r="L405" s="3" t="s">
        <v>310</v>
      </c>
      <c r="M405" s="5">
        <v>336</v>
      </c>
      <c r="N405" s="1">
        <v>30</v>
      </c>
      <c r="O405" s="4">
        <f t="shared" si="88"/>
        <v>10080</v>
      </c>
    </row>
    <row r="406" spans="1:16" x14ac:dyDescent="0.25">
      <c r="A406" s="3">
        <v>1</v>
      </c>
      <c r="B406" s="3" t="s">
        <v>399</v>
      </c>
      <c r="C406" s="67">
        <v>46027</v>
      </c>
      <c r="D406" s="3" t="s">
        <v>310</v>
      </c>
      <c r="E406" s="4">
        <v>10</v>
      </c>
      <c r="F406" s="3">
        <v>120</v>
      </c>
      <c r="G406" s="4">
        <f>F406*E406</f>
        <v>1200</v>
      </c>
      <c r="I406" s="3">
        <v>6</v>
      </c>
      <c r="J406" s="1" t="s">
        <v>178</v>
      </c>
      <c r="K406" s="67">
        <v>46028</v>
      </c>
      <c r="L406" s="3" t="s">
        <v>310</v>
      </c>
      <c r="M406" s="5">
        <v>3</v>
      </c>
      <c r="N406" s="1">
        <v>50</v>
      </c>
      <c r="O406" s="5">
        <f t="shared" si="88"/>
        <v>150</v>
      </c>
    </row>
    <row r="407" spans="1:16" ht="16.5" thickBot="1" x14ac:dyDescent="0.3">
      <c r="A407" s="3">
        <v>2</v>
      </c>
      <c r="B407" s="3" t="s">
        <v>194</v>
      </c>
      <c r="C407" s="67">
        <v>46027</v>
      </c>
      <c r="D407" s="3" t="s">
        <v>310</v>
      </c>
      <c r="E407" s="4">
        <v>1</v>
      </c>
      <c r="F407" s="3">
        <v>650</v>
      </c>
      <c r="G407" s="4">
        <f t="shared" ref="G407:G411" si="89">F407*E407</f>
        <v>650</v>
      </c>
      <c r="I407" s="223" t="s">
        <v>162</v>
      </c>
      <c r="J407" s="224"/>
      <c r="K407" s="224"/>
      <c r="L407" s="224"/>
      <c r="M407" s="224"/>
      <c r="N407" s="225"/>
      <c r="O407" s="70">
        <f>SUM(O401:O406)</f>
        <v>15570</v>
      </c>
    </row>
    <row r="408" spans="1:16" ht="19.5" thickBot="1" x14ac:dyDescent="0.35">
      <c r="A408" s="3">
        <v>3</v>
      </c>
      <c r="B408" s="1" t="s">
        <v>110</v>
      </c>
      <c r="C408" s="67">
        <v>46027</v>
      </c>
      <c r="D408" s="3" t="s">
        <v>310</v>
      </c>
      <c r="E408" s="5">
        <v>4</v>
      </c>
      <c r="F408" s="1">
        <v>120</v>
      </c>
      <c r="G408" s="4">
        <f t="shared" si="89"/>
        <v>480</v>
      </c>
      <c r="I408" s="226" t="s">
        <v>103</v>
      </c>
      <c r="J408" s="227"/>
      <c r="K408" s="227"/>
      <c r="L408" s="227"/>
      <c r="M408" s="227"/>
      <c r="N408" s="228"/>
      <c r="O408" s="44">
        <f>O399+O407</f>
        <v>104175</v>
      </c>
    </row>
    <row r="409" spans="1:16" ht="16.5" thickBot="1" x14ac:dyDescent="0.3">
      <c r="A409" s="3">
        <v>4</v>
      </c>
      <c r="B409" s="1" t="s">
        <v>102</v>
      </c>
      <c r="C409" s="67">
        <v>46027</v>
      </c>
      <c r="D409" s="3" t="s">
        <v>310</v>
      </c>
      <c r="E409" s="5">
        <v>19</v>
      </c>
      <c r="F409" s="1">
        <v>120</v>
      </c>
      <c r="G409" s="4">
        <f t="shared" si="89"/>
        <v>2280</v>
      </c>
      <c r="I409" s="245" t="s">
        <v>95</v>
      </c>
      <c r="J409" s="246"/>
      <c r="K409" s="246"/>
      <c r="L409" s="246"/>
      <c r="M409" s="246"/>
      <c r="N409" s="246"/>
      <c r="O409" s="247"/>
    </row>
    <row r="410" spans="1:16" ht="15.75" x14ac:dyDescent="0.25">
      <c r="A410" s="3">
        <v>5</v>
      </c>
      <c r="B410" s="1" t="s">
        <v>341</v>
      </c>
      <c r="C410" s="67">
        <v>46027</v>
      </c>
      <c r="D410" s="3" t="s">
        <v>310</v>
      </c>
      <c r="E410" s="5">
        <v>211</v>
      </c>
      <c r="F410" s="1">
        <v>30</v>
      </c>
      <c r="G410" s="4">
        <f t="shared" si="89"/>
        <v>6330</v>
      </c>
      <c r="I410" s="102" t="s">
        <v>0</v>
      </c>
      <c r="J410" s="103" t="s">
        <v>1</v>
      </c>
      <c r="K410" s="103" t="s">
        <v>3</v>
      </c>
      <c r="L410" s="103" t="s">
        <v>2</v>
      </c>
      <c r="M410" s="103" t="s">
        <v>6</v>
      </c>
      <c r="N410" s="103" t="s">
        <v>7</v>
      </c>
      <c r="O410" s="104" t="s">
        <v>8</v>
      </c>
    </row>
    <row r="411" spans="1:16" x14ac:dyDescent="0.25">
      <c r="A411" s="3">
        <v>6</v>
      </c>
      <c r="B411" s="1" t="s">
        <v>178</v>
      </c>
      <c r="C411" s="67">
        <v>46027</v>
      </c>
      <c r="D411" s="3" t="s">
        <v>310</v>
      </c>
      <c r="E411" s="5">
        <v>8</v>
      </c>
      <c r="F411" s="1">
        <v>50</v>
      </c>
      <c r="G411" s="5">
        <f t="shared" si="89"/>
        <v>400</v>
      </c>
      <c r="I411" s="59">
        <v>1</v>
      </c>
      <c r="J411" s="59" t="s">
        <v>9</v>
      </c>
      <c r="K411" s="66">
        <v>46028</v>
      </c>
      <c r="L411" s="1" t="s">
        <v>12</v>
      </c>
      <c r="M411" s="59">
        <v>8</v>
      </c>
      <c r="N411" s="59">
        <v>35</v>
      </c>
      <c r="O411" s="5">
        <f t="shared" ref="O411:O415" si="90">N411*M411</f>
        <v>280</v>
      </c>
    </row>
    <row r="412" spans="1:16" ht="16.5" thickBot="1" x14ac:dyDescent="0.3">
      <c r="A412" s="223" t="s">
        <v>162</v>
      </c>
      <c r="B412" s="224"/>
      <c r="C412" s="224"/>
      <c r="D412" s="224"/>
      <c r="E412" s="224"/>
      <c r="F412" s="225"/>
      <c r="G412" s="70">
        <f>SUM(G406:G411)</f>
        <v>11340</v>
      </c>
      <c r="I412" s="59">
        <v>2</v>
      </c>
      <c r="J412" s="1" t="s">
        <v>196</v>
      </c>
      <c r="K412" s="66">
        <v>46028</v>
      </c>
      <c r="L412" s="1" t="s">
        <v>12</v>
      </c>
      <c r="M412" s="1">
        <v>5</v>
      </c>
      <c r="N412" s="1">
        <v>50</v>
      </c>
      <c r="O412" s="5">
        <f t="shared" si="90"/>
        <v>250</v>
      </c>
    </row>
    <row r="413" spans="1:16" ht="19.5" thickBot="1" x14ac:dyDescent="0.35">
      <c r="A413" s="226" t="s">
        <v>103</v>
      </c>
      <c r="B413" s="227"/>
      <c r="C413" s="227"/>
      <c r="D413" s="227"/>
      <c r="E413" s="227"/>
      <c r="F413" s="228"/>
      <c r="G413" s="44">
        <f>G404+G412</f>
        <v>98205</v>
      </c>
      <c r="I413" s="59">
        <v>3</v>
      </c>
      <c r="J413" s="1" t="s">
        <v>254</v>
      </c>
      <c r="K413" s="66">
        <v>46028</v>
      </c>
      <c r="L413" s="1" t="s">
        <v>13</v>
      </c>
      <c r="M413" s="1" t="s">
        <v>400</v>
      </c>
      <c r="N413" s="1">
        <v>1600</v>
      </c>
      <c r="O413" s="5">
        <f>N413*1</f>
        <v>1600</v>
      </c>
    </row>
    <row r="414" spans="1:16" ht="16.5" thickBot="1" x14ac:dyDescent="0.3">
      <c r="A414" s="245" t="s">
        <v>95</v>
      </c>
      <c r="B414" s="246"/>
      <c r="C414" s="246"/>
      <c r="D414" s="246"/>
      <c r="E414" s="246"/>
      <c r="F414" s="246"/>
      <c r="G414" s="247"/>
      <c r="I414" s="59">
        <v>4</v>
      </c>
      <c r="J414" s="1" t="s">
        <v>179</v>
      </c>
      <c r="K414" s="66">
        <v>46028</v>
      </c>
      <c r="L414" s="1" t="s">
        <v>13</v>
      </c>
      <c r="M414" s="1">
        <v>4</v>
      </c>
      <c r="N414" s="1">
        <v>90</v>
      </c>
      <c r="O414" s="5">
        <f t="shared" si="90"/>
        <v>360</v>
      </c>
    </row>
    <row r="415" spans="1:16" ht="15.75" x14ac:dyDescent="0.25">
      <c r="A415" s="102" t="s">
        <v>0</v>
      </c>
      <c r="B415" s="103" t="s">
        <v>1</v>
      </c>
      <c r="C415" s="103" t="s">
        <v>3</v>
      </c>
      <c r="D415" s="103" t="s">
        <v>2</v>
      </c>
      <c r="E415" s="103" t="s">
        <v>6</v>
      </c>
      <c r="F415" s="103" t="s">
        <v>7</v>
      </c>
      <c r="G415" s="104" t="s">
        <v>8</v>
      </c>
      <c r="I415" s="59">
        <v>5</v>
      </c>
      <c r="J415" s="1" t="s">
        <v>43</v>
      </c>
      <c r="K415" s="66">
        <v>46028</v>
      </c>
      <c r="L415" s="1" t="s">
        <v>13</v>
      </c>
      <c r="M415" s="1">
        <v>20</v>
      </c>
      <c r="N415" s="1">
        <v>30</v>
      </c>
      <c r="O415" s="5">
        <f t="shared" si="90"/>
        <v>600</v>
      </c>
    </row>
    <row r="416" spans="1:16" x14ac:dyDescent="0.25">
      <c r="A416" s="59">
        <v>1</v>
      </c>
      <c r="B416" s="59" t="s">
        <v>9</v>
      </c>
      <c r="C416" s="66">
        <v>46027</v>
      </c>
      <c r="D416" s="1" t="s">
        <v>12</v>
      </c>
      <c r="E416" s="59">
        <v>8</v>
      </c>
      <c r="F416" s="59">
        <v>35</v>
      </c>
      <c r="G416" s="5">
        <f t="shared" ref="G416:G421" si="91">F416*E416</f>
        <v>280</v>
      </c>
      <c r="I416" s="59">
        <v>6</v>
      </c>
      <c r="J416" s="1" t="s">
        <v>564</v>
      </c>
      <c r="K416" s="66">
        <v>46028</v>
      </c>
      <c r="L416" s="1" t="s">
        <v>13</v>
      </c>
      <c r="M416" s="1">
        <v>3</v>
      </c>
      <c r="N416" s="1">
        <v>220</v>
      </c>
      <c r="O416" s="5">
        <f>N416*M416</f>
        <v>660</v>
      </c>
    </row>
    <row r="417" spans="1:15" x14ac:dyDescent="0.25">
      <c r="A417" s="59">
        <v>2</v>
      </c>
      <c r="B417" s="1" t="s">
        <v>196</v>
      </c>
      <c r="C417" s="66">
        <v>46027</v>
      </c>
      <c r="D417" s="1" t="s">
        <v>12</v>
      </c>
      <c r="E417" s="1">
        <v>3</v>
      </c>
      <c r="F417" s="1">
        <v>50</v>
      </c>
      <c r="G417" s="5">
        <f t="shared" si="91"/>
        <v>150</v>
      </c>
      <c r="I417" s="59">
        <v>7</v>
      </c>
      <c r="J417" s="1" t="s">
        <v>109</v>
      </c>
      <c r="K417" s="66">
        <v>46028</v>
      </c>
      <c r="L417" s="1" t="s">
        <v>13</v>
      </c>
      <c r="M417" s="1">
        <v>18</v>
      </c>
      <c r="N417" s="1">
        <v>180</v>
      </c>
      <c r="O417" s="5">
        <f>N417*M417</f>
        <v>3240</v>
      </c>
    </row>
    <row r="418" spans="1:15" x14ac:dyDescent="0.25">
      <c r="A418" s="59">
        <v>3</v>
      </c>
      <c r="B418" s="1" t="s">
        <v>236</v>
      </c>
      <c r="C418" s="66">
        <v>46027</v>
      </c>
      <c r="D418" s="1" t="s">
        <v>12</v>
      </c>
      <c r="E418" s="1">
        <v>7</v>
      </c>
      <c r="F418" s="1">
        <v>35</v>
      </c>
      <c r="G418" s="5">
        <f t="shared" si="91"/>
        <v>245</v>
      </c>
      <c r="I418" s="59">
        <v>8</v>
      </c>
      <c r="J418" s="1" t="s">
        <v>178</v>
      </c>
      <c r="K418" s="66">
        <v>46028</v>
      </c>
      <c r="L418" s="1" t="s">
        <v>13</v>
      </c>
      <c r="M418" s="1">
        <v>1.75</v>
      </c>
      <c r="N418" s="1">
        <v>400</v>
      </c>
      <c r="O418" s="5">
        <f>N418*M418</f>
        <v>700</v>
      </c>
    </row>
    <row r="419" spans="1:15" x14ac:dyDescent="0.25">
      <c r="A419" s="59">
        <v>4</v>
      </c>
      <c r="B419" s="1" t="s">
        <v>360</v>
      </c>
      <c r="C419" s="66">
        <v>46027</v>
      </c>
      <c r="D419" s="1" t="s">
        <v>13</v>
      </c>
      <c r="E419" s="1">
        <v>17</v>
      </c>
      <c r="F419" s="1">
        <v>220</v>
      </c>
      <c r="G419" s="5">
        <f t="shared" si="91"/>
        <v>3740</v>
      </c>
      <c r="I419" s="59">
        <v>9</v>
      </c>
      <c r="J419" s="1" t="s">
        <v>19</v>
      </c>
      <c r="K419" s="66">
        <v>46028</v>
      </c>
      <c r="L419" s="1" t="s">
        <v>13</v>
      </c>
      <c r="M419" s="1">
        <v>45</v>
      </c>
      <c r="N419" s="1">
        <v>15</v>
      </c>
      <c r="O419" s="5">
        <f t="shared" ref="O419" si="92">N419*M419</f>
        <v>675</v>
      </c>
    </row>
    <row r="420" spans="1:15" x14ac:dyDescent="0.25">
      <c r="A420" s="59">
        <v>5</v>
      </c>
      <c r="B420" s="1" t="s">
        <v>179</v>
      </c>
      <c r="C420" s="66">
        <v>46027</v>
      </c>
      <c r="D420" s="1" t="s">
        <v>13</v>
      </c>
      <c r="E420" s="1">
        <v>14</v>
      </c>
      <c r="F420" s="1">
        <v>70</v>
      </c>
      <c r="G420" s="5">
        <f t="shared" si="91"/>
        <v>980</v>
      </c>
      <c r="I420" s="59">
        <v>10</v>
      </c>
      <c r="J420" s="18" t="s">
        <v>239</v>
      </c>
      <c r="K420" s="66">
        <v>46028</v>
      </c>
      <c r="L420" s="1" t="s">
        <v>13</v>
      </c>
      <c r="M420" s="20">
        <v>6</v>
      </c>
      <c r="N420" s="1">
        <v>100</v>
      </c>
      <c r="O420" s="5">
        <f>N420*M420</f>
        <v>600</v>
      </c>
    </row>
    <row r="421" spans="1:15" x14ac:dyDescent="0.25">
      <c r="A421" s="59">
        <v>6</v>
      </c>
      <c r="B421" s="1" t="s">
        <v>43</v>
      </c>
      <c r="C421" s="66">
        <v>46027</v>
      </c>
      <c r="D421" s="1" t="s">
        <v>13</v>
      </c>
      <c r="E421" s="1">
        <v>13</v>
      </c>
      <c r="F421" s="1">
        <v>30</v>
      </c>
      <c r="G421" s="5">
        <f t="shared" si="91"/>
        <v>390</v>
      </c>
      <c r="I421" s="59">
        <v>11</v>
      </c>
      <c r="J421" s="1" t="s">
        <v>14</v>
      </c>
      <c r="K421" s="66">
        <v>46028</v>
      </c>
      <c r="L421" s="1" t="s">
        <v>13</v>
      </c>
      <c r="M421" s="1">
        <v>10</v>
      </c>
      <c r="N421" s="1">
        <v>80</v>
      </c>
      <c r="O421" s="5">
        <f>N421*M421</f>
        <v>800</v>
      </c>
    </row>
    <row r="422" spans="1:15" x14ac:dyDescent="0.25">
      <c r="A422" s="59">
        <v>7</v>
      </c>
      <c r="B422" s="1" t="s">
        <v>236</v>
      </c>
      <c r="C422" s="66">
        <v>46027</v>
      </c>
      <c r="D422" s="1" t="s">
        <v>13</v>
      </c>
      <c r="E422" s="1">
        <v>5</v>
      </c>
      <c r="F422" s="1">
        <v>35</v>
      </c>
      <c r="G422" s="5">
        <f>F422*E422</f>
        <v>175</v>
      </c>
      <c r="I422" s="59">
        <v>12</v>
      </c>
      <c r="J422" s="1" t="s">
        <v>18</v>
      </c>
      <c r="K422" s="66">
        <v>46028</v>
      </c>
      <c r="L422" s="1" t="s">
        <v>20</v>
      </c>
      <c r="M422" s="1">
        <v>5</v>
      </c>
      <c r="N422" s="1">
        <v>80</v>
      </c>
      <c r="O422" s="5">
        <f>N422*M422</f>
        <v>400</v>
      </c>
    </row>
    <row r="423" spans="1:15" x14ac:dyDescent="0.25">
      <c r="A423" s="59">
        <v>8</v>
      </c>
      <c r="B423" s="1" t="s">
        <v>178</v>
      </c>
      <c r="C423" s="66">
        <v>46027</v>
      </c>
      <c r="D423" s="1" t="s">
        <v>13</v>
      </c>
      <c r="E423" s="1">
        <v>1.5</v>
      </c>
      <c r="F423" s="1">
        <v>400</v>
      </c>
      <c r="G423" s="5">
        <f>F423*E423</f>
        <v>600</v>
      </c>
      <c r="I423" s="59">
        <v>13</v>
      </c>
      <c r="J423" s="18" t="s">
        <v>523</v>
      </c>
      <c r="K423" s="66">
        <v>46028</v>
      </c>
      <c r="L423" s="1" t="s">
        <v>20</v>
      </c>
      <c r="M423" s="20">
        <v>3</v>
      </c>
      <c r="N423" s="1">
        <v>270</v>
      </c>
      <c r="O423" s="5">
        <f>N423*M423</f>
        <v>810</v>
      </c>
    </row>
    <row r="424" spans="1:15" x14ac:dyDescent="0.25">
      <c r="A424" s="59">
        <v>9</v>
      </c>
      <c r="B424" s="1" t="s">
        <v>19</v>
      </c>
      <c r="C424" s="66">
        <v>46027</v>
      </c>
      <c r="D424" s="1" t="s">
        <v>13</v>
      </c>
      <c r="E424" s="1">
        <v>56</v>
      </c>
      <c r="F424" s="1">
        <v>15</v>
      </c>
      <c r="G424" s="5">
        <f t="shared" ref="G424" si="93">F424*E424</f>
        <v>840</v>
      </c>
      <c r="I424" s="59">
        <v>14</v>
      </c>
      <c r="J424" s="24" t="s">
        <v>402</v>
      </c>
      <c r="K424" s="66">
        <v>46028</v>
      </c>
      <c r="L424" s="1" t="s">
        <v>20</v>
      </c>
      <c r="M424" s="24">
        <v>5</v>
      </c>
      <c r="N424" s="1">
        <v>70</v>
      </c>
      <c r="O424" s="5">
        <f t="shared" ref="O424" si="94">N424*M424</f>
        <v>350</v>
      </c>
    </row>
    <row r="425" spans="1:15" x14ac:dyDescent="0.25">
      <c r="A425" s="59">
        <v>10</v>
      </c>
      <c r="B425" s="18" t="s">
        <v>224</v>
      </c>
      <c r="C425" s="66">
        <v>46027</v>
      </c>
      <c r="D425" s="1" t="s">
        <v>13</v>
      </c>
      <c r="E425" s="20">
        <v>1</v>
      </c>
      <c r="F425" s="1">
        <v>1600</v>
      </c>
      <c r="G425" s="5">
        <f>F425*E425</f>
        <v>1600</v>
      </c>
      <c r="I425" s="59">
        <v>15</v>
      </c>
      <c r="J425" s="24" t="s">
        <v>236</v>
      </c>
      <c r="K425" s="66">
        <v>46028</v>
      </c>
      <c r="L425" s="1" t="s">
        <v>20</v>
      </c>
      <c r="M425" s="24">
        <v>11</v>
      </c>
      <c r="N425" s="1">
        <v>35</v>
      </c>
      <c r="O425" s="5">
        <f>N425*M425</f>
        <v>385</v>
      </c>
    </row>
    <row r="426" spans="1:15" x14ac:dyDescent="0.25">
      <c r="A426" s="59">
        <v>11</v>
      </c>
      <c r="B426" s="1" t="s">
        <v>560</v>
      </c>
      <c r="C426" s="66">
        <v>46027</v>
      </c>
      <c r="D426" s="1" t="s">
        <v>13</v>
      </c>
      <c r="E426" s="1">
        <v>11</v>
      </c>
      <c r="F426" s="1">
        <v>320</v>
      </c>
      <c r="G426" s="5">
        <f>F426*E426</f>
        <v>3520</v>
      </c>
      <c r="I426" s="59">
        <v>16</v>
      </c>
      <c r="J426" s="24" t="s">
        <v>19</v>
      </c>
      <c r="K426" s="66">
        <v>46028</v>
      </c>
      <c r="L426" s="1" t="s">
        <v>20</v>
      </c>
      <c r="M426" s="24">
        <v>35</v>
      </c>
      <c r="N426" s="1">
        <v>15</v>
      </c>
      <c r="O426" s="5">
        <f>N426*M426</f>
        <v>525</v>
      </c>
    </row>
    <row r="427" spans="1:15" x14ac:dyDescent="0.25">
      <c r="A427" s="59">
        <v>12</v>
      </c>
      <c r="B427" s="18" t="s">
        <v>14</v>
      </c>
      <c r="C427" s="66">
        <v>46027</v>
      </c>
      <c r="D427" s="1" t="s">
        <v>20</v>
      </c>
      <c r="E427" s="20">
        <v>2</v>
      </c>
      <c r="F427" s="1">
        <v>80</v>
      </c>
      <c r="G427" s="5">
        <f>F427*E427</f>
        <v>160</v>
      </c>
      <c r="I427" s="59">
        <v>17</v>
      </c>
      <c r="J427" s="1" t="s">
        <v>102</v>
      </c>
      <c r="K427" s="66">
        <v>46028</v>
      </c>
      <c r="L427" s="1" t="s">
        <v>310</v>
      </c>
      <c r="M427" s="1">
        <v>6</v>
      </c>
      <c r="N427" s="1">
        <v>120</v>
      </c>
      <c r="O427" s="5">
        <f t="shared" ref="O427" si="95">N427*M427</f>
        <v>720</v>
      </c>
    </row>
    <row r="428" spans="1:15" x14ac:dyDescent="0.25">
      <c r="A428" s="59">
        <v>13</v>
      </c>
      <c r="B428" s="24" t="s">
        <v>402</v>
      </c>
      <c r="C428" s="66">
        <v>46027</v>
      </c>
      <c r="D428" s="1" t="s">
        <v>20</v>
      </c>
      <c r="E428" s="24">
        <v>6</v>
      </c>
      <c r="F428" s="1">
        <v>70</v>
      </c>
      <c r="G428" s="5">
        <f t="shared" ref="G428" si="96">F428*E428</f>
        <v>420</v>
      </c>
      <c r="I428" s="59">
        <v>18</v>
      </c>
      <c r="J428" s="24" t="s">
        <v>272</v>
      </c>
      <c r="K428" s="66">
        <v>46028</v>
      </c>
      <c r="L428" s="1" t="s">
        <v>310</v>
      </c>
      <c r="M428" s="24">
        <v>1</v>
      </c>
      <c r="N428" s="1">
        <v>500</v>
      </c>
      <c r="O428" s="5">
        <f>N428*M428</f>
        <v>500</v>
      </c>
    </row>
    <row r="429" spans="1:15" x14ac:dyDescent="0.25">
      <c r="A429" s="59">
        <v>14</v>
      </c>
      <c r="B429" s="24" t="s">
        <v>291</v>
      </c>
      <c r="C429" s="66">
        <v>46027</v>
      </c>
      <c r="D429" s="1" t="s">
        <v>20</v>
      </c>
      <c r="E429" s="24">
        <v>4</v>
      </c>
      <c r="F429" s="1">
        <v>180</v>
      </c>
      <c r="G429" s="5">
        <f>F429*E429</f>
        <v>720</v>
      </c>
      <c r="H429" s="53"/>
      <c r="I429" s="59">
        <v>19</v>
      </c>
      <c r="J429" s="24" t="s">
        <v>324</v>
      </c>
      <c r="K429" s="66">
        <v>46028</v>
      </c>
      <c r="L429" s="1" t="s">
        <v>310</v>
      </c>
      <c r="M429" s="24">
        <v>5</v>
      </c>
      <c r="N429" s="1">
        <v>90</v>
      </c>
      <c r="O429" s="5">
        <f>N429*M429</f>
        <v>450</v>
      </c>
    </row>
    <row r="430" spans="1:15" x14ac:dyDescent="0.25">
      <c r="A430" s="59">
        <v>15</v>
      </c>
      <c r="B430" s="24" t="s">
        <v>19</v>
      </c>
      <c r="C430" s="66">
        <v>46027</v>
      </c>
      <c r="D430" s="1" t="s">
        <v>20</v>
      </c>
      <c r="E430" s="24">
        <v>54</v>
      </c>
      <c r="F430" s="1">
        <v>15</v>
      </c>
      <c r="G430" s="5">
        <f>F430*E430</f>
        <v>810</v>
      </c>
      <c r="H430" s="53"/>
      <c r="I430" s="59">
        <v>20</v>
      </c>
      <c r="J430" s="1" t="s">
        <v>197</v>
      </c>
      <c r="K430" s="66">
        <v>46028</v>
      </c>
      <c r="L430" s="1" t="s">
        <v>310</v>
      </c>
      <c r="M430" s="1">
        <v>6</v>
      </c>
      <c r="N430" s="1">
        <v>40</v>
      </c>
      <c r="O430" s="5">
        <f t="shared" ref="O430:O433" si="97">N430*M430</f>
        <v>240</v>
      </c>
    </row>
    <row r="431" spans="1:15" x14ac:dyDescent="0.25">
      <c r="A431" s="59">
        <v>16</v>
      </c>
      <c r="B431" s="1" t="s">
        <v>399</v>
      </c>
      <c r="C431" s="66">
        <v>46027</v>
      </c>
      <c r="D431" s="1" t="s">
        <v>310</v>
      </c>
      <c r="E431" s="1">
        <v>3</v>
      </c>
      <c r="F431" s="1">
        <v>120</v>
      </c>
      <c r="G431" s="5">
        <f>F431*E431</f>
        <v>360</v>
      </c>
      <c r="I431" s="59">
        <v>21</v>
      </c>
      <c r="J431" s="1" t="s">
        <v>179</v>
      </c>
      <c r="K431" s="66">
        <v>46028</v>
      </c>
      <c r="L431" s="1" t="s">
        <v>310</v>
      </c>
      <c r="M431" s="1">
        <v>9</v>
      </c>
      <c r="N431" s="1">
        <v>70</v>
      </c>
      <c r="O431" s="5">
        <f t="shared" si="97"/>
        <v>630</v>
      </c>
    </row>
    <row r="432" spans="1:15" x14ac:dyDescent="0.25">
      <c r="A432" s="59">
        <v>17</v>
      </c>
      <c r="B432" s="24" t="s">
        <v>272</v>
      </c>
      <c r="C432" s="66">
        <v>46027</v>
      </c>
      <c r="D432" s="1" t="s">
        <v>310</v>
      </c>
      <c r="E432" s="24">
        <v>1</v>
      </c>
      <c r="F432" s="1">
        <v>370</v>
      </c>
      <c r="G432" s="5">
        <f>F432*E432</f>
        <v>370</v>
      </c>
      <c r="I432" s="59">
        <v>22</v>
      </c>
      <c r="J432" s="1" t="s">
        <v>582</v>
      </c>
      <c r="K432" s="66">
        <v>46028</v>
      </c>
      <c r="L432" s="1" t="s">
        <v>310</v>
      </c>
      <c r="M432" s="1">
        <v>1</v>
      </c>
      <c r="N432" s="1">
        <v>100</v>
      </c>
      <c r="O432" s="5">
        <f>N432*M432</f>
        <v>100</v>
      </c>
    </row>
    <row r="433" spans="1:16" x14ac:dyDescent="0.25">
      <c r="A433" s="59">
        <v>18</v>
      </c>
      <c r="B433" s="1" t="s">
        <v>197</v>
      </c>
      <c r="C433" s="66">
        <v>46027</v>
      </c>
      <c r="D433" s="1" t="s">
        <v>310</v>
      </c>
      <c r="E433" s="1">
        <v>10</v>
      </c>
      <c r="F433" s="1">
        <v>40</v>
      </c>
      <c r="G433" s="5">
        <f t="shared" ref="G433" si="98">F433*E433</f>
        <v>400</v>
      </c>
      <c r="I433" s="59">
        <v>23</v>
      </c>
      <c r="J433" s="1" t="s">
        <v>522</v>
      </c>
      <c r="K433" s="66">
        <v>46028</v>
      </c>
      <c r="L433" s="1" t="s">
        <v>310</v>
      </c>
      <c r="M433" s="1">
        <v>1</v>
      </c>
      <c r="N433" s="1">
        <v>500</v>
      </c>
      <c r="O433" s="5">
        <f t="shared" si="97"/>
        <v>500</v>
      </c>
    </row>
    <row r="434" spans="1:16" ht="16.5" thickBot="1" x14ac:dyDescent="0.3">
      <c r="A434" s="242" t="s">
        <v>25</v>
      </c>
      <c r="B434" s="243"/>
      <c r="C434" s="243"/>
      <c r="D434" s="243"/>
      <c r="E434" s="243"/>
      <c r="F434" s="244"/>
      <c r="G434" s="57">
        <f>SUM(G416:G433)</f>
        <v>15760</v>
      </c>
      <c r="I434" s="242" t="s">
        <v>25</v>
      </c>
      <c r="J434" s="243"/>
      <c r="K434" s="243"/>
      <c r="L434" s="243"/>
      <c r="M434" s="243"/>
      <c r="N434" s="244"/>
      <c r="O434" s="57">
        <f>SUM(O411:O433)</f>
        <v>15375</v>
      </c>
    </row>
    <row r="435" spans="1:16" ht="16.5" thickBot="1" x14ac:dyDescent="0.3">
      <c r="A435" s="217" t="s">
        <v>101</v>
      </c>
      <c r="B435" s="218"/>
      <c r="C435" s="218"/>
      <c r="D435" s="218"/>
      <c r="E435" s="218"/>
      <c r="F435" s="219"/>
      <c r="G435" s="48">
        <f>G434+G412+G404</f>
        <v>113965</v>
      </c>
      <c r="I435" s="217" t="s">
        <v>101</v>
      </c>
      <c r="J435" s="218"/>
      <c r="K435" s="218"/>
      <c r="L435" s="218"/>
      <c r="M435" s="218"/>
      <c r="N435" s="219"/>
      <c r="O435" s="48">
        <f>O434+O407+O399</f>
        <v>119550</v>
      </c>
    </row>
    <row r="436" spans="1:16" ht="15.75" thickBot="1" x14ac:dyDescent="0.3"/>
    <row r="437" spans="1:16" ht="16.5" thickBot="1" x14ac:dyDescent="0.3">
      <c r="A437" s="33" t="s">
        <v>0</v>
      </c>
      <c r="B437" s="34" t="s">
        <v>1</v>
      </c>
      <c r="C437" s="34" t="s">
        <v>3</v>
      </c>
      <c r="D437" s="34" t="s">
        <v>2</v>
      </c>
      <c r="E437" s="34" t="s">
        <v>6</v>
      </c>
      <c r="F437" s="34" t="s">
        <v>7</v>
      </c>
      <c r="G437" s="35" t="s">
        <v>8</v>
      </c>
      <c r="I437" s="33" t="s">
        <v>0</v>
      </c>
      <c r="J437" s="34" t="s">
        <v>1</v>
      </c>
      <c r="K437" s="34" t="s">
        <v>3</v>
      </c>
      <c r="L437" s="34" t="s">
        <v>2</v>
      </c>
      <c r="M437" s="34" t="s">
        <v>6</v>
      </c>
      <c r="N437" s="34" t="s">
        <v>7</v>
      </c>
      <c r="O437" s="35" t="s">
        <v>8</v>
      </c>
      <c r="P437" s="53"/>
    </row>
    <row r="438" spans="1:16" x14ac:dyDescent="0.25">
      <c r="A438" s="3">
        <v>1</v>
      </c>
      <c r="B438" s="3" t="s">
        <v>4</v>
      </c>
      <c r="C438" s="67">
        <v>46029</v>
      </c>
      <c r="D438" s="3" t="s">
        <v>11</v>
      </c>
      <c r="E438" s="30">
        <v>171</v>
      </c>
      <c r="F438" s="3">
        <v>30</v>
      </c>
      <c r="G438" s="4">
        <f>F438*E438</f>
        <v>5130</v>
      </c>
      <c r="I438" s="3">
        <v>1</v>
      </c>
      <c r="J438" s="3" t="s">
        <v>4</v>
      </c>
      <c r="K438" s="67">
        <v>46030</v>
      </c>
      <c r="L438" s="3" t="s">
        <v>11</v>
      </c>
      <c r="M438" s="30">
        <v>175</v>
      </c>
      <c r="N438" s="3">
        <v>30</v>
      </c>
      <c r="O438" s="4">
        <f>N438*M438</f>
        <v>5250</v>
      </c>
    </row>
    <row r="439" spans="1:16" x14ac:dyDescent="0.25">
      <c r="A439" s="3">
        <v>2</v>
      </c>
      <c r="B439" s="1" t="s">
        <v>9</v>
      </c>
      <c r="C439" s="67">
        <v>46029</v>
      </c>
      <c r="D439" s="1" t="s">
        <v>12</v>
      </c>
      <c r="E439" s="31">
        <v>435</v>
      </c>
      <c r="F439" s="1">
        <v>35</v>
      </c>
      <c r="G439" s="4">
        <f t="shared" ref="G439:G442" si="99">F439*E439</f>
        <v>15225</v>
      </c>
      <c r="I439" s="3">
        <v>2</v>
      </c>
      <c r="J439" s="1" t="s">
        <v>9</v>
      </c>
      <c r="K439" s="67">
        <v>46030</v>
      </c>
      <c r="L439" s="1" t="s">
        <v>12</v>
      </c>
      <c r="M439" s="31">
        <v>404</v>
      </c>
      <c r="N439" s="1">
        <v>35</v>
      </c>
      <c r="O439" s="4">
        <f t="shared" ref="O439:O442" si="100">N439*M439</f>
        <v>14140</v>
      </c>
    </row>
    <row r="440" spans="1:16" x14ac:dyDescent="0.25">
      <c r="A440" s="3">
        <v>3</v>
      </c>
      <c r="B440" s="1" t="s">
        <v>241</v>
      </c>
      <c r="C440" s="67">
        <v>46029</v>
      </c>
      <c r="D440" s="1" t="s">
        <v>12</v>
      </c>
      <c r="E440" s="31">
        <v>44</v>
      </c>
      <c r="F440" s="1">
        <v>50</v>
      </c>
      <c r="G440" s="4">
        <f t="shared" si="99"/>
        <v>2200</v>
      </c>
      <c r="I440" s="3">
        <v>3</v>
      </c>
      <c r="J440" s="1" t="s">
        <v>241</v>
      </c>
      <c r="K440" s="67">
        <v>46030</v>
      </c>
      <c r="L440" s="1" t="s">
        <v>12</v>
      </c>
      <c r="M440" s="31">
        <v>41</v>
      </c>
      <c r="N440" s="1">
        <v>50</v>
      </c>
      <c r="O440" s="4">
        <f t="shared" si="100"/>
        <v>2050</v>
      </c>
    </row>
    <row r="441" spans="1:16" x14ac:dyDescent="0.25">
      <c r="A441" s="3">
        <v>4</v>
      </c>
      <c r="B441" s="1" t="s">
        <v>4</v>
      </c>
      <c r="C441" s="67">
        <v>46029</v>
      </c>
      <c r="D441" s="1" t="s">
        <v>12</v>
      </c>
      <c r="E441" s="31">
        <v>405</v>
      </c>
      <c r="F441" s="1">
        <v>30</v>
      </c>
      <c r="G441" s="4">
        <f t="shared" si="99"/>
        <v>12150</v>
      </c>
      <c r="I441" s="3">
        <v>4</v>
      </c>
      <c r="J441" s="1" t="s">
        <v>4</v>
      </c>
      <c r="K441" s="67">
        <v>46030</v>
      </c>
      <c r="L441" s="1" t="s">
        <v>12</v>
      </c>
      <c r="M441" s="31">
        <v>393</v>
      </c>
      <c r="N441" s="1">
        <v>30</v>
      </c>
      <c r="O441" s="4">
        <f t="shared" si="100"/>
        <v>11790</v>
      </c>
    </row>
    <row r="442" spans="1:16" x14ac:dyDescent="0.25">
      <c r="A442" s="3">
        <v>5</v>
      </c>
      <c r="B442" s="1" t="s">
        <v>124</v>
      </c>
      <c r="C442" s="67">
        <v>46029</v>
      </c>
      <c r="D442" s="1" t="s">
        <v>13</v>
      </c>
      <c r="E442" s="31">
        <v>146</v>
      </c>
      <c r="F442" s="1">
        <v>110</v>
      </c>
      <c r="G442" s="30">
        <f t="shared" si="99"/>
        <v>16060</v>
      </c>
      <c r="I442" s="3">
        <v>5</v>
      </c>
      <c r="J442" s="1" t="s">
        <v>47</v>
      </c>
      <c r="K442" s="67">
        <v>46030</v>
      </c>
      <c r="L442" s="1" t="s">
        <v>13</v>
      </c>
      <c r="M442" s="31">
        <v>148</v>
      </c>
      <c r="N442" s="1">
        <v>80</v>
      </c>
      <c r="O442" s="30">
        <f t="shared" si="100"/>
        <v>11840</v>
      </c>
    </row>
    <row r="443" spans="1:16" x14ac:dyDescent="0.25">
      <c r="A443" s="3">
        <v>6</v>
      </c>
      <c r="B443" s="1" t="s">
        <v>587</v>
      </c>
      <c r="C443" s="67">
        <v>46029</v>
      </c>
      <c r="D443" s="1" t="s">
        <v>13</v>
      </c>
      <c r="E443" s="31">
        <v>21</v>
      </c>
      <c r="F443" s="1">
        <v>320</v>
      </c>
      <c r="G443" s="4">
        <f>F443*E443</f>
        <v>6720</v>
      </c>
      <c r="I443" s="3">
        <v>6</v>
      </c>
      <c r="J443" s="1" t="s">
        <v>607</v>
      </c>
      <c r="K443" s="67">
        <v>46030</v>
      </c>
      <c r="L443" s="1" t="s">
        <v>13</v>
      </c>
      <c r="M443" s="31">
        <v>4</v>
      </c>
      <c r="N443" s="1">
        <v>180</v>
      </c>
      <c r="O443" s="4">
        <f>N443*M443</f>
        <v>720</v>
      </c>
    </row>
    <row r="444" spans="1:16" x14ac:dyDescent="0.25">
      <c r="A444" s="3">
        <v>7</v>
      </c>
      <c r="B444" s="1" t="s">
        <v>19</v>
      </c>
      <c r="C444" s="67">
        <v>46029</v>
      </c>
      <c r="D444" s="1" t="s">
        <v>13</v>
      </c>
      <c r="E444" s="31">
        <v>1046</v>
      </c>
      <c r="F444" s="1">
        <v>15</v>
      </c>
      <c r="G444" s="4">
        <f t="shared" ref="G444:G456" si="101">F444*E444</f>
        <v>15690</v>
      </c>
      <c r="I444" s="3">
        <v>7</v>
      </c>
      <c r="J444" s="1" t="s">
        <v>19</v>
      </c>
      <c r="K444" s="67">
        <v>46030</v>
      </c>
      <c r="L444" s="1" t="s">
        <v>13</v>
      </c>
      <c r="M444" s="31">
        <v>1123</v>
      </c>
      <c r="N444" s="1">
        <v>15</v>
      </c>
      <c r="O444" s="4">
        <f t="shared" ref="O444:O452" si="102">N444*M444</f>
        <v>16845</v>
      </c>
    </row>
    <row r="445" spans="1:16" x14ac:dyDescent="0.25">
      <c r="A445" s="3">
        <v>8</v>
      </c>
      <c r="B445" s="1" t="s">
        <v>33</v>
      </c>
      <c r="C445" s="67">
        <v>46029</v>
      </c>
      <c r="D445" s="1" t="s">
        <v>13</v>
      </c>
      <c r="E445" s="31">
        <v>6</v>
      </c>
      <c r="F445" s="1">
        <v>30</v>
      </c>
      <c r="G445" s="5">
        <f t="shared" si="101"/>
        <v>180</v>
      </c>
      <c r="I445" s="3">
        <v>8</v>
      </c>
      <c r="J445" s="1" t="s">
        <v>33</v>
      </c>
      <c r="K445" s="67">
        <v>46030</v>
      </c>
      <c r="L445" s="1" t="s">
        <v>13</v>
      </c>
      <c r="M445" s="31">
        <v>3</v>
      </c>
      <c r="N445" s="1">
        <v>30</v>
      </c>
      <c r="O445" s="5">
        <f t="shared" si="102"/>
        <v>90</v>
      </c>
    </row>
    <row r="446" spans="1:16" x14ac:dyDescent="0.25">
      <c r="A446" s="3">
        <v>9</v>
      </c>
      <c r="B446" s="1" t="s">
        <v>482</v>
      </c>
      <c r="C446" s="67">
        <v>46029</v>
      </c>
      <c r="D446" s="1" t="s">
        <v>13</v>
      </c>
      <c r="E446" s="5">
        <v>128</v>
      </c>
      <c r="F446" s="1">
        <v>30</v>
      </c>
      <c r="G446" s="5">
        <f t="shared" si="101"/>
        <v>3840</v>
      </c>
      <c r="I446" s="3">
        <v>9</v>
      </c>
      <c r="J446" s="1" t="s">
        <v>482</v>
      </c>
      <c r="K446" s="67">
        <v>46030</v>
      </c>
      <c r="L446" s="1" t="s">
        <v>13</v>
      </c>
      <c r="M446" s="5">
        <v>87</v>
      </c>
      <c r="N446" s="1">
        <v>30</v>
      </c>
      <c r="O446" s="5">
        <f t="shared" si="102"/>
        <v>2610</v>
      </c>
    </row>
    <row r="447" spans="1:16" x14ac:dyDescent="0.25">
      <c r="A447" s="3">
        <v>10</v>
      </c>
      <c r="B447" s="1" t="s">
        <v>18</v>
      </c>
      <c r="C447" s="67">
        <v>46029</v>
      </c>
      <c r="D447" s="1" t="s">
        <v>13</v>
      </c>
      <c r="E447" s="5">
        <v>2</v>
      </c>
      <c r="F447" s="1">
        <v>80</v>
      </c>
      <c r="G447" s="5">
        <f t="shared" si="101"/>
        <v>160</v>
      </c>
      <c r="I447" s="3">
        <v>10</v>
      </c>
      <c r="J447" s="1" t="s">
        <v>608</v>
      </c>
      <c r="K447" s="67">
        <v>46030</v>
      </c>
      <c r="L447" s="1" t="s">
        <v>13</v>
      </c>
      <c r="M447" s="5">
        <v>13</v>
      </c>
      <c r="N447" s="1">
        <v>220</v>
      </c>
      <c r="O447" s="5">
        <f t="shared" si="102"/>
        <v>2860</v>
      </c>
    </row>
    <row r="448" spans="1:16" x14ac:dyDescent="0.25">
      <c r="A448" s="3">
        <v>11</v>
      </c>
      <c r="B448" s="1" t="s">
        <v>482</v>
      </c>
      <c r="C448" s="67">
        <v>46029</v>
      </c>
      <c r="D448" s="1" t="s">
        <v>17</v>
      </c>
      <c r="E448" s="5">
        <v>353</v>
      </c>
      <c r="F448" s="1">
        <v>30</v>
      </c>
      <c r="G448" s="5">
        <f t="shared" si="101"/>
        <v>10590</v>
      </c>
      <c r="I448" s="3">
        <v>11</v>
      </c>
      <c r="J448" s="1" t="s">
        <v>482</v>
      </c>
      <c r="K448" s="67">
        <v>46030</v>
      </c>
      <c r="L448" s="1" t="s">
        <v>17</v>
      </c>
      <c r="M448" s="5">
        <v>403</v>
      </c>
      <c r="N448" s="1">
        <v>30</v>
      </c>
      <c r="O448" s="5">
        <f t="shared" si="102"/>
        <v>12090</v>
      </c>
    </row>
    <row r="449" spans="1:15" x14ac:dyDescent="0.25">
      <c r="A449" s="3">
        <v>12</v>
      </c>
      <c r="B449" s="1" t="s">
        <v>19</v>
      </c>
      <c r="C449" s="67">
        <v>46029</v>
      </c>
      <c r="D449" s="1" t="s">
        <v>20</v>
      </c>
      <c r="E449" s="5">
        <v>290</v>
      </c>
      <c r="F449" s="1">
        <v>15</v>
      </c>
      <c r="G449" s="5">
        <f t="shared" si="101"/>
        <v>4350</v>
      </c>
      <c r="I449" s="3">
        <v>12</v>
      </c>
      <c r="J449" s="1" t="s">
        <v>19</v>
      </c>
      <c r="K449" s="67">
        <v>46030</v>
      </c>
      <c r="L449" s="1" t="s">
        <v>20</v>
      </c>
      <c r="M449" s="5">
        <v>338</v>
      </c>
      <c r="N449" s="1">
        <v>15</v>
      </c>
      <c r="O449" s="5">
        <f t="shared" si="102"/>
        <v>5070</v>
      </c>
    </row>
    <row r="450" spans="1:15" x14ac:dyDescent="0.25">
      <c r="A450" s="3">
        <v>13</v>
      </c>
      <c r="B450" s="1" t="s">
        <v>16</v>
      </c>
      <c r="C450" s="67">
        <v>46029</v>
      </c>
      <c r="D450" s="1" t="s">
        <v>20</v>
      </c>
      <c r="E450" s="5">
        <v>51</v>
      </c>
      <c r="F450" s="1">
        <v>30</v>
      </c>
      <c r="G450" s="5">
        <f t="shared" si="101"/>
        <v>1530</v>
      </c>
      <c r="I450" s="3">
        <v>13</v>
      </c>
      <c r="J450" s="1" t="s">
        <v>16</v>
      </c>
      <c r="K450" s="67">
        <v>46030</v>
      </c>
      <c r="L450" s="1" t="s">
        <v>20</v>
      </c>
      <c r="M450" s="5">
        <v>63</v>
      </c>
      <c r="N450" s="1">
        <v>30</v>
      </c>
      <c r="O450" s="5">
        <f t="shared" si="102"/>
        <v>1890</v>
      </c>
    </row>
    <row r="451" spans="1:15" x14ac:dyDescent="0.25">
      <c r="A451" s="3">
        <v>14</v>
      </c>
      <c r="B451" s="1" t="s">
        <v>18</v>
      </c>
      <c r="C451" s="67">
        <v>46029</v>
      </c>
      <c r="D451" s="1" t="s">
        <v>20</v>
      </c>
      <c r="E451" s="5">
        <v>32</v>
      </c>
      <c r="F451" s="1">
        <v>80</v>
      </c>
      <c r="G451" s="5">
        <f t="shared" si="101"/>
        <v>2560</v>
      </c>
      <c r="I451" s="3">
        <v>14</v>
      </c>
      <c r="J451" s="1" t="s">
        <v>369</v>
      </c>
      <c r="K451" s="67">
        <v>46030</v>
      </c>
      <c r="L451" s="1" t="s">
        <v>20</v>
      </c>
      <c r="M451" s="5">
        <v>53</v>
      </c>
      <c r="N451" s="1">
        <v>110</v>
      </c>
      <c r="O451" s="5">
        <f t="shared" si="102"/>
        <v>5830</v>
      </c>
    </row>
    <row r="452" spans="1:15" x14ac:dyDescent="0.25">
      <c r="A452" s="3">
        <v>15</v>
      </c>
      <c r="B452" s="1" t="s">
        <v>587</v>
      </c>
      <c r="C452" s="67">
        <v>46029</v>
      </c>
      <c r="D452" s="1" t="s">
        <v>20</v>
      </c>
      <c r="E452" s="5">
        <v>6</v>
      </c>
      <c r="F452" s="1">
        <v>270</v>
      </c>
      <c r="G452" s="5">
        <f t="shared" si="101"/>
        <v>1620</v>
      </c>
      <c r="I452" s="3">
        <v>15</v>
      </c>
      <c r="J452" s="1" t="s">
        <v>610</v>
      </c>
      <c r="K452" s="67">
        <v>46030</v>
      </c>
      <c r="L452" s="1" t="s">
        <v>20</v>
      </c>
      <c r="M452" s="5">
        <v>2</v>
      </c>
      <c r="N452" s="1">
        <v>80</v>
      </c>
      <c r="O452" s="5">
        <f t="shared" si="102"/>
        <v>160</v>
      </c>
    </row>
    <row r="453" spans="1:15" ht="16.5" thickBot="1" x14ac:dyDescent="0.3">
      <c r="A453" s="3">
        <v>16</v>
      </c>
      <c r="B453" s="1" t="s">
        <v>237</v>
      </c>
      <c r="C453" s="67">
        <v>46029</v>
      </c>
      <c r="D453" s="1" t="s">
        <v>20</v>
      </c>
      <c r="E453" s="5">
        <v>5</v>
      </c>
      <c r="F453" s="1">
        <v>270</v>
      </c>
      <c r="G453" s="5">
        <f t="shared" si="101"/>
        <v>1350</v>
      </c>
      <c r="I453" s="233" t="s">
        <v>232</v>
      </c>
      <c r="J453" s="234"/>
      <c r="K453" s="234"/>
      <c r="L453" s="234"/>
      <c r="M453" s="234"/>
      <c r="N453" s="235"/>
      <c r="O453" s="57">
        <f>O478+O479+O480+O481+O482+O483+O484+O485</f>
        <v>2800</v>
      </c>
    </row>
    <row r="454" spans="1:15" ht="16.5" thickBot="1" x14ac:dyDescent="0.3">
      <c r="A454" s="3">
        <v>17</v>
      </c>
      <c r="B454" s="1" t="s">
        <v>164</v>
      </c>
      <c r="C454" s="67">
        <v>46029</v>
      </c>
      <c r="D454" s="1" t="s">
        <v>20</v>
      </c>
      <c r="E454" s="5">
        <v>7</v>
      </c>
      <c r="F454" s="1">
        <v>120</v>
      </c>
      <c r="G454" s="5">
        <f t="shared" si="101"/>
        <v>840</v>
      </c>
      <c r="I454" s="236" t="s">
        <v>161</v>
      </c>
      <c r="J454" s="237"/>
      <c r="K454" s="237"/>
      <c r="L454" s="237"/>
      <c r="M454" s="237"/>
      <c r="N454" s="238"/>
      <c r="O454" s="51">
        <f>SUM(O438:O452)-O453</f>
        <v>90435</v>
      </c>
    </row>
    <row r="455" spans="1:15" ht="16.5" thickBot="1" x14ac:dyDescent="0.3">
      <c r="A455" s="3">
        <v>18</v>
      </c>
      <c r="B455" s="24" t="s">
        <v>605</v>
      </c>
      <c r="C455" s="67">
        <v>46029</v>
      </c>
      <c r="D455" s="24" t="s">
        <v>20</v>
      </c>
      <c r="E455" s="5">
        <v>2</v>
      </c>
      <c r="F455" s="1">
        <v>220</v>
      </c>
      <c r="G455" s="5">
        <f t="shared" si="101"/>
        <v>440</v>
      </c>
      <c r="I455" s="239" t="s">
        <v>170</v>
      </c>
      <c r="J455" s="240"/>
      <c r="K455" s="240"/>
      <c r="L455" s="240"/>
      <c r="M455" s="240"/>
      <c r="N455" s="240"/>
      <c r="O455" s="241"/>
    </row>
    <row r="456" spans="1:15" x14ac:dyDescent="0.25">
      <c r="A456" s="3">
        <v>19</v>
      </c>
      <c r="B456" s="24" t="s">
        <v>463</v>
      </c>
      <c r="C456" s="67">
        <v>46029</v>
      </c>
      <c r="D456" s="24" t="s">
        <v>20</v>
      </c>
      <c r="E456" s="5">
        <v>1</v>
      </c>
      <c r="F456" s="1">
        <v>180</v>
      </c>
      <c r="G456" s="5">
        <f t="shared" si="101"/>
        <v>180</v>
      </c>
      <c r="I456" s="3">
        <v>1</v>
      </c>
      <c r="J456" s="3" t="s">
        <v>399</v>
      </c>
      <c r="K456" s="67">
        <v>46030</v>
      </c>
      <c r="L456" s="3" t="s">
        <v>310</v>
      </c>
      <c r="M456" s="4">
        <v>11</v>
      </c>
      <c r="N456" s="3">
        <v>120</v>
      </c>
      <c r="O456" s="4">
        <f>N456*M456</f>
        <v>1320</v>
      </c>
    </row>
    <row r="457" spans="1:15" ht="16.5" thickBot="1" x14ac:dyDescent="0.3">
      <c r="A457" s="233" t="s">
        <v>232</v>
      </c>
      <c r="B457" s="234"/>
      <c r="C457" s="234"/>
      <c r="D457" s="234"/>
      <c r="E457" s="234"/>
      <c r="F457" s="235"/>
      <c r="G457" s="57">
        <f>G483+G484+G485+G486+G487+G488+G489</f>
        <v>3290</v>
      </c>
      <c r="I457" s="3">
        <v>2</v>
      </c>
      <c r="J457" s="3" t="s">
        <v>194</v>
      </c>
      <c r="K457" s="67">
        <v>46030</v>
      </c>
      <c r="L457" s="3" t="s">
        <v>310</v>
      </c>
      <c r="M457" s="4">
        <v>1</v>
      </c>
      <c r="N457" s="3">
        <v>250</v>
      </c>
      <c r="O457" s="4">
        <f t="shared" ref="O457:O461" si="103">N457*M457</f>
        <v>250</v>
      </c>
    </row>
    <row r="458" spans="1:15" ht="16.5" thickBot="1" x14ac:dyDescent="0.3">
      <c r="A458" s="236" t="s">
        <v>161</v>
      </c>
      <c r="B458" s="237"/>
      <c r="C458" s="237"/>
      <c r="D458" s="237"/>
      <c r="E458" s="237"/>
      <c r="F458" s="238"/>
      <c r="G458" s="51">
        <f>SUM(G438:G456)-G457</f>
        <v>97525</v>
      </c>
      <c r="I458" s="3">
        <v>3</v>
      </c>
      <c r="J458" s="1" t="s">
        <v>110</v>
      </c>
      <c r="K458" s="67">
        <v>46030</v>
      </c>
      <c r="L458" s="3" t="s">
        <v>310</v>
      </c>
      <c r="M458" s="5">
        <v>16</v>
      </c>
      <c r="N458" s="1">
        <v>120</v>
      </c>
      <c r="O458" s="4">
        <f t="shared" si="103"/>
        <v>1920</v>
      </c>
    </row>
    <row r="459" spans="1:15" ht="16.5" thickBot="1" x14ac:dyDescent="0.3">
      <c r="A459" s="239" t="s">
        <v>170</v>
      </c>
      <c r="B459" s="240"/>
      <c r="C459" s="240"/>
      <c r="D459" s="240"/>
      <c r="E459" s="240"/>
      <c r="F459" s="240"/>
      <c r="G459" s="241"/>
      <c r="I459" s="3">
        <v>4</v>
      </c>
      <c r="J459" s="1" t="s">
        <v>102</v>
      </c>
      <c r="K459" s="67">
        <v>46030</v>
      </c>
      <c r="L459" s="3" t="s">
        <v>310</v>
      </c>
      <c r="M459" s="5">
        <v>5</v>
      </c>
      <c r="N459" s="1">
        <v>120</v>
      </c>
      <c r="O459" s="4">
        <f t="shared" si="103"/>
        <v>600</v>
      </c>
    </row>
    <row r="460" spans="1:15" x14ac:dyDescent="0.25">
      <c r="A460" s="3">
        <v>1</v>
      </c>
      <c r="B460" s="3" t="s">
        <v>399</v>
      </c>
      <c r="C460" s="67">
        <v>46029</v>
      </c>
      <c r="D460" s="3" t="s">
        <v>310</v>
      </c>
      <c r="E460" s="4">
        <v>1</v>
      </c>
      <c r="F460" s="3">
        <v>120</v>
      </c>
      <c r="G460" s="4">
        <f>F460*E460</f>
        <v>120</v>
      </c>
      <c r="I460" s="3">
        <v>5</v>
      </c>
      <c r="J460" s="1" t="s">
        <v>341</v>
      </c>
      <c r="K460" s="67">
        <v>46030</v>
      </c>
      <c r="L460" s="3" t="s">
        <v>310</v>
      </c>
      <c r="M460" s="5">
        <v>222</v>
      </c>
      <c r="N460" s="1">
        <v>30</v>
      </c>
      <c r="O460" s="4">
        <f t="shared" si="103"/>
        <v>6660</v>
      </c>
    </row>
    <row r="461" spans="1:15" x14ac:dyDescent="0.25">
      <c r="A461" s="3">
        <v>2</v>
      </c>
      <c r="B461" s="3" t="s">
        <v>194</v>
      </c>
      <c r="C461" s="67">
        <v>46029</v>
      </c>
      <c r="D461" s="3" t="s">
        <v>310</v>
      </c>
      <c r="E461" s="4">
        <v>1</v>
      </c>
      <c r="F461" s="3">
        <v>150</v>
      </c>
      <c r="G461" s="4">
        <f t="shared" ref="G461:G465" si="104">F461*E461</f>
        <v>150</v>
      </c>
      <c r="I461" s="3">
        <v>6</v>
      </c>
      <c r="J461" s="1" t="s">
        <v>178</v>
      </c>
      <c r="K461" s="67">
        <v>46030</v>
      </c>
      <c r="L461" s="3" t="s">
        <v>310</v>
      </c>
      <c r="M461" s="5">
        <v>2</v>
      </c>
      <c r="N461" s="1">
        <v>50</v>
      </c>
      <c r="O461" s="5">
        <f t="shared" si="103"/>
        <v>100</v>
      </c>
    </row>
    <row r="462" spans="1:15" ht="16.5" thickBot="1" x14ac:dyDescent="0.3">
      <c r="A462" s="3">
        <v>3</v>
      </c>
      <c r="B462" s="1" t="s">
        <v>110</v>
      </c>
      <c r="C462" s="67">
        <v>46029</v>
      </c>
      <c r="D462" s="3" t="s">
        <v>310</v>
      </c>
      <c r="E462" s="5">
        <v>6</v>
      </c>
      <c r="F462" s="1">
        <v>120</v>
      </c>
      <c r="G462" s="4">
        <f t="shared" si="104"/>
        <v>720</v>
      </c>
      <c r="I462" s="223" t="s">
        <v>162</v>
      </c>
      <c r="J462" s="224"/>
      <c r="K462" s="224"/>
      <c r="L462" s="224"/>
      <c r="M462" s="224"/>
      <c r="N462" s="225"/>
      <c r="O462" s="70">
        <f>SUM(O456:O461)</f>
        <v>10850</v>
      </c>
    </row>
    <row r="463" spans="1:15" ht="19.5" thickBot="1" x14ac:dyDescent="0.35">
      <c r="A463" s="3">
        <v>4</v>
      </c>
      <c r="B463" s="1" t="s">
        <v>102</v>
      </c>
      <c r="C463" s="67">
        <v>46029</v>
      </c>
      <c r="D463" s="3" t="s">
        <v>310</v>
      </c>
      <c r="E463" s="5">
        <v>22</v>
      </c>
      <c r="F463" s="1">
        <v>120</v>
      </c>
      <c r="G463" s="4">
        <f t="shared" si="104"/>
        <v>2640</v>
      </c>
      <c r="I463" s="226" t="s">
        <v>103</v>
      </c>
      <c r="J463" s="227"/>
      <c r="K463" s="227"/>
      <c r="L463" s="227"/>
      <c r="M463" s="227"/>
      <c r="N463" s="228"/>
      <c r="O463" s="44">
        <f>O454+O462</f>
        <v>101285</v>
      </c>
    </row>
    <row r="464" spans="1:15" ht="15.75" x14ac:dyDescent="0.25">
      <c r="A464" s="3">
        <v>5</v>
      </c>
      <c r="B464" s="1" t="s">
        <v>341</v>
      </c>
      <c r="C464" s="67">
        <v>46029</v>
      </c>
      <c r="D464" s="3" t="s">
        <v>310</v>
      </c>
      <c r="E464" s="5">
        <v>325</v>
      </c>
      <c r="F464" s="1">
        <v>30</v>
      </c>
      <c r="G464" s="4">
        <f t="shared" si="104"/>
        <v>9750</v>
      </c>
      <c r="I464" s="229" t="s">
        <v>95</v>
      </c>
      <c r="J464" s="230"/>
      <c r="K464" s="230"/>
      <c r="L464" s="230"/>
      <c r="M464" s="230"/>
      <c r="N464" s="230"/>
      <c r="O464" s="231"/>
    </row>
    <row r="465" spans="1:15" ht="15.75" x14ac:dyDescent="0.25">
      <c r="A465" s="3">
        <v>6</v>
      </c>
      <c r="B465" s="1" t="s">
        <v>178</v>
      </c>
      <c r="C465" s="67">
        <v>46029</v>
      </c>
      <c r="D465" s="3" t="s">
        <v>310</v>
      </c>
      <c r="E465" s="5">
        <v>1</v>
      </c>
      <c r="F465" s="1">
        <v>50</v>
      </c>
      <c r="G465" s="5">
        <f t="shared" si="104"/>
        <v>50</v>
      </c>
      <c r="I465" s="114" t="s">
        <v>0</v>
      </c>
      <c r="J465" s="114" t="s">
        <v>1</v>
      </c>
      <c r="K465" s="114" t="s">
        <v>3</v>
      </c>
      <c r="L465" s="114" t="s">
        <v>2</v>
      </c>
      <c r="M465" s="114" t="s">
        <v>6</v>
      </c>
      <c r="N465" s="114" t="s">
        <v>7</v>
      </c>
      <c r="O465" s="114" t="s">
        <v>8</v>
      </c>
    </row>
    <row r="466" spans="1:15" ht="16.5" thickBot="1" x14ac:dyDescent="0.3">
      <c r="A466" s="223" t="s">
        <v>162</v>
      </c>
      <c r="B466" s="224"/>
      <c r="C466" s="224"/>
      <c r="D466" s="224"/>
      <c r="E466" s="224"/>
      <c r="F466" s="225"/>
      <c r="G466" s="70">
        <f>SUM(G460:G465)</f>
        <v>13430</v>
      </c>
      <c r="I466" s="113">
        <v>1</v>
      </c>
      <c r="J466" s="113" t="s">
        <v>9</v>
      </c>
      <c r="K466" s="67">
        <v>46030</v>
      </c>
      <c r="L466" s="3" t="s">
        <v>12</v>
      </c>
      <c r="M466" s="113">
        <v>8</v>
      </c>
      <c r="N466" s="113">
        <v>35</v>
      </c>
      <c r="O466" s="4">
        <f t="shared" ref="O466:O468" si="105">N466*M466</f>
        <v>280</v>
      </c>
    </row>
    <row r="467" spans="1:15" ht="19.5" thickBot="1" x14ac:dyDescent="0.35">
      <c r="A467" s="226" t="s">
        <v>103</v>
      </c>
      <c r="B467" s="227"/>
      <c r="C467" s="227"/>
      <c r="D467" s="227"/>
      <c r="E467" s="227"/>
      <c r="F467" s="228"/>
      <c r="G467" s="44">
        <f>G458+G466</f>
        <v>110955</v>
      </c>
      <c r="I467" s="113">
        <v>2</v>
      </c>
      <c r="J467" s="1" t="s">
        <v>196</v>
      </c>
      <c r="K467" s="67">
        <v>46030</v>
      </c>
      <c r="L467" s="1" t="s">
        <v>12</v>
      </c>
      <c r="M467" s="1">
        <v>9</v>
      </c>
      <c r="N467" s="1">
        <v>50</v>
      </c>
      <c r="O467" s="5">
        <f t="shared" si="105"/>
        <v>450</v>
      </c>
    </row>
    <row r="468" spans="1:15" ht="15.75" x14ac:dyDescent="0.25">
      <c r="A468" s="229" t="s">
        <v>95</v>
      </c>
      <c r="B468" s="230"/>
      <c r="C468" s="230"/>
      <c r="D468" s="230"/>
      <c r="E468" s="230"/>
      <c r="F468" s="230"/>
      <c r="G468" s="231"/>
      <c r="I468" s="113">
        <v>3</v>
      </c>
      <c r="J468" s="1" t="s">
        <v>43</v>
      </c>
      <c r="K468" s="67">
        <v>46030</v>
      </c>
      <c r="L468" s="1" t="s">
        <v>13</v>
      </c>
      <c r="M468" s="1">
        <v>4</v>
      </c>
      <c r="N468" s="1">
        <v>30</v>
      </c>
      <c r="O468" s="5">
        <f t="shared" si="105"/>
        <v>120</v>
      </c>
    </row>
    <row r="469" spans="1:15" ht="15.75" x14ac:dyDescent="0.25">
      <c r="A469" s="114" t="s">
        <v>0</v>
      </c>
      <c r="B469" s="114" t="s">
        <v>1</v>
      </c>
      <c r="C469" s="114" t="s">
        <v>3</v>
      </c>
      <c r="D469" s="114" t="s">
        <v>2</v>
      </c>
      <c r="E469" s="114" t="s">
        <v>6</v>
      </c>
      <c r="F469" s="114" t="s">
        <v>7</v>
      </c>
      <c r="G469" s="114" t="s">
        <v>8</v>
      </c>
      <c r="I469" s="113">
        <v>4</v>
      </c>
      <c r="J469" s="1" t="s">
        <v>607</v>
      </c>
      <c r="K469" s="67">
        <v>46030</v>
      </c>
      <c r="L469" s="1" t="s">
        <v>13</v>
      </c>
      <c r="M469" s="1">
        <v>6</v>
      </c>
      <c r="N469" s="1">
        <v>180</v>
      </c>
      <c r="O469" s="5">
        <f>N469*M469</f>
        <v>1080</v>
      </c>
    </row>
    <row r="470" spans="1:15" x14ac:dyDescent="0.25">
      <c r="A470" s="113">
        <v>1</v>
      </c>
      <c r="B470" s="113" t="s">
        <v>9</v>
      </c>
      <c r="C470" s="67">
        <v>46029</v>
      </c>
      <c r="D470" s="3" t="s">
        <v>12</v>
      </c>
      <c r="E470" s="113">
        <v>10</v>
      </c>
      <c r="F470" s="113">
        <v>35</v>
      </c>
      <c r="G470" s="4">
        <f t="shared" ref="G470:G471" si="106">F470*E470</f>
        <v>350</v>
      </c>
      <c r="I470" s="113">
        <v>5</v>
      </c>
      <c r="J470" s="1" t="s">
        <v>608</v>
      </c>
      <c r="K470" s="67">
        <v>46030</v>
      </c>
      <c r="L470" s="1" t="s">
        <v>13</v>
      </c>
      <c r="M470" s="1">
        <v>14</v>
      </c>
      <c r="N470" s="1">
        <v>220</v>
      </c>
      <c r="O470" s="5">
        <f>N470*M470</f>
        <v>3080</v>
      </c>
    </row>
    <row r="471" spans="1:15" x14ac:dyDescent="0.25">
      <c r="A471" s="113">
        <v>2</v>
      </c>
      <c r="B471" s="1" t="s">
        <v>196</v>
      </c>
      <c r="C471" s="67">
        <v>46029</v>
      </c>
      <c r="D471" s="1" t="s">
        <v>12</v>
      </c>
      <c r="E471" s="1">
        <v>13</v>
      </c>
      <c r="F471" s="1">
        <v>50</v>
      </c>
      <c r="G471" s="5">
        <f t="shared" si="106"/>
        <v>650</v>
      </c>
      <c r="I471" s="113">
        <v>6</v>
      </c>
      <c r="J471" s="1" t="s">
        <v>19</v>
      </c>
      <c r="K471" s="67">
        <v>46030</v>
      </c>
      <c r="L471" s="1" t="s">
        <v>13</v>
      </c>
      <c r="M471" s="1">
        <v>51</v>
      </c>
      <c r="N471" s="1">
        <v>15</v>
      </c>
      <c r="O471" s="5">
        <f t="shared" ref="O471" si="107">N471*M471</f>
        <v>765</v>
      </c>
    </row>
    <row r="472" spans="1:15" x14ac:dyDescent="0.25">
      <c r="A472" s="113">
        <v>3</v>
      </c>
      <c r="B472" s="1" t="s">
        <v>43</v>
      </c>
      <c r="C472" s="67">
        <v>46029</v>
      </c>
      <c r="D472" s="1" t="s">
        <v>13</v>
      </c>
      <c r="E472" s="1">
        <v>8</v>
      </c>
      <c r="F472" s="1">
        <v>30</v>
      </c>
      <c r="G472" s="5">
        <f t="shared" ref="G472" si="108">F472*E472</f>
        <v>240</v>
      </c>
      <c r="I472" s="113">
        <v>7</v>
      </c>
      <c r="J472" s="18" t="s">
        <v>587</v>
      </c>
      <c r="K472" s="67">
        <v>46030</v>
      </c>
      <c r="L472" s="1" t="s">
        <v>13</v>
      </c>
      <c r="M472" s="20">
        <v>6</v>
      </c>
      <c r="N472" s="1">
        <v>320</v>
      </c>
      <c r="O472" s="5">
        <f>N472*M472</f>
        <v>1920</v>
      </c>
    </row>
    <row r="473" spans="1:15" x14ac:dyDescent="0.25">
      <c r="A473" s="113">
        <v>4</v>
      </c>
      <c r="B473" s="1" t="s">
        <v>124</v>
      </c>
      <c r="C473" s="67">
        <v>46029</v>
      </c>
      <c r="D473" s="1" t="s">
        <v>13</v>
      </c>
      <c r="E473" s="1">
        <v>5</v>
      </c>
      <c r="F473" s="1">
        <v>110</v>
      </c>
      <c r="G473" s="5">
        <f>F473*E473</f>
        <v>550</v>
      </c>
      <c r="H473" s="53"/>
      <c r="I473" s="113">
        <v>8</v>
      </c>
      <c r="J473" s="18" t="s">
        <v>406</v>
      </c>
      <c r="K473" s="67">
        <v>46030</v>
      </c>
      <c r="L473" s="1" t="s">
        <v>20</v>
      </c>
      <c r="M473" s="20">
        <v>105</v>
      </c>
      <c r="N473" s="1">
        <v>110</v>
      </c>
      <c r="O473" s="5">
        <f>N473*M473</f>
        <v>11550</v>
      </c>
    </row>
    <row r="474" spans="1:15" x14ac:dyDescent="0.25">
      <c r="A474" s="113">
        <v>5</v>
      </c>
      <c r="B474" s="1" t="s">
        <v>178</v>
      </c>
      <c r="C474" s="67">
        <v>46029</v>
      </c>
      <c r="D474" s="1" t="s">
        <v>13</v>
      </c>
      <c r="E474" s="1">
        <v>1.75</v>
      </c>
      <c r="F474" s="1">
        <v>400</v>
      </c>
      <c r="G474" s="5">
        <f>F474*E474</f>
        <v>700</v>
      </c>
      <c r="I474" s="113">
        <v>9</v>
      </c>
      <c r="J474" s="24" t="s">
        <v>634</v>
      </c>
      <c r="K474" s="67">
        <v>46030</v>
      </c>
      <c r="L474" s="1" t="s">
        <v>20</v>
      </c>
      <c r="M474" s="24">
        <v>10</v>
      </c>
      <c r="N474" s="1">
        <v>220</v>
      </c>
      <c r="O474" s="5">
        <f t="shared" ref="O474" si="109">N474*M474</f>
        <v>2200</v>
      </c>
    </row>
    <row r="475" spans="1:15" x14ac:dyDescent="0.25">
      <c r="A475" s="113">
        <v>6</v>
      </c>
      <c r="B475" s="1" t="s">
        <v>19</v>
      </c>
      <c r="C475" s="67">
        <v>46029</v>
      </c>
      <c r="D475" s="1" t="s">
        <v>13</v>
      </c>
      <c r="E475" s="1">
        <v>38</v>
      </c>
      <c r="F475" s="1">
        <v>15</v>
      </c>
      <c r="G475" s="5">
        <f t="shared" ref="G475" si="110">F475*E475</f>
        <v>570</v>
      </c>
      <c r="I475" s="113">
        <v>10</v>
      </c>
      <c r="J475" s="24" t="s">
        <v>635</v>
      </c>
      <c r="K475" s="67">
        <v>46030</v>
      </c>
      <c r="L475" s="1" t="s">
        <v>20</v>
      </c>
      <c r="M475" s="24">
        <v>1</v>
      </c>
      <c r="N475" s="1">
        <v>180</v>
      </c>
      <c r="O475" s="5">
        <f>N475*M475</f>
        <v>180</v>
      </c>
    </row>
    <row r="476" spans="1:15" x14ac:dyDescent="0.25">
      <c r="A476" s="113">
        <v>7</v>
      </c>
      <c r="B476" s="18" t="s">
        <v>587</v>
      </c>
      <c r="C476" s="67">
        <v>46029</v>
      </c>
      <c r="D476" s="1" t="s">
        <v>13</v>
      </c>
      <c r="E476" s="20">
        <v>24</v>
      </c>
      <c r="F476" s="1">
        <v>320</v>
      </c>
      <c r="G476" s="5">
        <f>F476*E476</f>
        <v>7680</v>
      </c>
      <c r="I476" s="113">
        <v>11</v>
      </c>
      <c r="J476" s="24" t="s">
        <v>19</v>
      </c>
      <c r="K476" s="67">
        <v>46030</v>
      </c>
      <c r="L476" s="1" t="s">
        <v>20</v>
      </c>
      <c r="M476" s="24">
        <v>53</v>
      </c>
      <c r="N476" s="1">
        <v>15</v>
      </c>
      <c r="O476" s="5">
        <f>N476*M476</f>
        <v>795</v>
      </c>
    </row>
    <row r="477" spans="1:15" x14ac:dyDescent="0.25">
      <c r="A477" s="113">
        <v>8</v>
      </c>
      <c r="B477" s="18" t="s">
        <v>22</v>
      </c>
      <c r="C477" s="67">
        <v>46029</v>
      </c>
      <c r="D477" s="1" t="s">
        <v>20</v>
      </c>
      <c r="E477" s="20">
        <v>7</v>
      </c>
      <c r="F477" s="1">
        <v>220</v>
      </c>
      <c r="G477" s="5">
        <f>F477*E477</f>
        <v>1540</v>
      </c>
      <c r="I477" s="113">
        <v>12</v>
      </c>
      <c r="J477" s="24" t="s">
        <v>636</v>
      </c>
      <c r="K477" s="67">
        <v>46030</v>
      </c>
      <c r="L477" s="1" t="s">
        <v>20</v>
      </c>
      <c r="M477" s="24">
        <v>26</v>
      </c>
      <c r="N477" s="1">
        <v>35</v>
      </c>
      <c r="O477" s="5">
        <f>N477*M477</f>
        <v>910</v>
      </c>
    </row>
    <row r="478" spans="1:15" x14ac:dyDescent="0.25">
      <c r="A478" s="113">
        <v>9</v>
      </c>
      <c r="B478" s="24" t="s">
        <v>589</v>
      </c>
      <c r="C478" s="67">
        <v>46029</v>
      </c>
      <c r="D478" s="1" t="s">
        <v>20</v>
      </c>
      <c r="E478" s="24">
        <v>1</v>
      </c>
      <c r="F478" s="1">
        <v>1600</v>
      </c>
      <c r="G478" s="5">
        <f t="shared" ref="G478" si="111">F478*E478</f>
        <v>1600</v>
      </c>
      <c r="I478" s="113">
        <v>13</v>
      </c>
      <c r="J478" s="1" t="s">
        <v>102</v>
      </c>
      <c r="K478" s="67">
        <v>46030</v>
      </c>
      <c r="L478" s="1" t="s">
        <v>310</v>
      </c>
      <c r="M478" s="1">
        <v>3</v>
      </c>
      <c r="N478" s="1">
        <v>120</v>
      </c>
      <c r="O478" s="5">
        <f t="shared" ref="O478" si="112">N478*M478</f>
        <v>360</v>
      </c>
    </row>
    <row r="479" spans="1:15" x14ac:dyDescent="0.25">
      <c r="A479" s="113">
        <v>10</v>
      </c>
      <c r="B479" s="24" t="s">
        <v>236</v>
      </c>
      <c r="C479" s="67">
        <v>46029</v>
      </c>
      <c r="D479" s="1" t="s">
        <v>20</v>
      </c>
      <c r="E479" s="24">
        <v>12</v>
      </c>
      <c r="F479" s="1">
        <v>35</v>
      </c>
      <c r="G479" s="5">
        <f>F479*E479</f>
        <v>420</v>
      </c>
      <c r="I479" s="113">
        <v>14</v>
      </c>
      <c r="J479" s="24" t="s">
        <v>617</v>
      </c>
      <c r="K479" s="67">
        <v>46030</v>
      </c>
      <c r="L479" s="1" t="s">
        <v>310</v>
      </c>
      <c r="M479" s="24">
        <v>1</v>
      </c>
      <c r="N479" s="1">
        <v>600</v>
      </c>
      <c r="O479" s="5">
        <f>N479*M479</f>
        <v>600</v>
      </c>
    </row>
    <row r="480" spans="1:15" x14ac:dyDescent="0.25">
      <c r="A480" s="113">
        <v>11</v>
      </c>
      <c r="B480" s="24" t="s">
        <v>19</v>
      </c>
      <c r="C480" s="67">
        <v>46029</v>
      </c>
      <c r="D480" s="1" t="s">
        <v>20</v>
      </c>
      <c r="E480" s="24">
        <v>24</v>
      </c>
      <c r="F480" s="1">
        <v>15</v>
      </c>
      <c r="G480" s="5">
        <f>F480*E480</f>
        <v>360</v>
      </c>
      <c r="I480" s="113">
        <v>15</v>
      </c>
      <c r="J480" s="24" t="s">
        <v>324</v>
      </c>
      <c r="K480" s="67">
        <v>46030</v>
      </c>
      <c r="L480" s="1" t="s">
        <v>310</v>
      </c>
      <c r="M480" s="24">
        <v>2</v>
      </c>
      <c r="N480" s="1">
        <v>90</v>
      </c>
      <c r="O480" s="5">
        <f>N480*M480</f>
        <v>180</v>
      </c>
    </row>
    <row r="481" spans="1:15" x14ac:dyDescent="0.25">
      <c r="A481" s="113">
        <v>12</v>
      </c>
      <c r="B481" s="1" t="s">
        <v>102</v>
      </c>
      <c r="C481" s="67">
        <v>46029</v>
      </c>
      <c r="D481" s="1" t="s">
        <v>310</v>
      </c>
      <c r="E481" s="1">
        <v>2</v>
      </c>
      <c r="F481" s="1">
        <v>120</v>
      </c>
      <c r="G481" s="5">
        <f t="shared" ref="G481" si="113">F481*E481</f>
        <v>240</v>
      </c>
      <c r="I481" s="113">
        <v>16</v>
      </c>
      <c r="J481" s="1" t="s">
        <v>197</v>
      </c>
      <c r="K481" s="67">
        <v>46030</v>
      </c>
      <c r="L481" s="1" t="s">
        <v>310</v>
      </c>
      <c r="M481" s="1">
        <v>8</v>
      </c>
      <c r="N481" s="1">
        <v>40</v>
      </c>
      <c r="O481" s="5">
        <f t="shared" ref="O481:O483" si="114">N481*M481</f>
        <v>320</v>
      </c>
    </row>
    <row r="482" spans="1:15" x14ac:dyDescent="0.25">
      <c r="A482" s="113">
        <v>13</v>
      </c>
      <c r="B482" s="24" t="s">
        <v>606</v>
      </c>
      <c r="C482" s="67">
        <v>46029</v>
      </c>
      <c r="D482" s="1" t="s">
        <v>310</v>
      </c>
      <c r="E482" s="24">
        <v>2</v>
      </c>
      <c r="F482" s="1">
        <v>120</v>
      </c>
      <c r="G482" s="5">
        <f>F482*E482</f>
        <v>240</v>
      </c>
      <c r="I482" s="113">
        <v>17</v>
      </c>
      <c r="J482" s="1" t="s">
        <v>402</v>
      </c>
      <c r="K482" s="67">
        <v>46030</v>
      </c>
      <c r="L482" s="1" t="s">
        <v>310</v>
      </c>
      <c r="M482" s="1">
        <v>8</v>
      </c>
      <c r="N482" s="1">
        <v>70</v>
      </c>
      <c r="O482" s="5">
        <f t="shared" si="114"/>
        <v>560</v>
      </c>
    </row>
    <row r="483" spans="1:15" x14ac:dyDescent="0.25">
      <c r="A483" s="113">
        <v>14</v>
      </c>
      <c r="B483" s="24" t="s">
        <v>110</v>
      </c>
      <c r="C483" s="67">
        <v>46029</v>
      </c>
      <c r="D483" s="1" t="s">
        <v>310</v>
      </c>
      <c r="E483" s="24">
        <v>1</v>
      </c>
      <c r="F483" s="1">
        <v>120</v>
      </c>
      <c r="G483" s="5">
        <f>F483*E483</f>
        <v>120</v>
      </c>
      <c r="I483" s="113">
        <v>18</v>
      </c>
      <c r="J483" s="1" t="s">
        <v>179</v>
      </c>
      <c r="K483" s="67">
        <v>46030</v>
      </c>
      <c r="L483" s="1" t="s">
        <v>310</v>
      </c>
      <c r="M483" s="1">
        <v>8</v>
      </c>
      <c r="N483" s="1">
        <v>70</v>
      </c>
      <c r="O483" s="5">
        <f t="shared" si="114"/>
        <v>560</v>
      </c>
    </row>
    <row r="484" spans="1:15" x14ac:dyDescent="0.25">
      <c r="A484" s="113">
        <v>15</v>
      </c>
      <c r="B484" s="24" t="s">
        <v>324</v>
      </c>
      <c r="C484" s="67">
        <v>46029</v>
      </c>
      <c r="D484" s="1" t="s">
        <v>310</v>
      </c>
      <c r="E484" s="24">
        <v>5</v>
      </c>
      <c r="F484" s="1">
        <v>90</v>
      </c>
      <c r="G484" s="5">
        <f>F484*E484</f>
        <v>450</v>
      </c>
      <c r="I484" s="113">
        <v>19</v>
      </c>
      <c r="J484" s="1" t="s">
        <v>294</v>
      </c>
      <c r="K484" s="67">
        <v>46030</v>
      </c>
      <c r="L484" s="1" t="s">
        <v>310</v>
      </c>
      <c r="M484" s="1">
        <v>1</v>
      </c>
      <c r="N484" s="1">
        <v>120</v>
      </c>
      <c r="O484" s="5">
        <f>N484*M484</f>
        <v>120</v>
      </c>
    </row>
    <row r="485" spans="1:15" x14ac:dyDescent="0.25">
      <c r="A485" s="113">
        <v>16</v>
      </c>
      <c r="B485" s="1" t="s">
        <v>197</v>
      </c>
      <c r="C485" s="67">
        <v>46029</v>
      </c>
      <c r="D485" s="1" t="s">
        <v>310</v>
      </c>
      <c r="E485" s="1">
        <v>25</v>
      </c>
      <c r="F485" s="1">
        <v>40</v>
      </c>
      <c r="G485" s="5">
        <f t="shared" ref="G485:G487" si="115">F485*E485</f>
        <v>1000</v>
      </c>
      <c r="I485" s="113">
        <v>20</v>
      </c>
      <c r="J485" s="1" t="s">
        <v>176</v>
      </c>
      <c r="K485" s="67">
        <v>46030</v>
      </c>
      <c r="L485" s="1" t="s">
        <v>310</v>
      </c>
      <c r="M485" s="1">
        <v>1</v>
      </c>
      <c r="N485" s="1">
        <v>100</v>
      </c>
      <c r="O485" s="5">
        <f t="shared" ref="O485" si="116">N485*M485</f>
        <v>100</v>
      </c>
    </row>
    <row r="486" spans="1:15" ht="16.5" thickBot="1" x14ac:dyDescent="0.3">
      <c r="A486" s="113">
        <v>17</v>
      </c>
      <c r="B486" s="1" t="s">
        <v>402</v>
      </c>
      <c r="C486" s="67">
        <v>46029</v>
      </c>
      <c r="D486" s="1" t="s">
        <v>310</v>
      </c>
      <c r="E486" s="1">
        <v>7</v>
      </c>
      <c r="F486" s="1">
        <v>70</v>
      </c>
      <c r="G486" s="5">
        <f t="shared" si="115"/>
        <v>490</v>
      </c>
      <c r="I486" s="242" t="s">
        <v>25</v>
      </c>
      <c r="J486" s="243"/>
      <c r="K486" s="243"/>
      <c r="L486" s="243"/>
      <c r="M486" s="243"/>
      <c r="N486" s="244"/>
      <c r="O486" s="57">
        <f>SUM(O466:O485)</f>
        <v>26130</v>
      </c>
    </row>
    <row r="487" spans="1:15" ht="16.5" thickBot="1" x14ac:dyDescent="0.3">
      <c r="A487" s="113">
        <v>18</v>
      </c>
      <c r="B487" s="1" t="s">
        <v>179</v>
      </c>
      <c r="C487" s="67">
        <v>46029</v>
      </c>
      <c r="D487" s="1" t="s">
        <v>310</v>
      </c>
      <c r="E487" s="1">
        <v>13</v>
      </c>
      <c r="F487" s="1">
        <v>70</v>
      </c>
      <c r="G487" s="5">
        <f t="shared" si="115"/>
        <v>910</v>
      </c>
      <c r="I487" s="217" t="s">
        <v>101</v>
      </c>
      <c r="J487" s="218"/>
      <c r="K487" s="218"/>
      <c r="L487" s="218"/>
      <c r="M487" s="218"/>
      <c r="N487" s="219"/>
      <c r="O487" s="48">
        <f>O486+O462+O454</f>
        <v>127415</v>
      </c>
    </row>
    <row r="488" spans="1:15" ht="15.75" thickBot="1" x14ac:dyDescent="0.3">
      <c r="A488" s="113">
        <v>19</v>
      </c>
      <c r="B488" s="1" t="s">
        <v>294</v>
      </c>
      <c r="C488" s="67">
        <v>46029</v>
      </c>
      <c r="D488" s="1" t="s">
        <v>310</v>
      </c>
      <c r="E488" s="1">
        <v>1</v>
      </c>
      <c r="F488" s="1">
        <v>120</v>
      </c>
      <c r="G488" s="5">
        <f>F488*E488</f>
        <v>120</v>
      </c>
    </row>
    <row r="489" spans="1:15" ht="16.5" thickBot="1" x14ac:dyDescent="0.3">
      <c r="A489" s="113">
        <v>20</v>
      </c>
      <c r="B489" s="1" t="s">
        <v>176</v>
      </c>
      <c r="C489" s="67">
        <v>46029</v>
      </c>
      <c r="D489" s="1" t="s">
        <v>310</v>
      </c>
      <c r="E489" s="1">
        <v>2</v>
      </c>
      <c r="F489" s="1">
        <v>100</v>
      </c>
      <c r="G489" s="5">
        <f t="shared" ref="G489" si="117">F489*E489</f>
        <v>200</v>
      </c>
      <c r="I489" s="33" t="s">
        <v>0</v>
      </c>
      <c r="J489" s="34" t="s">
        <v>1</v>
      </c>
      <c r="K489" s="34" t="s">
        <v>3</v>
      </c>
      <c r="L489" s="34" t="s">
        <v>2</v>
      </c>
      <c r="M489" s="34" t="s">
        <v>6</v>
      </c>
      <c r="N489" s="34" t="s">
        <v>7</v>
      </c>
      <c r="O489" s="35" t="s">
        <v>8</v>
      </c>
    </row>
    <row r="490" spans="1:15" ht="16.5" thickBot="1" x14ac:dyDescent="0.3">
      <c r="A490" s="242" t="s">
        <v>25</v>
      </c>
      <c r="B490" s="243"/>
      <c r="C490" s="243"/>
      <c r="D490" s="243"/>
      <c r="E490" s="243"/>
      <c r="F490" s="244"/>
      <c r="G490" s="57">
        <f>SUM(G470:G489)</f>
        <v>18430</v>
      </c>
      <c r="I490" s="3">
        <v>1</v>
      </c>
      <c r="J490" s="3" t="s">
        <v>4</v>
      </c>
      <c r="K490" s="67">
        <v>46032</v>
      </c>
      <c r="L490" s="3" t="s">
        <v>11</v>
      </c>
      <c r="M490" s="30">
        <v>224</v>
      </c>
      <c r="N490" s="3">
        <v>30</v>
      </c>
      <c r="O490" s="4">
        <f>N490*M490</f>
        <v>6720</v>
      </c>
    </row>
    <row r="491" spans="1:15" ht="16.5" thickBot="1" x14ac:dyDescent="0.3">
      <c r="A491" s="217" t="s">
        <v>101</v>
      </c>
      <c r="B491" s="218"/>
      <c r="C491" s="218"/>
      <c r="D491" s="218"/>
      <c r="E491" s="218"/>
      <c r="F491" s="219"/>
      <c r="G491" s="48">
        <f>G490+G466+G458</f>
        <v>129385</v>
      </c>
      <c r="I491" s="3">
        <v>2</v>
      </c>
      <c r="J491" s="1" t="s">
        <v>9</v>
      </c>
      <c r="K491" s="67">
        <v>46032</v>
      </c>
      <c r="L491" s="1" t="s">
        <v>12</v>
      </c>
      <c r="M491" s="31">
        <v>583</v>
      </c>
      <c r="N491" s="1">
        <v>30</v>
      </c>
      <c r="O491" s="4">
        <f t="shared" ref="O491:O495" si="118">N491*M491</f>
        <v>17490</v>
      </c>
    </row>
    <row r="492" spans="1:15" ht="15.75" thickBot="1" x14ac:dyDescent="0.3">
      <c r="I492" s="3">
        <v>3</v>
      </c>
      <c r="J492" s="1" t="s">
        <v>656</v>
      </c>
      <c r="K492" s="67">
        <v>46032</v>
      </c>
      <c r="L492" s="1" t="s">
        <v>12</v>
      </c>
      <c r="M492" s="31">
        <v>28</v>
      </c>
      <c r="N492" s="1">
        <v>50</v>
      </c>
      <c r="O492" s="4">
        <f t="shared" si="118"/>
        <v>1400</v>
      </c>
    </row>
    <row r="493" spans="1:15" ht="16.5" thickBot="1" x14ac:dyDescent="0.3">
      <c r="A493" s="33" t="s">
        <v>0</v>
      </c>
      <c r="B493" s="34" t="s">
        <v>1</v>
      </c>
      <c r="C493" s="34" t="s">
        <v>3</v>
      </c>
      <c r="D493" s="34" t="s">
        <v>2</v>
      </c>
      <c r="E493" s="34" t="s">
        <v>6</v>
      </c>
      <c r="F493" s="34" t="s">
        <v>7</v>
      </c>
      <c r="G493" s="35" t="s">
        <v>8</v>
      </c>
      <c r="I493" s="3">
        <v>4</v>
      </c>
      <c r="J493" s="1" t="s">
        <v>4</v>
      </c>
      <c r="K493" s="67">
        <v>46032</v>
      </c>
      <c r="L493" s="1" t="s">
        <v>12</v>
      </c>
      <c r="M493" s="31">
        <v>476</v>
      </c>
      <c r="N493" s="1">
        <v>30</v>
      </c>
      <c r="O493" s="4">
        <f t="shared" si="118"/>
        <v>14280</v>
      </c>
    </row>
    <row r="494" spans="1:15" x14ac:dyDescent="0.25">
      <c r="A494" s="3">
        <v>1</v>
      </c>
      <c r="B494" s="3" t="s">
        <v>4</v>
      </c>
      <c r="C494" s="67">
        <v>46031</v>
      </c>
      <c r="D494" s="3" t="s">
        <v>11</v>
      </c>
      <c r="E494" s="30">
        <v>204</v>
      </c>
      <c r="F494" s="3">
        <v>30</v>
      </c>
      <c r="G494" s="4">
        <f>F494*E494</f>
        <v>6120</v>
      </c>
      <c r="I494" s="3">
        <v>5</v>
      </c>
      <c r="J494" s="1" t="s">
        <v>241</v>
      </c>
      <c r="K494" s="67">
        <v>46032</v>
      </c>
      <c r="L494" s="1" t="s">
        <v>12</v>
      </c>
      <c r="M494" s="31">
        <v>63</v>
      </c>
      <c r="N494" s="1">
        <v>50</v>
      </c>
      <c r="O494" s="4">
        <f t="shared" si="118"/>
        <v>3150</v>
      </c>
    </row>
    <row r="495" spans="1:15" x14ac:dyDescent="0.25">
      <c r="A495" s="3">
        <v>2</v>
      </c>
      <c r="B495" s="1" t="s">
        <v>9</v>
      </c>
      <c r="C495" s="67">
        <v>46031</v>
      </c>
      <c r="D495" s="1" t="s">
        <v>12</v>
      </c>
      <c r="E495" s="31">
        <v>462</v>
      </c>
      <c r="F495" s="1">
        <v>30</v>
      </c>
      <c r="G495" s="4">
        <f t="shared" ref="G495:G498" si="119">F495*E495</f>
        <v>13860</v>
      </c>
      <c r="I495" s="3">
        <v>6</v>
      </c>
      <c r="J495" s="1" t="s">
        <v>47</v>
      </c>
      <c r="K495" s="67">
        <v>46032</v>
      </c>
      <c r="L495" s="1" t="s">
        <v>13</v>
      </c>
      <c r="M495" s="31">
        <v>128</v>
      </c>
      <c r="N495" s="1">
        <v>80</v>
      </c>
      <c r="O495" s="30">
        <f t="shared" si="118"/>
        <v>10240</v>
      </c>
    </row>
    <row r="496" spans="1:15" x14ac:dyDescent="0.25">
      <c r="A496" s="3">
        <v>3</v>
      </c>
      <c r="B496" s="1" t="s">
        <v>638</v>
      </c>
      <c r="C496" s="67">
        <v>46031</v>
      </c>
      <c r="D496" s="1" t="s">
        <v>12</v>
      </c>
      <c r="E496" s="31">
        <v>39</v>
      </c>
      <c r="F496" s="1">
        <v>50</v>
      </c>
      <c r="G496" s="4">
        <f t="shared" si="119"/>
        <v>1950</v>
      </c>
      <c r="I496" s="3">
        <v>7</v>
      </c>
      <c r="J496" s="1" t="s">
        <v>657</v>
      </c>
      <c r="K496" s="67">
        <v>46032</v>
      </c>
      <c r="L496" s="1" t="s">
        <v>13</v>
      </c>
      <c r="M496" s="31">
        <v>19</v>
      </c>
      <c r="N496" s="1">
        <v>220</v>
      </c>
      <c r="O496" s="4">
        <f>N496*M496</f>
        <v>4180</v>
      </c>
    </row>
    <row r="497" spans="1:15" x14ac:dyDescent="0.25">
      <c r="A497" s="3">
        <v>4</v>
      </c>
      <c r="B497" s="1" t="s">
        <v>4</v>
      </c>
      <c r="C497" s="67">
        <v>46031</v>
      </c>
      <c r="D497" s="1" t="s">
        <v>12</v>
      </c>
      <c r="E497" s="31">
        <v>424</v>
      </c>
      <c r="F497" s="1">
        <v>30</v>
      </c>
      <c r="G497" s="4">
        <f t="shared" si="119"/>
        <v>12720</v>
      </c>
      <c r="I497" s="3">
        <v>8</v>
      </c>
      <c r="J497" s="1" t="s">
        <v>19</v>
      </c>
      <c r="K497" s="67">
        <v>46032</v>
      </c>
      <c r="L497" s="1" t="s">
        <v>13</v>
      </c>
      <c r="M497" s="31">
        <v>1129</v>
      </c>
      <c r="N497" s="1">
        <v>15</v>
      </c>
      <c r="O497" s="4">
        <f t="shared" ref="O497:O504" si="120">N497*M497</f>
        <v>16935</v>
      </c>
    </row>
    <row r="498" spans="1:15" x14ac:dyDescent="0.25">
      <c r="A498" s="3">
        <v>5</v>
      </c>
      <c r="B498" s="1" t="s">
        <v>639</v>
      </c>
      <c r="C498" s="67">
        <v>46031</v>
      </c>
      <c r="D498" s="1" t="s">
        <v>13</v>
      </c>
      <c r="E498" s="31">
        <v>485</v>
      </c>
      <c r="F498" s="1">
        <v>180</v>
      </c>
      <c r="G498" s="30">
        <f t="shared" si="119"/>
        <v>87300</v>
      </c>
      <c r="H498" t="s">
        <v>611</v>
      </c>
      <c r="I498" s="3">
        <v>9</v>
      </c>
      <c r="J498" s="1" t="s">
        <v>33</v>
      </c>
      <c r="K498" s="67">
        <v>46032</v>
      </c>
      <c r="L498" s="1" t="s">
        <v>13</v>
      </c>
      <c r="M498" s="31">
        <v>4</v>
      </c>
      <c r="N498" s="1">
        <v>30</v>
      </c>
      <c r="O498" s="5">
        <f t="shared" si="120"/>
        <v>120</v>
      </c>
    </row>
    <row r="499" spans="1:15" x14ac:dyDescent="0.25">
      <c r="A499" s="3">
        <v>6</v>
      </c>
      <c r="B499" s="1" t="s">
        <v>560</v>
      </c>
      <c r="C499" s="67">
        <v>46031</v>
      </c>
      <c r="D499" s="1" t="s">
        <v>13</v>
      </c>
      <c r="E499" s="31">
        <v>20</v>
      </c>
      <c r="F499" s="1">
        <v>320</v>
      </c>
      <c r="G499" s="4">
        <f>F499*E499</f>
        <v>6400</v>
      </c>
      <c r="I499" s="3">
        <v>10</v>
      </c>
      <c r="J499" s="1" t="s">
        <v>489</v>
      </c>
      <c r="K499" s="67">
        <v>46032</v>
      </c>
      <c r="L499" s="1" t="s">
        <v>13</v>
      </c>
      <c r="M499" s="5">
        <v>68</v>
      </c>
      <c r="N499" s="1">
        <v>30</v>
      </c>
      <c r="O499" s="5">
        <f t="shared" si="120"/>
        <v>2040</v>
      </c>
    </row>
    <row r="500" spans="1:15" x14ac:dyDescent="0.25">
      <c r="A500" s="3">
        <v>7</v>
      </c>
      <c r="B500" s="1" t="s">
        <v>19</v>
      </c>
      <c r="C500" s="67">
        <v>46031</v>
      </c>
      <c r="D500" s="1" t="s">
        <v>13</v>
      </c>
      <c r="E500" s="31">
        <v>400</v>
      </c>
      <c r="F500" s="1">
        <v>15</v>
      </c>
      <c r="G500" s="4">
        <f t="shared" ref="G500:G508" si="121">F500*E500</f>
        <v>6000</v>
      </c>
      <c r="I500" s="3">
        <v>11</v>
      </c>
      <c r="J500" s="1" t="s">
        <v>489</v>
      </c>
      <c r="K500" s="67">
        <v>46032</v>
      </c>
      <c r="L500" s="1" t="s">
        <v>17</v>
      </c>
      <c r="M500" s="5">
        <v>372</v>
      </c>
      <c r="N500" s="1">
        <v>30</v>
      </c>
      <c r="O500" s="5">
        <f t="shared" si="120"/>
        <v>11160</v>
      </c>
    </row>
    <row r="501" spans="1:15" x14ac:dyDescent="0.25">
      <c r="A501" s="3">
        <v>8</v>
      </c>
      <c r="B501" s="1" t="s">
        <v>33</v>
      </c>
      <c r="C501" s="67">
        <v>46031</v>
      </c>
      <c r="D501" s="1" t="s">
        <v>13</v>
      </c>
      <c r="E501" s="31">
        <v>4</v>
      </c>
      <c r="F501" s="1">
        <v>30</v>
      </c>
      <c r="G501" s="5">
        <f t="shared" si="121"/>
        <v>120</v>
      </c>
      <c r="I501" s="3">
        <v>12</v>
      </c>
      <c r="J501" s="1" t="s">
        <v>19</v>
      </c>
      <c r="K501" s="67">
        <v>46032</v>
      </c>
      <c r="L501" s="1" t="s">
        <v>20</v>
      </c>
      <c r="M501" s="5">
        <v>383</v>
      </c>
      <c r="N501" s="1">
        <v>15</v>
      </c>
      <c r="O501" s="5">
        <f t="shared" si="120"/>
        <v>5745</v>
      </c>
    </row>
    <row r="502" spans="1:15" x14ac:dyDescent="0.25">
      <c r="A502" s="3">
        <v>9</v>
      </c>
      <c r="B502" s="1" t="s">
        <v>489</v>
      </c>
      <c r="C502" s="67">
        <v>46031</v>
      </c>
      <c r="D502" s="1" t="s">
        <v>13</v>
      </c>
      <c r="E502" s="5">
        <v>135</v>
      </c>
      <c r="F502" s="1">
        <v>30</v>
      </c>
      <c r="G502" s="5">
        <f t="shared" si="121"/>
        <v>4050</v>
      </c>
      <c r="I502" s="3">
        <v>13</v>
      </c>
      <c r="J502" s="1" t="s">
        <v>16</v>
      </c>
      <c r="K502" s="67">
        <v>46032</v>
      </c>
      <c r="L502" s="1" t="s">
        <v>20</v>
      </c>
      <c r="M502" s="5">
        <v>73</v>
      </c>
      <c r="N502" s="1">
        <v>30</v>
      </c>
      <c r="O502" s="5">
        <f t="shared" si="120"/>
        <v>2190</v>
      </c>
    </row>
    <row r="503" spans="1:15" x14ac:dyDescent="0.25">
      <c r="A503" s="3">
        <v>10</v>
      </c>
      <c r="B503" s="1" t="s">
        <v>489</v>
      </c>
      <c r="C503" s="67">
        <v>46031</v>
      </c>
      <c r="D503" s="1" t="s">
        <v>17</v>
      </c>
      <c r="E503" s="5">
        <v>396</v>
      </c>
      <c r="F503" s="1">
        <v>30</v>
      </c>
      <c r="G503" s="5">
        <f t="shared" si="121"/>
        <v>11880</v>
      </c>
      <c r="H503" t="s">
        <v>612</v>
      </c>
      <c r="I503" s="3">
        <v>14</v>
      </c>
      <c r="J503" s="1" t="s">
        <v>18</v>
      </c>
      <c r="K503" s="67">
        <v>46032</v>
      </c>
      <c r="L503" s="1" t="s">
        <v>20</v>
      </c>
      <c r="M503" s="5">
        <v>50</v>
      </c>
      <c r="N503" s="1">
        <v>80</v>
      </c>
      <c r="O503" s="5">
        <f t="shared" si="120"/>
        <v>4000</v>
      </c>
    </row>
    <row r="504" spans="1:15" x14ac:dyDescent="0.25">
      <c r="A504" s="3">
        <v>11</v>
      </c>
      <c r="B504" s="1" t="s">
        <v>19</v>
      </c>
      <c r="C504" s="67">
        <v>46031</v>
      </c>
      <c r="D504" s="1" t="s">
        <v>20</v>
      </c>
      <c r="E504" s="5">
        <v>296</v>
      </c>
      <c r="F504" s="1">
        <v>15</v>
      </c>
      <c r="G504" s="5">
        <f t="shared" si="121"/>
        <v>4440</v>
      </c>
      <c r="I504" s="3">
        <v>15</v>
      </c>
      <c r="J504" s="1" t="s">
        <v>439</v>
      </c>
      <c r="K504" s="67">
        <v>46032</v>
      </c>
      <c r="L504" s="1" t="s">
        <v>20</v>
      </c>
      <c r="M504" s="5">
        <v>1</v>
      </c>
      <c r="N504" s="1">
        <v>180</v>
      </c>
      <c r="O504" s="5">
        <f t="shared" si="120"/>
        <v>180</v>
      </c>
    </row>
    <row r="505" spans="1:15" ht="16.5" thickBot="1" x14ac:dyDescent="0.3">
      <c r="A505" s="3">
        <v>12</v>
      </c>
      <c r="B505" s="1" t="s">
        <v>16</v>
      </c>
      <c r="C505" s="67">
        <v>46031</v>
      </c>
      <c r="D505" s="1" t="s">
        <v>20</v>
      </c>
      <c r="E505" s="5">
        <v>85</v>
      </c>
      <c r="F505" s="1">
        <v>30</v>
      </c>
      <c r="G505" s="5">
        <f t="shared" si="121"/>
        <v>2550</v>
      </c>
      <c r="I505" s="233" t="s">
        <v>232</v>
      </c>
      <c r="J505" s="234"/>
      <c r="K505" s="234"/>
      <c r="L505" s="234"/>
      <c r="M505" s="234"/>
      <c r="N505" s="235"/>
      <c r="O505" s="57">
        <f>O533+O534+O535+O536+O537</f>
        <v>2280</v>
      </c>
    </row>
    <row r="506" spans="1:15" ht="16.5" thickBot="1" x14ac:dyDescent="0.3">
      <c r="A506" s="3">
        <v>13</v>
      </c>
      <c r="B506" s="1" t="s">
        <v>18</v>
      </c>
      <c r="C506" s="67">
        <v>46031</v>
      </c>
      <c r="D506" s="1" t="s">
        <v>20</v>
      </c>
      <c r="E506" s="5">
        <v>42</v>
      </c>
      <c r="F506" s="1">
        <v>80</v>
      </c>
      <c r="G506" s="5">
        <f t="shared" si="121"/>
        <v>3360</v>
      </c>
      <c r="I506" s="236" t="s">
        <v>161</v>
      </c>
      <c r="J506" s="237"/>
      <c r="K506" s="237"/>
      <c r="L506" s="237"/>
      <c r="M506" s="237"/>
      <c r="N506" s="238"/>
      <c r="O506" s="51">
        <f>SUM(O490:O504)-O505</f>
        <v>97550</v>
      </c>
    </row>
    <row r="507" spans="1:15" ht="16.5" thickBot="1" x14ac:dyDescent="0.3">
      <c r="A507" s="3">
        <v>14</v>
      </c>
      <c r="B507" s="1" t="s">
        <v>22</v>
      </c>
      <c r="C507" s="67">
        <v>46031</v>
      </c>
      <c r="D507" s="1" t="s">
        <v>20</v>
      </c>
      <c r="E507" s="5">
        <v>4</v>
      </c>
      <c r="F507" s="1">
        <v>220</v>
      </c>
      <c r="G507" s="5">
        <f t="shared" si="121"/>
        <v>880</v>
      </c>
      <c r="H507" t="s">
        <v>613</v>
      </c>
      <c r="I507" s="239" t="s">
        <v>170</v>
      </c>
      <c r="J507" s="240"/>
      <c r="K507" s="240"/>
      <c r="L507" s="240"/>
      <c r="M507" s="240"/>
      <c r="N507" s="240"/>
      <c r="O507" s="241"/>
    </row>
    <row r="508" spans="1:15" x14ac:dyDescent="0.25">
      <c r="A508" s="3">
        <v>15</v>
      </c>
      <c r="B508" s="1" t="s">
        <v>406</v>
      </c>
      <c r="C508" s="67">
        <v>46031</v>
      </c>
      <c r="D508" s="1" t="s">
        <v>20</v>
      </c>
      <c r="E508" s="5">
        <v>20</v>
      </c>
      <c r="F508" s="1">
        <v>120</v>
      </c>
      <c r="G508" s="5">
        <f t="shared" si="121"/>
        <v>2400</v>
      </c>
      <c r="I508" s="3">
        <v>1</v>
      </c>
      <c r="J508" s="3" t="s">
        <v>399</v>
      </c>
      <c r="K508" s="67">
        <v>46032</v>
      </c>
      <c r="L508" s="3" t="s">
        <v>310</v>
      </c>
      <c r="M508" s="4">
        <v>18</v>
      </c>
      <c r="N508" s="3">
        <v>120</v>
      </c>
      <c r="O508" s="4">
        <f>N508*M508</f>
        <v>2160</v>
      </c>
    </row>
    <row r="509" spans="1:15" ht="16.5" thickBot="1" x14ac:dyDescent="0.3">
      <c r="A509" s="233" t="s">
        <v>232</v>
      </c>
      <c r="B509" s="234"/>
      <c r="C509" s="234"/>
      <c r="D509" s="234"/>
      <c r="E509" s="234"/>
      <c r="F509" s="235"/>
      <c r="G509" s="57">
        <f>G534+G536+G537+G538+G539+G540</f>
        <v>2690</v>
      </c>
      <c r="I509" s="3">
        <v>2</v>
      </c>
      <c r="J509" s="3" t="s">
        <v>194</v>
      </c>
      <c r="K509" s="67">
        <v>46032</v>
      </c>
      <c r="L509" s="3" t="s">
        <v>310</v>
      </c>
      <c r="M509" s="4">
        <v>1</v>
      </c>
      <c r="N509" s="3">
        <v>150</v>
      </c>
      <c r="O509" s="4">
        <f t="shared" ref="O509:O513" si="122">N509*M509</f>
        <v>150</v>
      </c>
    </row>
    <row r="510" spans="1:15" ht="16.5" thickBot="1" x14ac:dyDescent="0.3">
      <c r="A510" s="236" t="s">
        <v>161</v>
      </c>
      <c r="B510" s="237"/>
      <c r="C510" s="237"/>
      <c r="D510" s="237"/>
      <c r="E510" s="237"/>
      <c r="F510" s="238"/>
      <c r="G510" s="51">
        <f>SUM(G494:G508)-G509</f>
        <v>161340</v>
      </c>
      <c r="I510" s="3">
        <v>3</v>
      </c>
      <c r="J510" s="1" t="s">
        <v>110</v>
      </c>
      <c r="K510" s="67">
        <v>46032</v>
      </c>
      <c r="L510" s="3" t="s">
        <v>310</v>
      </c>
      <c r="M510" s="5">
        <v>10</v>
      </c>
      <c r="N510" s="1">
        <v>120</v>
      </c>
      <c r="O510" s="4">
        <f t="shared" si="122"/>
        <v>1200</v>
      </c>
    </row>
    <row r="511" spans="1:15" ht="16.5" thickBot="1" x14ac:dyDescent="0.3">
      <c r="A511" s="239" t="s">
        <v>170</v>
      </c>
      <c r="B511" s="240"/>
      <c r="C511" s="240"/>
      <c r="D511" s="240"/>
      <c r="E511" s="240"/>
      <c r="F511" s="240"/>
      <c r="G511" s="241"/>
      <c r="I511" s="3">
        <v>4</v>
      </c>
      <c r="J511" s="1" t="s">
        <v>102</v>
      </c>
      <c r="K511" s="67">
        <v>46032</v>
      </c>
      <c r="L511" s="3" t="s">
        <v>310</v>
      </c>
      <c r="M511" s="5">
        <v>28</v>
      </c>
      <c r="N511" s="1">
        <v>120</v>
      </c>
      <c r="O511" s="4">
        <f t="shared" si="122"/>
        <v>3360</v>
      </c>
    </row>
    <row r="512" spans="1:15" x14ac:dyDescent="0.25">
      <c r="A512" s="3">
        <v>1</v>
      </c>
      <c r="B512" s="3" t="s">
        <v>399</v>
      </c>
      <c r="C512" s="67">
        <v>46031</v>
      </c>
      <c r="D512" s="3" t="s">
        <v>310</v>
      </c>
      <c r="E512" s="4">
        <v>28</v>
      </c>
      <c r="F512" s="3">
        <v>120</v>
      </c>
      <c r="G512" s="4">
        <f>F512*E512</f>
        <v>3360</v>
      </c>
      <c r="I512" s="3">
        <v>5</v>
      </c>
      <c r="J512" s="1" t="s">
        <v>341</v>
      </c>
      <c r="K512" s="67">
        <v>46032</v>
      </c>
      <c r="L512" s="3" t="s">
        <v>310</v>
      </c>
      <c r="M512" s="5">
        <v>332</v>
      </c>
      <c r="N512" s="1">
        <v>30</v>
      </c>
      <c r="O512" s="4">
        <f t="shared" si="122"/>
        <v>9960</v>
      </c>
    </row>
    <row r="513" spans="1:15" x14ac:dyDescent="0.25">
      <c r="A513" s="3">
        <v>2</v>
      </c>
      <c r="B513" s="3" t="s">
        <v>194</v>
      </c>
      <c r="C513" s="67">
        <v>46031</v>
      </c>
      <c r="D513" s="3" t="s">
        <v>310</v>
      </c>
      <c r="E513" s="4">
        <v>1</v>
      </c>
      <c r="F513" s="3">
        <v>50</v>
      </c>
      <c r="G513" s="4">
        <f t="shared" ref="G513:G517" si="123">F513*E513</f>
        <v>50</v>
      </c>
      <c r="I513" s="3">
        <v>6</v>
      </c>
      <c r="J513" s="1" t="s">
        <v>178</v>
      </c>
      <c r="K513" s="67">
        <v>46032</v>
      </c>
      <c r="L513" s="3" t="s">
        <v>310</v>
      </c>
      <c r="M513" s="5">
        <v>4</v>
      </c>
      <c r="N513" s="1">
        <v>50</v>
      </c>
      <c r="O513" s="5">
        <f t="shared" si="122"/>
        <v>200</v>
      </c>
    </row>
    <row r="514" spans="1:15" ht="16.5" thickBot="1" x14ac:dyDescent="0.3">
      <c r="A514" s="3">
        <v>3</v>
      </c>
      <c r="B514" s="1" t="s">
        <v>110</v>
      </c>
      <c r="C514" s="67">
        <v>46031</v>
      </c>
      <c r="D514" s="3" t="s">
        <v>310</v>
      </c>
      <c r="E514" s="5">
        <v>20</v>
      </c>
      <c r="F514" s="1">
        <v>120</v>
      </c>
      <c r="G514" s="4">
        <f t="shared" si="123"/>
        <v>2400</v>
      </c>
      <c r="I514" s="223" t="s">
        <v>162</v>
      </c>
      <c r="J514" s="224"/>
      <c r="K514" s="224"/>
      <c r="L514" s="224"/>
      <c r="M514" s="224"/>
      <c r="N514" s="225"/>
      <c r="O514" s="70">
        <f>SUM(O508:O513)</f>
        <v>17030</v>
      </c>
    </row>
    <row r="515" spans="1:15" ht="19.5" thickBot="1" x14ac:dyDescent="0.35">
      <c r="A515" s="3">
        <v>4</v>
      </c>
      <c r="B515" s="1" t="s">
        <v>102</v>
      </c>
      <c r="C515" s="67">
        <v>46031</v>
      </c>
      <c r="D515" s="3" t="s">
        <v>310</v>
      </c>
      <c r="E515" s="5">
        <v>40</v>
      </c>
      <c r="F515" s="1">
        <v>120</v>
      </c>
      <c r="G515" s="4">
        <f t="shared" si="123"/>
        <v>4800</v>
      </c>
      <c r="I515" s="226" t="s">
        <v>103</v>
      </c>
      <c r="J515" s="227"/>
      <c r="K515" s="227"/>
      <c r="L515" s="227"/>
      <c r="M515" s="227"/>
      <c r="N515" s="228"/>
      <c r="O515" s="44">
        <f>O506+O514</f>
        <v>114580</v>
      </c>
    </row>
    <row r="516" spans="1:15" ht="15.75" x14ac:dyDescent="0.25">
      <c r="A516" s="3">
        <v>5</v>
      </c>
      <c r="B516" s="1" t="s">
        <v>341</v>
      </c>
      <c r="C516" s="67">
        <v>46031</v>
      </c>
      <c r="D516" s="3" t="s">
        <v>310</v>
      </c>
      <c r="E516" s="5">
        <v>352</v>
      </c>
      <c r="F516" s="1">
        <v>30</v>
      </c>
      <c r="G516" s="4">
        <f t="shared" si="123"/>
        <v>10560</v>
      </c>
      <c r="I516" s="229" t="s">
        <v>95</v>
      </c>
      <c r="J516" s="230"/>
      <c r="K516" s="230"/>
      <c r="L516" s="230"/>
      <c r="M516" s="230"/>
      <c r="N516" s="230"/>
      <c r="O516" s="231"/>
    </row>
    <row r="517" spans="1:15" ht="15.75" x14ac:dyDescent="0.25">
      <c r="A517" s="3">
        <v>6</v>
      </c>
      <c r="B517" s="1" t="s">
        <v>178</v>
      </c>
      <c r="C517" s="67">
        <v>46031</v>
      </c>
      <c r="D517" s="3" t="s">
        <v>310</v>
      </c>
      <c r="E517" s="5">
        <v>7</v>
      </c>
      <c r="F517" s="1">
        <v>50</v>
      </c>
      <c r="G517" s="5">
        <f t="shared" si="123"/>
        <v>350</v>
      </c>
      <c r="I517" s="114" t="s">
        <v>0</v>
      </c>
      <c r="J517" s="114" t="s">
        <v>1</v>
      </c>
      <c r="K517" s="114" t="s">
        <v>3</v>
      </c>
      <c r="L517" s="114" t="s">
        <v>2</v>
      </c>
      <c r="M517" s="114" t="s">
        <v>6</v>
      </c>
      <c r="N517" s="114" t="s">
        <v>7</v>
      </c>
      <c r="O517" s="114" t="s">
        <v>8</v>
      </c>
    </row>
    <row r="518" spans="1:15" ht="16.5" thickBot="1" x14ac:dyDescent="0.3">
      <c r="A518" s="223" t="s">
        <v>162</v>
      </c>
      <c r="B518" s="224"/>
      <c r="C518" s="224"/>
      <c r="D518" s="224"/>
      <c r="E518" s="224"/>
      <c r="F518" s="225"/>
      <c r="G518" s="70">
        <f>SUM(G512:G517)</f>
        <v>21520</v>
      </c>
      <c r="I518" s="113">
        <v>1</v>
      </c>
      <c r="J518" s="113" t="s">
        <v>9</v>
      </c>
      <c r="K518" s="67">
        <v>46032</v>
      </c>
      <c r="L518" s="3" t="s">
        <v>12</v>
      </c>
      <c r="M518" s="113">
        <v>10</v>
      </c>
      <c r="N518" s="113">
        <v>35</v>
      </c>
      <c r="O518" s="4">
        <f t="shared" ref="O518:O520" si="124">N518*M518</f>
        <v>350</v>
      </c>
    </row>
    <row r="519" spans="1:15" ht="19.5" thickBot="1" x14ac:dyDescent="0.35">
      <c r="A519" s="226" t="s">
        <v>103</v>
      </c>
      <c r="B519" s="227"/>
      <c r="C519" s="227"/>
      <c r="D519" s="227"/>
      <c r="E519" s="227"/>
      <c r="F519" s="228"/>
      <c r="G519" s="44">
        <f>G510+G518</f>
        <v>182860</v>
      </c>
      <c r="I519" s="113">
        <v>2</v>
      </c>
      <c r="J519" s="1" t="s">
        <v>196</v>
      </c>
      <c r="K519" s="67">
        <v>46032</v>
      </c>
      <c r="L519" s="1" t="s">
        <v>12</v>
      </c>
      <c r="M519" s="1">
        <v>11</v>
      </c>
      <c r="N519" s="1">
        <v>50</v>
      </c>
      <c r="O519" s="5">
        <f t="shared" si="124"/>
        <v>550</v>
      </c>
    </row>
    <row r="520" spans="1:15" ht="15.75" x14ac:dyDescent="0.25">
      <c r="A520" s="229" t="s">
        <v>95</v>
      </c>
      <c r="B520" s="230"/>
      <c r="C520" s="230"/>
      <c r="D520" s="230"/>
      <c r="E520" s="230"/>
      <c r="F520" s="230"/>
      <c r="G520" s="231"/>
      <c r="I520" s="113">
        <v>3</v>
      </c>
      <c r="J520" s="1" t="s">
        <v>43</v>
      </c>
      <c r="K520" s="67">
        <v>46032</v>
      </c>
      <c r="L520" s="1" t="s">
        <v>13</v>
      </c>
      <c r="M520" s="1">
        <v>7</v>
      </c>
      <c r="N520" s="1">
        <v>30</v>
      </c>
      <c r="O520" s="5">
        <f t="shared" si="124"/>
        <v>210</v>
      </c>
    </row>
    <row r="521" spans="1:15" ht="15.75" x14ac:dyDescent="0.25">
      <c r="A521" s="114" t="s">
        <v>0</v>
      </c>
      <c r="B521" s="114" t="s">
        <v>1</v>
      </c>
      <c r="C521" s="114" t="s">
        <v>3</v>
      </c>
      <c r="D521" s="114" t="s">
        <v>2</v>
      </c>
      <c r="E521" s="114" t="s">
        <v>6</v>
      </c>
      <c r="F521" s="114" t="s">
        <v>7</v>
      </c>
      <c r="G521" s="114" t="s">
        <v>8</v>
      </c>
      <c r="I521" s="113">
        <v>4</v>
      </c>
      <c r="J521" s="1" t="s">
        <v>178</v>
      </c>
      <c r="K521" s="67">
        <v>46032</v>
      </c>
      <c r="L521" s="1" t="s">
        <v>13</v>
      </c>
      <c r="M521" s="1">
        <v>0.25</v>
      </c>
      <c r="N521" s="1">
        <v>400</v>
      </c>
      <c r="O521" s="5">
        <f>N521*M521</f>
        <v>100</v>
      </c>
    </row>
    <row r="522" spans="1:15" x14ac:dyDescent="0.25">
      <c r="A522" s="113">
        <v>1</v>
      </c>
      <c r="B522" s="113" t="s">
        <v>9</v>
      </c>
      <c r="C522" s="67">
        <v>46031</v>
      </c>
      <c r="D522" s="3" t="s">
        <v>12</v>
      </c>
      <c r="E522" s="113">
        <v>4</v>
      </c>
      <c r="F522" s="113">
        <v>35</v>
      </c>
      <c r="G522" s="4">
        <f t="shared" ref="G522:G524" si="125">F522*E522</f>
        <v>140</v>
      </c>
      <c r="I522" s="113">
        <v>5</v>
      </c>
      <c r="J522" s="1" t="s">
        <v>666</v>
      </c>
      <c r="K522" s="67">
        <v>46032</v>
      </c>
      <c r="L522" s="1" t="s">
        <v>13</v>
      </c>
      <c r="M522" s="1" t="s">
        <v>400</v>
      </c>
      <c r="N522" s="1">
        <v>1600</v>
      </c>
      <c r="O522" s="5">
        <f>N522</f>
        <v>1600</v>
      </c>
    </row>
    <row r="523" spans="1:15" x14ac:dyDescent="0.25">
      <c r="A523" s="113">
        <v>2</v>
      </c>
      <c r="B523" s="1" t="s">
        <v>196</v>
      </c>
      <c r="C523" s="67">
        <v>46031</v>
      </c>
      <c r="D523" s="1" t="s">
        <v>12</v>
      </c>
      <c r="E523" s="1">
        <v>1</v>
      </c>
      <c r="F523" s="1">
        <v>50</v>
      </c>
      <c r="G523" s="5">
        <f t="shared" si="125"/>
        <v>50</v>
      </c>
      <c r="I523" s="113">
        <v>6</v>
      </c>
      <c r="J523" s="1" t="s">
        <v>657</v>
      </c>
      <c r="K523" s="67">
        <v>46032</v>
      </c>
      <c r="L523" s="1" t="s">
        <v>13</v>
      </c>
      <c r="M523" s="1">
        <v>15</v>
      </c>
      <c r="N523" s="1">
        <v>220</v>
      </c>
      <c r="O523" s="5">
        <f t="shared" ref="O523" si="126">N523*M523</f>
        <v>3300</v>
      </c>
    </row>
    <row r="524" spans="1:15" x14ac:dyDescent="0.25">
      <c r="A524" s="113">
        <v>3</v>
      </c>
      <c r="B524" s="1" t="s">
        <v>43</v>
      </c>
      <c r="C524" s="67">
        <v>46031</v>
      </c>
      <c r="D524" s="1" t="s">
        <v>13</v>
      </c>
      <c r="E524" s="1">
        <v>11</v>
      </c>
      <c r="F524" s="1">
        <v>30</v>
      </c>
      <c r="G524" s="5">
        <f t="shared" si="125"/>
        <v>330</v>
      </c>
      <c r="I524" s="113">
        <v>7</v>
      </c>
      <c r="J524" s="18" t="s">
        <v>19</v>
      </c>
      <c r="K524" s="67">
        <v>46032</v>
      </c>
      <c r="L524" s="1" t="s">
        <v>13</v>
      </c>
      <c r="M524" s="20">
        <v>8</v>
      </c>
      <c r="N524" s="1">
        <v>15</v>
      </c>
      <c r="O524" s="5">
        <f>N524*M524</f>
        <v>120</v>
      </c>
    </row>
    <row r="525" spans="1:15" x14ac:dyDescent="0.25">
      <c r="A525" s="113">
        <v>4</v>
      </c>
      <c r="B525" s="1" t="s">
        <v>178</v>
      </c>
      <c r="C525" s="67">
        <v>46031</v>
      </c>
      <c r="D525" s="1" t="s">
        <v>13</v>
      </c>
      <c r="E525" s="1">
        <v>2</v>
      </c>
      <c r="F525" s="1">
        <v>400</v>
      </c>
      <c r="G525" s="5">
        <f>F525*E525</f>
        <v>800</v>
      </c>
      <c r="I525" s="113">
        <v>8</v>
      </c>
      <c r="J525" s="18" t="s">
        <v>47</v>
      </c>
      <c r="K525" s="67">
        <v>46032</v>
      </c>
      <c r="L525" s="1" t="s">
        <v>20</v>
      </c>
      <c r="M525" s="20">
        <v>15</v>
      </c>
      <c r="N525" s="1">
        <v>80</v>
      </c>
      <c r="O525" s="5">
        <f>N525*M525</f>
        <v>1200</v>
      </c>
    </row>
    <row r="526" spans="1:15" x14ac:dyDescent="0.25">
      <c r="A526" s="113">
        <v>5</v>
      </c>
      <c r="B526" s="1" t="s">
        <v>649</v>
      </c>
      <c r="C526" s="67">
        <v>46031</v>
      </c>
      <c r="D526" s="1" t="s">
        <v>13</v>
      </c>
      <c r="E526" s="1">
        <v>4</v>
      </c>
      <c r="F526" s="1">
        <v>180</v>
      </c>
      <c r="G526" s="5">
        <f t="shared" ref="G526" si="127">F526*E526</f>
        <v>720</v>
      </c>
      <c r="I526" s="113">
        <v>9</v>
      </c>
      <c r="J526" s="24" t="s">
        <v>291</v>
      </c>
      <c r="K526" s="67">
        <v>46032</v>
      </c>
      <c r="L526" s="1" t="s">
        <v>20</v>
      </c>
      <c r="M526" s="24">
        <v>5</v>
      </c>
      <c r="N526" s="1">
        <v>180</v>
      </c>
      <c r="O526" s="5">
        <f t="shared" ref="O526" si="128">N526*M526</f>
        <v>900</v>
      </c>
    </row>
    <row r="527" spans="1:15" x14ac:dyDescent="0.25">
      <c r="A527" s="113">
        <v>6</v>
      </c>
      <c r="B527" s="18" t="s">
        <v>560</v>
      </c>
      <c r="C527" s="67">
        <v>46031</v>
      </c>
      <c r="D527" s="1" t="s">
        <v>13</v>
      </c>
      <c r="E527" s="20">
        <v>26</v>
      </c>
      <c r="F527" s="1">
        <v>320</v>
      </c>
      <c r="G527" s="5">
        <f>F527*E527</f>
        <v>8320</v>
      </c>
      <c r="I527" s="113">
        <v>10</v>
      </c>
      <c r="J527" s="24" t="s">
        <v>18</v>
      </c>
      <c r="K527" s="67">
        <v>46032</v>
      </c>
      <c r="L527" s="1" t="s">
        <v>20</v>
      </c>
      <c r="M527" s="24">
        <v>1</v>
      </c>
      <c r="N527" s="1">
        <v>80</v>
      </c>
      <c r="O527" s="5">
        <f>N527*M527</f>
        <v>80</v>
      </c>
    </row>
    <row r="528" spans="1:15" x14ac:dyDescent="0.25">
      <c r="A528" s="113">
        <v>7</v>
      </c>
      <c r="B528" s="18" t="s">
        <v>406</v>
      </c>
      <c r="C528" s="67">
        <v>46031</v>
      </c>
      <c r="D528" s="1" t="s">
        <v>20</v>
      </c>
      <c r="E528" s="20">
        <v>67</v>
      </c>
      <c r="F528" s="1">
        <v>110</v>
      </c>
      <c r="G528" s="5">
        <f>F528*E528</f>
        <v>7370</v>
      </c>
      <c r="I528" s="113">
        <v>11</v>
      </c>
      <c r="J528" s="24" t="s">
        <v>19</v>
      </c>
      <c r="K528" s="67">
        <v>46032</v>
      </c>
      <c r="L528" s="1" t="s">
        <v>20</v>
      </c>
      <c r="M528" s="24">
        <f>66+66</f>
        <v>132</v>
      </c>
      <c r="N528" s="1">
        <v>15</v>
      </c>
      <c r="O528" s="5">
        <f>N528*M528</f>
        <v>1980</v>
      </c>
    </row>
    <row r="529" spans="1:15" x14ac:dyDescent="0.25">
      <c r="A529" s="113">
        <v>8</v>
      </c>
      <c r="B529" s="24" t="s">
        <v>254</v>
      </c>
      <c r="C529" s="67">
        <v>46031</v>
      </c>
      <c r="D529" s="1" t="s">
        <v>20</v>
      </c>
      <c r="E529" s="24">
        <v>5</v>
      </c>
      <c r="F529" s="1">
        <v>220</v>
      </c>
      <c r="G529" s="5">
        <f t="shared" ref="G529" si="129">F529*E529</f>
        <v>1100</v>
      </c>
      <c r="I529" s="113">
        <v>12</v>
      </c>
      <c r="J529" s="24" t="s">
        <v>636</v>
      </c>
      <c r="K529" s="67">
        <v>46032</v>
      </c>
      <c r="L529" s="1" t="s">
        <v>20</v>
      </c>
      <c r="M529" s="24">
        <v>18</v>
      </c>
      <c r="N529" s="1">
        <v>35</v>
      </c>
      <c r="O529" s="5">
        <f>N529*M529</f>
        <v>630</v>
      </c>
    </row>
    <row r="530" spans="1:15" x14ac:dyDescent="0.25">
      <c r="A530" s="113">
        <v>9</v>
      </c>
      <c r="B530" s="24" t="s">
        <v>18</v>
      </c>
      <c r="C530" s="67">
        <v>46031</v>
      </c>
      <c r="D530" s="1" t="s">
        <v>20</v>
      </c>
      <c r="E530" s="24">
        <v>46</v>
      </c>
      <c r="F530" s="1">
        <v>80</v>
      </c>
      <c r="G530" s="5">
        <f>F530*E530</f>
        <v>3680</v>
      </c>
      <c r="I530" s="113">
        <v>13</v>
      </c>
      <c r="J530" s="24" t="s">
        <v>665</v>
      </c>
      <c r="K530" s="67">
        <v>46032</v>
      </c>
      <c r="L530" s="1" t="s">
        <v>20</v>
      </c>
      <c r="M530" s="24">
        <v>6</v>
      </c>
      <c r="N530" s="1">
        <v>170</v>
      </c>
      <c r="O530" s="5">
        <f>N530*M530</f>
        <v>1020</v>
      </c>
    </row>
    <row r="531" spans="1:15" x14ac:dyDescent="0.25">
      <c r="A531" s="113">
        <v>10</v>
      </c>
      <c r="B531" s="24" t="s">
        <v>19</v>
      </c>
      <c r="C531" s="67">
        <v>46031</v>
      </c>
      <c r="D531" s="1" t="s">
        <v>20</v>
      </c>
      <c r="E531" s="24">
        <v>154</v>
      </c>
      <c r="F531" s="1">
        <v>15</v>
      </c>
      <c r="G531" s="5">
        <f>F531*E531</f>
        <v>2310</v>
      </c>
      <c r="I531" s="113">
        <v>14</v>
      </c>
      <c r="J531" s="1" t="s">
        <v>194</v>
      </c>
      <c r="K531" s="67">
        <v>46032</v>
      </c>
      <c r="L531" s="1" t="s">
        <v>310</v>
      </c>
      <c r="M531" s="1">
        <v>1</v>
      </c>
      <c r="N531" s="1">
        <v>1000</v>
      </c>
      <c r="O531" s="5">
        <f t="shared" ref="O531:O535" si="130">N531*M531</f>
        <v>1000</v>
      </c>
    </row>
    <row r="532" spans="1:15" x14ac:dyDescent="0.25">
      <c r="A532" s="113">
        <v>11</v>
      </c>
      <c r="B532" s="24" t="s">
        <v>636</v>
      </c>
      <c r="C532" s="67">
        <v>46031</v>
      </c>
      <c r="D532" s="1" t="s">
        <v>20</v>
      </c>
      <c r="E532" s="24">
        <v>43</v>
      </c>
      <c r="F532" s="1">
        <v>30</v>
      </c>
      <c r="G532" s="5">
        <f>F532*E532</f>
        <v>1290</v>
      </c>
      <c r="I532" s="113">
        <v>15</v>
      </c>
      <c r="J532" s="1" t="s">
        <v>606</v>
      </c>
      <c r="K532" s="67">
        <v>46032</v>
      </c>
      <c r="L532" s="1" t="s">
        <v>310</v>
      </c>
      <c r="M532" s="1">
        <v>1</v>
      </c>
      <c r="N532" s="1">
        <v>120</v>
      </c>
      <c r="O532" s="5">
        <f t="shared" si="130"/>
        <v>120</v>
      </c>
    </row>
    <row r="533" spans="1:15" x14ac:dyDescent="0.25">
      <c r="A533" s="113">
        <v>12</v>
      </c>
      <c r="B533" s="24" t="s">
        <v>642</v>
      </c>
      <c r="C533" s="67">
        <v>46031</v>
      </c>
      <c r="D533" s="1" t="s">
        <v>20</v>
      </c>
      <c r="E533" s="24">
        <v>6</v>
      </c>
      <c r="F533" s="1">
        <v>100</v>
      </c>
      <c r="G533" s="5">
        <f>F533*E533</f>
        <v>600</v>
      </c>
      <c r="I533" s="113">
        <v>16</v>
      </c>
      <c r="J533" s="1" t="s">
        <v>197</v>
      </c>
      <c r="K533" s="67">
        <v>46032</v>
      </c>
      <c r="L533" s="1" t="s">
        <v>310</v>
      </c>
      <c r="M533" s="1">
        <v>14</v>
      </c>
      <c r="N533" s="1">
        <v>40</v>
      </c>
      <c r="O533" s="5">
        <f t="shared" si="130"/>
        <v>560</v>
      </c>
    </row>
    <row r="534" spans="1:15" x14ac:dyDescent="0.25">
      <c r="A534" s="113">
        <v>13</v>
      </c>
      <c r="B534" s="1" t="s">
        <v>650</v>
      </c>
      <c r="C534" s="67">
        <v>46031</v>
      </c>
      <c r="D534" s="1" t="s">
        <v>310</v>
      </c>
      <c r="E534" s="1">
        <v>1</v>
      </c>
      <c r="F534" s="1">
        <v>420</v>
      </c>
      <c r="G534" s="5">
        <f t="shared" ref="G534:G535" si="131">F534*E534</f>
        <v>420</v>
      </c>
      <c r="I534" s="113">
        <v>17</v>
      </c>
      <c r="J534" s="1" t="s">
        <v>402</v>
      </c>
      <c r="K534" s="67">
        <v>46032</v>
      </c>
      <c r="L534" s="1" t="s">
        <v>310</v>
      </c>
      <c r="M534" s="1">
        <v>7</v>
      </c>
      <c r="N534" s="1">
        <v>70</v>
      </c>
      <c r="O534" s="5">
        <f t="shared" si="130"/>
        <v>490</v>
      </c>
    </row>
    <row r="535" spans="1:15" x14ac:dyDescent="0.25">
      <c r="A535" s="113">
        <v>14</v>
      </c>
      <c r="B535" s="1" t="s">
        <v>606</v>
      </c>
      <c r="C535" s="67">
        <v>46031</v>
      </c>
      <c r="D535" s="1" t="s">
        <v>310</v>
      </c>
      <c r="E535" s="1">
        <v>4</v>
      </c>
      <c r="F535" s="1">
        <v>120</v>
      </c>
      <c r="G535" s="5">
        <f t="shared" si="131"/>
        <v>480</v>
      </c>
      <c r="H535" s="53"/>
      <c r="I535" s="113">
        <v>18</v>
      </c>
      <c r="J535" s="1" t="s">
        <v>179</v>
      </c>
      <c r="K535" s="67">
        <v>46032</v>
      </c>
      <c r="L535" s="1" t="s">
        <v>310</v>
      </c>
      <c r="M535" s="1">
        <v>13</v>
      </c>
      <c r="N535" s="1">
        <v>70</v>
      </c>
      <c r="O535" s="5">
        <f t="shared" si="130"/>
        <v>910</v>
      </c>
    </row>
    <row r="536" spans="1:15" x14ac:dyDescent="0.25">
      <c r="A536" s="113">
        <v>15</v>
      </c>
      <c r="B536" s="1" t="s">
        <v>197</v>
      </c>
      <c r="C536" s="67">
        <v>46031</v>
      </c>
      <c r="D536" s="1" t="s">
        <v>310</v>
      </c>
      <c r="E536" s="1">
        <v>5</v>
      </c>
      <c r="F536" s="1">
        <v>40</v>
      </c>
      <c r="G536" s="5">
        <f t="shared" ref="G536:G538" si="132">F536*E536</f>
        <v>200</v>
      </c>
      <c r="I536" s="113">
        <v>19</v>
      </c>
      <c r="J536" s="1" t="s">
        <v>294</v>
      </c>
      <c r="K536" s="67">
        <v>46032</v>
      </c>
      <c r="L536" s="1" t="s">
        <v>310</v>
      </c>
      <c r="M536" s="1">
        <v>3</v>
      </c>
      <c r="N536" s="1">
        <v>60</v>
      </c>
      <c r="O536" s="5">
        <f>N536*M536</f>
        <v>180</v>
      </c>
    </row>
    <row r="537" spans="1:15" x14ac:dyDescent="0.25">
      <c r="A537" s="113">
        <v>16</v>
      </c>
      <c r="B537" s="1" t="s">
        <v>402</v>
      </c>
      <c r="C537" s="67">
        <v>46031</v>
      </c>
      <c r="D537" s="1" t="s">
        <v>310</v>
      </c>
      <c r="E537" s="1">
        <v>9</v>
      </c>
      <c r="F537" s="1">
        <v>70</v>
      </c>
      <c r="G537" s="5">
        <f t="shared" si="132"/>
        <v>630</v>
      </c>
      <c r="I537" s="113">
        <v>20</v>
      </c>
      <c r="J537" s="1" t="s">
        <v>94</v>
      </c>
      <c r="K537" s="67">
        <v>46032</v>
      </c>
      <c r="L537" s="1" t="s">
        <v>310</v>
      </c>
      <c r="M537" s="1">
        <v>2</v>
      </c>
      <c r="N537" s="1">
        <v>70</v>
      </c>
      <c r="O537" s="5">
        <f t="shared" ref="O537" si="133">N537*M537</f>
        <v>140</v>
      </c>
    </row>
    <row r="538" spans="1:15" ht="16.5" thickBot="1" x14ac:dyDescent="0.3">
      <c r="A538" s="113">
        <v>17</v>
      </c>
      <c r="B538" s="1" t="s">
        <v>179</v>
      </c>
      <c r="C538" s="67">
        <v>46031</v>
      </c>
      <c r="D538" s="1" t="s">
        <v>310</v>
      </c>
      <c r="E538" s="1">
        <v>16</v>
      </c>
      <c r="F538" s="1">
        <v>70</v>
      </c>
      <c r="G538" s="5">
        <f t="shared" si="132"/>
        <v>1120</v>
      </c>
      <c r="I538" s="242" t="s">
        <v>25</v>
      </c>
      <c r="J538" s="243"/>
      <c r="K538" s="243"/>
      <c r="L538" s="243"/>
      <c r="M538" s="243"/>
      <c r="N538" s="244"/>
      <c r="O538" s="57">
        <f>SUM(O518:O537)</f>
        <v>15440</v>
      </c>
    </row>
    <row r="539" spans="1:15" ht="16.5" thickBot="1" x14ac:dyDescent="0.3">
      <c r="A539" s="113">
        <v>18</v>
      </c>
      <c r="B539" s="1" t="s">
        <v>294</v>
      </c>
      <c r="C539" s="67">
        <v>46031</v>
      </c>
      <c r="D539" s="1" t="s">
        <v>310</v>
      </c>
      <c r="E539" s="1">
        <v>2</v>
      </c>
      <c r="F539" s="1">
        <v>60</v>
      </c>
      <c r="G539" s="5">
        <f>F539*E539</f>
        <v>120</v>
      </c>
      <c r="I539" s="217" t="s">
        <v>101</v>
      </c>
      <c r="J539" s="218"/>
      <c r="K539" s="218"/>
      <c r="L539" s="218"/>
      <c r="M539" s="218"/>
      <c r="N539" s="219"/>
      <c r="O539" s="48">
        <f>O538+O514+O506</f>
        <v>130020</v>
      </c>
    </row>
    <row r="540" spans="1:15" ht="15.75" thickBot="1" x14ac:dyDescent="0.3">
      <c r="A540" s="113">
        <v>19</v>
      </c>
      <c r="B540" s="1" t="s">
        <v>176</v>
      </c>
      <c r="C540" s="67">
        <v>46031</v>
      </c>
      <c r="D540" s="1" t="s">
        <v>310</v>
      </c>
      <c r="E540" s="1">
        <v>2</v>
      </c>
      <c r="F540" s="1">
        <v>100</v>
      </c>
      <c r="G540" s="5">
        <f t="shared" ref="G540" si="134">F540*E540</f>
        <v>200</v>
      </c>
    </row>
    <row r="541" spans="1:15" ht="16.5" thickBot="1" x14ac:dyDescent="0.3">
      <c r="A541" s="242" t="s">
        <v>25</v>
      </c>
      <c r="B541" s="243"/>
      <c r="C541" s="243"/>
      <c r="D541" s="243"/>
      <c r="E541" s="243"/>
      <c r="F541" s="244"/>
      <c r="G541" s="57">
        <f>SUM(G522:G540)</f>
        <v>29880</v>
      </c>
      <c r="I541" s="33" t="s">
        <v>0</v>
      </c>
      <c r="J541" s="34" t="s">
        <v>1</v>
      </c>
      <c r="K541" s="34" t="s">
        <v>3</v>
      </c>
      <c r="L541" s="34" t="s">
        <v>2</v>
      </c>
      <c r="M541" s="34" t="s">
        <v>6</v>
      </c>
      <c r="N541" s="34" t="s">
        <v>7</v>
      </c>
      <c r="O541" s="35" t="s">
        <v>8</v>
      </c>
    </row>
    <row r="542" spans="1:15" ht="16.5" thickBot="1" x14ac:dyDescent="0.3">
      <c r="A542" s="217" t="s">
        <v>101</v>
      </c>
      <c r="B542" s="218"/>
      <c r="C542" s="218"/>
      <c r="D542" s="218"/>
      <c r="E542" s="218"/>
      <c r="F542" s="219"/>
      <c r="G542" s="48">
        <f>G541+G518+G510</f>
        <v>212740</v>
      </c>
      <c r="I542" s="3">
        <v>1</v>
      </c>
      <c r="J542" s="3" t="s">
        <v>4</v>
      </c>
      <c r="K542" s="67">
        <v>46034</v>
      </c>
      <c r="L542" s="3" t="s">
        <v>11</v>
      </c>
      <c r="M542" s="30">
        <v>174</v>
      </c>
      <c r="N542" s="3">
        <v>30</v>
      </c>
      <c r="O542" s="4">
        <f>N542*M542</f>
        <v>5220</v>
      </c>
    </row>
    <row r="543" spans="1:15" ht="15.75" thickBot="1" x14ac:dyDescent="0.3">
      <c r="I543" s="3">
        <v>2</v>
      </c>
      <c r="J543" s="1" t="s">
        <v>9</v>
      </c>
      <c r="K543" s="67">
        <v>46034</v>
      </c>
      <c r="L543" s="1" t="s">
        <v>12</v>
      </c>
      <c r="M543" s="31">
        <v>535</v>
      </c>
      <c r="N543" s="1">
        <v>30</v>
      </c>
      <c r="O543" s="4">
        <f t="shared" ref="O543:O547" si="135">N543*M543</f>
        <v>16050</v>
      </c>
    </row>
    <row r="544" spans="1:15" ht="16.5" thickBot="1" x14ac:dyDescent="0.3">
      <c r="A544" s="33" t="s">
        <v>0</v>
      </c>
      <c r="B544" s="34" t="s">
        <v>1</v>
      </c>
      <c r="C544" s="34" t="s">
        <v>3</v>
      </c>
      <c r="D544" s="34" t="s">
        <v>2</v>
      </c>
      <c r="E544" s="34" t="s">
        <v>6</v>
      </c>
      <c r="F544" s="34" t="s">
        <v>7</v>
      </c>
      <c r="G544" s="35" t="s">
        <v>8</v>
      </c>
      <c r="I544" s="3">
        <v>3</v>
      </c>
      <c r="J544" s="1" t="s">
        <v>656</v>
      </c>
      <c r="K544" s="67">
        <v>46034</v>
      </c>
      <c r="L544" s="1" t="s">
        <v>12</v>
      </c>
      <c r="M544" s="31">
        <v>20</v>
      </c>
      <c r="N544" s="1">
        <v>50</v>
      </c>
      <c r="O544" s="4">
        <f t="shared" si="135"/>
        <v>1000</v>
      </c>
    </row>
    <row r="545" spans="1:15" x14ac:dyDescent="0.25">
      <c r="A545" s="3">
        <v>1</v>
      </c>
      <c r="B545" s="3" t="s">
        <v>4</v>
      </c>
      <c r="C545" s="67">
        <v>46033</v>
      </c>
      <c r="D545" s="3" t="s">
        <v>11</v>
      </c>
      <c r="E545" s="30">
        <v>194</v>
      </c>
      <c r="F545" s="3">
        <v>30</v>
      </c>
      <c r="G545" s="4">
        <f>F545*E545</f>
        <v>5820</v>
      </c>
      <c r="I545" s="3">
        <v>4</v>
      </c>
      <c r="J545" s="1" t="s">
        <v>4</v>
      </c>
      <c r="K545" s="67">
        <v>46034</v>
      </c>
      <c r="L545" s="1" t="s">
        <v>12</v>
      </c>
      <c r="M545" s="31">
        <v>446</v>
      </c>
      <c r="N545" s="1">
        <v>30</v>
      </c>
      <c r="O545" s="4">
        <f t="shared" si="135"/>
        <v>13380</v>
      </c>
    </row>
    <row r="546" spans="1:15" x14ac:dyDescent="0.25">
      <c r="A546" s="3">
        <v>2</v>
      </c>
      <c r="B546" s="1" t="s">
        <v>9</v>
      </c>
      <c r="C546" s="67">
        <v>46033</v>
      </c>
      <c r="D546" s="1" t="s">
        <v>12</v>
      </c>
      <c r="E546" s="31">
        <v>461</v>
      </c>
      <c r="F546" s="1">
        <v>30</v>
      </c>
      <c r="G546" s="4">
        <f t="shared" ref="G546:G549" si="136">F546*E546</f>
        <v>13830</v>
      </c>
      <c r="I546" s="3">
        <v>5</v>
      </c>
      <c r="J546" s="1" t="s">
        <v>241</v>
      </c>
      <c r="K546" s="67">
        <v>46034</v>
      </c>
      <c r="L546" s="1" t="s">
        <v>12</v>
      </c>
      <c r="M546" s="31">
        <v>55</v>
      </c>
      <c r="N546" s="1">
        <v>50</v>
      </c>
      <c r="O546" s="4">
        <f t="shared" si="135"/>
        <v>2750</v>
      </c>
    </row>
    <row r="547" spans="1:15" x14ac:dyDescent="0.25">
      <c r="A547" s="3">
        <v>3</v>
      </c>
      <c r="B547" s="1" t="s">
        <v>668</v>
      </c>
      <c r="C547" s="67">
        <v>46033</v>
      </c>
      <c r="D547" s="1" t="s">
        <v>12</v>
      </c>
      <c r="E547" s="31">
        <v>26</v>
      </c>
      <c r="F547" s="1">
        <v>50</v>
      </c>
      <c r="G547" s="4">
        <f t="shared" si="136"/>
        <v>1300</v>
      </c>
      <c r="I547" s="3">
        <v>6</v>
      </c>
      <c r="J547" s="1" t="s">
        <v>614</v>
      </c>
      <c r="K547" s="67">
        <v>46034</v>
      </c>
      <c r="L547" s="1" t="s">
        <v>13</v>
      </c>
      <c r="M547" s="31">
        <v>17</v>
      </c>
      <c r="N547" s="1">
        <v>220</v>
      </c>
      <c r="O547" s="30">
        <f t="shared" si="135"/>
        <v>3740</v>
      </c>
    </row>
    <row r="548" spans="1:15" x14ac:dyDescent="0.25">
      <c r="A548" s="3">
        <v>4</v>
      </c>
      <c r="B548" s="1" t="s">
        <v>4</v>
      </c>
      <c r="C548" s="67">
        <v>46033</v>
      </c>
      <c r="D548" s="1" t="s">
        <v>12</v>
      </c>
      <c r="E548" s="31">
        <v>329</v>
      </c>
      <c r="F548" s="1">
        <v>30</v>
      </c>
      <c r="G548" s="4">
        <f t="shared" si="136"/>
        <v>9870</v>
      </c>
      <c r="I548" s="3">
        <v>7</v>
      </c>
      <c r="J548" s="1" t="s">
        <v>369</v>
      </c>
      <c r="K548" s="67">
        <v>46034</v>
      </c>
      <c r="L548" s="1" t="s">
        <v>13</v>
      </c>
      <c r="M548" s="31">
        <v>173</v>
      </c>
      <c r="N548" s="1">
        <v>120</v>
      </c>
      <c r="O548" s="4">
        <f>N548*M548</f>
        <v>20760</v>
      </c>
    </row>
    <row r="549" spans="1:15" x14ac:dyDescent="0.25">
      <c r="A549" s="3">
        <v>5</v>
      </c>
      <c r="B549" s="1" t="s">
        <v>241</v>
      </c>
      <c r="C549" s="67">
        <v>46033</v>
      </c>
      <c r="D549" s="1" t="s">
        <v>12</v>
      </c>
      <c r="E549" s="31">
        <v>51</v>
      </c>
      <c r="F549" s="1">
        <v>50</v>
      </c>
      <c r="G549" s="4">
        <f t="shared" si="136"/>
        <v>2550</v>
      </c>
      <c r="I549" s="3">
        <v>8</v>
      </c>
      <c r="J549" s="1" t="s">
        <v>19</v>
      </c>
      <c r="K549" s="67">
        <v>46034</v>
      </c>
      <c r="L549" s="1" t="s">
        <v>13</v>
      </c>
      <c r="M549" s="31">
        <v>1180</v>
      </c>
      <c r="N549" s="1">
        <v>15</v>
      </c>
      <c r="O549" s="4">
        <f t="shared" ref="O549:O556" si="137">N549*M549</f>
        <v>17700</v>
      </c>
    </row>
    <row r="550" spans="1:15" x14ac:dyDescent="0.25">
      <c r="A550" s="3">
        <v>6</v>
      </c>
      <c r="B550" s="1" t="s">
        <v>669</v>
      </c>
      <c r="C550" s="67">
        <v>46033</v>
      </c>
      <c r="D550" s="1" t="s">
        <v>13</v>
      </c>
      <c r="E550" s="31">
        <v>92</v>
      </c>
      <c r="F550" s="1">
        <v>150</v>
      </c>
      <c r="G550" s="4">
        <f>F550*E550</f>
        <v>13800</v>
      </c>
      <c r="I550" s="3">
        <v>9</v>
      </c>
      <c r="J550" s="1" t="s">
        <v>33</v>
      </c>
      <c r="K550" s="67">
        <v>46034</v>
      </c>
      <c r="L550" s="1" t="s">
        <v>13</v>
      </c>
      <c r="M550" s="31">
        <v>6</v>
      </c>
      <c r="N550" s="1">
        <v>30</v>
      </c>
      <c r="O550" s="5">
        <f t="shared" si="137"/>
        <v>180</v>
      </c>
    </row>
    <row r="551" spans="1:15" x14ac:dyDescent="0.25">
      <c r="A551" s="3">
        <v>7</v>
      </c>
      <c r="B551" s="1" t="s">
        <v>19</v>
      </c>
      <c r="C551" s="67">
        <v>46033</v>
      </c>
      <c r="D551" s="1" t="s">
        <v>13</v>
      </c>
      <c r="E551" s="31">
        <v>535</v>
      </c>
      <c r="F551" s="1">
        <v>15</v>
      </c>
      <c r="G551" s="4">
        <f t="shared" ref="G551:G557" si="138">F551*E551</f>
        <v>8025</v>
      </c>
      <c r="I551" s="3">
        <v>10</v>
      </c>
      <c r="J551" s="1" t="s">
        <v>489</v>
      </c>
      <c r="K551" s="67">
        <v>46034</v>
      </c>
      <c r="L551" s="1" t="s">
        <v>13</v>
      </c>
      <c r="M551" s="5">
        <v>142</v>
      </c>
      <c r="N551" s="1">
        <v>30</v>
      </c>
      <c r="O551" s="5">
        <f t="shared" si="137"/>
        <v>4260</v>
      </c>
    </row>
    <row r="552" spans="1:15" x14ac:dyDescent="0.25">
      <c r="A552" s="3">
        <v>8</v>
      </c>
      <c r="B552" s="1" t="s">
        <v>489</v>
      </c>
      <c r="C552" s="67">
        <v>46033</v>
      </c>
      <c r="D552" s="1" t="s">
        <v>13</v>
      </c>
      <c r="E552" s="5">
        <v>83</v>
      </c>
      <c r="F552" s="1">
        <v>30</v>
      </c>
      <c r="G552" s="5">
        <f t="shared" si="138"/>
        <v>2490</v>
      </c>
      <c r="I552" s="3">
        <v>11</v>
      </c>
      <c r="J552" s="1" t="s">
        <v>489</v>
      </c>
      <c r="K552" s="67">
        <v>46034</v>
      </c>
      <c r="L552" s="1" t="s">
        <v>17</v>
      </c>
      <c r="M552" s="5">
        <v>426</v>
      </c>
      <c r="N552" s="1">
        <v>30</v>
      </c>
      <c r="O552" s="5">
        <f t="shared" si="137"/>
        <v>12780</v>
      </c>
    </row>
    <row r="553" spans="1:15" x14ac:dyDescent="0.25">
      <c r="A553" s="3">
        <v>9</v>
      </c>
      <c r="B553" s="1" t="s">
        <v>489</v>
      </c>
      <c r="C553" s="67">
        <v>46033</v>
      </c>
      <c r="D553" s="1" t="s">
        <v>17</v>
      </c>
      <c r="E553" s="5">
        <v>222</v>
      </c>
      <c r="F553" s="1">
        <v>30</v>
      </c>
      <c r="G553" s="5">
        <f t="shared" si="138"/>
        <v>6660</v>
      </c>
      <c r="I553" s="3">
        <v>12</v>
      </c>
      <c r="J553" s="1" t="s">
        <v>19</v>
      </c>
      <c r="K553" s="67">
        <v>46034</v>
      </c>
      <c r="L553" s="1" t="s">
        <v>20</v>
      </c>
      <c r="M553" s="5">
        <v>415</v>
      </c>
      <c r="N553" s="1">
        <v>15</v>
      </c>
      <c r="O553" s="5">
        <f t="shared" si="137"/>
        <v>6225</v>
      </c>
    </row>
    <row r="554" spans="1:15" x14ac:dyDescent="0.25">
      <c r="A554" s="3">
        <v>10</v>
      </c>
      <c r="B554" s="1" t="s">
        <v>19</v>
      </c>
      <c r="C554" s="67">
        <v>46033</v>
      </c>
      <c r="D554" s="1" t="s">
        <v>20</v>
      </c>
      <c r="E554" s="5">
        <v>356</v>
      </c>
      <c r="F554" s="1">
        <v>15</v>
      </c>
      <c r="G554" s="5">
        <f t="shared" si="138"/>
        <v>5340</v>
      </c>
      <c r="I554" s="3">
        <v>13</v>
      </c>
      <c r="J554" s="1" t="s">
        <v>16</v>
      </c>
      <c r="K554" s="67">
        <v>46034</v>
      </c>
      <c r="L554" s="1" t="s">
        <v>20</v>
      </c>
      <c r="M554" s="5">
        <v>90</v>
      </c>
      <c r="N554" s="1">
        <v>30</v>
      </c>
      <c r="O554" s="5">
        <f t="shared" si="137"/>
        <v>2700</v>
      </c>
    </row>
    <row r="555" spans="1:15" x14ac:dyDescent="0.25">
      <c r="A555" s="3">
        <v>11</v>
      </c>
      <c r="B555" s="1" t="s">
        <v>16</v>
      </c>
      <c r="C555" s="67">
        <v>46033</v>
      </c>
      <c r="D555" s="1" t="s">
        <v>20</v>
      </c>
      <c r="E555" s="5">
        <v>54</v>
      </c>
      <c r="F555" s="1">
        <v>30</v>
      </c>
      <c r="G555" s="5">
        <f t="shared" si="138"/>
        <v>1620</v>
      </c>
      <c r="I555" s="3">
        <v>14</v>
      </c>
      <c r="J555" s="1" t="s">
        <v>14</v>
      </c>
      <c r="K555" s="67">
        <v>46034</v>
      </c>
      <c r="L555" s="1" t="s">
        <v>20</v>
      </c>
      <c r="M555" s="5">
        <v>67</v>
      </c>
      <c r="N555" s="1">
        <v>80</v>
      </c>
      <c r="O555" s="5">
        <f t="shared" si="137"/>
        <v>5360</v>
      </c>
    </row>
    <row r="556" spans="1:15" x14ac:dyDescent="0.25">
      <c r="A556" s="3">
        <v>12</v>
      </c>
      <c r="B556" s="1" t="s">
        <v>670</v>
      </c>
      <c r="C556" s="67">
        <v>46033</v>
      </c>
      <c r="D556" s="1" t="s">
        <v>20</v>
      </c>
      <c r="E556" s="5">
        <v>43</v>
      </c>
      <c r="F556" s="1">
        <v>80</v>
      </c>
      <c r="G556" s="5">
        <f t="shared" si="138"/>
        <v>3440</v>
      </c>
      <c r="I556" s="3">
        <v>15</v>
      </c>
      <c r="J556" s="1" t="s">
        <v>109</v>
      </c>
      <c r="K556" s="67">
        <v>46034</v>
      </c>
      <c r="L556" s="1" t="s">
        <v>20</v>
      </c>
      <c r="M556" s="5">
        <v>20</v>
      </c>
      <c r="N556" s="1">
        <v>170</v>
      </c>
      <c r="O556" s="5">
        <f t="shared" si="137"/>
        <v>3400</v>
      </c>
    </row>
    <row r="557" spans="1:15" ht="16.5" thickBot="1" x14ac:dyDescent="0.3">
      <c r="A557" s="3">
        <v>13</v>
      </c>
      <c r="B557" s="1" t="s">
        <v>224</v>
      </c>
      <c r="C557" s="67">
        <v>46033</v>
      </c>
      <c r="D557" s="1" t="s">
        <v>20</v>
      </c>
      <c r="E557" s="5">
        <v>1</v>
      </c>
      <c r="F557" s="1">
        <v>1600</v>
      </c>
      <c r="G557" s="5">
        <f t="shared" si="138"/>
        <v>1600</v>
      </c>
      <c r="I557" s="233" t="s">
        <v>232</v>
      </c>
      <c r="J557" s="234"/>
      <c r="K557" s="234"/>
      <c r="L557" s="234"/>
      <c r="M557" s="234"/>
      <c r="N557" s="235"/>
      <c r="O557" s="57">
        <f>O582+O583+O584+O585+O586</f>
        <v>1770</v>
      </c>
    </row>
    <row r="558" spans="1:15" ht="16.5" thickBot="1" x14ac:dyDescent="0.3">
      <c r="A558" s="233" t="s">
        <v>232</v>
      </c>
      <c r="B558" s="234"/>
      <c r="C558" s="234"/>
      <c r="D558" s="234"/>
      <c r="E558" s="234"/>
      <c r="F558" s="235"/>
      <c r="G558" s="57">
        <f>G580+G581+G582+G583+G584</f>
        <v>810</v>
      </c>
      <c r="I558" s="236" t="s">
        <v>161</v>
      </c>
      <c r="J558" s="237"/>
      <c r="K558" s="237"/>
      <c r="L558" s="237"/>
      <c r="M558" s="237"/>
      <c r="N558" s="238"/>
      <c r="O558" s="51">
        <f>SUM(O542:O556)-O557</f>
        <v>113735</v>
      </c>
    </row>
    <row r="559" spans="1:15" ht="16.5" thickBot="1" x14ac:dyDescent="0.3">
      <c r="A559" s="236" t="s">
        <v>161</v>
      </c>
      <c r="B559" s="237"/>
      <c r="C559" s="237"/>
      <c r="D559" s="237"/>
      <c r="E559" s="237"/>
      <c r="F559" s="238"/>
      <c r="G559" s="51">
        <f>SUM(G545:G557)-G558</f>
        <v>75535</v>
      </c>
      <c r="I559" s="239" t="s">
        <v>170</v>
      </c>
      <c r="J559" s="240"/>
      <c r="K559" s="240"/>
      <c r="L559" s="240"/>
      <c r="M559" s="240"/>
      <c r="N559" s="240"/>
      <c r="O559" s="241"/>
    </row>
    <row r="560" spans="1:15" ht="16.5" thickBot="1" x14ac:dyDescent="0.3">
      <c r="A560" s="239" t="s">
        <v>170</v>
      </c>
      <c r="B560" s="240"/>
      <c r="C560" s="240"/>
      <c r="D560" s="240"/>
      <c r="E560" s="240"/>
      <c r="F560" s="240"/>
      <c r="G560" s="241"/>
      <c r="I560" s="3">
        <v>1</v>
      </c>
      <c r="J560" s="3" t="s">
        <v>399</v>
      </c>
      <c r="K560" s="67">
        <v>46034</v>
      </c>
      <c r="L560" s="3" t="s">
        <v>310</v>
      </c>
      <c r="M560" s="4">
        <v>19</v>
      </c>
      <c r="N560" s="3">
        <v>120</v>
      </c>
      <c r="O560" s="4">
        <f>N560*M560</f>
        <v>2280</v>
      </c>
    </row>
    <row r="561" spans="1:15" x14ac:dyDescent="0.25">
      <c r="A561" s="3">
        <v>1</v>
      </c>
      <c r="B561" s="3" t="s">
        <v>399</v>
      </c>
      <c r="C561" s="67">
        <v>46033</v>
      </c>
      <c r="D561" s="3" t="s">
        <v>310</v>
      </c>
      <c r="E561" s="4">
        <v>12</v>
      </c>
      <c r="F561" s="3">
        <v>120</v>
      </c>
      <c r="G561" s="4">
        <f>F561*E561</f>
        <v>1440</v>
      </c>
      <c r="I561" s="3">
        <v>2</v>
      </c>
      <c r="J561" s="3" t="s">
        <v>194</v>
      </c>
      <c r="K561" s="67">
        <v>46034</v>
      </c>
      <c r="L561" s="3" t="s">
        <v>310</v>
      </c>
      <c r="M561" s="4">
        <v>1</v>
      </c>
      <c r="N561" s="3">
        <v>200</v>
      </c>
      <c r="O561" s="4">
        <f t="shared" ref="O561:O565" si="139">N561*M561</f>
        <v>200</v>
      </c>
    </row>
    <row r="562" spans="1:15" x14ac:dyDescent="0.25">
      <c r="A562" s="3">
        <v>2</v>
      </c>
      <c r="B562" s="3" t="s">
        <v>194</v>
      </c>
      <c r="C562" s="67">
        <v>46033</v>
      </c>
      <c r="D562" s="3" t="s">
        <v>310</v>
      </c>
      <c r="E562" s="4">
        <v>1</v>
      </c>
      <c r="F562" s="3">
        <v>350</v>
      </c>
      <c r="G562" s="4">
        <f t="shared" ref="G562:G565" si="140">F562*E562</f>
        <v>350</v>
      </c>
      <c r="I562" s="3">
        <v>3</v>
      </c>
      <c r="J562" s="1" t="s">
        <v>110</v>
      </c>
      <c r="K562" s="67">
        <v>46034</v>
      </c>
      <c r="L562" s="3" t="s">
        <v>310</v>
      </c>
      <c r="M562" s="5">
        <v>17</v>
      </c>
      <c r="N562" s="1">
        <v>120</v>
      </c>
      <c r="O562" s="4">
        <f t="shared" si="139"/>
        <v>2040</v>
      </c>
    </row>
    <row r="563" spans="1:15" x14ac:dyDescent="0.25">
      <c r="A563" s="3">
        <v>3</v>
      </c>
      <c r="B563" s="1" t="s">
        <v>110</v>
      </c>
      <c r="C563" s="67">
        <v>46033</v>
      </c>
      <c r="D563" s="3" t="s">
        <v>310</v>
      </c>
      <c r="E563" s="5">
        <v>16</v>
      </c>
      <c r="F563" s="1">
        <v>120</v>
      </c>
      <c r="G563" s="4">
        <f t="shared" si="140"/>
        <v>1920</v>
      </c>
      <c r="I563" s="3">
        <v>4</v>
      </c>
      <c r="J563" s="1" t="s">
        <v>102</v>
      </c>
      <c r="K563" s="67">
        <v>46034</v>
      </c>
      <c r="L563" s="3" t="s">
        <v>310</v>
      </c>
      <c r="M563" s="5">
        <v>33</v>
      </c>
      <c r="N563" s="1">
        <v>120</v>
      </c>
      <c r="O563" s="4">
        <f t="shared" si="139"/>
        <v>3960</v>
      </c>
    </row>
    <row r="564" spans="1:15" x14ac:dyDescent="0.25">
      <c r="A564" s="3">
        <v>4</v>
      </c>
      <c r="B564" s="1" t="s">
        <v>102</v>
      </c>
      <c r="C564" s="67">
        <v>46033</v>
      </c>
      <c r="D564" s="3" t="s">
        <v>310</v>
      </c>
      <c r="E564" s="5">
        <v>29</v>
      </c>
      <c r="F564" s="1">
        <v>120</v>
      </c>
      <c r="G564" s="4">
        <f t="shared" si="140"/>
        <v>3480</v>
      </c>
      <c r="I564" s="3">
        <v>5</v>
      </c>
      <c r="J564" s="1" t="s">
        <v>341</v>
      </c>
      <c r="K564" s="67">
        <v>46034</v>
      </c>
      <c r="L564" s="3" t="s">
        <v>310</v>
      </c>
      <c r="M564" s="5">
        <v>402</v>
      </c>
      <c r="N564" s="1">
        <v>30</v>
      </c>
      <c r="O564" s="4">
        <f t="shared" si="139"/>
        <v>12060</v>
      </c>
    </row>
    <row r="565" spans="1:15" x14ac:dyDescent="0.25">
      <c r="A565" s="3">
        <v>5</v>
      </c>
      <c r="B565" s="1" t="s">
        <v>178</v>
      </c>
      <c r="C565" s="67">
        <v>46033</v>
      </c>
      <c r="D565" s="3" t="s">
        <v>310</v>
      </c>
      <c r="E565" s="5">
        <v>12</v>
      </c>
      <c r="F565" s="1">
        <v>50</v>
      </c>
      <c r="G565" s="5">
        <f t="shared" si="140"/>
        <v>600</v>
      </c>
      <c r="I565" s="3">
        <v>6</v>
      </c>
      <c r="J565" s="1" t="s">
        <v>178</v>
      </c>
      <c r="K565" s="67">
        <v>46034</v>
      </c>
      <c r="L565" s="3" t="s">
        <v>310</v>
      </c>
      <c r="M565" s="5">
        <v>2</v>
      </c>
      <c r="N565" s="1">
        <v>50</v>
      </c>
      <c r="O565" s="5">
        <f t="shared" si="139"/>
        <v>100</v>
      </c>
    </row>
    <row r="566" spans="1:15" ht="16.5" thickBot="1" x14ac:dyDescent="0.3">
      <c r="A566" s="223" t="s">
        <v>162</v>
      </c>
      <c r="B566" s="224"/>
      <c r="C566" s="224"/>
      <c r="D566" s="224"/>
      <c r="E566" s="224"/>
      <c r="F566" s="225"/>
      <c r="G566" s="70">
        <f>SUM(G561:G565)</f>
        <v>7790</v>
      </c>
      <c r="I566" s="223" t="s">
        <v>162</v>
      </c>
      <c r="J566" s="224"/>
      <c r="K566" s="224"/>
      <c r="L566" s="224"/>
      <c r="M566" s="224"/>
      <c r="N566" s="225"/>
      <c r="O566" s="70">
        <f>SUM(O560:O565)</f>
        <v>20640</v>
      </c>
    </row>
    <row r="567" spans="1:15" ht="19.5" thickBot="1" x14ac:dyDescent="0.35">
      <c r="A567" s="226" t="s">
        <v>103</v>
      </c>
      <c r="B567" s="227"/>
      <c r="C567" s="227"/>
      <c r="D567" s="227"/>
      <c r="E567" s="227"/>
      <c r="F567" s="228"/>
      <c r="G567" s="44">
        <f>G559+G566</f>
        <v>83325</v>
      </c>
      <c r="I567" s="226" t="s">
        <v>103</v>
      </c>
      <c r="J567" s="227"/>
      <c r="K567" s="227"/>
      <c r="L567" s="227"/>
      <c r="M567" s="227"/>
      <c r="N567" s="228"/>
      <c r="O567" s="44">
        <f>O558+O566</f>
        <v>134375</v>
      </c>
    </row>
    <row r="568" spans="1:15" ht="15.75" x14ac:dyDescent="0.25">
      <c r="A568" s="229" t="s">
        <v>95</v>
      </c>
      <c r="B568" s="230"/>
      <c r="C568" s="230"/>
      <c r="D568" s="230"/>
      <c r="E568" s="230"/>
      <c r="F568" s="230"/>
      <c r="G568" s="231"/>
      <c r="I568" s="229" t="s">
        <v>95</v>
      </c>
      <c r="J568" s="230"/>
      <c r="K568" s="230"/>
      <c r="L568" s="230"/>
      <c r="M568" s="230"/>
      <c r="N568" s="230"/>
      <c r="O568" s="231"/>
    </row>
    <row r="569" spans="1:15" ht="15.75" x14ac:dyDescent="0.25">
      <c r="A569" s="114" t="s">
        <v>0</v>
      </c>
      <c r="B569" s="114" t="s">
        <v>1</v>
      </c>
      <c r="C569" s="114" t="s">
        <v>3</v>
      </c>
      <c r="D569" s="114" t="s">
        <v>2</v>
      </c>
      <c r="E569" s="114" t="s">
        <v>6</v>
      </c>
      <c r="F569" s="114" t="s">
        <v>7</v>
      </c>
      <c r="G569" s="114" t="s">
        <v>8</v>
      </c>
      <c r="I569" s="114" t="s">
        <v>0</v>
      </c>
      <c r="J569" s="114" t="s">
        <v>1</v>
      </c>
      <c r="K569" s="114" t="s">
        <v>3</v>
      </c>
      <c r="L569" s="114" t="s">
        <v>2</v>
      </c>
      <c r="M569" s="114" t="s">
        <v>6</v>
      </c>
      <c r="N569" s="114" t="s">
        <v>7</v>
      </c>
      <c r="O569" s="114" t="s">
        <v>8</v>
      </c>
    </row>
    <row r="570" spans="1:15" x14ac:dyDescent="0.25">
      <c r="A570" s="113">
        <v>1</v>
      </c>
      <c r="B570" s="1" t="s">
        <v>196</v>
      </c>
      <c r="C570" s="67">
        <v>46033</v>
      </c>
      <c r="D570" s="1" t="s">
        <v>12</v>
      </c>
      <c r="E570" s="1">
        <v>1</v>
      </c>
      <c r="F570" s="1">
        <v>50</v>
      </c>
      <c r="G570" s="5">
        <f t="shared" ref="G570:G571" si="141">F570*E570</f>
        <v>50</v>
      </c>
      <c r="I570" s="113">
        <v>1</v>
      </c>
      <c r="J570" s="113" t="s">
        <v>9</v>
      </c>
      <c r="K570" s="67">
        <v>46034</v>
      </c>
      <c r="L570" s="3" t="s">
        <v>12</v>
      </c>
      <c r="M570" s="113">
        <v>10</v>
      </c>
      <c r="N570" s="113">
        <v>35</v>
      </c>
      <c r="O570" s="4">
        <f t="shared" ref="O570:O572" si="142">N570*M570</f>
        <v>350</v>
      </c>
    </row>
    <row r="571" spans="1:15" x14ac:dyDescent="0.25">
      <c r="A571" s="113">
        <v>2</v>
      </c>
      <c r="B571" s="1" t="s">
        <v>43</v>
      </c>
      <c r="C571" s="67">
        <v>46033</v>
      </c>
      <c r="D571" s="1" t="s">
        <v>13</v>
      </c>
      <c r="E571" s="1">
        <v>1</v>
      </c>
      <c r="F571" s="1">
        <v>30</v>
      </c>
      <c r="G571" s="5">
        <f t="shared" si="141"/>
        <v>30</v>
      </c>
      <c r="I571" s="113">
        <v>2</v>
      </c>
      <c r="J571" s="1" t="s">
        <v>196</v>
      </c>
      <c r="K571" s="67">
        <v>46034</v>
      </c>
      <c r="L571" s="1" t="s">
        <v>12</v>
      </c>
      <c r="M571" s="1">
        <v>13</v>
      </c>
      <c r="N571" s="1">
        <v>50</v>
      </c>
      <c r="O571" s="5">
        <f t="shared" si="142"/>
        <v>650</v>
      </c>
    </row>
    <row r="572" spans="1:15" x14ac:dyDescent="0.25">
      <c r="A572" s="113">
        <v>3</v>
      </c>
      <c r="B572" s="1" t="s">
        <v>178</v>
      </c>
      <c r="C572" s="67">
        <v>46033</v>
      </c>
      <c r="D572" s="1" t="s">
        <v>13</v>
      </c>
      <c r="E572" s="1">
        <v>0.5</v>
      </c>
      <c r="F572" s="1">
        <v>400</v>
      </c>
      <c r="G572" s="5">
        <f>F572*E572</f>
        <v>200</v>
      </c>
      <c r="I572" s="113">
        <v>3</v>
      </c>
      <c r="J572" s="1" t="s">
        <v>43</v>
      </c>
      <c r="K572" s="67">
        <v>46034</v>
      </c>
      <c r="L572" s="1" t="s">
        <v>13</v>
      </c>
      <c r="M572" s="1">
        <v>8</v>
      </c>
      <c r="N572" s="1">
        <v>30</v>
      </c>
      <c r="O572" s="5">
        <f t="shared" si="142"/>
        <v>240</v>
      </c>
    </row>
    <row r="573" spans="1:15" x14ac:dyDescent="0.25">
      <c r="A573" s="113">
        <v>4</v>
      </c>
      <c r="B573" s="1" t="s">
        <v>18</v>
      </c>
      <c r="C573" s="67">
        <v>46033</v>
      </c>
      <c r="D573" s="1" t="s">
        <v>13</v>
      </c>
      <c r="E573" s="1">
        <v>2</v>
      </c>
      <c r="F573" s="1">
        <v>80</v>
      </c>
      <c r="G573" s="5">
        <f t="shared" ref="G573" si="143">F573*E573</f>
        <v>160</v>
      </c>
      <c r="I573" s="113">
        <v>4</v>
      </c>
      <c r="J573" s="1" t="s">
        <v>178</v>
      </c>
      <c r="K573" s="67">
        <v>46034</v>
      </c>
      <c r="L573" s="1" t="s">
        <v>13</v>
      </c>
      <c r="M573" s="1">
        <v>1</v>
      </c>
      <c r="N573" s="1">
        <v>400</v>
      </c>
      <c r="O573" s="5">
        <f>N573*M573</f>
        <v>400</v>
      </c>
    </row>
    <row r="574" spans="1:15" x14ac:dyDescent="0.25">
      <c r="A574" s="113">
        <v>5</v>
      </c>
      <c r="B574" s="24" t="s">
        <v>673</v>
      </c>
      <c r="C574" s="67">
        <v>46033</v>
      </c>
      <c r="D574" s="1" t="s">
        <v>20</v>
      </c>
      <c r="E574" s="24">
        <v>1</v>
      </c>
      <c r="F574" s="1">
        <v>1600</v>
      </c>
      <c r="G574" s="5">
        <f t="shared" ref="G574" si="144">F574*E574</f>
        <v>1600</v>
      </c>
      <c r="I574" s="113">
        <v>5</v>
      </c>
      <c r="J574" s="1" t="s">
        <v>697</v>
      </c>
      <c r="K574" s="67">
        <v>46034</v>
      </c>
      <c r="L574" s="1" t="s">
        <v>13</v>
      </c>
      <c r="M574" s="1">
        <v>3</v>
      </c>
      <c r="N574" s="1">
        <v>110</v>
      </c>
      <c r="O574" s="5">
        <f>N574*M574</f>
        <v>330</v>
      </c>
    </row>
    <row r="575" spans="1:15" x14ac:dyDescent="0.25">
      <c r="A575" s="113">
        <v>6</v>
      </c>
      <c r="B575" s="24" t="s">
        <v>679</v>
      </c>
      <c r="C575" s="67">
        <v>46033</v>
      </c>
      <c r="D575" s="1" t="s">
        <v>20</v>
      </c>
      <c r="E575" s="24">
        <v>1</v>
      </c>
      <c r="F575" s="1">
        <v>1500</v>
      </c>
      <c r="G575" s="5">
        <f>F575*E575</f>
        <v>1500</v>
      </c>
      <c r="I575" s="113">
        <v>6</v>
      </c>
      <c r="J575" s="1" t="s">
        <v>626</v>
      </c>
      <c r="K575" s="67">
        <v>46034</v>
      </c>
      <c r="L575" s="1" t="s">
        <v>13</v>
      </c>
      <c r="M575" s="1">
        <v>16</v>
      </c>
      <c r="N575" s="1">
        <v>220</v>
      </c>
      <c r="O575" s="5">
        <f t="shared" ref="O575" si="145">N575*M575</f>
        <v>3520</v>
      </c>
    </row>
    <row r="576" spans="1:15" x14ac:dyDescent="0.25">
      <c r="A576" s="113">
        <v>7</v>
      </c>
      <c r="B576" s="24" t="s">
        <v>19</v>
      </c>
      <c r="C576" s="67">
        <v>46033</v>
      </c>
      <c r="D576" s="1" t="s">
        <v>20</v>
      </c>
      <c r="E576" s="24">
        <v>19</v>
      </c>
      <c r="F576" s="1">
        <v>15</v>
      </c>
      <c r="G576" s="5">
        <f>F576*E576</f>
        <v>285</v>
      </c>
      <c r="I576" s="113">
        <v>7</v>
      </c>
      <c r="J576" s="18" t="s">
        <v>19</v>
      </c>
      <c r="K576" s="67">
        <v>46034</v>
      </c>
      <c r="L576" s="1" t="s">
        <v>13</v>
      </c>
      <c r="M576" s="20">
        <v>43</v>
      </c>
      <c r="N576" s="1">
        <v>15</v>
      </c>
      <c r="O576" s="5">
        <f>N576*M576</f>
        <v>645</v>
      </c>
    </row>
    <row r="577" spans="1:15" x14ac:dyDescent="0.25">
      <c r="A577" s="113">
        <v>8</v>
      </c>
      <c r="B577" s="24" t="s">
        <v>678</v>
      </c>
      <c r="C577" s="67">
        <v>46033</v>
      </c>
      <c r="D577" s="1" t="s">
        <v>20</v>
      </c>
      <c r="E577" s="24">
        <v>2</v>
      </c>
      <c r="F577" s="1">
        <v>500</v>
      </c>
      <c r="G577" s="5">
        <f>F577*E577</f>
        <v>1000</v>
      </c>
      <c r="I577" s="113">
        <v>8</v>
      </c>
      <c r="J577" s="24" t="s">
        <v>109</v>
      </c>
      <c r="K577" s="67">
        <v>46034</v>
      </c>
      <c r="L577" s="1" t="s">
        <v>20</v>
      </c>
      <c r="M577" s="24">
        <v>9</v>
      </c>
      <c r="N577" s="1">
        <v>170</v>
      </c>
      <c r="O577" s="5">
        <f>N577*M577</f>
        <v>1530</v>
      </c>
    </row>
    <row r="578" spans="1:15" x14ac:dyDescent="0.25">
      <c r="A578" s="113">
        <v>9</v>
      </c>
      <c r="B578" s="24" t="s">
        <v>489</v>
      </c>
      <c r="C578" s="67">
        <v>46033</v>
      </c>
      <c r="D578" s="1" t="s">
        <v>20</v>
      </c>
      <c r="E578" s="24">
        <v>13</v>
      </c>
      <c r="F578" s="1">
        <v>35</v>
      </c>
      <c r="G578" s="5">
        <f>F578*E578</f>
        <v>455</v>
      </c>
      <c r="I578" s="113">
        <v>9</v>
      </c>
      <c r="J578" s="24" t="s">
        <v>19</v>
      </c>
      <c r="K578" s="67">
        <v>46034</v>
      </c>
      <c r="L578" s="1" t="s">
        <v>20</v>
      </c>
      <c r="M578" s="24">
        <v>29</v>
      </c>
      <c r="N578" s="1">
        <v>15</v>
      </c>
      <c r="O578" s="5">
        <f>N578*M578</f>
        <v>435</v>
      </c>
    </row>
    <row r="579" spans="1:15" x14ac:dyDescent="0.25">
      <c r="A579" s="113">
        <v>10</v>
      </c>
      <c r="B579" s="1" t="s">
        <v>102</v>
      </c>
      <c r="C579" s="67">
        <v>46033</v>
      </c>
      <c r="D579" s="1" t="s">
        <v>310</v>
      </c>
      <c r="E579" s="1">
        <v>1</v>
      </c>
      <c r="F579" s="1">
        <v>120</v>
      </c>
      <c r="G579" s="5">
        <f t="shared" ref="G579:G582" si="146">F579*E579</f>
        <v>120</v>
      </c>
      <c r="I579" s="113">
        <v>10</v>
      </c>
      <c r="J579" s="24" t="s">
        <v>636</v>
      </c>
      <c r="K579" s="67">
        <v>46034</v>
      </c>
      <c r="L579" s="1" t="s">
        <v>20</v>
      </c>
      <c r="M579" s="24">
        <v>6</v>
      </c>
      <c r="N579" s="1">
        <v>35</v>
      </c>
      <c r="O579" s="5">
        <f>N579*M579</f>
        <v>210</v>
      </c>
    </row>
    <row r="580" spans="1:15" x14ac:dyDescent="0.25">
      <c r="A580" s="113">
        <v>11</v>
      </c>
      <c r="B580" s="1" t="s">
        <v>197</v>
      </c>
      <c r="C580" s="67">
        <v>46033</v>
      </c>
      <c r="D580" s="1" t="s">
        <v>310</v>
      </c>
      <c r="E580" s="1">
        <v>4</v>
      </c>
      <c r="F580" s="1">
        <v>40</v>
      </c>
      <c r="G580" s="5">
        <f t="shared" si="146"/>
        <v>160</v>
      </c>
      <c r="I580" s="113">
        <v>11</v>
      </c>
      <c r="J580" s="1" t="s">
        <v>110</v>
      </c>
      <c r="K580" s="67">
        <v>46034</v>
      </c>
      <c r="L580" s="1" t="s">
        <v>310</v>
      </c>
      <c r="M580" s="1">
        <v>4</v>
      </c>
      <c r="N580" s="1">
        <v>120</v>
      </c>
      <c r="O580" s="5">
        <f t="shared" ref="O580:O584" si="147">N580*M580</f>
        <v>480</v>
      </c>
    </row>
    <row r="581" spans="1:15" x14ac:dyDescent="0.25">
      <c r="A581" s="113">
        <v>12</v>
      </c>
      <c r="B581" s="1" t="s">
        <v>402</v>
      </c>
      <c r="C581" s="67">
        <v>46033</v>
      </c>
      <c r="D581" s="1" t="s">
        <v>310</v>
      </c>
      <c r="E581" s="1">
        <v>2</v>
      </c>
      <c r="F581" s="1">
        <v>70</v>
      </c>
      <c r="G581" s="5">
        <f t="shared" si="146"/>
        <v>140</v>
      </c>
      <c r="I581" s="113">
        <v>12</v>
      </c>
      <c r="J581" s="1" t="s">
        <v>102</v>
      </c>
      <c r="K581" s="67">
        <v>46034</v>
      </c>
      <c r="L581" s="1" t="s">
        <v>310</v>
      </c>
      <c r="M581" s="1">
        <v>3</v>
      </c>
      <c r="N581" s="1">
        <v>120</v>
      </c>
      <c r="O581" s="5">
        <f t="shared" si="147"/>
        <v>360</v>
      </c>
    </row>
    <row r="582" spans="1:15" x14ac:dyDescent="0.25">
      <c r="A582" s="113">
        <v>13</v>
      </c>
      <c r="B582" s="1" t="s">
        <v>179</v>
      </c>
      <c r="C582" s="67">
        <v>46033</v>
      </c>
      <c r="D582" s="1" t="s">
        <v>310</v>
      </c>
      <c r="E582" s="1">
        <v>1</v>
      </c>
      <c r="F582" s="1">
        <v>180</v>
      </c>
      <c r="G582" s="5">
        <f t="shared" si="146"/>
        <v>180</v>
      </c>
      <c r="I582" s="113">
        <v>13</v>
      </c>
      <c r="J582" s="1" t="s">
        <v>197</v>
      </c>
      <c r="K582" s="67">
        <v>46034</v>
      </c>
      <c r="L582" s="1" t="s">
        <v>310</v>
      </c>
      <c r="M582" s="1">
        <v>2</v>
      </c>
      <c r="N582" s="1">
        <v>220</v>
      </c>
      <c r="O582" s="5">
        <f t="shared" si="147"/>
        <v>440</v>
      </c>
    </row>
    <row r="583" spans="1:15" x14ac:dyDescent="0.25">
      <c r="A583" s="113">
        <v>14</v>
      </c>
      <c r="B583" s="1" t="s">
        <v>294</v>
      </c>
      <c r="C583" s="67">
        <v>46033</v>
      </c>
      <c r="D583" s="1" t="s">
        <v>310</v>
      </c>
      <c r="E583" s="1">
        <v>2</v>
      </c>
      <c r="F583" s="1">
        <v>60</v>
      </c>
      <c r="G583" s="5">
        <f>F583*E583</f>
        <v>120</v>
      </c>
      <c r="I583" s="113">
        <v>14</v>
      </c>
      <c r="J583" s="1" t="s">
        <v>402</v>
      </c>
      <c r="K583" s="67">
        <v>46034</v>
      </c>
      <c r="L583" s="1" t="s">
        <v>310</v>
      </c>
      <c r="M583" s="1">
        <v>9</v>
      </c>
      <c r="N583" s="1">
        <v>70</v>
      </c>
      <c r="O583" s="5">
        <f t="shared" si="147"/>
        <v>630</v>
      </c>
    </row>
    <row r="584" spans="1:15" x14ac:dyDescent="0.25">
      <c r="A584" s="113">
        <v>15</v>
      </c>
      <c r="B584" s="1" t="s">
        <v>383</v>
      </c>
      <c r="C584" s="67">
        <v>46033</v>
      </c>
      <c r="D584" s="1" t="s">
        <v>310</v>
      </c>
      <c r="E584" s="1">
        <v>3</v>
      </c>
      <c r="F584" s="1">
        <v>70</v>
      </c>
      <c r="G584" s="5">
        <f t="shared" ref="G584" si="148">F584*E584</f>
        <v>210</v>
      </c>
      <c r="I584" s="113">
        <v>15</v>
      </c>
      <c r="J584" s="1" t="s">
        <v>179</v>
      </c>
      <c r="K584" s="67">
        <v>46034</v>
      </c>
      <c r="L584" s="1" t="s">
        <v>310</v>
      </c>
      <c r="M584" s="1">
        <v>6</v>
      </c>
      <c r="N584" s="1">
        <v>70</v>
      </c>
      <c r="O584" s="5">
        <f t="shared" si="147"/>
        <v>420</v>
      </c>
    </row>
    <row r="585" spans="1:15" ht="16.5" thickBot="1" x14ac:dyDescent="0.3">
      <c r="A585" s="242" t="s">
        <v>25</v>
      </c>
      <c r="B585" s="243"/>
      <c r="C585" s="243"/>
      <c r="D585" s="243"/>
      <c r="E585" s="243"/>
      <c r="F585" s="244"/>
      <c r="G585" s="57">
        <f>SUM(G570:G584)</f>
        <v>6210</v>
      </c>
      <c r="I585" s="113">
        <v>16</v>
      </c>
      <c r="J585" s="1" t="s">
        <v>294</v>
      </c>
      <c r="K585" s="67">
        <v>46034</v>
      </c>
      <c r="L585" s="1" t="s">
        <v>310</v>
      </c>
      <c r="M585" s="1">
        <v>2</v>
      </c>
      <c r="N585" s="1">
        <v>60</v>
      </c>
      <c r="O585" s="5">
        <f>N585*M585</f>
        <v>120</v>
      </c>
    </row>
    <row r="586" spans="1:15" ht="16.5" thickBot="1" x14ac:dyDescent="0.3">
      <c r="A586" s="217" t="s">
        <v>101</v>
      </c>
      <c r="B586" s="218"/>
      <c r="C586" s="218"/>
      <c r="D586" s="218"/>
      <c r="E586" s="218"/>
      <c r="F586" s="219"/>
      <c r="G586" s="48">
        <f>G585+G566+G559</f>
        <v>89535</v>
      </c>
      <c r="I586" s="113">
        <v>17</v>
      </c>
      <c r="J586" s="1" t="s">
        <v>83</v>
      </c>
      <c r="K586" s="67">
        <v>46034</v>
      </c>
      <c r="L586" s="1" t="s">
        <v>310</v>
      </c>
      <c r="M586" s="1">
        <v>2</v>
      </c>
      <c r="N586" s="1">
        <v>80</v>
      </c>
      <c r="O586" s="5">
        <f t="shared" ref="O586" si="149">N586*M586</f>
        <v>160</v>
      </c>
    </row>
    <row r="587" spans="1:15" ht="16.5" thickBot="1" x14ac:dyDescent="0.3">
      <c r="I587" s="242" t="s">
        <v>25</v>
      </c>
      <c r="J587" s="243"/>
      <c r="K587" s="243"/>
      <c r="L587" s="243"/>
      <c r="M587" s="243"/>
      <c r="N587" s="244"/>
      <c r="O587" s="57">
        <f>SUM(O570:O586)</f>
        <v>10920</v>
      </c>
    </row>
    <row r="588" spans="1:15" ht="16.5" thickBot="1" x14ac:dyDescent="0.3">
      <c r="A588" s="33" t="s">
        <v>0</v>
      </c>
      <c r="B588" s="34" t="s">
        <v>1</v>
      </c>
      <c r="C588" s="34" t="s">
        <v>3</v>
      </c>
      <c r="D588" s="34" t="s">
        <v>2</v>
      </c>
      <c r="E588" s="34" t="s">
        <v>6</v>
      </c>
      <c r="F588" s="34" t="s">
        <v>7</v>
      </c>
      <c r="G588" s="35" t="s">
        <v>8</v>
      </c>
      <c r="I588" s="217" t="s">
        <v>101</v>
      </c>
      <c r="J588" s="218"/>
      <c r="K588" s="218"/>
      <c r="L588" s="218"/>
      <c r="M588" s="218"/>
      <c r="N588" s="219"/>
      <c r="O588" s="48">
        <f>O587+O566+O558</f>
        <v>145295</v>
      </c>
    </row>
    <row r="589" spans="1:15" ht="15.75" thickBot="1" x14ac:dyDescent="0.3">
      <c r="A589" s="3">
        <v>1</v>
      </c>
      <c r="B589" s="3" t="s">
        <v>4</v>
      </c>
      <c r="C589" s="67">
        <v>46035</v>
      </c>
      <c r="D589" s="3" t="s">
        <v>11</v>
      </c>
      <c r="E589" s="30">
        <v>192</v>
      </c>
      <c r="F589" s="3">
        <v>30</v>
      </c>
      <c r="G589" s="4">
        <f>F589*E589</f>
        <v>5760</v>
      </c>
    </row>
    <row r="590" spans="1:15" ht="16.5" thickBot="1" x14ac:dyDescent="0.3">
      <c r="A590" s="3">
        <v>2</v>
      </c>
      <c r="B590" s="1" t="s">
        <v>9</v>
      </c>
      <c r="C590" s="67">
        <v>46035</v>
      </c>
      <c r="D590" s="1" t="s">
        <v>12</v>
      </c>
      <c r="E590" s="31">
        <v>613</v>
      </c>
      <c r="F590" s="1">
        <v>30</v>
      </c>
      <c r="G590" s="4">
        <f t="shared" ref="G590:G594" si="150">F590*E590</f>
        <v>18390</v>
      </c>
      <c r="I590" s="33" t="s">
        <v>0</v>
      </c>
      <c r="J590" s="34" t="s">
        <v>1</v>
      </c>
      <c r="K590" s="34" t="s">
        <v>3</v>
      </c>
      <c r="L590" s="34" t="s">
        <v>2</v>
      </c>
      <c r="M590" s="34" t="s">
        <v>6</v>
      </c>
      <c r="N590" s="34" t="s">
        <v>7</v>
      </c>
      <c r="O590" s="35" t="s">
        <v>8</v>
      </c>
    </row>
    <row r="591" spans="1:15" x14ac:dyDescent="0.25">
      <c r="A591" s="3">
        <v>3</v>
      </c>
      <c r="B591" s="1" t="s">
        <v>656</v>
      </c>
      <c r="C591" s="67">
        <v>46035</v>
      </c>
      <c r="D591" s="1" t="s">
        <v>12</v>
      </c>
      <c r="E591" s="31">
        <v>6</v>
      </c>
      <c r="F591" s="1">
        <v>50</v>
      </c>
      <c r="G591" s="4">
        <f t="shared" si="150"/>
        <v>300</v>
      </c>
      <c r="I591" s="3">
        <v>1</v>
      </c>
      <c r="J591" s="3" t="s">
        <v>4</v>
      </c>
      <c r="K591" s="67">
        <v>46036</v>
      </c>
      <c r="L591" s="3" t="s">
        <v>11</v>
      </c>
      <c r="M591" s="30">
        <v>233</v>
      </c>
      <c r="N591" s="3">
        <v>30</v>
      </c>
      <c r="O591" s="4">
        <f>N591*M591</f>
        <v>6990</v>
      </c>
    </row>
    <row r="592" spans="1:15" x14ac:dyDescent="0.25">
      <c r="A592" s="3">
        <v>4</v>
      </c>
      <c r="B592" s="1" t="s">
        <v>4</v>
      </c>
      <c r="C592" s="67">
        <v>46035</v>
      </c>
      <c r="D592" s="1" t="s">
        <v>12</v>
      </c>
      <c r="E592" s="31">
        <v>513</v>
      </c>
      <c r="F592" s="1">
        <v>30</v>
      </c>
      <c r="G592" s="4">
        <f t="shared" si="150"/>
        <v>15390</v>
      </c>
      <c r="I592" s="3">
        <v>2</v>
      </c>
      <c r="J592" s="1" t="s">
        <v>9</v>
      </c>
      <c r="K592" s="67">
        <v>46036</v>
      </c>
      <c r="L592" s="1" t="s">
        <v>12</v>
      </c>
      <c r="M592" s="31">
        <v>641</v>
      </c>
      <c r="N592" s="1">
        <v>30</v>
      </c>
      <c r="O592" s="4">
        <f t="shared" ref="O592:O596" si="151">N592*M592</f>
        <v>19230</v>
      </c>
    </row>
    <row r="593" spans="1:15" x14ac:dyDescent="0.25">
      <c r="A593" s="3">
        <v>5</v>
      </c>
      <c r="B593" s="1" t="s">
        <v>698</v>
      </c>
      <c r="C593" s="67">
        <v>46035</v>
      </c>
      <c r="D593" s="1" t="s">
        <v>12</v>
      </c>
      <c r="E593" s="31">
        <v>39</v>
      </c>
      <c r="F593" s="1">
        <v>50</v>
      </c>
      <c r="G593" s="4">
        <f t="shared" si="150"/>
        <v>1950</v>
      </c>
      <c r="I593" s="3">
        <v>3</v>
      </c>
      <c r="J593" s="1" t="s">
        <v>656</v>
      </c>
      <c r="K593" s="67">
        <v>46036</v>
      </c>
      <c r="L593" s="1" t="s">
        <v>12</v>
      </c>
      <c r="M593" s="31">
        <v>27</v>
      </c>
      <c r="N593" s="1">
        <v>50</v>
      </c>
      <c r="O593" s="4">
        <f t="shared" si="151"/>
        <v>1350</v>
      </c>
    </row>
    <row r="594" spans="1:15" x14ac:dyDescent="0.25">
      <c r="A594" s="3">
        <v>6</v>
      </c>
      <c r="B594" s="1" t="s">
        <v>14</v>
      </c>
      <c r="C594" s="67">
        <v>46035</v>
      </c>
      <c r="D594" s="1" t="s">
        <v>13</v>
      </c>
      <c r="E594" s="31">
        <v>156</v>
      </c>
      <c r="F594" s="1">
        <v>80</v>
      </c>
      <c r="G594" s="30">
        <f t="shared" si="150"/>
        <v>12480</v>
      </c>
      <c r="I594" s="3">
        <v>4</v>
      </c>
      <c r="J594" s="1" t="s">
        <v>4</v>
      </c>
      <c r="K594" s="67">
        <v>46036</v>
      </c>
      <c r="L594" s="1" t="s">
        <v>12</v>
      </c>
      <c r="M594" s="31">
        <v>501</v>
      </c>
      <c r="N594" s="1">
        <v>30</v>
      </c>
      <c r="O594" s="4">
        <f t="shared" si="151"/>
        <v>15030</v>
      </c>
    </row>
    <row r="595" spans="1:15" x14ac:dyDescent="0.25">
      <c r="A595" s="3">
        <v>7</v>
      </c>
      <c r="B595" s="1" t="s">
        <v>719</v>
      </c>
      <c r="C595" s="67">
        <v>46035</v>
      </c>
      <c r="D595" s="1" t="s">
        <v>13</v>
      </c>
      <c r="E595" s="31">
        <v>27</v>
      </c>
      <c r="F595" s="1">
        <v>250</v>
      </c>
      <c r="G595" s="4">
        <f>F595*E595</f>
        <v>6750</v>
      </c>
      <c r="I595" s="3">
        <v>5</v>
      </c>
      <c r="J595" s="1" t="s">
        <v>241</v>
      </c>
      <c r="K595" s="67">
        <v>46036</v>
      </c>
      <c r="L595" s="1" t="s">
        <v>12</v>
      </c>
      <c r="M595" s="31">
        <v>48</v>
      </c>
      <c r="N595" s="1">
        <v>50</v>
      </c>
      <c r="O595" s="4">
        <f t="shared" si="151"/>
        <v>2400</v>
      </c>
    </row>
    <row r="596" spans="1:15" x14ac:dyDescent="0.25">
      <c r="A596" s="3">
        <v>8</v>
      </c>
      <c r="B596" s="1" t="s">
        <v>19</v>
      </c>
      <c r="C596" s="67">
        <v>46035</v>
      </c>
      <c r="D596" s="1" t="s">
        <v>13</v>
      </c>
      <c r="E596" s="31">
        <v>1088</v>
      </c>
      <c r="F596" s="1">
        <v>15</v>
      </c>
      <c r="G596" s="4">
        <f t="shared" ref="G596:G605" si="152">F596*E596</f>
        <v>16320</v>
      </c>
      <c r="I596" s="3">
        <v>6</v>
      </c>
      <c r="J596" s="1" t="s">
        <v>14</v>
      </c>
      <c r="K596" s="67">
        <v>46036</v>
      </c>
      <c r="L596" s="1" t="s">
        <v>13</v>
      </c>
      <c r="M596" s="31">
        <v>71</v>
      </c>
      <c r="N596" s="1">
        <v>80</v>
      </c>
      <c r="O596" s="30">
        <f t="shared" si="151"/>
        <v>5680</v>
      </c>
    </row>
    <row r="597" spans="1:15" x14ac:dyDescent="0.25">
      <c r="A597" s="3">
        <v>9</v>
      </c>
      <c r="B597" s="1" t="s">
        <v>33</v>
      </c>
      <c r="C597" s="67">
        <v>46035</v>
      </c>
      <c r="D597" s="1" t="s">
        <v>13</v>
      </c>
      <c r="E597" s="31">
        <v>4</v>
      </c>
      <c r="F597" s="1">
        <v>30</v>
      </c>
      <c r="G597" s="5">
        <f t="shared" si="152"/>
        <v>120</v>
      </c>
      <c r="I597" s="3">
        <v>7</v>
      </c>
      <c r="J597" s="1" t="s">
        <v>164</v>
      </c>
      <c r="K597" s="67">
        <v>46036</v>
      </c>
      <c r="L597" s="1" t="s">
        <v>13</v>
      </c>
      <c r="M597" s="31">
        <v>65</v>
      </c>
      <c r="N597" s="1">
        <v>120</v>
      </c>
      <c r="O597" s="4">
        <f>N597*M597</f>
        <v>7800</v>
      </c>
    </row>
    <row r="598" spans="1:15" x14ac:dyDescent="0.25">
      <c r="A598" s="3">
        <v>10</v>
      </c>
      <c r="B598" s="1" t="s">
        <v>489</v>
      </c>
      <c r="C598" s="67">
        <v>46035</v>
      </c>
      <c r="D598" s="1" t="s">
        <v>13</v>
      </c>
      <c r="E598" s="5">
        <v>156</v>
      </c>
      <c r="F598" s="1">
        <v>30</v>
      </c>
      <c r="G598" s="5">
        <f t="shared" si="152"/>
        <v>4680</v>
      </c>
      <c r="I598" s="3">
        <v>8</v>
      </c>
      <c r="J598" s="1" t="s">
        <v>19</v>
      </c>
      <c r="K598" s="67">
        <v>46036</v>
      </c>
      <c r="L598" s="1" t="s">
        <v>13</v>
      </c>
      <c r="M598" s="31">
        <v>848</v>
      </c>
      <c r="N598" s="1">
        <v>15</v>
      </c>
      <c r="O598" s="4">
        <f t="shared" ref="O598:O607" si="153">N598*M598</f>
        <v>12720</v>
      </c>
    </row>
    <row r="599" spans="1:15" x14ac:dyDescent="0.25">
      <c r="A599" s="3">
        <v>11</v>
      </c>
      <c r="B599" s="1" t="s">
        <v>291</v>
      </c>
      <c r="C599" s="67">
        <v>46035</v>
      </c>
      <c r="D599" s="1" t="s">
        <v>13</v>
      </c>
      <c r="E599" s="5">
        <v>1</v>
      </c>
      <c r="F599" s="1">
        <v>180</v>
      </c>
      <c r="G599" s="5">
        <f t="shared" si="152"/>
        <v>180</v>
      </c>
      <c r="I599" s="3">
        <v>9</v>
      </c>
      <c r="J599" s="1" t="s">
        <v>273</v>
      </c>
      <c r="K599" s="67">
        <v>46036</v>
      </c>
      <c r="L599" s="1" t="s">
        <v>13</v>
      </c>
      <c r="M599" s="31">
        <v>114</v>
      </c>
      <c r="N599" s="1">
        <v>180</v>
      </c>
      <c r="O599" s="5">
        <f t="shared" si="153"/>
        <v>20520</v>
      </c>
    </row>
    <row r="600" spans="1:15" x14ac:dyDescent="0.25">
      <c r="A600" s="3">
        <v>12</v>
      </c>
      <c r="B600" s="1" t="s">
        <v>489</v>
      </c>
      <c r="C600" s="67">
        <v>46035</v>
      </c>
      <c r="D600" s="1" t="s">
        <v>17</v>
      </c>
      <c r="E600" s="5">
        <v>451</v>
      </c>
      <c r="F600" s="1">
        <v>30</v>
      </c>
      <c r="G600" s="5">
        <f t="shared" si="152"/>
        <v>13530</v>
      </c>
      <c r="I600" s="3">
        <v>10</v>
      </c>
      <c r="J600" s="1" t="s">
        <v>489</v>
      </c>
      <c r="K600" s="67">
        <v>46036</v>
      </c>
      <c r="L600" s="1" t="s">
        <v>13</v>
      </c>
      <c r="M600" s="5">
        <v>155</v>
      </c>
      <c r="N600" s="1">
        <v>30</v>
      </c>
      <c r="O600" s="5">
        <f t="shared" si="153"/>
        <v>4650</v>
      </c>
    </row>
    <row r="601" spans="1:15" x14ac:dyDescent="0.25">
      <c r="A601" s="3">
        <v>13</v>
      </c>
      <c r="B601" s="1" t="s">
        <v>18</v>
      </c>
      <c r="C601" s="67">
        <v>46035</v>
      </c>
      <c r="D601" s="1" t="s">
        <v>20</v>
      </c>
      <c r="E601" s="5">
        <v>68</v>
      </c>
      <c r="F601" s="1">
        <v>80</v>
      </c>
      <c r="G601" s="5">
        <f t="shared" si="152"/>
        <v>5440</v>
      </c>
      <c r="I601" s="3">
        <v>11</v>
      </c>
      <c r="J601" s="1" t="s">
        <v>291</v>
      </c>
      <c r="K601" s="67">
        <v>46036</v>
      </c>
      <c r="L601" s="1" t="s">
        <v>13</v>
      </c>
      <c r="M601" s="5">
        <v>12</v>
      </c>
      <c r="N601" s="1">
        <v>180</v>
      </c>
      <c r="O601" s="5">
        <f t="shared" si="153"/>
        <v>2160</v>
      </c>
    </row>
    <row r="602" spans="1:15" x14ac:dyDescent="0.25">
      <c r="A602" s="3">
        <v>14</v>
      </c>
      <c r="B602" s="1" t="s">
        <v>19</v>
      </c>
      <c r="C602" s="67">
        <v>46035</v>
      </c>
      <c r="D602" s="1" t="s">
        <v>20</v>
      </c>
      <c r="E602" s="5">
        <v>414</v>
      </c>
      <c r="F602" s="1">
        <v>15</v>
      </c>
      <c r="G602" s="5">
        <f t="shared" si="152"/>
        <v>6210</v>
      </c>
      <c r="I602" s="3">
        <v>12</v>
      </c>
      <c r="J602" s="1" t="s">
        <v>489</v>
      </c>
      <c r="K602" s="67">
        <v>46036</v>
      </c>
      <c r="L602" s="1" t="s">
        <v>17</v>
      </c>
      <c r="M602" s="5">
        <v>449</v>
      </c>
      <c r="N602" s="1">
        <v>30</v>
      </c>
      <c r="O602" s="5">
        <f t="shared" si="153"/>
        <v>13470</v>
      </c>
    </row>
    <row r="603" spans="1:15" x14ac:dyDescent="0.25">
      <c r="A603" s="3">
        <v>15</v>
      </c>
      <c r="B603" s="1" t="s">
        <v>16</v>
      </c>
      <c r="C603" s="67">
        <v>46035</v>
      </c>
      <c r="D603" s="1" t="s">
        <v>20</v>
      </c>
      <c r="E603" s="5">
        <v>109</v>
      </c>
      <c r="F603" s="1">
        <v>30</v>
      </c>
      <c r="G603" s="5">
        <f t="shared" si="152"/>
        <v>3270</v>
      </c>
      <c r="I603" s="3">
        <v>13</v>
      </c>
      <c r="J603" s="1" t="s">
        <v>737</v>
      </c>
      <c r="K603" s="67">
        <v>46036</v>
      </c>
      <c r="L603" s="1" t="s">
        <v>20</v>
      </c>
      <c r="M603" s="5">
        <v>24</v>
      </c>
      <c r="N603" s="1">
        <v>80</v>
      </c>
      <c r="O603" s="5">
        <f t="shared" si="153"/>
        <v>1920</v>
      </c>
    </row>
    <row r="604" spans="1:15" x14ac:dyDescent="0.25">
      <c r="A604" s="3">
        <v>16</v>
      </c>
      <c r="B604" s="1" t="s">
        <v>237</v>
      </c>
      <c r="C604" s="67">
        <v>46035</v>
      </c>
      <c r="D604" s="1" t="s">
        <v>20</v>
      </c>
      <c r="E604" s="5">
        <v>12</v>
      </c>
      <c r="F604" s="1">
        <v>270</v>
      </c>
      <c r="G604" s="5">
        <f t="shared" si="152"/>
        <v>3240</v>
      </c>
      <c r="I604" s="3">
        <v>14</v>
      </c>
      <c r="J604" s="1" t="s">
        <v>19</v>
      </c>
      <c r="K604" s="67">
        <v>46036</v>
      </c>
      <c r="L604" s="1" t="s">
        <v>20</v>
      </c>
      <c r="M604" s="5">
        <v>228</v>
      </c>
      <c r="N604" s="1">
        <v>15</v>
      </c>
      <c r="O604" s="5">
        <f t="shared" si="153"/>
        <v>3420</v>
      </c>
    </row>
    <row r="605" spans="1:15" x14ac:dyDescent="0.25">
      <c r="A605" s="3">
        <v>17</v>
      </c>
      <c r="B605" s="1" t="s">
        <v>109</v>
      </c>
      <c r="C605" s="67">
        <v>46035</v>
      </c>
      <c r="D605" s="1" t="s">
        <v>20</v>
      </c>
      <c r="E605" s="5">
        <v>15</v>
      </c>
      <c r="F605" s="1">
        <v>120</v>
      </c>
      <c r="G605" s="5">
        <f t="shared" si="152"/>
        <v>1800</v>
      </c>
      <c r="I605" s="3">
        <v>15</v>
      </c>
      <c r="J605" s="1" t="s">
        <v>16</v>
      </c>
      <c r="K605" s="67">
        <v>46036</v>
      </c>
      <c r="L605" s="1" t="s">
        <v>20</v>
      </c>
      <c r="M605" s="5">
        <v>123</v>
      </c>
      <c r="N605" s="1">
        <v>30</v>
      </c>
      <c r="O605" s="5">
        <f t="shared" si="153"/>
        <v>3690</v>
      </c>
    </row>
    <row r="606" spans="1:15" ht="16.5" thickBot="1" x14ac:dyDescent="0.3">
      <c r="A606" s="233" t="s">
        <v>232</v>
      </c>
      <c r="B606" s="234"/>
      <c r="C606" s="234"/>
      <c r="D606" s="234"/>
      <c r="E606" s="234"/>
      <c r="F606" s="235"/>
      <c r="G606" s="57">
        <f>G632+G633+G634+G635+G636+G637+G638+G639</f>
        <v>3205</v>
      </c>
      <c r="I606" s="3">
        <v>16</v>
      </c>
      <c r="J606" s="1" t="s">
        <v>738</v>
      </c>
      <c r="K606" s="67">
        <v>46036</v>
      </c>
      <c r="L606" s="1" t="s">
        <v>20</v>
      </c>
      <c r="M606" s="5">
        <v>8</v>
      </c>
      <c r="N606" s="1">
        <v>180</v>
      </c>
      <c r="O606" s="5">
        <f t="shared" si="153"/>
        <v>1440</v>
      </c>
    </row>
    <row r="607" spans="1:15" ht="16.5" thickBot="1" x14ac:dyDescent="0.3">
      <c r="A607" s="236" t="s">
        <v>161</v>
      </c>
      <c r="B607" s="237"/>
      <c r="C607" s="237"/>
      <c r="D607" s="237"/>
      <c r="E607" s="237"/>
      <c r="F607" s="238"/>
      <c r="G607" s="51">
        <f>SUM(G589:G605)-G606</f>
        <v>112605</v>
      </c>
      <c r="I607" s="3">
        <v>17</v>
      </c>
      <c r="J607" s="1" t="s">
        <v>109</v>
      </c>
      <c r="K607" s="67">
        <v>46036</v>
      </c>
      <c r="L607" s="1" t="s">
        <v>20</v>
      </c>
      <c r="M607" s="5">
        <v>70</v>
      </c>
      <c r="N607" s="1">
        <v>120</v>
      </c>
      <c r="O607" s="5">
        <f t="shared" si="153"/>
        <v>8400</v>
      </c>
    </row>
    <row r="608" spans="1:15" ht="16.5" thickBot="1" x14ac:dyDescent="0.3">
      <c r="A608" s="239" t="s">
        <v>170</v>
      </c>
      <c r="B608" s="240"/>
      <c r="C608" s="240"/>
      <c r="D608" s="240"/>
      <c r="E608" s="240"/>
      <c r="F608" s="240"/>
      <c r="G608" s="241"/>
      <c r="I608" s="233" t="s">
        <v>232</v>
      </c>
      <c r="J608" s="234"/>
      <c r="K608" s="234"/>
      <c r="L608" s="234"/>
      <c r="M608" s="234"/>
      <c r="N608" s="235"/>
      <c r="O608" s="57">
        <f>O634+O635+O636+O638+O639+O640+O641+O642+O643+O644+O645+O646</f>
        <v>3020</v>
      </c>
    </row>
    <row r="609" spans="1:16" ht="16.5" thickBot="1" x14ac:dyDescent="0.3">
      <c r="A609" s="3">
        <v>1</v>
      </c>
      <c r="B609" s="3" t="s">
        <v>399</v>
      </c>
      <c r="C609" s="67">
        <v>46035</v>
      </c>
      <c r="D609" s="3" t="s">
        <v>310</v>
      </c>
      <c r="E609" s="4">
        <v>8</v>
      </c>
      <c r="F609" s="3">
        <v>120</v>
      </c>
      <c r="G609" s="4">
        <f>F609*E609</f>
        <v>960</v>
      </c>
      <c r="I609" s="236" t="s">
        <v>161</v>
      </c>
      <c r="J609" s="237"/>
      <c r="K609" s="237"/>
      <c r="L609" s="237"/>
      <c r="M609" s="237"/>
      <c r="N609" s="238"/>
      <c r="O609" s="51">
        <f>SUM(O591:O607)-O608</f>
        <v>127850</v>
      </c>
    </row>
    <row r="610" spans="1:16" ht="16.5" thickBot="1" x14ac:dyDescent="0.3">
      <c r="A610" s="3">
        <v>2</v>
      </c>
      <c r="B610" s="3" t="s">
        <v>194</v>
      </c>
      <c r="C610" s="67">
        <v>46035</v>
      </c>
      <c r="D610" s="3" t="s">
        <v>310</v>
      </c>
      <c r="E610" s="4">
        <v>1</v>
      </c>
      <c r="F610" s="3">
        <v>50</v>
      </c>
      <c r="G610" s="4">
        <f t="shared" ref="G610:G614" si="154">F610*E610</f>
        <v>50</v>
      </c>
      <c r="I610" s="239" t="s">
        <v>170</v>
      </c>
      <c r="J610" s="240"/>
      <c r="K610" s="240"/>
      <c r="L610" s="240"/>
      <c r="M610" s="240"/>
      <c r="N610" s="240"/>
      <c r="O610" s="241"/>
    </row>
    <row r="611" spans="1:16" x14ac:dyDescent="0.25">
      <c r="A611" s="3">
        <v>3</v>
      </c>
      <c r="B611" s="1" t="s">
        <v>110</v>
      </c>
      <c r="C611" s="67">
        <v>46035</v>
      </c>
      <c r="D611" s="3" t="s">
        <v>310</v>
      </c>
      <c r="E611" s="5">
        <v>10</v>
      </c>
      <c r="F611" s="1">
        <v>120</v>
      </c>
      <c r="G611" s="4">
        <f t="shared" si="154"/>
        <v>1200</v>
      </c>
      <c r="I611" s="3">
        <v>1</v>
      </c>
      <c r="J611" s="3" t="s">
        <v>399</v>
      </c>
      <c r="K611" s="67">
        <v>46036</v>
      </c>
      <c r="L611" s="3" t="s">
        <v>310</v>
      </c>
      <c r="M611" s="4">
        <v>7</v>
      </c>
      <c r="N611" s="3">
        <v>120</v>
      </c>
      <c r="O611" s="4">
        <f>N611*M611</f>
        <v>840</v>
      </c>
    </row>
    <row r="612" spans="1:16" x14ac:dyDescent="0.25">
      <c r="A612" s="3">
        <v>4</v>
      </c>
      <c r="B612" s="1" t="s">
        <v>102</v>
      </c>
      <c r="C612" s="67">
        <v>46035</v>
      </c>
      <c r="D612" s="3" t="s">
        <v>310</v>
      </c>
      <c r="E612" s="5">
        <v>46</v>
      </c>
      <c r="F612" s="1">
        <v>120</v>
      </c>
      <c r="G612" s="4">
        <f t="shared" si="154"/>
        <v>5520</v>
      </c>
      <c r="I612" s="3">
        <v>2</v>
      </c>
      <c r="J612" s="3" t="s">
        <v>194</v>
      </c>
      <c r="K612" s="67">
        <v>46036</v>
      </c>
      <c r="L612" s="3" t="s">
        <v>310</v>
      </c>
      <c r="M612" s="4">
        <v>1</v>
      </c>
      <c r="N612" s="3">
        <v>250</v>
      </c>
      <c r="O612" s="4">
        <f t="shared" ref="O612:O616" si="155">N612*M612</f>
        <v>250</v>
      </c>
    </row>
    <row r="613" spans="1:16" x14ac:dyDescent="0.25">
      <c r="A613" s="3">
        <v>5</v>
      </c>
      <c r="B613" s="1" t="s">
        <v>341</v>
      </c>
      <c r="C613" s="67">
        <v>46035</v>
      </c>
      <c r="D613" s="3" t="s">
        <v>310</v>
      </c>
      <c r="E613" s="5">
        <v>443</v>
      </c>
      <c r="F613" s="1">
        <v>30</v>
      </c>
      <c r="G613" s="4">
        <f t="shared" si="154"/>
        <v>13290</v>
      </c>
      <c r="I613" s="3">
        <v>3</v>
      </c>
      <c r="J613" s="1" t="s">
        <v>110</v>
      </c>
      <c r="K613" s="67">
        <v>46036</v>
      </c>
      <c r="L613" s="3" t="s">
        <v>310</v>
      </c>
      <c r="M613" s="5">
        <v>18</v>
      </c>
      <c r="N613" s="1">
        <v>120</v>
      </c>
      <c r="O613" s="4">
        <f t="shared" si="155"/>
        <v>2160</v>
      </c>
    </row>
    <row r="614" spans="1:16" x14ac:dyDescent="0.25">
      <c r="A614" s="3">
        <v>6</v>
      </c>
      <c r="B614" s="1" t="s">
        <v>178</v>
      </c>
      <c r="C614" s="67">
        <v>46035</v>
      </c>
      <c r="D614" s="3" t="s">
        <v>310</v>
      </c>
      <c r="E614" s="5">
        <v>4</v>
      </c>
      <c r="F614" s="1">
        <v>50</v>
      </c>
      <c r="G614" s="5">
        <f t="shared" si="154"/>
        <v>200</v>
      </c>
      <c r="I614" s="3">
        <v>4</v>
      </c>
      <c r="J614" s="1" t="s">
        <v>102</v>
      </c>
      <c r="K614" s="67">
        <v>46036</v>
      </c>
      <c r="L614" s="3" t="s">
        <v>310</v>
      </c>
      <c r="M614" s="5">
        <v>46</v>
      </c>
      <c r="N614" s="1">
        <v>120</v>
      </c>
      <c r="O614" s="4">
        <f t="shared" si="155"/>
        <v>5520</v>
      </c>
    </row>
    <row r="615" spans="1:16" ht="16.5" thickBot="1" x14ac:dyDescent="0.3">
      <c r="A615" s="223" t="s">
        <v>162</v>
      </c>
      <c r="B615" s="224"/>
      <c r="C615" s="224"/>
      <c r="D615" s="224"/>
      <c r="E615" s="224"/>
      <c r="F615" s="225"/>
      <c r="G615" s="70">
        <f>SUM(G609:G614)</f>
        <v>21220</v>
      </c>
      <c r="I615" s="3">
        <v>5</v>
      </c>
      <c r="J615" s="1" t="s">
        <v>341</v>
      </c>
      <c r="K615" s="67">
        <v>46036</v>
      </c>
      <c r="L615" s="3" t="s">
        <v>310</v>
      </c>
      <c r="M615" s="5">
        <v>450</v>
      </c>
      <c r="N615" s="1">
        <v>30</v>
      </c>
      <c r="O615" s="4">
        <f t="shared" si="155"/>
        <v>13500</v>
      </c>
    </row>
    <row r="616" spans="1:16" ht="19.5" thickBot="1" x14ac:dyDescent="0.35">
      <c r="A616" s="226" t="s">
        <v>103</v>
      </c>
      <c r="B616" s="227"/>
      <c r="C616" s="227"/>
      <c r="D616" s="227"/>
      <c r="E616" s="227"/>
      <c r="F616" s="228"/>
      <c r="G616" s="44">
        <f>G607+G615</f>
        <v>133825</v>
      </c>
      <c r="I616" s="3">
        <v>6</v>
      </c>
      <c r="J616" s="1" t="s">
        <v>178</v>
      </c>
      <c r="K616" s="67">
        <v>46036</v>
      </c>
      <c r="L616" s="3" t="s">
        <v>310</v>
      </c>
      <c r="M616" s="5">
        <v>3</v>
      </c>
      <c r="N616" s="1">
        <v>50</v>
      </c>
      <c r="O616" s="5">
        <f t="shared" si="155"/>
        <v>150</v>
      </c>
    </row>
    <row r="617" spans="1:16" ht="16.5" thickBot="1" x14ac:dyDescent="0.3">
      <c r="A617" s="229" t="s">
        <v>95</v>
      </c>
      <c r="B617" s="230"/>
      <c r="C617" s="230"/>
      <c r="D617" s="230"/>
      <c r="E617" s="230"/>
      <c r="F617" s="230"/>
      <c r="G617" s="231"/>
      <c r="I617" s="223" t="s">
        <v>162</v>
      </c>
      <c r="J617" s="224"/>
      <c r="K617" s="224"/>
      <c r="L617" s="224"/>
      <c r="M617" s="224"/>
      <c r="N617" s="225"/>
      <c r="O617" s="70">
        <f>SUM(O611:O616)</f>
        <v>22420</v>
      </c>
    </row>
    <row r="618" spans="1:16" ht="19.5" thickBot="1" x14ac:dyDescent="0.35">
      <c r="A618" s="114" t="s">
        <v>0</v>
      </c>
      <c r="B618" s="114" t="s">
        <v>1</v>
      </c>
      <c r="C618" s="114" t="s">
        <v>3</v>
      </c>
      <c r="D618" s="114" t="s">
        <v>2</v>
      </c>
      <c r="E618" s="114" t="s">
        <v>6</v>
      </c>
      <c r="F618" s="114" t="s">
        <v>7</v>
      </c>
      <c r="G618" s="114" t="s">
        <v>8</v>
      </c>
      <c r="I618" s="226" t="s">
        <v>103</v>
      </c>
      <c r="J618" s="227"/>
      <c r="K618" s="227"/>
      <c r="L618" s="227"/>
      <c r="M618" s="227"/>
      <c r="N618" s="228"/>
      <c r="O618" s="44">
        <f>O609+O617</f>
        <v>150270</v>
      </c>
      <c r="P618" s="53"/>
    </row>
    <row r="619" spans="1:16" ht="15.75" x14ac:dyDescent="0.25">
      <c r="A619" s="113">
        <v>1</v>
      </c>
      <c r="B619" s="113" t="s">
        <v>9</v>
      </c>
      <c r="C619" s="67">
        <v>46035</v>
      </c>
      <c r="D619" s="3" t="s">
        <v>12</v>
      </c>
      <c r="E619" s="113">
        <v>8</v>
      </c>
      <c r="F619" s="113">
        <v>35</v>
      </c>
      <c r="G619" s="4">
        <f>F619*E619</f>
        <v>280</v>
      </c>
      <c r="I619" s="229" t="s">
        <v>95</v>
      </c>
      <c r="J619" s="230"/>
      <c r="K619" s="230"/>
      <c r="L619" s="230"/>
      <c r="M619" s="230"/>
      <c r="N619" s="230"/>
      <c r="O619" s="231"/>
    </row>
    <row r="620" spans="1:16" ht="15.75" x14ac:dyDescent="0.25">
      <c r="A620" s="113">
        <v>2</v>
      </c>
      <c r="B620" s="1" t="s">
        <v>196</v>
      </c>
      <c r="C620" s="67">
        <v>46035</v>
      </c>
      <c r="D620" s="1" t="s">
        <v>12</v>
      </c>
      <c r="E620" s="1">
        <v>10</v>
      </c>
      <c r="F620" s="1">
        <v>50</v>
      </c>
      <c r="G620" s="5">
        <f t="shared" ref="G620:G621" si="156">F620*E620</f>
        <v>500</v>
      </c>
      <c r="I620" s="114" t="s">
        <v>0</v>
      </c>
      <c r="J620" s="114" t="s">
        <v>1</v>
      </c>
      <c r="K620" s="114" t="s">
        <v>3</v>
      </c>
      <c r="L620" s="114" t="s">
        <v>2</v>
      </c>
      <c r="M620" s="114" t="s">
        <v>6</v>
      </c>
      <c r="N620" s="114" t="s">
        <v>7</v>
      </c>
      <c r="O620" s="114" t="s">
        <v>8</v>
      </c>
    </row>
    <row r="621" spans="1:16" x14ac:dyDescent="0.25">
      <c r="A621" s="113">
        <v>3</v>
      </c>
      <c r="B621" s="1" t="s">
        <v>43</v>
      </c>
      <c r="C621" s="67">
        <v>46035</v>
      </c>
      <c r="D621" s="1" t="s">
        <v>13</v>
      </c>
      <c r="E621" s="1">
        <v>11</v>
      </c>
      <c r="F621" s="1">
        <v>30</v>
      </c>
      <c r="G621" s="5">
        <f t="shared" si="156"/>
        <v>330</v>
      </c>
      <c r="I621" s="113">
        <v>1</v>
      </c>
      <c r="J621" s="113" t="s">
        <v>9</v>
      </c>
      <c r="K621" s="67">
        <v>46036</v>
      </c>
      <c r="L621" s="3" t="s">
        <v>12</v>
      </c>
      <c r="M621" s="113">
        <v>7</v>
      </c>
      <c r="N621" s="113">
        <v>35</v>
      </c>
      <c r="O621" s="4">
        <f t="shared" ref="O621:O623" si="157">N621*M621</f>
        <v>245</v>
      </c>
    </row>
    <row r="622" spans="1:16" x14ac:dyDescent="0.25">
      <c r="A622" s="113">
        <v>4</v>
      </c>
      <c r="B622" s="1" t="s">
        <v>178</v>
      </c>
      <c r="C622" s="67">
        <v>46035</v>
      </c>
      <c r="D622" s="1" t="s">
        <v>13</v>
      </c>
      <c r="E622" s="1">
        <v>1.8</v>
      </c>
      <c r="F622" s="1">
        <v>400</v>
      </c>
      <c r="G622" s="5">
        <f>F622*E622</f>
        <v>720</v>
      </c>
      <c r="I622" s="113">
        <v>2</v>
      </c>
      <c r="J622" s="1" t="s">
        <v>196</v>
      </c>
      <c r="K622" s="67">
        <v>46036</v>
      </c>
      <c r="L622" s="1" t="s">
        <v>12</v>
      </c>
      <c r="M622" s="1">
        <v>10</v>
      </c>
      <c r="N622" s="1">
        <v>50</v>
      </c>
      <c r="O622" s="5">
        <f t="shared" si="157"/>
        <v>500</v>
      </c>
    </row>
    <row r="623" spans="1:16" x14ac:dyDescent="0.25">
      <c r="A623" s="113">
        <v>5</v>
      </c>
      <c r="B623" s="1" t="s">
        <v>47</v>
      </c>
      <c r="C623" s="67">
        <v>46035</v>
      </c>
      <c r="D623" s="1" t="s">
        <v>13</v>
      </c>
      <c r="E623" s="1">
        <v>2</v>
      </c>
      <c r="F623" s="1">
        <v>80</v>
      </c>
      <c r="G623" s="5">
        <f>F623*E623</f>
        <v>160</v>
      </c>
      <c r="I623" s="113">
        <v>3</v>
      </c>
      <c r="J623" s="1" t="s">
        <v>43</v>
      </c>
      <c r="K623" s="67">
        <v>46036</v>
      </c>
      <c r="L623" s="1" t="s">
        <v>13</v>
      </c>
      <c r="M623" s="1">
        <v>14</v>
      </c>
      <c r="N623" s="1">
        <v>30</v>
      </c>
      <c r="O623" s="5">
        <f t="shared" si="157"/>
        <v>420</v>
      </c>
    </row>
    <row r="624" spans="1:16" x14ac:dyDescent="0.25">
      <c r="A624" s="113">
        <v>6</v>
      </c>
      <c r="B624" s="1" t="s">
        <v>439</v>
      </c>
      <c r="C624" s="67">
        <v>46035</v>
      </c>
      <c r="D624" s="1" t="s">
        <v>13</v>
      </c>
      <c r="E624" s="1">
        <v>3</v>
      </c>
      <c r="F624" s="1">
        <v>180</v>
      </c>
      <c r="G624" s="5">
        <f>F624*E624</f>
        <v>540</v>
      </c>
      <c r="I624" s="113">
        <v>4</v>
      </c>
      <c r="J624" s="1" t="s">
        <v>178</v>
      </c>
      <c r="K624" s="67">
        <v>46036</v>
      </c>
      <c r="L624" s="1" t="s">
        <v>13</v>
      </c>
      <c r="M624" s="1">
        <v>1</v>
      </c>
      <c r="N624" s="1">
        <v>500</v>
      </c>
      <c r="O624" s="5">
        <f>N624*M624</f>
        <v>500</v>
      </c>
    </row>
    <row r="625" spans="1:15" x14ac:dyDescent="0.25">
      <c r="A625" s="113">
        <v>7</v>
      </c>
      <c r="B625" s="1" t="s">
        <v>731</v>
      </c>
      <c r="C625" s="67">
        <v>46035</v>
      </c>
      <c r="D625" s="1" t="s">
        <v>13</v>
      </c>
      <c r="E625" s="1">
        <v>36</v>
      </c>
      <c r="F625" s="1">
        <v>250</v>
      </c>
      <c r="G625" s="5">
        <f t="shared" ref="G625" si="158">F625*E625</f>
        <v>9000</v>
      </c>
      <c r="I625" s="113">
        <v>5</v>
      </c>
      <c r="J625" s="1" t="s">
        <v>47</v>
      </c>
      <c r="K625" s="67">
        <v>46036</v>
      </c>
      <c r="L625" s="1" t="s">
        <v>13</v>
      </c>
      <c r="M625" s="1">
        <v>1</v>
      </c>
      <c r="N625" s="1">
        <v>80</v>
      </c>
      <c r="O625" s="5">
        <f>N625*M625</f>
        <v>80</v>
      </c>
    </row>
    <row r="626" spans="1:15" x14ac:dyDescent="0.25">
      <c r="A626" s="113">
        <v>8</v>
      </c>
      <c r="B626" s="18" t="s">
        <v>19</v>
      </c>
      <c r="C626" s="67">
        <v>46035</v>
      </c>
      <c r="D626" s="1" t="s">
        <v>13</v>
      </c>
      <c r="E626" s="20">
        <v>12</v>
      </c>
      <c r="F626" s="1">
        <v>15</v>
      </c>
      <c r="G626" s="5">
        <f>F626*E626</f>
        <v>180</v>
      </c>
      <c r="I626" s="113">
        <v>6</v>
      </c>
      <c r="J626" s="1" t="s">
        <v>439</v>
      </c>
      <c r="K626" s="67">
        <v>46036</v>
      </c>
      <c r="L626" s="1" t="s">
        <v>13</v>
      </c>
      <c r="M626" s="1">
        <v>11</v>
      </c>
      <c r="N626" s="1">
        <v>180</v>
      </c>
      <c r="O626" s="5">
        <f>N626*M626</f>
        <v>1980</v>
      </c>
    </row>
    <row r="627" spans="1:15" x14ac:dyDescent="0.25">
      <c r="A627" s="113">
        <v>9</v>
      </c>
      <c r="B627" s="24" t="s">
        <v>406</v>
      </c>
      <c r="C627" s="67">
        <v>46035</v>
      </c>
      <c r="D627" s="1" t="s">
        <v>20</v>
      </c>
      <c r="E627" s="24">
        <v>78</v>
      </c>
      <c r="F627" s="1">
        <v>110</v>
      </c>
      <c r="G627" s="5">
        <f>F627*E627</f>
        <v>8580</v>
      </c>
      <c r="I627" s="113">
        <v>7</v>
      </c>
      <c r="J627" s="1" t="s">
        <v>740</v>
      </c>
      <c r="K627" s="67">
        <v>46036</v>
      </c>
      <c r="L627" s="1" t="s">
        <v>13</v>
      </c>
      <c r="M627" s="1">
        <v>21</v>
      </c>
      <c r="N627" s="1">
        <v>320</v>
      </c>
      <c r="O627" s="5">
        <f t="shared" ref="O627" si="159">N627*M627</f>
        <v>6720</v>
      </c>
    </row>
    <row r="628" spans="1:15" x14ac:dyDescent="0.25">
      <c r="A628" s="113">
        <v>10</v>
      </c>
      <c r="B628" s="24" t="s">
        <v>19</v>
      </c>
      <c r="C628" s="67">
        <v>46035</v>
      </c>
      <c r="D628" s="1" t="s">
        <v>20</v>
      </c>
      <c r="E628" s="24">
        <v>28</v>
      </c>
      <c r="F628" s="1">
        <v>15</v>
      </c>
      <c r="G628" s="5">
        <f>F628*E628</f>
        <v>420</v>
      </c>
      <c r="I628" s="113">
        <v>8</v>
      </c>
      <c r="J628" s="18" t="s">
        <v>19</v>
      </c>
      <c r="K628" s="67">
        <v>46036</v>
      </c>
      <c r="L628" s="1" t="s">
        <v>13</v>
      </c>
      <c r="M628" s="20">
        <v>28</v>
      </c>
      <c r="N628" s="1">
        <v>15</v>
      </c>
      <c r="O628" s="5">
        <f t="shared" ref="O628:O646" si="160">N628*M628</f>
        <v>420</v>
      </c>
    </row>
    <row r="629" spans="1:15" x14ac:dyDescent="0.25">
      <c r="A629" s="113">
        <v>11</v>
      </c>
      <c r="B629" s="24" t="s">
        <v>237</v>
      </c>
      <c r="C629" s="67">
        <v>46035</v>
      </c>
      <c r="D629" s="1" t="s">
        <v>20</v>
      </c>
      <c r="E629" s="24">
        <v>4</v>
      </c>
      <c r="F629" s="1">
        <v>270</v>
      </c>
      <c r="G629" s="5">
        <f>F629*E629</f>
        <v>1080</v>
      </c>
      <c r="I629" s="113">
        <v>9</v>
      </c>
      <c r="J629" s="18" t="s">
        <v>433</v>
      </c>
      <c r="K629" s="67">
        <v>46036</v>
      </c>
      <c r="L629" s="1" t="s">
        <v>20</v>
      </c>
      <c r="M629" s="20">
        <v>22</v>
      </c>
      <c r="N629" s="1">
        <v>120</v>
      </c>
      <c r="O629" s="5">
        <f t="shared" si="160"/>
        <v>2640</v>
      </c>
    </row>
    <row r="630" spans="1:15" x14ac:dyDescent="0.25">
      <c r="A630" s="113">
        <v>12</v>
      </c>
      <c r="B630" s="24" t="s">
        <v>733</v>
      </c>
      <c r="C630" s="67">
        <v>46035</v>
      </c>
      <c r="D630" s="1" t="s">
        <v>20</v>
      </c>
      <c r="E630" s="24" t="s">
        <v>400</v>
      </c>
      <c r="F630" s="1">
        <v>500</v>
      </c>
      <c r="G630" s="5">
        <f>F630*1</f>
        <v>500</v>
      </c>
      <c r="I630" s="113">
        <v>10</v>
      </c>
      <c r="J630" s="24" t="s">
        <v>406</v>
      </c>
      <c r="K630" s="67">
        <v>46036</v>
      </c>
      <c r="L630" s="1" t="s">
        <v>20</v>
      </c>
      <c r="M630" s="24">
        <v>90</v>
      </c>
      <c r="N630" s="1">
        <v>110</v>
      </c>
      <c r="O630" s="5">
        <f t="shared" si="160"/>
        <v>9900</v>
      </c>
    </row>
    <row r="631" spans="1:15" x14ac:dyDescent="0.25">
      <c r="A631" s="113">
        <v>13</v>
      </c>
      <c r="B631" s="1" t="s">
        <v>110</v>
      </c>
      <c r="C631" s="67">
        <v>46035</v>
      </c>
      <c r="D631" s="1" t="s">
        <v>310</v>
      </c>
      <c r="E631" s="1">
        <v>1</v>
      </c>
      <c r="F631" s="1">
        <v>120</v>
      </c>
      <c r="G631" s="5">
        <f t="shared" ref="G631:G634" si="161">F631*E631</f>
        <v>120</v>
      </c>
      <c r="I631" s="113">
        <v>11</v>
      </c>
      <c r="J631" s="24" t="s">
        <v>19</v>
      </c>
      <c r="K631" s="67">
        <v>46036</v>
      </c>
      <c r="L631" s="1" t="s">
        <v>20</v>
      </c>
      <c r="M631" s="24">
        <v>36</v>
      </c>
      <c r="N631" s="1">
        <v>15</v>
      </c>
      <c r="O631" s="5">
        <f t="shared" si="160"/>
        <v>540</v>
      </c>
    </row>
    <row r="632" spans="1:15" x14ac:dyDescent="0.25">
      <c r="A632" s="113">
        <v>14</v>
      </c>
      <c r="B632" s="1" t="s">
        <v>383</v>
      </c>
      <c r="C632" s="67">
        <v>46035</v>
      </c>
      <c r="D632" s="1" t="s">
        <v>310</v>
      </c>
      <c r="E632" s="1">
        <v>1</v>
      </c>
      <c r="F632" s="1">
        <v>220</v>
      </c>
      <c r="G632" s="5">
        <f t="shared" si="161"/>
        <v>220</v>
      </c>
      <c r="I632" s="113">
        <v>12</v>
      </c>
      <c r="J632" s="24" t="s">
        <v>463</v>
      </c>
      <c r="K632" s="67">
        <v>46036</v>
      </c>
      <c r="L632" s="1" t="s">
        <v>20</v>
      </c>
      <c r="M632" s="24">
        <v>4</v>
      </c>
      <c r="N632" s="1">
        <v>180</v>
      </c>
      <c r="O632" s="5">
        <f t="shared" si="160"/>
        <v>720</v>
      </c>
    </row>
    <row r="633" spans="1:15" x14ac:dyDescent="0.25">
      <c r="A633" s="113">
        <v>15</v>
      </c>
      <c r="B633" s="1" t="s">
        <v>402</v>
      </c>
      <c r="C633" s="67">
        <v>46035</v>
      </c>
      <c r="D633" s="1" t="s">
        <v>310</v>
      </c>
      <c r="E633" s="1">
        <v>11</v>
      </c>
      <c r="F633" s="1">
        <v>70</v>
      </c>
      <c r="G633" s="5">
        <f t="shared" si="161"/>
        <v>770</v>
      </c>
      <c r="I633" s="113">
        <v>13</v>
      </c>
      <c r="J633" s="1" t="s">
        <v>194</v>
      </c>
      <c r="K633" s="67">
        <v>46036</v>
      </c>
      <c r="L633" s="1" t="s">
        <v>310</v>
      </c>
      <c r="M633" s="1">
        <v>1</v>
      </c>
      <c r="N633" s="1">
        <v>100</v>
      </c>
      <c r="O633" s="5">
        <f t="shared" si="160"/>
        <v>100</v>
      </c>
    </row>
    <row r="634" spans="1:15" x14ac:dyDescent="0.25">
      <c r="A634" s="113">
        <v>16</v>
      </c>
      <c r="B634" s="1" t="s">
        <v>179</v>
      </c>
      <c r="C634" s="67">
        <v>46035</v>
      </c>
      <c r="D634" s="1" t="s">
        <v>310</v>
      </c>
      <c r="E634" s="1">
        <v>10</v>
      </c>
      <c r="F634" s="1">
        <v>70</v>
      </c>
      <c r="G634" s="5">
        <f t="shared" si="161"/>
        <v>700</v>
      </c>
      <c r="I634" s="113">
        <v>14</v>
      </c>
      <c r="J634" s="1" t="s">
        <v>383</v>
      </c>
      <c r="K634" s="67">
        <v>46036</v>
      </c>
      <c r="L634" s="1" t="s">
        <v>310</v>
      </c>
      <c r="M634" s="1">
        <v>1</v>
      </c>
      <c r="N634" s="1">
        <v>220</v>
      </c>
      <c r="O634" s="5">
        <f t="shared" si="160"/>
        <v>220</v>
      </c>
    </row>
    <row r="635" spans="1:15" x14ac:dyDescent="0.25">
      <c r="A635" s="113">
        <v>17</v>
      </c>
      <c r="B635" s="1" t="s">
        <v>294</v>
      </c>
      <c r="C635" s="67">
        <v>46035</v>
      </c>
      <c r="D635" s="1" t="s">
        <v>310</v>
      </c>
      <c r="E635" s="1">
        <v>2</v>
      </c>
      <c r="F635" s="1">
        <v>60</v>
      </c>
      <c r="G635" s="5">
        <f>F635*E635</f>
        <v>120</v>
      </c>
      <c r="I635" s="113">
        <v>15</v>
      </c>
      <c r="J635" s="1" t="s">
        <v>197</v>
      </c>
      <c r="K635" s="67">
        <v>46036</v>
      </c>
      <c r="L635" s="1" t="s">
        <v>310</v>
      </c>
      <c r="M635" s="1">
        <v>2</v>
      </c>
      <c r="N635" s="1">
        <v>50</v>
      </c>
      <c r="O635" s="5">
        <f t="shared" si="160"/>
        <v>100</v>
      </c>
    </row>
    <row r="636" spans="1:15" x14ac:dyDescent="0.25">
      <c r="A636" s="113">
        <v>18</v>
      </c>
      <c r="B636" s="1" t="s">
        <v>197</v>
      </c>
      <c r="C636" s="67">
        <v>46035</v>
      </c>
      <c r="D636" s="1" t="s">
        <v>310</v>
      </c>
      <c r="E636" s="1">
        <v>13</v>
      </c>
      <c r="F636" s="1">
        <v>40</v>
      </c>
      <c r="G636" s="5">
        <f t="shared" ref="G636:G638" si="162">F636*E636</f>
        <v>520</v>
      </c>
      <c r="I636" s="113">
        <v>16</v>
      </c>
      <c r="J636" s="1" t="s">
        <v>402</v>
      </c>
      <c r="K636" s="67">
        <v>46036</v>
      </c>
      <c r="L636" s="1" t="s">
        <v>310</v>
      </c>
      <c r="M636" s="1">
        <v>10</v>
      </c>
      <c r="N636" s="1">
        <v>70</v>
      </c>
      <c r="O636" s="5">
        <f t="shared" si="160"/>
        <v>700</v>
      </c>
    </row>
    <row r="637" spans="1:15" x14ac:dyDescent="0.25">
      <c r="A637" s="113">
        <v>19</v>
      </c>
      <c r="B637" s="1" t="s">
        <v>732</v>
      </c>
      <c r="C637" s="67">
        <v>46035</v>
      </c>
      <c r="D637" s="1" t="s">
        <v>310</v>
      </c>
      <c r="E637" s="1">
        <v>5</v>
      </c>
      <c r="F637" s="1">
        <v>35</v>
      </c>
      <c r="G637" s="5">
        <f t="shared" si="162"/>
        <v>175</v>
      </c>
      <c r="I637" s="113">
        <v>17</v>
      </c>
      <c r="J637" s="1" t="s">
        <v>606</v>
      </c>
      <c r="K637" s="67">
        <v>46036</v>
      </c>
      <c r="L637" s="1" t="s">
        <v>310</v>
      </c>
      <c r="M637" s="1">
        <v>4</v>
      </c>
      <c r="N637" s="1">
        <v>120</v>
      </c>
      <c r="O637" s="5">
        <f t="shared" si="160"/>
        <v>480</v>
      </c>
    </row>
    <row r="638" spans="1:15" x14ac:dyDescent="0.25">
      <c r="A638" s="113">
        <v>20</v>
      </c>
      <c r="B638" s="1" t="s">
        <v>176</v>
      </c>
      <c r="C638" s="67">
        <v>46035</v>
      </c>
      <c r="D638" s="1" t="s">
        <v>310</v>
      </c>
      <c r="E638" s="1">
        <v>1</v>
      </c>
      <c r="F638" s="1">
        <v>200</v>
      </c>
      <c r="G638" s="5">
        <f t="shared" si="162"/>
        <v>200</v>
      </c>
      <c r="I638" s="113">
        <v>18</v>
      </c>
      <c r="J638" s="1" t="s">
        <v>754</v>
      </c>
      <c r="K638" s="67">
        <v>46036</v>
      </c>
      <c r="L638" s="1" t="s">
        <v>310</v>
      </c>
      <c r="M638" s="1">
        <v>1</v>
      </c>
      <c r="N638" s="1">
        <v>180</v>
      </c>
      <c r="O638" s="5">
        <f t="shared" si="160"/>
        <v>180</v>
      </c>
    </row>
    <row r="639" spans="1:15" x14ac:dyDescent="0.25">
      <c r="A639" s="113">
        <v>21</v>
      </c>
      <c r="B639" s="24" t="s">
        <v>722</v>
      </c>
      <c r="C639" s="67">
        <v>46035</v>
      </c>
      <c r="D639" s="1" t="s">
        <v>310</v>
      </c>
      <c r="E639" s="1"/>
      <c r="F639" s="1">
        <v>500</v>
      </c>
      <c r="G639" s="5">
        <f>F639</f>
        <v>500</v>
      </c>
      <c r="I639" s="113">
        <v>19</v>
      </c>
      <c r="J639" s="1" t="s">
        <v>179</v>
      </c>
      <c r="K639" s="67">
        <v>46036</v>
      </c>
      <c r="L639" s="1" t="s">
        <v>310</v>
      </c>
      <c r="M639" s="1">
        <v>9</v>
      </c>
      <c r="N639" s="1">
        <v>70</v>
      </c>
      <c r="O639" s="5">
        <f t="shared" si="160"/>
        <v>630</v>
      </c>
    </row>
    <row r="640" spans="1:15" ht="15.75" x14ac:dyDescent="0.25">
      <c r="A640" s="232" t="s">
        <v>25</v>
      </c>
      <c r="B640" s="232"/>
      <c r="C640" s="232"/>
      <c r="D640" s="232"/>
      <c r="E640" s="232"/>
      <c r="F640" s="232"/>
      <c r="G640" s="68">
        <f>SUM(G619:G639)</f>
        <v>25615</v>
      </c>
      <c r="I640" s="113">
        <v>20</v>
      </c>
      <c r="J640" s="1" t="s">
        <v>294</v>
      </c>
      <c r="K640" s="67">
        <v>46036</v>
      </c>
      <c r="L640" s="1" t="s">
        <v>310</v>
      </c>
      <c r="M640" s="1">
        <v>1</v>
      </c>
      <c r="N640" s="1">
        <v>120</v>
      </c>
      <c r="O640" s="5">
        <f t="shared" si="160"/>
        <v>120</v>
      </c>
    </row>
    <row r="641" spans="1:15" ht="16.5" thickBot="1" x14ac:dyDescent="0.3">
      <c r="A641" s="220" t="s">
        <v>101</v>
      </c>
      <c r="B641" s="221"/>
      <c r="C641" s="221"/>
      <c r="D641" s="221"/>
      <c r="E641" s="221"/>
      <c r="F641" s="222"/>
      <c r="G641" s="141">
        <f>G640+G615+G607</f>
        <v>159440</v>
      </c>
      <c r="I641" s="113">
        <v>21</v>
      </c>
      <c r="J641" s="1" t="s">
        <v>197</v>
      </c>
      <c r="K641" s="67">
        <v>46036</v>
      </c>
      <c r="L641" s="1" t="s">
        <v>310</v>
      </c>
      <c r="M641" s="1">
        <v>6</v>
      </c>
      <c r="N641" s="1">
        <v>40</v>
      </c>
      <c r="O641" s="5">
        <f t="shared" si="160"/>
        <v>240</v>
      </c>
    </row>
    <row r="642" spans="1:15" ht="15.75" thickBot="1" x14ac:dyDescent="0.3">
      <c r="I642" s="113">
        <v>22</v>
      </c>
      <c r="J642" s="1" t="s">
        <v>755</v>
      </c>
      <c r="K642" s="67">
        <v>46036</v>
      </c>
      <c r="L642" s="1" t="s">
        <v>310</v>
      </c>
      <c r="M642" s="1">
        <v>2</v>
      </c>
      <c r="N642" s="1">
        <v>80</v>
      </c>
      <c r="O642" s="5">
        <f t="shared" si="160"/>
        <v>160</v>
      </c>
    </row>
    <row r="643" spans="1:15" ht="16.5" thickBot="1" x14ac:dyDescent="0.3">
      <c r="A643" s="33" t="s">
        <v>0</v>
      </c>
      <c r="B643" s="34" t="s">
        <v>1</v>
      </c>
      <c r="C643" s="34" t="s">
        <v>3</v>
      </c>
      <c r="D643" s="34" t="s">
        <v>2</v>
      </c>
      <c r="E643" s="34" t="s">
        <v>6</v>
      </c>
      <c r="F643" s="34" t="s">
        <v>7</v>
      </c>
      <c r="G643" s="35" t="s">
        <v>8</v>
      </c>
      <c r="I643" s="113">
        <v>23</v>
      </c>
      <c r="J643" s="1" t="s">
        <v>176</v>
      </c>
      <c r="K643" s="67">
        <v>46036</v>
      </c>
      <c r="L643" s="1" t="s">
        <v>310</v>
      </c>
      <c r="M643" s="1">
        <v>2</v>
      </c>
      <c r="N643" s="1">
        <v>100</v>
      </c>
      <c r="O643" s="5">
        <f t="shared" si="160"/>
        <v>200</v>
      </c>
    </row>
    <row r="644" spans="1:15" x14ac:dyDescent="0.25">
      <c r="A644" s="3">
        <v>1</v>
      </c>
      <c r="B644" s="3" t="s">
        <v>4</v>
      </c>
      <c r="C644" s="67">
        <v>46037</v>
      </c>
      <c r="D644" s="3" t="s">
        <v>310</v>
      </c>
      <c r="E644" s="30">
        <v>240</v>
      </c>
      <c r="F644" s="3">
        <v>30</v>
      </c>
      <c r="G644" s="4">
        <f>F644*E644</f>
        <v>7200</v>
      </c>
      <c r="I644" s="113">
        <v>24</v>
      </c>
      <c r="J644" s="1" t="s">
        <v>756</v>
      </c>
      <c r="K644" s="67">
        <v>46036</v>
      </c>
      <c r="L644" s="1" t="s">
        <v>310</v>
      </c>
      <c r="M644" s="1">
        <v>2</v>
      </c>
      <c r="N644" s="1">
        <v>50</v>
      </c>
      <c r="O644" s="5">
        <f t="shared" si="160"/>
        <v>100</v>
      </c>
    </row>
    <row r="645" spans="1:15" x14ac:dyDescent="0.25">
      <c r="A645" s="3">
        <v>2</v>
      </c>
      <c r="B645" s="1" t="s">
        <v>9</v>
      </c>
      <c r="C645" s="67">
        <v>46037</v>
      </c>
      <c r="D645" s="1" t="s">
        <v>12</v>
      </c>
      <c r="E645" s="31">
        <v>624</v>
      </c>
      <c r="F645" s="1">
        <v>30</v>
      </c>
      <c r="G645" s="4">
        <f t="shared" ref="G645:G649" si="163">F645*E645</f>
        <v>18720</v>
      </c>
      <c r="I645" s="113">
        <v>25</v>
      </c>
      <c r="J645" s="1" t="s">
        <v>757</v>
      </c>
      <c r="K645" s="67">
        <v>46036</v>
      </c>
      <c r="L645" s="1" t="s">
        <v>310</v>
      </c>
      <c r="M645" s="1">
        <v>3</v>
      </c>
      <c r="N645" s="1">
        <v>90</v>
      </c>
      <c r="O645" s="5">
        <f t="shared" si="160"/>
        <v>270</v>
      </c>
    </row>
    <row r="646" spans="1:15" x14ac:dyDescent="0.25">
      <c r="A646" s="3">
        <v>3</v>
      </c>
      <c r="B646" s="1" t="s">
        <v>656</v>
      </c>
      <c r="C646" s="67">
        <v>46037</v>
      </c>
      <c r="D646" s="1" t="s">
        <v>310</v>
      </c>
      <c r="E646" s="31">
        <v>33</v>
      </c>
      <c r="F646" s="1">
        <v>50</v>
      </c>
      <c r="G646" s="4">
        <f t="shared" si="163"/>
        <v>1650</v>
      </c>
      <c r="I646" s="113">
        <v>26</v>
      </c>
      <c r="J646" s="24" t="s">
        <v>722</v>
      </c>
      <c r="K646" s="67">
        <v>46036</v>
      </c>
      <c r="L646" s="1" t="s">
        <v>310</v>
      </c>
      <c r="M646" s="1">
        <v>1</v>
      </c>
      <c r="N646" s="1">
        <v>100</v>
      </c>
      <c r="O646" s="5">
        <f t="shared" si="160"/>
        <v>100</v>
      </c>
    </row>
    <row r="647" spans="1:15" ht="15.75" x14ac:dyDescent="0.25">
      <c r="A647" s="3">
        <v>4</v>
      </c>
      <c r="B647" s="1" t="s">
        <v>4</v>
      </c>
      <c r="C647" s="67">
        <v>46037</v>
      </c>
      <c r="D647" s="1" t="s">
        <v>12</v>
      </c>
      <c r="E647" s="31">
        <v>465</v>
      </c>
      <c r="F647" s="1">
        <v>30</v>
      </c>
      <c r="G647" s="4">
        <f t="shared" si="163"/>
        <v>13950</v>
      </c>
      <c r="I647" s="232" t="s">
        <v>25</v>
      </c>
      <c r="J647" s="232"/>
      <c r="K647" s="232"/>
      <c r="L647" s="232"/>
      <c r="M647" s="232"/>
      <c r="N647" s="232"/>
      <c r="O647" s="68">
        <f>SUM(O621:O646)</f>
        <v>28265</v>
      </c>
    </row>
    <row r="648" spans="1:15" ht="16.5" thickBot="1" x14ac:dyDescent="0.3">
      <c r="A648" s="3">
        <v>5</v>
      </c>
      <c r="B648" s="1" t="s">
        <v>241</v>
      </c>
      <c r="C648" s="67">
        <v>46037</v>
      </c>
      <c r="D648" s="1" t="s">
        <v>12</v>
      </c>
      <c r="E648" s="31">
        <v>74</v>
      </c>
      <c r="F648" s="1">
        <v>50</v>
      </c>
      <c r="G648" s="4">
        <f t="shared" si="163"/>
        <v>3700</v>
      </c>
      <c r="I648" s="220" t="s">
        <v>101</v>
      </c>
      <c r="J648" s="221"/>
      <c r="K648" s="221"/>
      <c r="L648" s="221"/>
      <c r="M648" s="221"/>
      <c r="N648" s="222"/>
      <c r="O648" s="141">
        <f>O647+O617+O609</f>
        <v>178535</v>
      </c>
    </row>
    <row r="649" spans="1:15" ht="15.75" thickBot="1" x14ac:dyDescent="0.3">
      <c r="A649" s="3">
        <v>6</v>
      </c>
      <c r="B649" s="1" t="s">
        <v>33</v>
      </c>
      <c r="C649" s="67">
        <v>46037</v>
      </c>
      <c r="D649" s="1" t="s">
        <v>13</v>
      </c>
      <c r="E649" s="31">
        <v>5</v>
      </c>
      <c r="F649" s="1">
        <v>30</v>
      </c>
      <c r="G649" s="30">
        <f t="shared" si="163"/>
        <v>150</v>
      </c>
    </row>
    <row r="650" spans="1:15" ht="16.5" thickBot="1" x14ac:dyDescent="0.3">
      <c r="A650" s="3">
        <v>7</v>
      </c>
      <c r="B650" s="1" t="s">
        <v>758</v>
      </c>
      <c r="C650" s="67">
        <v>46037</v>
      </c>
      <c r="D650" s="1" t="s">
        <v>13</v>
      </c>
      <c r="E650" s="31">
        <v>175</v>
      </c>
      <c r="F650" s="1">
        <v>80</v>
      </c>
      <c r="G650" s="4">
        <f>F650*E650</f>
        <v>14000</v>
      </c>
      <c r="I650" s="33" t="s">
        <v>0</v>
      </c>
      <c r="J650" s="34" t="s">
        <v>1</v>
      </c>
      <c r="K650" s="34" t="s">
        <v>3</v>
      </c>
      <c r="L650" s="34" t="s">
        <v>2</v>
      </c>
      <c r="M650" s="34" t="s">
        <v>6</v>
      </c>
      <c r="N650" s="34" t="s">
        <v>7</v>
      </c>
      <c r="O650" s="35" t="s">
        <v>8</v>
      </c>
    </row>
    <row r="651" spans="1:15" x14ac:dyDescent="0.25">
      <c r="A651" s="3">
        <v>8</v>
      </c>
      <c r="B651" s="1" t="s">
        <v>19</v>
      </c>
      <c r="C651" s="67">
        <v>46037</v>
      </c>
      <c r="D651" s="1" t="s">
        <v>13</v>
      </c>
      <c r="E651" s="31">
        <v>1214</v>
      </c>
      <c r="F651" s="1">
        <v>15</v>
      </c>
      <c r="G651" s="4">
        <f t="shared" ref="G651:G659" si="164">F651*E651</f>
        <v>18210</v>
      </c>
      <c r="I651" s="3">
        <v>1</v>
      </c>
      <c r="J651" s="3" t="s">
        <v>4</v>
      </c>
      <c r="K651" s="67">
        <v>46038</v>
      </c>
      <c r="L651" s="3" t="s">
        <v>310</v>
      </c>
      <c r="M651" s="30">
        <v>218</v>
      </c>
      <c r="N651" s="3">
        <v>30</v>
      </c>
      <c r="O651" s="4">
        <f>N651*M651</f>
        <v>6540</v>
      </c>
    </row>
    <row r="652" spans="1:15" x14ac:dyDescent="0.25">
      <c r="A652" s="3">
        <v>9</v>
      </c>
      <c r="B652" s="1" t="s">
        <v>463</v>
      </c>
      <c r="C652" s="67">
        <v>46037</v>
      </c>
      <c r="D652" s="1" t="s">
        <v>13</v>
      </c>
      <c r="E652" s="31">
        <v>18</v>
      </c>
      <c r="F652" s="1">
        <v>180</v>
      </c>
      <c r="G652" s="5">
        <f t="shared" si="164"/>
        <v>3240</v>
      </c>
      <c r="I652" s="3">
        <v>2</v>
      </c>
      <c r="J652" s="1" t="s">
        <v>9</v>
      </c>
      <c r="K652" s="67">
        <v>46038</v>
      </c>
      <c r="L652" s="1" t="s">
        <v>12</v>
      </c>
      <c r="M652" s="31">
        <v>532</v>
      </c>
      <c r="N652" s="1">
        <v>30</v>
      </c>
      <c r="O652" s="4">
        <f t="shared" ref="O652:O656" si="165">N652*M652</f>
        <v>15960</v>
      </c>
    </row>
    <row r="653" spans="1:15" x14ac:dyDescent="0.25">
      <c r="A653" s="3">
        <v>10</v>
      </c>
      <c r="B653" s="1" t="s">
        <v>489</v>
      </c>
      <c r="C653" s="67">
        <v>46037</v>
      </c>
      <c r="D653" s="1" t="s">
        <v>310</v>
      </c>
      <c r="E653" s="5">
        <v>202</v>
      </c>
      <c r="F653" s="1">
        <v>30</v>
      </c>
      <c r="G653" s="5">
        <f t="shared" si="164"/>
        <v>6060</v>
      </c>
      <c r="I653" s="3">
        <v>3</v>
      </c>
      <c r="J653" s="1" t="s">
        <v>656</v>
      </c>
      <c r="K653" s="67">
        <v>46038</v>
      </c>
      <c r="L653" s="1" t="s">
        <v>310</v>
      </c>
      <c r="M653" s="31">
        <v>18</v>
      </c>
      <c r="N653" s="1">
        <v>50</v>
      </c>
      <c r="O653" s="4">
        <f t="shared" si="165"/>
        <v>900</v>
      </c>
    </row>
    <row r="654" spans="1:15" x14ac:dyDescent="0.25">
      <c r="A654" s="3">
        <v>11</v>
      </c>
      <c r="B654" s="1" t="s">
        <v>489</v>
      </c>
      <c r="C654" s="67">
        <v>46037</v>
      </c>
      <c r="D654" s="1" t="s">
        <v>310</v>
      </c>
      <c r="E654" s="5">
        <v>425</v>
      </c>
      <c r="F654" s="1">
        <v>30</v>
      </c>
      <c r="G654" s="5">
        <f t="shared" si="164"/>
        <v>12750</v>
      </c>
      <c r="I654" s="3">
        <v>4</v>
      </c>
      <c r="J654" s="1" t="s">
        <v>4</v>
      </c>
      <c r="K654" s="67">
        <v>46038</v>
      </c>
      <c r="L654" s="1" t="s">
        <v>12</v>
      </c>
      <c r="M654" s="31">
        <v>504</v>
      </c>
      <c r="N654" s="1">
        <v>30</v>
      </c>
      <c r="O654" s="4">
        <f t="shared" si="165"/>
        <v>15120</v>
      </c>
    </row>
    <row r="655" spans="1:15" x14ac:dyDescent="0.25">
      <c r="A655" s="3">
        <v>12</v>
      </c>
      <c r="B655" s="1" t="s">
        <v>332</v>
      </c>
      <c r="C655" s="67">
        <v>46037</v>
      </c>
      <c r="D655" s="1" t="s">
        <v>20</v>
      </c>
      <c r="E655" s="5">
        <v>2</v>
      </c>
      <c r="F655" s="1">
        <v>50</v>
      </c>
      <c r="G655" s="5">
        <f t="shared" si="164"/>
        <v>100</v>
      </c>
      <c r="I655" s="3">
        <v>5</v>
      </c>
      <c r="J655" s="1" t="s">
        <v>241</v>
      </c>
      <c r="K655" s="67">
        <v>46038</v>
      </c>
      <c r="L655" s="1" t="s">
        <v>12</v>
      </c>
      <c r="M655" s="31">
        <v>78</v>
      </c>
      <c r="N655" s="1">
        <v>50</v>
      </c>
      <c r="O655" s="4">
        <f t="shared" si="165"/>
        <v>3900</v>
      </c>
    </row>
    <row r="656" spans="1:15" x14ac:dyDescent="0.25">
      <c r="A656" s="3">
        <v>13</v>
      </c>
      <c r="B656" s="1" t="s">
        <v>19</v>
      </c>
      <c r="C656" s="67">
        <v>46037</v>
      </c>
      <c r="D656" s="1" t="s">
        <v>20</v>
      </c>
      <c r="E656" s="5">
        <v>432</v>
      </c>
      <c r="F656" s="1">
        <v>15</v>
      </c>
      <c r="G656" s="5">
        <f t="shared" si="164"/>
        <v>6480</v>
      </c>
      <c r="I656" s="3">
        <v>6</v>
      </c>
      <c r="J656" s="1" t="s">
        <v>33</v>
      </c>
      <c r="K656" s="67">
        <v>46038</v>
      </c>
      <c r="L656" s="1" t="s">
        <v>13</v>
      </c>
      <c r="M656" s="31">
        <v>8</v>
      </c>
      <c r="N656" s="1">
        <v>30</v>
      </c>
      <c r="O656" s="30">
        <f t="shared" si="165"/>
        <v>240</v>
      </c>
    </row>
    <row r="657" spans="1:15" x14ac:dyDescent="0.25">
      <c r="A657" s="3">
        <v>14</v>
      </c>
      <c r="B657" s="1" t="s">
        <v>16</v>
      </c>
      <c r="C657" s="67">
        <v>46037</v>
      </c>
      <c r="D657" s="1" t="s">
        <v>20</v>
      </c>
      <c r="E657" s="5">
        <v>75</v>
      </c>
      <c r="F657" s="1">
        <v>30</v>
      </c>
      <c r="G657" s="5">
        <f t="shared" si="164"/>
        <v>2250</v>
      </c>
      <c r="I657" s="3">
        <v>7</v>
      </c>
      <c r="J657" s="1" t="s">
        <v>433</v>
      </c>
      <c r="K657" s="67">
        <v>46038</v>
      </c>
      <c r="L657" s="1" t="s">
        <v>13</v>
      </c>
      <c r="M657" s="31">
        <v>470</v>
      </c>
      <c r="N657" s="1">
        <v>180</v>
      </c>
      <c r="O657" s="4">
        <f>N657*M657</f>
        <v>84600</v>
      </c>
    </row>
    <row r="658" spans="1:15" x14ac:dyDescent="0.25">
      <c r="A658" s="3">
        <v>15</v>
      </c>
      <c r="B658" s="1" t="s">
        <v>369</v>
      </c>
      <c r="C658" s="67">
        <v>46037</v>
      </c>
      <c r="D658" s="1" t="s">
        <v>20</v>
      </c>
      <c r="E658" s="5">
        <v>64</v>
      </c>
      <c r="F658" s="1">
        <v>110</v>
      </c>
      <c r="G658" s="5">
        <f t="shared" si="164"/>
        <v>7040</v>
      </c>
      <c r="I658" s="3">
        <v>8</v>
      </c>
      <c r="J658" s="1" t="s">
        <v>19</v>
      </c>
      <c r="K658" s="67">
        <v>46038</v>
      </c>
      <c r="L658" s="1" t="s">
        <v>13</v>
      </c>
      <c r="M658" s="31">
        <v>302</v>
      </c>
      <c r="N658" s="1">
        <v>15</v>
      </c>
      <c r="O658" s="4">
        <f t="shared" ref="O658:O665" si="166">N658*M658</f>
        <v>4530</v>
      </c>
    </row>
    <row r="659" spans="1:15" x14ac:dyDescent="0.25">
      <c r="A659" s="3">
        <v>16</v>
      </c>
      <c r="B659" s="1" t="s">
        <v>770</v>
      </c>
      <c r="C659" s="67">
        <v>46037</v>
      </c>
      <c r="D659" s="1" t="s">
        <v>20</v>
      </c>
      <c r="E659" s="5">
        <v>5</v>
      </c>
      <c r="F659" s="1">
        <v>220</v>
      </c>
      <c r="G659" s="5">
        <f t="shared" si="164"/>
        <v>1100</v>
      </c>
      <c r="I659" s="3">
        <v>9</v>
      </c>
      <c r="J659" s="1" t="s">
        <v>340</v>
      </c>
      <c r="K659" s="67">
        <v>46038</v>
      </c>
      <c r="L659" s="1" t="s">
        <v>13</v>
      </c>
      <c r="M659" s="31">
        <v>9</v>
      </c>
      <c r="N659" s="1">
        <v>320</v>
      </c>
      <c r="O659" s="5">
        <f t="shared" si="166"/>
        <v>2880</v>
      </c>
    </row>
    <row r="660" spans="1:15" ht="16.5" thickBot="1" x14ac:dyDescent="0.3">
      <c r="A660" s="233" t="s">
        <v>232</v>
      </c>
      <c r="B660" s="234"/>
      <c r="C660" s="234"/>
      <c r="D660" s="234"/>
      <c r="E660" s="234"/>
      <c r="F660" s="235"/>
      <c r="G660" s="57">
        <f>G691+G692+G694+G695+G696+G698+G699+G700+G701+G702</f>
        <v>4410</v>
      </c>
      <c r="I660" s="3">
        <v>10</v>
      </c>
      <c r="J660" s="1" t="s">
        <v>489</v>
      </c>
      <c r="K660" s="67">
        <v>46038</v>
      </c>
      <c r="L660" s="1" t="s">
        <v>310</v>
      </c>
      <c r="M660" s="5">
        <v>161</v>
      </c>
      <c r="N660" s="1">
        <v>30</v>
      </c>
      <c r="O660" s="5">
        <f t="shared" si="166"/>
        <v>4830</v>
      </c>
    </row>
    <row r="661" spans="1:15" ht="16.5" thickBot="1" x14ac:dyDescent="0.3">
      <c r="A661" s="236" t="s">
        <v>161</v>
      </c>
      <c r="B661" s="237"/>
      <c r="C661" s="237"/>
      <c r="D661" s="237"/>
      <c r="E661" s="237"/>
      <c r="F661" s="238"/>
      <c r="G661" s="51">
        <f>SUM(G644:G659)-G660</f>
        <v>112190</v>
      </c>
      <c r="I661" s="3">
        <v>11</v>
      </c>
      <c r="J661" s="1" t="s">
        <v>489</v>
      </c>
      <c r="K661" s="67">
        <v>46038</v>
      </c>
      <c r="L661" s="1" t="s">
        <v>310</v>
      </c>
      <c r="M661" s="5">
        <v>465</v>
      </c>
      <c r="N661" s="1">
        <v>30</v>
      </c>
      <c r="O661" s="5">
        <f t="shared" si="166"/>
        <v>13950</v>
      </c>
    </row>
    <row r="662" spans="1:15" ht="16.5" thickBot="1" x14ac:dyDescent="0.3">
      <c r="A662" s="239" t="s">
        <v>170</v>
      </c>
      <c r="B662" s="240"/>
      <c r="C662" s="240"/>
      <c r="D662" s="240"/>
      <c r="E662" s="240"/>
      <c r="F662" s="240"/>
      <c r="G662" s="241"/>
      <c r="I662" s="3">
        <v>12</v>
      </c>
      <c r="J662" s="1" t="s">
        <v>19</v>
      </c>
      <c r="K662" s="67">
        <v>46038</v>
      </c>
      <c r="L662" s="1" t="s">
        <v>20</v>
      </c>
      <c r="M662" s="5">
        <v>415</v>
      </c>
      <c r="N662" s="1">
        <v>15</v>
      </c>
      <c r="O662" s="5">
        <f t="shared" si="166"/>
        <v>6225</v>
      </c>
    </row>
    <row r="663" spans="1:15" x14ac:dyDescent="0.25">
      <c r="A663" s="3">
        <v>1</v>
      </c>
      <c r="B663" s="3" t="s">
        <v>399</v>
      </c>
      <c r="C663" s="67">
        <v>46037</v>
      </c>
      <c r="D663" s="3" t="s">
        <v>310</v>
      </c>
      <c r="E663" s="4">
        <v>9</v>
      </c>
      <c r="F663" s="3">
        <v>120</v>
      </c>
      <c r="G663" s="4">
        <f>F663*E663</f>
        <v>1080</v>
      </c>
      <c r="I663" s="3">
        <v>13</v>
      </c>
      <c r="J663" s="1" t="s">
        <v>16</v>
      </c>
      <c r="K663" s="67">
        <v>46038</v>
      </c>
      <c r="L663" s="1" t="s">
        <v>310</v>
      </c>
      <c r="M663" s="5">
        <v>85</v>
      </c>
      <c r="N663" s="1">
        <v>30</v>
      </c>
      <c r="O663" s="5">
        <f t="shared" si="166"/>
        <v>2550</v>
      </c>
    </row>
    <row r="664" spans="1:15" x14ac:dyDescent="0.25">
      <c r="A664" s="3">
        <v>2</v>
      </c>
      <c r="B664" s="3" t="s">
        <v>194</v>
      </c>
      <c r="C664" s="67">
        <v>46037</v>
      </c>
      <c r="D664" s="3" t="s">
        <v>310</v>
      </c>
      <c r="E664" s="4">
        <v>1</v>
      </c>
      <c r="F664" s="3">
        <v>270</v>
      </c>
      <c r="G664" s="4">
        <f t="shared" ref="G664:G668" si="167">F664*E664</f>
        <v>270</v>
      </c>
      <c r="I664" s="3">
        <v>14</v>
      </c>
      <c r="J664" s="1" t="s">
        <v>18</v>
      </c>
      <c r="K664" s="67">
        <v>46038</v>
      </c>
      <c r="L664" s="1" t="s">
        <v>20</v>
      </c>
      <c r="M664" s="5">
        <v>51</v>
      </c>
      <c r="N664" s="1">
        <v>80</v>
      </c>
      <c r="O664" s="5">
        <f t="shared" si="166"/>
        <v>4080</v>
      </c>
    </row>
    <row r="665" spans="1:15" x14ac:dyDescent="0.25">
      <c r="A665" s="3">
        <v>3</v>
      </c>
      <c r="B665" s="1" t="s">
        <v>110</v>
      </c>
      <c r="C665" s="67">
        <v>46037</v>
      </c>
      <c r="D665" s="3" t="s">
        <v>310</v>
      </c>
      <c r="E665" s="5">
        <v>21</v>
      </c>
      <c r="F665" s="1">
        <v>120</v>
      </c>
      <c r="G665" s="4">
        <f t="shared" si="167"/>
        <v>2520</v>
      </c>
      <c r="I665" s="3">
        <v>15</v>
      </c>
      <c r="J665" s="1" t="s">
        <v>463</v>
      </c>
      <c r="K665" s="67">
        <v>46038</v>
      </c>
      <c r="L665" s="1" t="s">
        <v>20</v>
      </c>
      <c r="M665" s="5">
        <v>8</v>
      </c>
      <c r="N665" s="1">
        <v>180</v>
      </c>
      <c r="O665" s="5">
        <f t="shared" si="166"/>
        <v>1440</v>
      </c>
    </row>
    <row r="666" spans="1:15" ht="16.5" thickBot="1" x14ac:dyDescent="0.3">
      <c r="A666" s="3">
        <v>4</v>
      </c>
      <c r="B666" s="1" t="s">
        <v>102</v>
      </c>
      <c r="C666" s="67">
        <v>46037</v>
      </c>
      <c r="D666" s="3" t="s">
        <v>310</v>
      </c>
      <c r="E666" s="5">
        <v>39</v>
      </c>
      <c r="F666" s="1">
        <v>120</v>
      </c>
      <c r="G666" s="4">
        <f t="shared" si="167"/>
        <v>4680</v>
      </c>
      <c r="I666" s="233" t="s">
        <v>232</v>
      </c>
      <c r="J666" s="234"/>
      <c r="K666" s="234"/>
      <c r="L666" s="234"/>
      <c r="M666" s="234"/>
      <c r="N666" s="235"/>
      <c r="O666" s="57">
        <f>O689+O690+O692+O693+O694+O695+O696+O697+O698+O699+O700</f>
        <v>3640</v>
      </c>
    </row>
    <row r="667" spans="1:15" ht="16.5" thickBot="1" x14ac:dyDescent="0.3">
      <c r="A667" s="3">
        <v>5</v>
      </c>
      <c r="B667" s="1" t="s">
        <v>341</v>
      </c>
      <c r="C667" s="67">
        <v>46037</v>
      </c>
      <c r="D667" s="3" t="s">
        <v>310</v>
      </c>
      <c r="E667" s="5">
        <v>405</v>
      </c>
      <c r="F667" s="1">
        <v>30</v>
      </c>
      <c r="G667" s="4">
        <f t="shared" si="167"/>
        <v>12150</v>
      </c>
      <c r="I667" s="236" t="s">
        <v>161</v>
      </c>
      <c r="J667" s="237"/>
      <c r="K667" s="237"/>
      <c r="L667" s="237"/>
      <c r="M667" s="237"/>
      <c r="N667" s="238"/>
      <c r="O667" s="51">
        <f>SUM(O651:O665)-O666</f>
        <v>164105</v>
      </c>
    </row>
    <row r="668" spans="1:15" ht="16.5" thickBot="1" x14ac:dyDescent="0.3">
      <c r="A668" s="3">
        <v>6</v>
      </c>
      <c r="B668" s="1" t="s">
        <v>178</v>
      </c>
      <c r="C668" s="67">
        <v>46037</v>
      </c>
      <c r="D668" s="3" t="s">
        <v>310</v>
      </c>
      <c r="E668" s="5">
        <v>2</v>
      </c>
      <c r="F668" s="1">
        <v>50</v>
      </c>
      <c r="G668" s="5">
        <f t="shared" si="167"/>
        <v>100</v>
      </c>
      <c r="I668" s="239" t="s">
        <v>170</v>
      </c>
      <c r="J668" s="240"/>
      <c r="K668" s="240"/>
      <c r="L668" s="240"/>
      <c r="M668" s="240"/>
      <c r="N668" s="240"/>
      <c r="O668" s="241"/>
    </row>
    <row r="669" spans="1:15" ht="16.5" thickBot="1" x14ac:dyDescent="0.3">
      <c r="A669" s="223" t="s">
        <v>162</v>
      </c>
      <c r="B669" s="224"/>
      <c r="C669" s="224"/>
      <c r="D669" s="224"/>
      <c r="E669" s="224"/>
      <c r="F669" s="225"/>
      <c r="G669" s="70">
        <f>SUM(G663:G668)</f>
        <v>20800</v>
      </c>
      <c r="I669" s="3">
        <v>1</v>
      </c>
      <c r="J669" s="3" t="s">
        <v>399</v>
      </c>
      <c r="K669" s="67">
        <v>46038</v>
      </c>
      <c r="L669" s="3" t="s">
        <v>310</v>
      </c>
      <c r="M669" s="4">
        <v>18</v>
      </c>
      <c r="N669" s="3">
        <v>120</v>
      </c>
      <c r="O669" s="4">
        <f>N669*M669</f>
        <v>2160</v>
      </c>
    </row>
    <row r="670" spans="1:15" ht="19.5" thickBot="1" x14ac:dyDescent="0.35">
      <c r="A670" s="226" t="s">
        <v>103</v>
      </c>
      <c r="B670" s="227"/>
      <c r="C670" s="227"/>
      <c r="D670" s="227"/>
      <c r="E670" s="227"/>
      <c r="F670" s="228"/>
      <c r="G670" s="44">
        <f>G661+G669</f>
        <v>132990</v>
      </c>
      <c r="I670" s="3">
        <v>2</v>
      </c>
      <c r="J670" s="3" t="s">
        <v>194</v>
      </c>
      <c r="K670" s="67">
        <v>46038</v>
      </c>
      <c r="L670" s="3" t="s">
        <v>310</v>
      </c>
      <c r="M670" s="4">
        <v>1</v>
      </c>
      <c r="N670" s="3">
        <v>350</v>
      </c>
      <c r="O670" s="4">
        <f t="shared" ref="O670:O674" si="168">N670*M670</f>
        <v>350</v>
      </c>
    </row>
    <row r="671" spans="1:15" ht="15.75" x14ac:dyDescent="0.25">
      <c r="A671" s="229" t="s">
        <v>95</v>
      </c>
      <c r="B671" s="230"/>
      <c r="C671" s="230"/>
      <c r="D671" s="230"/>
      <c r="E671" s="230"/>
      <c r="F671" s="230"/>
      <c r="G671" s="231"/>
      <c r="I671" s="3">
        <v>3</v>
      </c>
      <c r="J671" s="1" t="s">
        <v>110</v>
      </c>
      <c r="K671" s="67">
        <v>46038</v>
      </c>
      <c r="L671" s="3" t="s">
        <v>310</v>
      </c>
      <c r="M671" s="5">
        <v>13</v>
      </c>
      <c r="N671" s="1">
        <v>120</v>
      </c>
      <c r="O671" s="4">
        <f t="shared" si="168"/>
        <v>1560</v>
      </c>
    </row>
    <row r="672" spans="1:15" ht="15.75" x14ac:dyDescent="0.25">
      <c r="A672" s="114" t="s">
        <v>0</v>
      </c>
      <c r="B672" s="114" t="s">
        <v>1</v>
      </c>
      <c r="C672" s="114" t="s">
        <v>3</v>
      </c>
      <c r="D672" s="114" t="s">
        <v>2</v>
      </c>
      <c r="E672" s="114" t="s">
        <v>6</v>
      </c>
      <c r="F672" s="114" t="s">
        <v>7</v>
      </c>
      <c r="G672" s="114" t="s">
        <v>8</v>
      </c>
      <c r="I672" s="3">
        <v>4</v>
      </c>
      <c r="J672" s="1" t="s">
        <v>102</v>
      </c>
      <c r="K672" s="67">
        <v>46038</v>
      </c>
      <c r="L672" s="3" t="s">
        <v>310</v>
      </c>
      <c r="M672" s="5">
        <v>40</v>
      </c>
      <c r="N672" s="1">
        <v>120</v>
      </c>
      <c r="O672" s="4">
        <f t="shared" si="168"/>
        <v>4800</v>
      </c>
    </row>
    <row r="673" spans="1:15" x14ac:dyDescent="0.25">
      <c r="A673" s="113">
        <v>1</v>
      </c>
      <c r="B673" s="113" t="s">
        <v>9</v>
      </c>
      <c r="C673" s="67">
        <v>46037</v>
      </c>
      <c r="D673" s="3" t="s">
        <v>12</v>
      </c>
      <c r="E673" s="113">
        <v>8</v>
      </c>
      <c r="F673" s="113">
        <v>35</v>
      </c>
      <c r="G673" s="4">
        <f t="shared" ref="G673:G676" si="169">F673*E673</f>
        <v>280</v>
      </c>
      <c r="I673" s="3">
        <v>5</v>
      </c>
      <c r="J673" s="1" t="s">
        <v>341</v>
      </c>
      <c r="K673" s="67">
        <v>46038</v>
      </c>
      <c r="L673" s="3" t="s">
        <v>310</v>
      </c>
      <c r="M673" s="5">
        <v>466</v>
      </c>
      <c r="N673" s="1">
        <v>30</v>
      </c>
      <c r="O673" s="4">
        <f t="shared" si="168"/>
        <v>13980</v>
      </c>
    </row>
    <row r="674" spans="1:15" x14ac:dyDescent="0.25">
      <c r="A674" s="113">
        <v>2</v>
      </c>
      <c r="B674" s="1" t="s">
        <v>196</v>
      </c>
      <c r="C674" s="67">
        <v>46037</v>
      </c>
      <c r="D674" s="1" t="s">
        <v>12</v>
      </c>
      <c r="E674" s="1">
        <v>6</v>
      </c>
      <c r="F674" s="1">
        <v>50</v>
      </c>
      <c r="G674" s="5">
        <f t="shared" si="169"/>
        <v>300</v>
      </c>
      <c r="I674" s="3">
        <v>6</v>
      </c>
      <c r="J674" s="1" t="s">
        <v>178</v>
      </c>
      <c r="K674" s="67">
        <v>46038</v>
      </c>
      <c r="L674" s="3" t="s">
        <v>310</v>
      </c>
      <c r="M674" s="5">
        <v>8</v>
      </c>
      <c r="N674" s="1">
        <v>50</v>
      </c>
      <c r="O674" s="5">
        <f t="shared" si="168"/>
        <v>400</v>
      </c>
    </row>
    <row r="675" spans="1:15" ht="16.5" thickBot="1" x14ac:dyDescent="0.3">
      <c r="A675" s="113">
        <v>3</v>
      </c>
      <c r="B675" s="1" t="s">
        <v>332</v>
      </c>
      <c r="C675" s="67">
        <v>46037</v>
      </c>
      <c r="D675" s="1" t="s">
        <v>12</v>
      </c>
      <c r="E675" s="1">
        <v>5</v>
      </c>
      <c r="F675" s="1">
        <v>50</v>
      </c>
      <c r="G675" s="5">
        <f>F675*E675</f>
        <v>250</v>
      </c>
      <c r="I675" s="223" t="s">
        <v>162</v>
      </c>
      <c r="J675" s="224"/>
      <c r="K675" s="224"/>
      <c r="L675" s="224"/>
      <c r="M675" s="224"/>
      <c r="N675" s="225"/>
      <c r="O675" s="70">
        <f>SUM(O669:O674)</f>
        <v>23250</v>
      </c>
    </row>
    <row r="676" spans="1:15" ht="19.5" thickBot="1" x14ac:dyDescent="0.35">
      <c r="A676" s="113">
        <v>4</v>
      </c>
      <c r="B676" s="1" t="s">
        <v>43</v>
      </c>
      <c r="C676" s="67">
        <v>46037</v>
      </c>
      <c r="D676" s="1" t="s">
        <v>13</v>
      </c>
      <c r="E676" s="1">
        <v>23</v>
      </c>
      <c r="F676" s="1">
        <v>30</v>
      </c>
      <c r="G676" s="5">
        <f t="shared" si="169"/>
        <v>690</v>
      </c>
      <c r="I676" s="226" t="s">
        <v>103</v>
      </c>
      <c r="J676" s="227"/>
      <c r="K676" s="227"/>
      <c r="L676" s="227"/>
      <c r="M676" s="227"/>
      <c r="N676" s="228"/>
      <c r="O676" s="44">
        <f>O667+O675</f>
        <v>187355</v>
      </c>
    </row>
    <row r="677" spans="1:15" ht="15.75" x14ac:dyDescent="0.25">
      <c r="A677" s="113">
        <v>5</v>
      </c>
      <c r="B677" s="1" t="s">
        <v>178</v>
      </c>
      <c r="C677" s="67">
        <v>46037</v>
      </c>
      <c r="D677" s="1" t="s">
        <v>13</v>
      </c>
      <c r="E677" s="1">
        <v>1.75</v>
      </c>
      <c r="F677" s="1">
        <v>400</v>
      </c>
      <c r="G677" s="5">
        <f>F677*E677</f>
        <v>700</v>
      </c>
      <c r="I677" s="229" t="s">
        <v>95</v>
      </c>
      <c r="J677" s="230"/>
      <c r="K677" s="230"/>
      <c r="L677" s="230"/>
      <c r="M677" s="230"/>
      <c r="N677" s="230"/>
      <c r="O677" s="231"/>
    </row>
    <row r="678" spans="1:15" ht="15.75" x14ac:dyDescent="0.25">
      <c r="A678" s="113">
        <v>6</v>
      </c>
      <c r="B678" s="1" t="s">
        <v>758</v>
      </c>
      <c r="C678" s="67">
        <v>46037</v>
      </c>
      <c r="D678" s="1" t="s">
        <v>13</v>
      </c>
      <c r="E678" s="1">
        <v>13</v>
      </c>
      <c r="F678" s="1">
        <v>80</v>
      </c>
      <c r="G678" s="5">
        <f>F678*E678</f>
        <v>1040</v>
      </c>
      <c r="I678" s="114" t="s">
        <v>0</v>
      </c>
      <c r="J678" s="114" t="s">
        <v>1</v>
      </c>
      <c r="K678" s="114" t="s">
        <v>3</v>
      </c>
      <c r="L678" s="114" t="s">
        <v>2</v>
      </c>
      <c r="M678" s="114" t="s">
        <v>6</v>
      </c>
      <c r="N678" s="114" t="s">
        <v>7</v>
      </c>
      <c r="O678" s="114" t="s">
        <v>8</v>
      </c>
    </row>
    <row r="679" spans="1:15" x14ac:dyDescent="0.25">
      <c r="A679" s="113">
        <v>7</v>
      </c>
      <c r="B679" s="1" t="s">
        <v>463</v>
      </c>
      <c r="C679" s="67">
        <v>46037</v>
      </c>
      <c r="D679" s="1" t="s">
        <v>13</v>
      </c>
      <c r="E679" s="1">
        <v>27</v>
      </c>
      <c r="F679" s="1">
        <v>180</v>
      </c>
      <c r="G679" s="5">
        <f>F679*E679</f>
        <v>4860</v>
      </c>
      <c r="I679" s="113">
        <v>1</v>
      </c>
      <c r="J679" s="113" t="s">
        <v>9</v>
      </c>
      <c r="K679" s="67">
        <v>46038</v>
      </c>
      <c r="L679" s="3" t="s">
        <v>12</v>
      </c>
      <c r="M679" s="113">
        <v>10</v>
      </c>
      <c r="N679" s="113">
        <v>35</v>
      </c>
      <c r="O679" s="4">
        <f t="shared" ref="O679:O680" si="170">N679*M679</f>
        <v>350</v>
      </c>
    </row>
    <row r="680" spans="1:15" x14ac:dyDescent="0.25">
      <c r="A680" s="113">
        <v>8</v>
      </c>
      <c r="B680" s="1" t="s">
        <v>560</v>
      </c>
      <c r="C680" s="67">
        <v>46037</v>
      </c>
      <c r="D680" s="1" t="s">
        <v>13</v>
      </c>
      <c r="E680" s="1">
        <v>8</v>
      </c>
      <c r="F680" s="1">
        <v>320</v>
      </c>
      <c r="G680" s="5">
        <f t="shared" ref="G680:G702" si="171">F680*E680</f>
        <v>2560</v>
      </c>
      <c r="I680" s="113">
        <v>2</v>
      </c>
      <c r="J680" s="1" t="s">
        <v>196</v>
      </c>
      <c r="K680" s="67">
        <v>46038</v>
      </c>
      <c r="L680" s="1" t="s">
        <v>12</v>
      </c>
      <c r="M680" s="1">
        <v>15</v>
      </c>
      <c r="N680" s="1">
        <v>50</v>
      </c>
      <c r="O680" s="5">
        <f t="shared" si="170"/>
        <v>750</v>
      </c>
    </row>
    <row r="681" spans="1:15" x14ac:dyDescent="0.25">
      <c r="A681" s="113">
        <v>9</v>
      </c>
      <c r="B681" s="18" t="s">
        <v>19</v>
      </c>
      <c r="C681" s="67">
        <v>46037</v>
      </c>
      <c r="D681" s="1" t="s">
        <v>13</v>
      </c>
      <c r="E681" s="20">
        <v>130</v>
      </c>
      <c r="F681" s="1">
        <v>15</v>
      </c>
      <c r="G681" s="5">
        <f t="shared" si="171"/>
        <v>1950</v>
      </c>
      <c r="I681" s="113">
        <v>3</v>
      </c>
      <c r="J681" s="1" t="s">
        <v>235</v>
      </c>
      <c r="K681" s="67">
        <v>46038</v>
      </c>
      <c r="L681" s="1" t="s">
        <v>12</v>
      </c>
      <c r="M681" s="1">
        <v>1</v>
      </c>
      <c r="N681" s="1">
        <v>50</v>
      </c>
      <c r="O681" s="5">
        <f>N681*M681</f>
        <v>50</v>
      </c>
    </row>
    <row r="682" spans="1:15" x14ac:dyDescent="0.25">
      <c r="A682" s="113">
        <v>10</v>
      </c>
      <c r="B682" s="18" t="s">
        <v>771</v>
      </c>
      <c r="C682" s="67">
        <v>46037</v>
      </c>
      <c r="D682" s="1" t="s">
        <v>13</v>
      </c>
      <c r="E682" s="20">
        <v>2</v>
      </c>
      <c r="F682" s="1">
        <v>225</v>
      </c>
      <c r="G682" s="5">
        <f t="shared" si="171"/>
        <v>450</v>
      </c>
      <c r="I682" s="113">
        <v>4</v>
      </c>
      <c r="J682" s="1" t="s">
        <v>43</v>
      </c>
      <c r="K682" s="67">
        <v>46038</v>
      </c>
      <c r="L682" s="1" t="s">
        <v>13</v>
      </c>
      <c r="M682" s="1">
        <v>16</v>
      </c>
      <c r="N682" s="1">
        <v>30</v>
      </c>
      <c r="O682" s="5">
        <f t="shared" ref="O682" si="172">N682*M682</f>
        <v>480</v>
      </c>
    </row>
    <row r="683" spans="1:15" x14ac:dyDescent="0.25">
      <c r="A683" s="113">
        <v>11</v>
      </c>
      <c r="B683" s="18" t="s">
        <v>254</v>
      </c>
      <c r="C683" s="67">
        <v>46037</v>
      </c>
      <c r="D683" s="1" t="s">
        <v>13</v>
      </c>
      <c r="E683" s="20">
        <v>2</v>
      </c>
      <c r="F683" s="1">
        <v>1600</v>
      </c>
      <c r="G683" s="5">
        <f>F683*E683</f>
        <v>3200</v>
      </c>
      <c r="I683" s="113">
        <v>5</v>
      </c>
      <c r="J683" s="1" t="s">
        <v>178</v>
      </c>
      <c r="K683" s="67">
        <v>46038</v>
      </c>
      <c r="L683" s="1" t="s">
        <v>13</v>
      </c>
      <c r="M683" s="1">
        <v>3</v>
      </c>
      <c r="N683" s="1">
        <v>400</v>
      </c>
      <c r="O683" s="5">
        <f>N683*M683</f>
        <v>1200</v>
      </c>
    </row>
    <row r="684" spans="1:15" x14ac:dyDescent="0.25">
      <c r="A684" s="113">
        <v>12</v>
      </c>
      <c r="B684" s="18" t="s">
        <v>489</v>
      </c>
      <c r="C684" s="67">
        <v>46037</v>
      </c>
      <c r="D684" s="1" t="s">
        <v>13</v>
      </c>
      <c r="E684" s="20">
        <v>14</v>
      </c>
      <c r="F684" s="1">
        <v>35</v>
      </c>
      <c r="G684" s="5">
        <f t="shared" si="171"/>
        <v>490</v>
      </c>
      <c r="I684" s="113">
        <v>6</v>
      </c>
      <c r="J684" s="1" t="s">
        <v>433</v>
      </c>
      <c r="K684" s="67">
        <v>46038</v>
      </c>
      <c r="L684" s="1" t="s">
        <v>13</v>
      </c>
      <c r="M684" s="1">
        <v>2</v>
      </c>
      <c r="N684" s="1">
        <v>180</v>
      </c>
      <c r="O684" s="5">
        <f>N684*M684</f>
        <v>360</v>
      </c>
    </row>
    <row r="685" spans="1:15" x14ac:dyDescent="0.25">
      <c r="A685" s="113">
        <v>13</v>
      </c>
      <c r="B685" s="18" t="s">
        <v>511</v>
      </c>
      <c r="C685" s="67">
        <v>46037</v>
      </c>
      <c r="D685" s="1" t="s">
        <v>20</v>
      </c>
      <c r="E685" s="20">
        <v>1</v>
      </c>
      <c r="F685" s="1">
        <v>500</v>
      </c>
      <c r="G685" s="5">
        <f t="shared" si="171"/>
        <v>500</v>
      </c>
      <c r="I685" s="113">
        <v>7</v>
      </c>
      <c r="J685" s="1" t="s">
        <v>560</v>
      </c>
      <c r="K685" s="67">
        <v>46038</v>
      </c>
      <c r="L685" s="1" t="s">
        <v>13</v>
      </c>
      <c r="M685" s="1">
        <v>43</v>
      </c>
      <c r="N685" s="1">
        <v>320</v>
      </c>
      <c r="O685" s="5">
        <f t="shared" ref="O685:O686" si="173">N685*M685</f>
        <v>13760</v>
      </c>
    </row>
    <row r="686" spans="1:15" x14ac:dyDescent="0.25">
      <c r="A686" s="113">
        <v>14</v>
      </c>
      <c r="B686" s="24" t="s">
        <v>761</v>
      </c>
      <c r="C686" s="67">
        <v>46037</v>
      </c>
      <c r="D686" s="1" t="s">
        <v>20</v>
      </c>
      <c r="E686" s="24">
        <v>1</v>
      </c>
      <c r="F686" s="1">
        <v>110</v>
      </c>
      <c r="G686" s="5">
        <f t="shared" si="171"/>
        <v>110</v>
      </c>
      <c r="I686" s="113">
        <v>8</v>
      </c>
      <c r="J686" s="18" t="s">
        <v>19</v>
      </c>
      <c r="K686" s="67">
        <v>46038</v>
      </c>
      <c r="L686" s="1" t="s">
        <v>13</v>
      </c>
      <c r="M686" s="20">
        <v>12</v>
      </c>
      <c r="N686" s="1">
        <v>15</v>
      </c>
      <c r="O686" s="5">
        <f t="shared" si="173"/>
        <v>180</v>
      </c>
    </row>
    <row r="687" spans="1:15" x14ac:dyDescent="0.25">
      <c r="A687" s="113">
        <v>15</v>
      </c>
      <c r="B687" s="24" t="s">
        <v>19</v>
      </c>
      <c r="C687" s="67">
        <v>46037</v>
      </c>
      <c r="D687" s="1" t="s">
        <v>20</v>
      </c>
      <c r="E687" s="24">
        <v>126</v>
      </c>
      <c r="F687" s="1">
        <v>15</v>
      </c>
      <c r="G687" s="5">
        <f t="shared" si="171"/>
        <v>1890</v>
      </c>
      <c r="I687" s="113">
        <v>9</v>
      </c>
      <c r="J687" s="18" t="s">
        <v>489</v>
      </c>
      <c r="K687" s="67">
        <v>46038</v>
      </c>
      <c r="L687" s="1" t="s">
        <v>310</v>
      </c>
      <c r="M687" s="20">
        <v>12</v>
      </c>
      <c r="N687" s="1">
        <v>35</v>
      </c>
      <c r="O687" s="5">
        <f t="shared" ref="O687:O698" si="174">N687*M687</f>
        <v>420</v>
      </c>
    </row>
    <row r="688" spans="1:15" x14ac:dyDescent="0.25">
      <c r="A688" s="113">
        <v>16</v>
      </c>
      <c r="B688" s="24" t="s">
        <v>369</v>
      </c>
      <c r="C688" s="67">
        <v>46037</v>
      </c>
      <c r="D688" s="1" t="s">
        <v>20</v>
      </c>
      <c r="E688" s="24">
        <v>38</v>
      </c>
      <c r="F688" s="1">
        <v>110</v>
      </c>
      <c r="G688" s="5">
        <f t="shared" si="171"/>
        <v>4180</v>
      </c>
      <c r="I688" s="113">
        <v>10</v>
      </c>
      <c r="J688" s="1" t="s">
        <v>194</v>
      </c>
      <c r="K688" s="67">
        <v>46038</v>
      </c>
      <c r="L688" s="1" t="s">
        <v>310</v>
      </c>
      <c r="M688" s="1">
        <v>1</v>
      </c>
      <c r="N688" s="1">
        <v>500</v>
      </c>
      <c r="O688" s="5">
        <f t="shared" si="174"/>
        <v>500</v>
      </c>
    </row>
    <row r="689" spans="1:15" x14ac:dyDescent="0.25">
      <c r="A689" s="113">
        <v>17</v>
      </c>
      <c r="B689" s="24" t="s">
        <v>770</v>
      </c>
      <c r="C689" s="67">
        <v>46037</v>
      </c>
      <c r="D689" s="1" t="s">
        <v>20</v>
      </c>
      <c r="E689" s="24">
        <v>4</v>
      </c>
      <c r="F689" s="1">
        <v>225</v>
      </c>
      <c r="G689" s="5">
        <f t="shared" si="171"/>
        <v>900</v>
      </c>
      <c r="I689" s="113">
        <v>11</v>
      </c>
      <c r="J689" s="1" t="s">
        <v>197</v>
      </c>
      <c r="K689" s="67">
        <v>46038</v>
      </c>
      <c r="L689" s="1" t="s">
        <v>310</v>
      </c>
      <c r="M689" s="1">
        <v>7</v>
      </c>
      <c r="N689" s="1">
        <v>40</v>
      </c>
      <c r="O689" s="5">
        <f t="shared" si="174"/>
        <v>280</v>
      </c>
    </row>
    <row r="690" spans="1:15" x14ac:dyDescent="0.25">
      <c r="A690" s="113">
        <v>18</v>
      </c>
      <c r="B690" s="1" t="s">
        <v>194</v>
      </c>
      <c r="C690" s="67">
        <v>46037</v>
      </c>
      <c r="D690" s="1" t="s">
        <v>310</v>
      </c>
      <c r="E690" s="1">
        <v>1</v>
      </c>
      <c r="F690" s="1">
        <v>600</v>
      </c>
      <c r="G690" s="5">
        <f t="shared" si="171"/>
        <v>600</v>
      </c>
      <c r="I690" s="113">
        <v>12</v>
      </c>
      <c r="J690" s="1" t="s">
        <v>402</v>
      </c>
      <c r="K690" s="67">
        <v>46038</v>
      </c>
      <c r="L690" s="1" t="s">
        <v>310</v>
      </c>
      <c r="M690" s="1">
        <v>11</v>
      </c>
      <c r="N690" s="1">
        <v>70</v>
      </c>
      <c r="O690" s="5">
        <f t="shared" si="174"/>
        <v>770</v>
      </c>
    </row>
    <row r="691" spans="1:15" x14ac:dyDescent="0.25">
      <c r="A691" s="113">
        <v>19</v>
      </c>
      <c r="B691" s="1" t="s">
        <v>197</v>
      </c>
      <c r="C691" s="67">
        <v>46037</v>
      </c>
      <c r="D691" s="1" t="s">
        <v>310</v>
      </c>
      <c r="E691" s="1">
        <v>8</v>
      </c>
      <c r="F691" s="1">
        <v>40</v>
      </c>
      <c r="G691" s="5">
        <f t="shared" si="171"/>
        <v>320</v>
      </c>
      <c r="I691" s="113">
        <v>13</v>
      </c>
      <c r="J691" s="1" t="s">
        <v>606</v>
      </c>
      <c r="K691" s="67">
        <v>46038</v>
      </c>
      <c r="L691" s="1" t="s">
        <v>310</v>
      </c>
      <c r="M691" s="1">
        <v>11</v>
      </c>
      <c r="N691" s="1">
        <v>120</v>
      </c>
      <c r="O691" s="5">
        <f t="shared" si="174"/>
        <v>1320</v>
      </c>
    </row>
    <row r="692" spans="1:15" x14ac:dyDescent="0.25">
      <c r="A692" s="113">
        <v>20</v>
      </c>
      <c r="B692" s="1" t="s">
        <v>402</v>
      </c>
      <c r="C692" s="67">
        <v>46037</v>
      </c>
      <c r="D692" s="1" t="s">
        <v>310</v>
      </c>
      <c r="E692" s="1">
        <v>10</v>
      </c>
      <c r="F692" s="1">
        <v>70</v>
      </c>
      <c r="G692" s="5">
        <f t="shared" si="171"/>
        <v>700</v>
      </c>
      <c r="I692" s="113">
        <v>14</v>
      </c>
      <c r="J692" s="1" t="s">
        <v>179</v>
      </c>
      <c r="K692" s="67">
        <v>46038</v>
      </c>
      <c r="L692" s="1" t="s">
        <v>310</v>
      </c>
      <c r="M692" s="1">
        <v>7</v>
      </c>
      <c r="N692" s="1">
        <v>70</v>
      </c>
      <c r="O692" s="5">
        <f t="shared" si="174"/>
        <v>490</v>
      </c>
    </row>
    <row r="693" spans="1:15" x14ac:dyDescent="0.25">
      <c r="A693" s="113">
        <v>21</v>
      </c>
      <c r="B693" s="1" t="s">
        <v>606</v>
      </c>
      <c r="C693" s="67">
        <v>46037</v>
      </c>
      <c r="D693" s="1" t="s">
        <v>310</v>
      </c>
      <c r="E693" s="1">
        <v>7</v>
      </c>
      <c r="F693" s="1">
        <v>120</v>
      </c>
      <c r="G693" s="5">
        <f t="shared" si="171"/>
        <v>840</v>
      </c>
      <c r="I693" s="113">
        <v>15</v>
      </c>
      <c r="J693" s="1" t="s">
        <v>294</v>
      </c>
      <c r="K693" s="67">
        <v>46038</v>
      </c>
      <c r="L693" s="1" t="s">
        <v>310</v>
      </c>
      <c r="M693" s="1">
        <v>1</v>
      </c>
      <c r="N693" s="1">
        <v>120</v>
      </c>
      <c r="O693" s="5">
        <f t="shared" si="174"/>
        <v>120</v>
      </c>
    </row>
    <row r="694" spans="1:15" x14ac:dyDescent="0.25">
      <c r="A694" s="113">
        <v>22</v>
      </c>
      <c r="B694" s="1" t="s">
        <v>754</v>
      </c>
      <c r="C694" s="67">
        <v>46037</v>
      </c>
      <c r="D694" s="1" t="s">
        <v>310</v>
      </c>
      <c r="E694" s="1">
        <v>2</v>
      </c>
      <c r="F694" s="1">
        <v>180</v>
      </c>
      <c r="G694" s="5">
        <f t="shared" si="171"/>
        <v>360</v>
      </c>
      <c r="I694" s="113">
        <v>16</v>
      </c>
      <c r="J694" s="1" t="s">
        <v>102</v>
      </c>
      <c r="K694" s="67">
        <v>46038</v>
      </c>
      <c r="L694" s="1" t="s">
        <v>310</v>
      </c>
      <c r="M694" s="1">
        <v>4</v>
      </c>
      <c r="N694" s="1">
        <v>120</v>
      </c>
      <c r="O694" s="5">
        <f t="shared" si="174"/>
        <v>480</v>
      </c>
    </row>
    <row r="695" spans="1:15" x14ac:dyDescent="0.25">
      <c r="A695" s="113">
        <v>23</v>
      </c>
      <c r="B695" s="1" t="s">
        <v>179</v>
      </c>
      <c r="C695" s="67">
        <v>46037</v>
      </c>
      <c r="D695" s="1" t="s">
        <v>310</v>
      </c>
      <c r="E695" s="1">
        <v>22</v>
      </c>
      <c r="F695" s="1">
        <v>70</v>
      </c>
      <c r="G695" s="5">
        <f t="shared" si="171"/>
        <v>1540</v>
      </c>
      <c r="I695" s="113">
        <v>17</v>
      </c>
      <c r="J695" s="1" t="s">
        <v>176</v>
      </c>
      <c r="K695" s="67">
        <v>46038</v>
      </c>
      <c r="L695" s="1" t="s">
        <v>310</v>
      </c>
      <c r="M695" s="1">
        <v>1</v>
      </c>
      <c r="N695" s="1">
        <v>100</v>
      </c>
      <c r="O695" s="5">
        <f t="shared" si="174"/>
        <v>100</v>
      </c>
    </row>
    <row r="696" spans="1:15" x14ac:dyDescent="0.25">
      <c r="A696" s="113">
        <v>24</v>
      </c>
      <c r="B696" s="1" t="s">
        <v>294</v>
      </c>
      <c r="C696" s="67">
        <v>46037</v>
      </c>
      <c r="D696" s="1" t="s">
        <v>310</v>
      </c>
      <c r="E696" s="1">
        <v>1</v>
      </c>
      <c r="F696" s="1">
        <v>120</v>
      </c>
      <c r="G696" s="5">
        <f t="shared" si="171"/>
        <v>120</v>
      </c>
      <c r="I696" s="113">
        <v>18</v>
      </c>
      <c r="J696" s="1" t="s">
        <v>772</v>
      </c>
      <c r="K696" s="67">
        <v>46038</v>
      </c>
      <c r="L696" s="1" t="s">
        <v>310</v>
      </c>
      <c r="M696" s="1">
        <v>1</v>
      </c>
      <c r="N696" s="1">
        <v>250</v>
      </c>
      <c r="O696" s="5">
        <f t="shared" si="174"/>
        <v>250</v>
      </c>
    </row>
    <row r="697" spans="1:15" x14ac:dyDescent="0.25">
      <c r="A697" s="113">
        <v>25</v>
      </c>
      <c r="B697" s="1" t="s">
        <v>102</v>
      </c>
      <c r="C697" s="67">
        <v>46037</v>
      </c>
      <c r="D697" s="1" t="s">
        <v>310</v>
      </c>
      <c r="E697" s="1">
        <v>5</v>
      </c>
      <c r="F697" s="1">
        <v>120</v>
      </c>
      <c r="G697" s="5">
        <f t="shared" si="171"/>
        <v>600</v>
      </c>
      <c r="I697" s="113">
        <v>19</v>
      </c>
      <c r="J697" s="1" t="s">
        <v>757</v>
      </c>
      <c r="K697" s="67">
        <v>46038</v>
      </c>
      <c r="L697" s="1" t="s">
        <v>310</v>
      </c>
      <c r="M697" s="1">
        <v>2</v>
      </c>
      <c r="N697" s="1">
        <v>120</v>
      </c>
      <c r="O697" s="5">
        <f t="shared" si="174"/>
        <v>240</v>
      </c>
    </row>
    <row r="698" spans="1:15" x14ac:dyDescent="0.25">
      <c r="A698" s="113">
        <v>26</v>
      </c>
      <c r="B698" s="1" t="s">
        <v>143</v>
      </c>
      <c r="C698" s="67">
        <v>46037</v>
      </c>
      <c r="D698" s="1" t="s">
        <v>310</v>
      </c>
      <c r="E698" s="1">
        <v>1</v>
      </c>
      <c r="F698" s="1">
        <v>80</v>
      </c>
      <c r="G698" s="5">
        <f t="shared" si="171"/>
        <v>80</v>
      </c>
      <c r="I698" s="113">
        <v>20</v>
      </c>
      <c r="J698" s="24" t="s">
        <v>722</v>
      </c>
      <c r="K698" s="67">
        <v>46038</v>
      </c>
      <c r="L698" s="1" t="s">
        <v>310</v>
      </c>
      <c r="M698" s="1">
        <v>6</v>
      </c>
      <c r="N698" s="1">
        <v>100</v>
      </c>
      <c r="O698" s="5">
        <f t="shared" si="174"/>
        <v>600</v>
      </c>
    </row>
    <row r="699" spans="1:15" x14ac:dyDescent="0.25">
      <c r="A699" s="113">
        <v>27</v>
      </c>
      <c r="B699" s="1" t="s">
        <v>176</v>
      </c>
      <c r="C699" s="67">
        <v>46037</v>
      </c>
      <c r="D699" s="1" t="s">
        <v>310</v>
      </c>
      <c r="E699" s="1">
        <v>1</v>
      </c>
      <c r="F699" s="1">
        <v>100</v>
      </c>
      <c r="G699" s="5">
        <f t="shared" si="171"/>
        <v>100</v>
      </c>
      <c r="I699" s="113">
        <v>21</v>
      </c>
      <c r="J699" s="24" t="s">
        <v>204</v>
      </c>
      <c r="K699" s="67">
        <v>46038</v>
      </c>
      <c r="L699" s="1" t="s">
        <v>310</v>
      </c>
      <c r="M699" s="1">
        <v>1</v>
      </c>
      <c r="N699" s="1">
        <v>250</v>
      </c>
      <c r="O699" s="5">
        <f>N699*M699</f>
        <v>250</v>
      </c>
    </row>
    <row r="700" spans="1:15" x14ac:dyDescent="0.25">
      <c r="A700" s="113">
        <v>28</v>
      </c>
      <c r="B700" s="1" t="s">
        <v>756</v>
      </c>
      <c r="C700" s="67">
        <v>46037</v>
      </c>
      <c r="D700" s="1" t="s">
        <v>310</v>
      </c>
      <c r="E700" s="1">
        <v>5</v>
      </c>
      <c r="F700" s="1">
        <v>50</v>
      </c>
      <c r="G700" s="5">
        <f t="shared" si="171"/>
        <v>250</v>
      </c>
      <c r="I700" s="113">
        <v>22</v>
      </c>
      <c r="J700" s="24" t="s">
        <v>226</v>
      </c>
      <c r="K700" s="67">
        <v>46038</v>
      </c>
      <c r="L700" s="1" t="s">
        <v>310</v>
      </c>
      <c r="M700" s="1">
        <v>3</v>
      </c>
      <c r="N700" s="1">
        <v>20</v>
      </c>
      <c r="O700" s="5">
        <f>N700*M700</f>
        <v>60</v>
      </c>
    </row>
    <row r="701" spans="1:15" ht="15.75" x14ac:dyDescent="0.25">
      <c r="A701" s="113">
        <v>29</v>
      </c>
      <c r="B701" s="1" t="s">
        <v>757</v>
      </c>
      <c r="C701" s="67">
        <v>46037</v>
      </c>
      <c r="D701" s="1" t="s">
        <v>310</v>
      </c>
      <c r="E701" s="1">
        <v>2</v>
      </c>
      <c r="F701" s="1">
        <v>120</v>
      </c>
      <c r="G701" s="5">
        <f t="shared" si="171"/>
        <v>240</v>
      </c>
      <c r="I701" s="262" t="s">
        <v>25</v>
      </c>
      <c r="J701" s="263"/>
      <c r="K701" s="263"/>
      <c r="L701" s="263"/>
      <c r="M701" s="263"/>
      <c r="N701" s="264"/>
      <c r="O701" s="68">
        <f>SUM(O679:O700)</f>
        <v>23010</v>
      </c>
    </row>
    <row r="702" spans="1:15" ht="16.5" thickBot="1" x14ac:dyDescent="0.3">
      <c r="A702" s="113">
        <v>30</v>
      </c>
      <c r="B702" s="24" t="s">
        <v>722</v>
      </c>
      <c r="C702" s="67">
        <v>46037</v>
      </c>
      <c r="D702" s="1" t="s">
        <v>310</v>
      </c>
      <c r="E702" s="1">
        <v>7</v>
      </c>
      <c r="F702" s="1">
        <v>100</v>
      </c>
      <c r="G702" s="5">
        <f t="shared" si="171"/>
        <v>700</v>
      </c>
      <c r="I702" s="265" t="s">
        <v>101</v>
      </c>
      <c r="J702" s="266"/>
      <c r="K702" s="266"/>
      <c r="L702" s="266"/>
      <c r="M702" s="266"/>
      <c r="N702" s="267"/>
      <c r="O702" s="141">
        <f>O701+O675+O667</f>
        <v>210365</v>
      </c>
    </row>
    <row r="703" spans="1:15" ht="16.5" thickBot="1" x14ac:dyDescent="0.3">
      <c r="A703" s="232" t="s">
        <v>25</v>
      </c>
      <c r="B703" s="232"/>
      <c r="C703" s="232"/>
      <c r="D703" s="232"/>
      <c r="E703" s="232"/>
      <c r="F703" s="232"/>
      <c r="G703" s="68">
        <f>SUM(G673:G702)</f>
        <v>30800</v>
      </c>
    </row>
    <row r="704" spans="1:15" ht="16.5" thickBot="1" x14ac:dyDescent="0.3">
      <c r="A704" s="220" t="s">
        <v>101</v>
      </c>
      <c r="B704" s="221"/>
      <c r="C704" s="221"/>
      <c r="D704" s="221"/>
      <c r="E704" s="221"/>
      <c r="F704" s="222"/>
      <c r="G704" s="141">
        <f>G703+G669+G661</f>
        <v>163790</v>
      </c>
      <c r="I704" s="33" t="s">
        <v>0</v>
      </c>
      <c r="J704" s="34" t="s">
        <v>1</v>
      </c>
      <c r="K704" s="34" t="s">
        <v>3</v>
      </c>
      <c r="L704" s="34" t="s">
        <v>2</v>
      </c>
      <c r="M704" s="34" t="s">
        <v>6</v>
      </c>
      <c r="N704" s="34" t="s">
        <v>7</v>
      </c>
      <c r="O704" s="35" t="s">
        <v>8</v>
      </c>
    </row>
    <row r="705" spans="1:15" ht="15.75" thickBot="1" x14ac:dyDescent="0.3">
      <c r="I705" s="3">
        <v>1</v>
      </c>
      <c r="J705" s="3" t="s">
        <v>4</v>
      </c>
      <c r="K705" s="67">
        <v>46040</v>
      </c>
      <c r="L705" s="3" t="s">
        <v>310</v>
      </c>
      <c r="M705" s="30">
        <v>218</v>
      </c>
      <c r="N705" s="3">
        <v>30</v>
      </c>
      <c r="O705" s="4">
        <f>N705*M705</f>
        <v>6540</v>
      </c>
    </row>
    <row r="706" spans="1:15" ht="16.5" thickBot="1" x14ac:dyDescent="0.3">
      <c r="A706" s="33" t="s">
        <v>0</v>
      </c>
      <c r="B706" s="34" t="s">
        <v>1</v>
      </c>
      <c r="C706" s="34" t="s">
        <v>3</v>
      </c>
      <c r="D706" s="34" t="s">
        <v>2</v>
      </c>
      <c r="E706" s="34" t="s">
        <v>6</v>
      </c>
      <c r="F706" s="34" t="s">
        <v>7</v>
      </c>
      <c r="G706" s="35" t="s">
        <v>8</v>
      </c>
      <c r="I706" s="3">
        <v>2</v>
      </c>
      <c r="J706" s="1" t="s">
        <v>9</v>
      </c>
      <c r="K706" s="67">
        <v>46040</v>
      </c>
      <c r="L706" s="1" t="s">
        <v>12</v>
      </c>
      <c r="M706" s="31">
        <v>533</v>
      </c>
      <c r="N706" s="1">
        <v>30</v>
      </c>
      <c r="O706" s="4">
        <f t="shared" ref="O706:O708" si="175">N706*M706</f>
        <v>15990</v>
      </c>
    </row>
    <row r="707" spans="1:15" x14ac:dyDescent="0.25">
      <c r="A707" s="3">
        <v>1</v>
      </c>
      <c r="B707" s="3" t="s">
        <v>4</v>
      </c>
      <c r="C707" s="67">
        <v>46039</v>
      </c>
      <c r="D707" s="3" t="s">
        <v>310</v>
      </c>
      <c r="E707" s="30">
        <v>226</v>
      </c>
      <c r="F707" s="3">
        <v>30</v>
      </c>
      <c r="G707" s="4">
        <f>F707*E707</f>
        <v>6780</v>
      </c>
      <c r="I707" s="3">
        <v>3</v>
      </c>
      <c r="J707" s="1" t="s">
        <v>4</v>
      </c>
      <c r="K707" s="67">
        <v>46040</v>
      </c>
      <c r="L707" s="1" t="s">
        <v>12</v>
      </c>
      <c r="M707" s="31">
        <v>353</v>
      </c>
      <c r="N707" s="1">
        <v>30</v>
      </c>
      <c r="O707" s="4">
        <f t="shared" si="175"/>
        <v>10590</v>
      </c>
    </row>
    <row r="708" spans="1:15" x14ac:dyDescent="0.25">
      <c r="A708" s="3">
        <v>2</v>
      </c>
      <c r="B708" s="1" t="s">
        <v>9</v>
      </c>
      <c r="C708" s="67">
        <v>46039</v>
      </c>
      <c r="D708" s="1" t="s">
        <v>12</v>
      </c>
      <c r="E708" s="31">
        <v>602</v>
      </c>
      <c r="F708" s="1">
        <v>30</v>
      </c>
      <c r="G708" s="4">
        <f t="shared" ref="G708:G712" si="176">F708*E708</f>
        <v>18060</v>
      </c>
      <c r="I708" s="3">
        <v>4</v>
      </c>
      <c r="J708" s="1" t="s">
        <v>952</v>
      </c>
      <c r="K708" s="67">
        <v>46040</v>
      </c>
      <c r="L708" s="1" t="s">
        <v>12</v>
      </c>
      <c r="M708" s="31">
        <v>50</v>
      </c>
      <c r="N708" s="1">
        <v>50</v>
      </c>
      <c r="O708" s="4">
        <f t="shared" si="175"/>
        <v>2500</v>
      </c>
    </row>
    <row r="709" spans="1:15" x14ac:dyDescent="0.25">
      <c r="A709" s="3">
        <v>3</v>
      </c>
      <c r="B709" s="1" t="s">
        <v>656</v>
      </c>
      <c r="C709" s="67">
        <v>46039</v>
      </c>
      <c r="D709" s="1" t="s">
        <v>310</v>
      </c>
      <c r="E709" s="31">
        <v>5</v>
      </c>
      <c r="F709" s="1">
        <v>50</v>
      </c>
      <c r="G709" s="4">
        <f t="shared" si="176"/>
        <v>250</v>
      </c>
      <c r="I709" s="3">
        <v>5</v>
      </c>
      <c r="J709" s="1" t="s">
        <v>14</v>
      </c>
      <c r="K709" s="67">
        <v>46040</v>
      </c>
      <c r="L709" s="1" t="s">
        <v>13</v>
      </c>
      <c r="M709" s="31">
        <v>103</v>
      </c>
      <c r="N709" s="1">
        <v>80</v>
      </c>
      <c r="O709" s="4">
        <f>N709*M709</f>
        <v>8240</v>
      </c>
    </row>
    <row r="710" spans="1:15" x14ac:dyDescent="0.25">
      <c r="A710" s="3">
        <v>4</v>
      </c>
      <c r="B710" s="1" t="s">
        <v>4</v>
      </c>
      <c r="C710" s="67">
        <v>46039</v>
      </c>
      <c r="D710" s="1" t="s">
        <v>12</v>
      </c>
      <c r="E710" s="31">
        <v>443</v>
      </c>
      <c r="F710" s="1">
        <v>30</v>
      </c>
      <c r="G710" s="4">
        <f t="shared" si="176"/>
        <v>13290</v>
      </c>
      <c r="I710" s="3">
        <v>6</v>
      </c>
      <c r="J710" s="1" t="s">
        <v>19</v>
      </c>
      <c r="K710" s="67">
        <v>46040</v>
      </c>
      <c r="L710" s="1" t="s">
        <v>13</v>
      </c>
      <c r="M710" s="31">
        <v>572</v>
      </c>
      <c r="N710" s="1">
        <v>15</v>
      </c>
      <c r="O710" s="4">
        <f t="shared" ref="O710:O717" si="177">N710*M710</f>
        <v>8580</v>
      </c>
    </row>
    <row r="711" spans="1:15" x14ac:dyDescent="0.25">
      <c r="A711" s="3">
        <v>5</v>
      </c>
      <c r="B711" s="1" t="s">
        <v>241</v>
      </c>
      <c r="C711" s="67">
        <v>46039</v>
      </c>
      <c r="D711" s="1" t="s">
        <v>12</v>
      </c>
      <c r="E711" s="31">
        <v>80</v>
      </c>
      <c r="F711" s="1">
        <v>50</v>
      </c>
      <c r="G711" s="4">
        <f t="shared" si="176"/>
        <v>4000</v>
      </c>
      <c r="I711" s="3">
        <v>7</v>
      </c>
      <c r="J711" s="1" t="s">
        <v>254</v>
      </c>
      <c r="K711" s="67">
        <v>46040</v>
      </c>
      <c r="L711" s="1" t="s">
        <v>13</v>
      </c>
      <c r="M711" s="31" t="s">
        <v>290</v>
      </c>
      <c r="N711" s="1">
        <v>1600</v>
      </c>
      <c r="O711" s="4">
        <f>N711*0.5</f>
        <v>800</v>
      </c>
    </row>
    <row r="712" spans="1:15" x14ac:dyDescent="0.25">
      <c r="A712" s="3">
        <v>6</v>
      </c>
      <c r="B712" s="1" t="s">
        <v>33</v>
      </c>
      <c r="C712" s="67">
        <v>46039</v>
      </c>
      <c r="D712" s="1" t="s">
        <v>13</v>
      </c>
      <c r="E712" s="31">
        <v>7</v>
      </c>
      <c r="F712" s="1">
        <v>30</v>
      </c>
      <c r="G712" s="30">
        <f t="shared" si="176"/>
        <v>210</v>
      </c>
      <c r="I712" s="3">
        <v>8</v>
      </c>
      <c r="J712" s="1" t="s">
        <v>489</v>
      </c>
      <c r="K712" s="67">
        <v>46040</v>
      </c>
      <c r="L712" s="1" t="s">
        <v>310</v>
      </c>
      <c r="M712" s="5">
        <v>93</v>
      </c>
      <c r="N712" s="1">
        <v>30</v>
      </c>
      <c r="O712" s="5">
        <f t="shared" si="177"/>
        <v>2790</v>
      </c>
    </row>
    <row r="713" spans="1:15" x14ac:dyDescent="0.25">
      <c r="A713" s="3">
        <v>7</v>
      </c>
      <c r="B713" s="1" t="s">
        <v>14</v>
      </c>
      <c r="C713" s="67">
        <v>46039</v>
      </c>
      <c r="D713" s="1" t="s">
        <v>13</v>
      </c>
      <c r="E713" s="31">
        <v>175</v>
      </c>
      <c r="F713" s="1">
        <v>80</v>
      </c>
      <c r="G713" s="4">
        <f>F713*E713</f>
        <v>14000</v>
      </c>
      <c r="I713" s="3">
        <v>9</v>
      </c>
      <c r="J713" s="1" t="s">
        <v>489</v>
      </c>
      <c r="K713" s="67">
        <v>46040</v>
      </c>
      <c r="L713" s="1" t="s">
        <v>310</v>
      </c>
      <c r="M713" s="5">
        <v>262</v>
      </c>
      <c r="N713" s="1">
        <v>30</v>
      </c>
      <c r="O713" s="5">
        <f t="shared" si="177"/>
        <v>7860</v>
      </c>
    </row>
    <row r="714" spans="1:15" x14ac:dyDescent="0.25">
      <c r="A714" s="3">
        <v>8</v>
      </c>
      <c r="B714" s="1" t="s">
        <v>19</v>
      </c>
      <c r="C714" s="67">
        <v>46039</v>
      </c>
      <c r="D714" s="1" t="s">
        <v>13</v>
      </c>
      <c r="E714" s="31">
        <v>1198</v>
      </c>
      <c r="F714" s="1">
        <v>15</v>
      </c>
      <c r="G714" s="4">
        <f t="shared" ref="G714:G723" si="178">F714*E714</f>
        <v>17970</v>
      </c>
      <c r="I714" s="3">
        <v>10</v>
      </c>
      <c r="J714" s="1" t="s">
        <v>19</v>
      </c>
      <c r="K714" s="67">
        <v>46040</v>
      </c>
      <c r="L714" s="1" t="s">
        <v>20</v>
      </c>
      <c r="M714" s="5">
        <v>233</v>
      </c>
      <c r="N714" s="1">
        <v>15</v>
      </c>
      <c r="O714" s="5">
        <f t="shared" si="177"/>
        <v>3495</v>
      </c>
    </row>
    <row r="715" spans="1:15" x14ac:dyDescent="0.25">
      <c r="A715" s="3">
        <v>9</v>
      </c>
      <c r="B715" s="1" t="s">
        <v>369</v>
      </c>
      <c r="C715" s="67">
        <v>46039</v>
      </c>
      <c r="D715" s="1" t="s">
        <v>13</v>
      </c>
      <c r="E715" s="31">
        <v>17</v>
      </c>
      <c r="F715" s="1">
        <v>220</v>
      </c>
      <c r="G715" s="5">
        <f t="shared" si="178"/>
        <v>3740</v>
      </c>
      <c r="I715" s="3">
        <v>11</v>
      </c>
      <c r="J715" s="1" t="s">
        <v>16</v>
      </c>
      <c r="K715" s="67">
        <v>46040</v>
      </c>
      <c r="L715" s="1" t="s">
        <v>310</v>
      </c>
      <c r="M715" s="5">
        <v>41</v>
      </c>
      <c r="N715" s="1">
        <v>30</v>
      </c>
      <c r="O715" s="5">
        <f t="shared" si="177"/>
        <v>1230</v>
      </c>
    </row>
    <row r="716" spans="1:15" x14ac:dyDescent="0.25">
      <c r="A716" s="3">
        <v>10</v>
      </c>
      <c r="B716" s="1" t="s">
        <v>489</v>
      </c>
      <c r="C716" s="67">
        <v>46039</v>
      </c>
      <c r="D716" s="1" t="s">
        <v>310</v>
      </c>
      <c r="E716" s="5">
        <v>170</v>
      </c>
      <c r="F716" s="1">
        <v>30</v>
      </c>
      <c r="G716" s="5">
        <f t="shared" si="178"/>
        <v>5100</v>
      </c>
      <c r="I716" s="3">
        <v>12</v>
      </c>
      <c r="J716" s="1" t="s">
        <v>14</v>
      </c>
      <c r="K716" s="67">
        <v>46040</v>
      </c>
      <c r="L716" s="1" t="s">
        <v>20</v>
      </c>
      <c r="M716" s="5">
        <v>21</v>
      </c>
      <c r="N716" s="1">
        <v>80</v>
      </c>
      <c r="O716" s="5">
        <f t="shared" si="177"/>
        <v>1680</v>
      </c>
    </row>
    <row r="717" spans="1:15" x14ac:dyDescent="0.25">
      <c r="A717" s="3">
        <v>11</v>
      </c>
      <c r="B717" s="1" t="s">
        <v>489</v>
      </c>
      <c r="C717" s="67">
        <v>46039</v>
      </c>
      <c r="D717" s="1" t="s">
        <v>310</v>
      </c>
      <c r="E717" s="5">
        <v>442</v>
      </c>
      <c r="F717" s="1">
        <v>30</v>
      </c>
      <c r="G717" s="5">
        <f t="shared" si="178"/>
        <v>13260</v>
      </c>
      <c r="I717" s="3">
        <v>13</v>
      </c>
      <c r="J717" s="1" t="s">
        <v>122</v>
      </c>
      <c r="K717" s="67">
        <v>46040</v>
      </c>
      <c r="L717" s="1" t="s">
        <v>20</v>
      </c>
      <c r="M717" s="5">
        <v>40</v>
      </c>
      <c r="N717" s="1">
        <v>120</v>
      </c>
      <c r="O717" s="5">
        <f t="shared" si="177"/>
        <v>4800</v>
      </c>
    </row>
    <row r="718" spans="1:15" x14ac:dyDescent="0.25">
      <c r="A718" s="3">
        <v>12</v>
      </c>
      <c r="B718" s="1" t="s">
        <v>19</v>
      </c>
      <c r="C718" s="67">
        <v>46039</v>
      </c>
      <c r="D718" s="1" t="s">
        <v>20</v>
      </c>
      <c r="E718" s="5">
        <v>331</v>
      </c>
      <c r="F718" s="1">
        <v>15</v>
      </c>
      <c r="G718" s="5">
        <f t="shared" si="178"/>
        <v>4965</v>
      </c>
      <c r="I718" s="3">
        <v>14</v>
      </c>
      <c r="J718" s="1" t="s">
        <v>254</v>
      </c>
      <c r="K718" s="67">
        <v>46040</v>
      </c>
      <c r="L718" s="1" t="s">
        <v>20</v>
      </c>
      <c r="M718" s="5" t="s">
        <v>290</v>
      </c>
      <c r="N718" s="1">
        <v>1600</v>
      </c>
      <c r="O718" s="5">
        <f>N718*0.5</f>
        <v>800</v>
      </c>
    </row>
    <row r="719" spans="1:15" ht="16.5" thickBot="1" x14ac:dyDescent="0.3">
      <c r="A719" s="3">
        <v>13</v>
      </c>
      <c r="B719" s="1" t="s">
        <v>16</v>
      </c>
      <c r="C719" s="67">
        <v>46039</v>
      </c>
      <c r="D719" s="1" t="s">
        <v>310</v>
      </c>
      <c r="E719" s="5">
        <v>49</v>
      </c>
      <c r="F719" s="1">
        <v>30</v>
      </c>
      <c r="G719" s="5">
        <f t="shared" si="178"/>
        <v>1470</v>
      </c>
      <c r="I719" s="233" t="s">
        <v>232</v>
      </c>
      <c r="J719" s="234"/>
      <c r="K719" s="234"/>
      <c r="L719" s="234"/>
      <c r="M719" s="234"/>
      <c r="N719" s="235"/>
      <c r="O719" s="57">
        <f>O736+O737+O738+O739+O741+O742+O743</f>
        <v>1560</v>
      </c>
    </row>
    <row r="720" spans="1:15" ht="16.5" thickBot="1" x14ac:dyDescent="0.3">
      <c r="A720" s="3">
        <v>14</v>
      </c>
      <c r="B720" s="1" t="s">
        <v>937</v>
      </c>
      <c r="C720" s="67">
        <v>46039</v>
      </c>
      <c r="D720" s="1" t="s">
        <v>20</v>
      </c>
      <c r="E720" s="5">
        <v>16</v>
      </c>
      <c r="F720" s="1">
        <v>110</v>
      </c>
      <c r="G720" s="5">
        <f t="shared" si="178"/>
        <v>1760</v>
      </c>
      <c r="I720" s="236" t="s">
        <v>161</v>
      </c>
      <c r="J720" s="237"/>
      <c r="K720" s="237"/>
      <c r="L720" s="237"/>
      <c r="M720" s="237"/>
      <c r="N720" s="238"/>
      <c r="O720" s="51">
        <f>SUM(O705:O718)-O719</f>
        <v>74335</v>
      </c>
    </row>
    <row r="721" spans="1:16" ht="16.5" thickBot="1" x14ac:dyDescent="0.3">
      <c r="A721" s="3">
        <v>15</v>
      </c>
      <c r="B721" s="1" t="s">
        <v>191</v>
      </c>
      <c r="C721" s="67">
        <v>46039</v>
      </c>
      <c r="D721" s="1" t="s">
        <v>20</v>
      </c>
      <c r="E721" s="5">
        <v>40</v>
      </c>
      <c r="F721" s="1">
        <v>80</v>
      </c>
      <c r="G721" s="5">
        <f t="shared" si="178"/>
        <v>3200</v>
      </c>
      <c r="I721" s="239" t="s">
        <v>170</v>
      </c>
      <c r="J721" s="240"/>
      <c r="K721" s="240"/>
      <c r="L721" s="240"/>
      <c r="M721" s="240"/>
      <c r="N721" s="240"/>
      <c r="O721" s="241"/>
    </row>
    <row r="722" spans="1:16" x14ac:dyDescent="0.25">
      <c r="A722" s="3">
        <v>16</v>
      </c>
      <c r="B722" s="1" t="s">
        <v>938</v>
      </c>
      <c r="C722" s="67">
        <v>46039</v>
      </c>
      <c r="D722" s="1" t="s">
        <v>20</v>
      </c>
      <c r="E722" s="5">
        <v>2</v>
      </c>
      <c r="F722" s="1">
        <v>350</v>
      </c>
      <c r="G722" s="5">
        <f t="shared" si="178"/>
        <v>700</v>
      </c>
      <c r="I722" s="3">
        <v>1</v>
      </c>
      <c r="J722" s="3" t="s">
        <v>399</v>
      </c>
      <c r="K722" s="67">
        <v>46040</v>
      </c>
      <c r="L722" s="3" t="s">
        <v>310</v>
      </c>
      <c r="M722" s="4">
        <v>9</v>
      </c>
      <c r="N722" s="3">
        <v>120</v>
      </c>
      <c r="O722" s="4">
        <f>N722*M722</f>
        <v>1080</v>
      </c>
    </row>
    <row r="723" spans="1:16" x14ac:dyDescent="0.25">
      <c r="A723" s="3">
        <v>17</v>
      </c>
      <c r="B723" s="1" t="s">
        <v>939</v>
      </c>
      <c r="C723" s="67">
        <v>46039</v>
      </c>
      <c r="D723" s="1" t="s">
        <v>20</v>
      </c>
      <c r="E723" s="5">
        <v>2</v>
      </c>
      <c r="F723" s="1">
        <v>120</v>
      </c>
      <c r="G723" s="5">
        <f t="shared" si="178"/>
        <v>240</v>
      </c>
      <c r="I723" s="3">
        <v>2</v>
      </c>
      <c r="J723" s="1" t="s">
        <v>110</v>
      </c>
      <c r="K723" s="67">
        <v>46040</v>
      </c>
      <c r="L723" s="3" t="s">
        <v>310</v>
      </c>
      <c r="M723" s="5">
        <v>3</v>
      </c>
      <c r="N723" s="1">
        <v>120</v>
      </c>
      <c r="O723" s="4">
        <f t="shared" ref="O723:O725" si="179">N723*M723</f>
        <v>360</v>
      </c>
    </row>
    <row r="724" spans="1:16" ht="16.5" thickBot="1" x14ac:dyDescent="0.3">
      <c r="A724" s="233" t="s">
        <v>232</v>
      </c>
      <c r="B724" s="234"/>
      <c r="C724" s="234"/>
      <c r="D724" s="234"/>
      <c r="E724" s="234"/>
      <c r="F724" s="235"/>
      <c r="G724" s="57">
        <f>G751+G752+G753+G755+G756+G758+G759+G760+G761+G762</f>
        <v>3900</v>
      </c>
      <c r="I724" s="3">
        <v>3</v>
      </c>
      <c r="J724" s="1" t="s">
        <v>102</v>
      </c>
      <c r="K724" s="67">
        <v>46040</v>
      </c>
      <c r="L724" s="3" t="s">
        <v>310</v>
      </c>
      <c r="M724" s="5">
        <v>42</v>
      </c>
      <c r="N724" s="1">
        <v>120</v>
      </c>
      <c r="O724" s="4">
        <f t="shared" si="179"/>
        <v>5040</v>
      </c>
    </row>
    <row r="725" spans="1:16" ht="16.5" thickBot="1" x14ac:dyDescent="0.3">
      <c r="A725" s="236" t="s">
        <v>161</v>
      </c>
      <c r="B725" s="237"/>
      <c r="C725" s="237"/>
      <c r="D725" s="237"/>
      <c r="E725" s="237"/>
      <c r="F725" s="238"/>
      <c r="G725" s="51">
        <f>SUM(G707:G723)-G724</f>
        <v>105095</v>
      </c>
      <c r="I725" s="3">
        <v>4</v>
      </c>
      <c r="J725" s="1" t="s">
        <v>178</v>
      </c>
      <c r="K725" s="67">
        <v>46040</v>
      </c>
      <c r="L725" s="3" t="s">
        <v>310</v>
      </c>
      <c r="M725" s="5">
        <v>2</v>
      </c>
      <c r="N725" s="1">
        <v>50</v>
      </c>
      <c r="O725" s="5">
        <f t="shared" si="179"/>
        <v>100</v>
      </c>
    </row>
    <row r="726" spans="1:16" ht="16.5" thickBot="1" x14ac:dyDescent="0.3">
      <c r="A726" s="239" t="s">
        <v>170</v>
      </c>
      <c r="B726" s="240"/>
      <c r="C726" s="240"/>
      <c r="D726" s="240"/>
      <c r="E726" s="240"/>
      <c r="F726" s="240"/>
      <c r="G726" s="241"/>
      <c r="I726" s="223" t="s">
        <v>162</v>
      </c>
      <c r="J726" s="224"/>
      <c r="K726" s="224"/>
      <c r="L726" s="224"/>
      <c r="M726" s="224"/>
      <c r="N726" s="225"/>
      <c r="O726" s="70">
        <f>SUM(O722:O725)</f>
        <v>6580</v>
      </c>
    </row>
    <row r="727" spans="1:16" ht="19.5" thickBot="1" x14ac:dyDescent="0.35">
      <c r="A727" s="3">
        <v>1</v>
      </c>
      <c r="B727" s="3" t="s">
        <v>399</v>
      </c>
      <c r="C727" s="67">
        <v>46039</v>
      </c>
      <c r="D727" s="3" t="s">
        <v>310</v>
      </c>
      <c r="E727" s="4">
        <v>23</v>
      </c>
      <c r="F727" s="3">
        <v>120</v>
      </c>
      <c r="G727" s="4">
        <f>F727*E727</f>
        <v>2760</v>
      </c>
      <c r="I727" s="226" t="s">
        <v>103</v>
      </c>
      <c r="J727" s="227"/>
      <c r="K727" s="227"/>
      <c r="L727" s="227"/>
      <c r="M727" s="227"/>
      <c r="N727" s="228"/>
      <c r="O727" s="44">
        <f>O720+O726</f>
        <v>80915</v>
      </c>
    </row>
    <row r="728" spans="1:16" ht="15.75" x14ac:dyDescent="0.25">
      <c r="A728" s="3">
        <v>2</v>
      </c>
      <c r="B728" s="3" t="s">
        <v>194</v>
      </c>
      <c r="C728" s="67">
        <v>46039</v>
      </c>
      <c r="D728" s="3" t="s">
        <v>310</v>
      </c>
      <c r="E728" s="4">
        <v>1</v>
      </c>
      <c r="F728" s="3">
        <v>550</v>
      </c>
      <c r="G728" s="4">
        <f t="shared" ref="G728:G732" si="180">F728*E728</f>
        <v>550</v>
      </c>
      <c r="I728" s="229" t="s">
        <v>95</v>
      </c>
      <c r="J728" s="230"/>
      <c r="K728" s="230"/>
      <c r="L728" s="230"/>
      <c r="M728" s="230"/>
      <c r="N728" s="230"/>
      <c r="O728" s="231"/>
    </row>
    <row r="729" spans="1:16" ht="15.75" x14ac:dyDescent="0.25">
      <c r="A729" s="3">
        <v>3</v>
      </c>
      <c r="B729" s="1" t="s">
        <v>110</v>
      </c>
      <c r="C729" s="67">
        <v>46039</v>
      </c>
      <c r="D729" s="3" t="s">
        <v>310</v>
      </c>
      <c r="E729" s="5">
        <v>23</v>
      </c>
      <c r="F729" s="1">
        <v>120</v>
      </c>
      <c r="G729" s="4">
        <f t="shared" si="180"/>
        <v>2760</v>
      </c>
      <c r="I729" s="114" t="s">
        <v>0</v>
      </c>
      <c r="J729" s="114" t="s">
        <v>1</v>
      </c>
      <c r="K729" s="114" t="s">
        <v>3</v>
      </c>
      <c r="L729" s="114" t="s">
        <v>2</v>
      </c>
      <c r="M729" s="114" t="s">
        <v>6</v>
      </c>
      <c r="N729" s="114" t="s">
        <v>7</v>
      </c>
      <c r="O729" s="114" t="s">
        <v>8</v>
      </c>
    </row>
    <row r="730" spans="1:16" x14ac:dyDescent="0.25">
      <c r="A730" s="3">
        <v>4</v>
      </c>
      <c r="B730" s="1" t="s">
        <v>102</v>
      </c>
      <c r="C730" s="67">
        <v>46039</v>
      </c>
      <c r="D730" s="3" t="s">
        <v>310</v>
      </c>
      <c r="E730" s="5">
        <v>44</v>
      </c>
      <c r="F730" s="1">
        <v>120</v>
      </c>
      <c r="G730" s="4">
        <f t="shared" si="180"/>
        <v>5280</v>
      </c>
      <c r="I730" s="113">
        <v>1</v>
      </c>
      <c r="J730" s="1" t="s">
        <v>222</v>
      </c>
      <c r="K730" s="67">
        <v>46040</v>
      </c>
      <c r="L730" s="1" t="s">
        <v>12</v>
      </c>
      <c r="M730" s="1">
        <v>5</v>
      </c>
      <c r="N730" s="1">
        <v>50</v>
      </c>
      <c r="O730" s="5">
        <f t="shared" ref="O730" si="181">N730*M730</f>
        <v>250</v>
      </c>
      <c r="P730" s="53"/>
    </row>
    <row r="731" spans="1:16" x14ac:dyDescent="0.25">
      <c r="A731" s="3">
        <v>5</v>
      </c>
      <c r="B731" s="1" t="s">
        <v>341</v>
      </c>
      <c r="C731" s="67">
        <v>46039</v>
      </c>
      <c r="D731" s="3" t="s">
        <v>310</v>
      </c>
      <c r="E731" s="5">
        <v>518</v>
      </c>
      <c r="F731" s="1">
        <v>30</v>
      </c>
      <c r="G731" s="4">
        <f t="shared" si="180"/>
        <v>15540</v>
      </c>
      <c r="I731" s="113">
        <v>2</v>
      </c>
      <c r="J731" s="1" t="s">
        <v>178</v>
      </c>
      <c r="K731" s="67">
        <v>46040</v>
      </c>
      <c r="L731" s="1" t="s">
        <v>310</v>
      </c>
      <c r="M731" s="1">
        <v>1</v>
      </c>
      <c r="N731" s="1">
        <v>400</v>
      </c>
      <c r="O731" s="5">
        <f>N731*M731</f>
        <v>400</v>
      </c>
      <c r="P731" s="53"/>
    </row>
    <row r="732" spans="1:16" x14ac:dyDescent="0.25">
      <c r="A732" s="3">
        <v>6</v>
      </c>
      <c r="B732" s="1" t="s">
        <v>178</v>
      </c>
      <c r="C732" s="67">
        <v>46039</v>
      </c>
      <c r="D732" s="3" t="s">
        <v>310</v>
      </c>
      <c r="E732" s="5">
        <v>3</v>
      </c>
      <c r="F732" s="1">
        <v>50</v>
      </c>
      <c r="G732" s="5">
        <f t="shared" si="180"/>
        <v>150</v>
      </c>
      <c r="I732" s="113">
        <v>3</v>
      </c>
      <c r="J732" s="1" t="s">
        <v>965</v>
      </c>
      <c r="K732" s="67">
        <v>46040</v>
      </c>
      <c r="L732" s="1" t="s">
        <v>13</v>
      </c>
      <c r="M732" s="1">
        <v>4</v>
      </c>
      <c r="N732" s="1">
        <v>80</v>
      </c>
      <c r="O732" s="5">
        <f t="shared" ref="O732:O734" si="182">N732*M732</f>
        <v>320</v>
      </c>
    </row>
    <row r="733" spans="1:16" ht="16.5" thickBot="1" x14ac:dyDescent="0.3">
      <c r="A733" s="223" t="s">
        <v>162</v>
      </c>
      <c r="B733" s="224"/>
      <c r="C733" s="224"/>
      <c r="D733" s="224"/>
      <c r="E733" s="224"/>
      <c r="F733" s="225"/>
      <c r="G733" s="70">
        <f>SUM(G727:G732)</f>
        <v>27040</v>
      </c>
      <c r="I733" s="113">
        <v>4</v>
      </c>
      <c r="J733" s="18" t="s">
        <v>19</v>
      </c>
      <c r="K733" s="67">
        <v>46040</v>
      </c>
      <c r="L733" s="1" t="s">
        <v>13</v>
      </c>
      <c r="M733" s="20">
        <v>28</v>
      </c>
      <c r="N733" s="1">
        <v>15</v>
      </c>
      <c r="O733" s="5">
        <f t="shared" si="182"/>
        <v>420</v>
      </c>
    </row>
    <row r="734" spans="1:16" ht="19.5" thickBot="1" x14ac:dyDescent="0.35">
      <c r="A734" s="226" t="s">
        <v>103</v>
      </c>
      <c r="B734" s="227"/>
      <c r="C734" s="227"/>
      <c r="D734" s="227"/>
      <c r="E734" s="227"/>
      <c r="F734" s="228"/>
      <c r="G734" s="44">
        <f>G725+G733</f>
        <v>132135</v>
      </c>
      <c r="H734" s="53"/>
      <c r="I734" s="113">
        <v>5</v>
      </c>
      <c r="J734" s="18" t="s">
        <v>14</v>
      </c>
      <c r="K734" s="67">
        <v>46040</v>
      </c>
      <c r="L734" s="1" t="s">
        <v>13</v>
      </c>
      <c r="M734" s="20">
        <v>2</v>
      </c>
      <c r="N734" s="1">
        <v>80</v>
      </c>
      <c r="O734" s="5">
        <f t="shared" si="182"/>
        <v>160</v>
      </c>
    </row>
    <row r="735" spans="1:16" ht="15.75" x14ac:dyDescent="0.25">
      <c r="A735" s="229" t="s">
        <v>95</v>
      </c>
      <c r="B735" s="230"/>
      <c r="C735" s="230"/>
      <c r="D735" s="230"/>
      <c r="E735" s="230"/>
      <c r="F735" s="230"/>
      <c r="G735" s="231"/>
      <c r="I735" s="113">
        <v>6</v>
      </c>
      <c r="J735" s="18" t="s">
        <v>560</v>
      </c>
      <c r="K735" s="67">
        <v>46040</v>
      </c>
      <c r="L735" s="1" t="s">
        <v>20</v>
      </c>
      <c r="M735" s="20">
        <v>6</v>
      </c>
      <c r="N735" s="1">
        <v>320</v>
      </c>
      <c r="O735" s="5">
        <f>N735*M735</f>
        <v>1920</v>
      </c>
    </row>
    <row r="736" spans="1:16" ht="15.75" x14ac:dyDescent="0.25">
      <c r="A736" s="114" t="s">
        <v>0</v>
      </c>
      <c r="B736" s="114" t="s">
        <v>1</v>
      </c>
      <c r="C736" s="114" t="s">
        <v>3</v>
      </c>
      <c r="D736" s="114" t="s">
        <v>2</v>
      </c>
      <c r="E736" s="114" t="s">
        <v>6</v>
      </c>
      <c r="F736" s="114" t="s">
        <v>7</v>
      </c>
      <c r="G736" s="114" t="s">
        <v>8</v>
      </c>
      <c r="I736" s="113">
        <v>7</v>
      </c>
      <c r="J736" s="1" t="s">
        <v>197</v>
      </c>
      <c r="K736" s="67">
        <v>46040</v>
      </c>
      <c r="L736" s="1" t="s">
        <v>310</v>
      </c>
      <c r="M736" s="1">
        <v>4</v>
      </c>
      <c r="N736" s="1">
        <v>40</v>
      </c>
      <c r="O736" s="5">
        <f t="shared" ref="O736:O742" si="183">N736*M736</f>
        <v>160</v>
      </c>
    </row>
    <row r="737" spans="1:15" x14ac:dyDescent="0.25">
      <c r="A737" s="113">
        <v>1</v>
      </c>
      <c r="B737" s="113" t="s">
        <v>9</v>
      </c>
      <c r="C737" s="67">
        <v>46039</v>
      </c>
      <c r="D737" s="3" t="s">
        <v>12</v>
      </c>
      <c r="E737" s="113">
        <v>8</v>
      </c>
      <c r="F737" s="113">
        <v>35</v>
      </c>
      <c r="G737" s="4">
        <f t="shared" ref="G737:G738" si="184">F737*E737</f>
        <v>280</v>
      </c>
      <c r="I737" s="113">
        <v>8</v>
      </c>
      <c r="J737" s="1" t="s">
        <v>383</v>
      </c>
      <c r="K737" s="67">
        <v>46040</v>
      </c>
      <c r="L737" s="1" t="s">
        <v>310</v>
      </c>
      <c r="M737" s="1">
        <v>1</v>
      </c>
      <c r="N737" s="1">
        <v>220</v>
      </c>
      <c r="O737" s="5">
        <f t="shared" si="183"/>
        <v>220</v>
      </c>
    </row>
    <row r="738" spans="1:15" x14ac:dyDescent="0.25">
      <c r="A738" s="113">
        <v>2</v>
      </c>
      <c r="B738" s="1" t="s">
        <v>196</v>
      </c>
      <c r="C738" s="67">
        <v>46039</v>
      </c>
      <c r="D738" s="1" t="s">
        <v>12</v>
      </c>
      <c r="E738" s="1">
        <v>8</v>
      </c>
      <c r="F738" s="1">
        <v>50</v>
      </c>
      <c r="G738" s="5">
        <f t="shared" si="184"/>
        <v>400</v>
      </c>
      <c r="I738" s="113">
        <v>9</v>
      </c>
      <c r="J738" s="1" t="s">
        <v>179</v>
      </c>
      <c r="K738" s="67">
        <v>46040</v>
      </c>
      <c r="L738" s="1" t="s">
        <v>310</v>
      </c>
      <c r="M738" s="1">
        <v>3</v>
      </c>
      <c r="N738" s="1">
        <v>70</v>
      </c>
      <c r="O738" s="5">
        <f t="shared" si="183"/>
        <v>210</v>
      </c>
    </row>
    <row r="739" spans="1:15" x14ac:dyDescent="0.25">
      <c r="A739" s="113">
        <v>3</v>
      </c>
      <c r="B739" s="1" t="s">
        <v>43</v>
      </c>
      <c r="C739" s="67">
        <v>46039</v>
      </c>
      <c r="D739" s="1" t="s">
        <v>13</v>
      </c>
      <c r="E739" s="1">
        <v>7</v>
      </c>
      <c r="F739" s="1">
        <v>30</v>
      </c>
      <c r="G739" s="5">
        <f t="shared" ref="G739" si="185">F739*E739</f>
        <v>210</v>
      </c>
      <c r="I739" s="113">
        <v>10</v>
      </c>
      <c r="J739" s="1" t="s">
        <v>624</v>
      </c>
      <c r="K739" s="67">
        <v>46040</v>
      </c>
      <c r="L739" s="1" t="s">
        <v>310</v>
      </c>
      <c r="M739" s="1">
        <v>2</v>
      </c>
      <c r="N739" s="1">
        <v>80</v>
      </c>
      <c r="O739" s="5">
        <f t="shared" si="183"/>
        <v>160</v>
      </c>
    </row>
    <row r="740" spans="1:15" x14ac:dyDescent="0.25">
      <c r="A740" s="113">
        <v>4</v>
      </c>
      <c r="B740" s="1" t="s">
        <v>178</v>
      </c>
      <c r="C740" s="67">
        <v>46039</v>
      </c>
      <c r="D740" s="1" t="s">
        <v>310</v>
      </c>
      <c r="E740" s="1">
        <v>1.75</v>
      </c>
      <c r="F740" s="1">
        <v>400</v>
      </c>
      <c r="G740" s="5">
        <f>F740*E740</f>
        <v>700</v>
      </c>
      <c r="I740" s="113">
        <v>11</v>
      </c>
      <c r="J740" s="1" t="s">
        <v>102</v>
      </c>
      <c r="K740" s="67">
        <v>46040</v>
      </c>
      <c r="L740" s="1" t="s">
        <v>310</v>
      </c>
      <c r="M740" s="1">
        <v>4</v>
      </c>
      <c r="N740" s="1">
        <v>120</v>
      </c>
      <c r="O740" s="5">
        <f t="shared" si="183"/>
        <v>480</v>
      </c>
    </row>
    <row r="741" spans="1:15" x14ac:dyDescent="0.25">
      <c r="A741" s="113">
        <v>5</v>
      </c>
      <c r="B741" s="1" t="s">
        <v>254</v>
      </c>
      <c r="C741" s="67">
        <v>46039</v>
      </c>
      <c r="D741" s="1" t="s">
        <v>13</v>
      </c>
      <c r="E741" s="1" t="s">
        <v>400</v>
      </c>
      <c r="F741" s="1">
        <v>1600</v>
      </c>
      <c r="G741" s="5">
        <f>F741*1</f>
        <v>1600</v>
      </c>
      <c r="I741" s="113">
        <v>12</v>
      </c>
      <c r="J741" s="1" t="s">
        <v>961</v>
      </c>
      <c r="K741" s="67">
        <v>46040</v>
      </c>
      <c r="L741" s="1" t="s">
        <v>310</v>
      </c>
      <c r="M741" s="1">
        <v>2</v>
      </c>
      <c r="N741" s="1">
        <v>100</v>
      </c>
      <c r="O741" s="5">
        <f t="shared" si="183"/>
        <v>200</v>
      </c>
    </row>
    <row r="742" spans="1:15" x14ac:dyDescent="0.25">
      <c r="A742" s="113">
        <v>6</v>
      </c>
      <c r="B742" s="1" t="s">
        <v>657</v>
      </c>
      <c r="C742" s="67">
        <v>46039</v>
      </c>
      <c r="D742" s="1" t="s">
        <v>13</v>
      </c>
      <c r="E742" s="1">
        <v>11</v>
      </c>
      <c r="F742" s="1">
        <v>220</v>
      </c>
      <c r="G742" s="5">
        <f t="shared" ref="G742:G761" si="186">F742*E742</f>
        <v>2420</v>
      </c>
      <c r="I742" s="113">
        <v>13</v>
      </c>
      <c r="J742" s="24" t="s">
        <v>722</v>
      </c>
      <c r="K742" s="67">
        <v>46040</v>
      </c>
      <c r="L742" s="1" t="s">
        <v>310</v>
      </c>
      <c r="M742" s="1">
        <v>4</v>
      </c>
      <c r="N742" s="1">
        <v>100</v>
      </c>
      <c r="O742" s="5">
        <f t="shared" si="183"/>
        <v>400</v>
      </c>
    </row>
    <row r="743" spans="1:15" x14ac:dyDescent="0.25">
      <c r="A743" s="113">
        <v>7</v>
      </c>
      <c r="B743" s="18" t="s">
        <v>19</v>
      </c>
      <c r="C743" s="67">
        <v>46039</v>
      </c>
      <c r="D743" s="1" t="s">
        <v>13</v>
      </c>
      <c r="E743" s="20">
        <v>68</v>
      </c>
      <c r="F743" s="1">
        <v>15</v>
      </c>
      <c r="G743" s="5">
        <f t="shared" si="186"/>
        <v>1020</v>
      </c>
      <c r="I743" s="113">
        <v>14</v>
      </c>
      <c r="J743" s="24" t="s">
        <v>732</v>
      </c>
      <c r="K743" s="67">
        <v>46040</v>
      </c>
      <c r="L743" s="1" t="s">
        <v>310</v>
      </c>
      <c r="M743" s="1">
        <v>6</v>
      </c>
      <c r="N743" s="1">
        <v>35</v>
      </c>
      <c r="O743" s="5">
        <f>N743*M743</f>
        <v>210</v>
      </c>
    </row>
    <row r="744" spans="1:15" ht="15.75" x14ac:dyDescent="0.25">
      <c r="A744" s="113">
        <v>8</v>
      </c>
      <c r="B744" s="18" t="s">
        <v>14</v>
      </c>
      <c r="C744" s="67">
        <v>46039</v>
      </c>
      <c r="D744" s="1" t="s">
        <v>13</v>
      </c>
      <c r="E744" s="20">
        <v>8</v>
      </c>
      <c r="F744" s="1">
        <v>80</v>
      </c>
      <c r="G744" s="5">
        <f t="shared" si="186"/>
        <v>640</v>
      </c>
      <c r="I744" s="262" t="s">
        <v>25</v>
      </c>
      <c r="J744" s="263"/>
      <c r="K744" s="263"/>
      <c r="L744" s="263"/>
      <c r="M744" s="263"/>
      <c r="N744" s="264"/>
      <c r="O744" s="68">
        <f>SUM(O730:O743)</f>
        <v>5510</v>
      </c>
    </row>
    <row r="745" spans="1:15" ht="16.5" thickBot="1" x14ac:dyDescent="0.3">
      <c r="A745" s="113">
        <v>9</v>
      </c>
      <c r="B745" s="18" t="s">
        <v>18</v>
      </c>
      <c r="C745" s="67">
        <v>46039</v>
      </c>
      <c r="D745" s="1" t="s">
        <v>20</v>
      </c>
      <c r="E745" s="20">
        <v>25</v>
      </c>
      <c r="F745" s="1">
        <v>80</v>
      </c>
      <c r="G745" s="5">
        <f>F745*E745</f>
        <v>2000</v>
      </c>
      <c r="I745" s="265" t="s">
        <v>101</v>
      </c>
      <c r="J745" s="266"/>
      <c r="K745" s="266"/>
      <c r="L745" s="266"/>
      <c r="M745" s="266"/>
      <c r="N745" s="267"/>
      <c r="O745" s="141">
        <f>O744+O726+O720</f>
        <v>86425</v>
      </c>
    </row>
    <row r="746" spans="1:15" ht="15.75" thickBot="1" x14ac:dyDescent="0.3">
      <c r="A746" s="113">
        <v>10</v>
      </c>
      <c r="B746" s="18" t="s">
        <v>19</v>
      </c>
      <c r="C746" s="67">
        <v>46039</v>
      </c>
      <c r="D746" s="1" t="s">
        <v>20</v>
      </c>
      <c r="E746" s="20">
        <v>93</v>
      </c>
      <c r="F746" s="1">
        <v>15</v>
      </c>
      <c r="G746" s="5">
        <f>F746*E746</f>
        <v>1395</v>
      </c>
    </row>
    <row r="747" spans="1:15" ht="16.5" thickBot="1" x14ac:dyDescent="0.3">
      <c r="A747" s="113">
        <v>11</v>
      </c>
      <c r="B747" s="18" t="s">
        <v>945</v>
      </c>
      <c r="C747" s="67">
        <v>46039</v>
      </c>
      <c r="D747" s="1" t="s">
        <v>20</v>
      </c>
      <c r="E747" s="20">
        <v>1.5</v>
      </c>
      <c r="F747" s="1">
        <v>500</v>
      </c>
      <c r="G747" s="5">
        <f>F747*E747</f>
        <v>750</v>
      </c>
      <c r="I747" s="33" t="s">
        <v>0</v>
      </c>
      <c r="J747" s="34" t="s">
        <v>1</v>
      </c>
      <c r="K747" s="34" t="s">
        <v>3</v>
      </c>
      <c r="L747" s="34" t="s">
        <v>2</v>
      </c>
      <c r="M747" s="34" t="s">
        <v>6</v>
      </c>
      <c r="N747" s="34" t="s">
        <v>7</v>
      </c>
      <c r="O747" s="35" t="s">
        <v>8</v>
      </c>
    </row>
    <row r="748" spans="1:15" x14ac:dyDescent="0.25">
      <c r="A748" s="113">
        <v>12</v>
      </c>
      <c r="B748" s="18" t="s">
        <v>938</v>
      </c>
      <c r="C748" s="67">
        <v>46039</v>
      </c>
      <c r="D748" s="1" t="s">
        <v>20</v>
      </c>
      <c r="E748" s="20">
        <v>5</v>
      </c>
      <c r="F748" s="1">
        <v>350</v>
      </c>
      <c r="G748" s="5">
        <f>F748*E748</f>
        <v>1750</v>
      </c>
      <c r="I748" s="3">
        <v>1</v>
      </c>
      <c r="J748" s="3" t="s">
        <v>4</v>
      </c>
      <c r="K748" s="67">
        <v>46041</v>
      </c>
      <c r="L748" s="3" t="s">
        <v>310</v>
      </c>
      <c r="M748" s="30">
        <v>179</v>
      </c>
      <c r="N748" s="3">
        <v>30</v>
      </c>
      <c r="O748" s="4">
        <f>N748*M748</f>
        <v>5370</v>
      </c>
    </row>
    <row r="749" spans="1:15" x14ac:dyDescent="0.25">
      <c r="A749" s="113">
        <v>13</v>
      </c>
      <c r="B749" s="18" t="s">
        <v>489</v>
      </c>
      <c r="C749" s="67">
        <v>46039</v>
      </c>
      <c r="D749" s="1" t="s">
        <v>310</v>
      </c>
      <c r="E749" s="20">
        <v>11</v>
      </c>
      <c r="F749" s="1">
        <v>35</v>
      </c>
      <c r="G749" s="5">
        <f t="shared" si="186"/>
        <v>385</v>
      </c>
      <c r="I749" s="3">
        <v>2</v>
      </c>
      <c r="J749" s="1" t="s">
        <v>9</v>
      </c>
      <c r="K749" s="67">
        <v>46041</v>
      </c>
      <c r="L749" s="1" t="s">
        <v>12</v>
      </c>
      <c r="M749" s="31">
        <v>536</v>
      </c>
      <c r="N749" s="1">
        <v>30</v>
      </c>
      <c r="O749" s="4">
        <f t="shared" ref="O749:O752" si="187">N749*M749</f>
        <v>16080</v>
      </c>
    </row>
    <row r="750" spans="1:15" x14ac:dyDescent="0.25">
      <c r="A750" s="113">
        <v>14</v>
      </c>
      <c r="B750" s="1" t="s">
        <v>194</v>
      </c>
      <c r="C750" s="67">
        <v>46039</v>
      </c>
      <c r="D750" s="1" t="s">
        <v>310</v>
      </c>
      <c r="E750" s="1">
        <v>1</v>
      </c>
      <c r="F750" s="1">
        <v>500</v>
      </c>
      <c r="G750" s="5">
        <f t="shared" si="186"/>
        <v>500</v>
      </c>
      <c r="I750" s="3">
        <v>3</v>
      </c>
      <c r="J750" s="1" t="s">
        <v>4</v>
      </c>
      <c r="K750" s="67">
        <v>46041</v>
      </c>
      <c r="L750" s="1" t="s">
        <v>12</v>
      </c>
      <c r="M750" s="31">
        <v>470</v>
      </c>
      <c r="N750" s="1">
        <v>30</v>
      </c>
      <c r="O750" s="4">
        <f t="shared" si="187"/>
        <v>14100</v>
      </c>
    </row>
    <row r="751" spans="1:15" x14ac:dyDescent="0.25">
      <c r="A751" s="113">
        <v>15</v>
      </c>
      <c r="B751" s="1" t="s">
        <v>197</v>
      </c>
      <c r="C751" s="67">
        <v>46039</v>
      </c>
      <c r="D751" s="1" t="s">
        <v>310</v>
      </c>
      <c r="E751" s="1">
        <v>17</v>
      </c>
      <c r="F751" s="1">
        <v>40</v>
      </c>
      <c r="G751" s="5">
        <f t="shared" si="186"/>
        <v>680</v>
      </c>
      <c r="I751" s="3">
        <v>4</v>
      </c>
      <c r="J751" s="1" t="s">
        <v>241</v>
      </c>
      <c r="K751" s="67">
        <v>46041</v>
      </c>
      <c r="L751" s="1" t="s">
        <v>12</v>
      </c>
      <c r="M751" s="31">
        <v>55</v>
      </c>
      <c r="N751" s="1">
        <v>50</v>
      </c>
      <c r="O751" s="4">
        <f t="shared" si="187"/>
        <v>2750</v>
      </c>
    </row>
    <row r="752" spans="1:15" x14ac:dyDescent="0.25">
      <c r="A752" s="113">
        <v>16</v>
      </c>
      <c r="B752" s="1" t="s">
        <v>383</v>
      </c>
      <c r="C752" s="67">
        <v>46039</v>
      </c>
      <c r="D752" s="1" t="s">
        <v>310</v>
      </c>
      <c r="E752" s="1">
        <v>1</v>
      </c>
      <c r="F752" s="1">
        <v>220</v>
      </c>
      <c r="G752" s="5">
        <f t="shared" si="186"/>
        <v>220</v>
      </c>
      <c r="I752" s="3">
        <v>5</v>
      </c>
      <c r="J752" s="1" t="s">
        <v>33</v>
      </c>
      <c r="K752" s="67">
        <v>46041</v>
      </c>
      <c r="L752" s="1" t="s">
        <v>13</v>
      </c>
      <c r="M752" s="31">
        <v>4</v>
      </c>
      <c r="N752" s="1">
        <v>30</v>
      </c>
      <c r="O752" s="30">
        <f t="shared" si="187"/>
        <v>120</v>
      </c>
    </row>
    <row r="753" spans="1:15" x14ac:dyDescent="0.25">
      <c r="A753" s="113">
        <v>17</v>
      </c>
      <c r="B753" s="1" t="s">
        <v>402</v>
      </c>
      <c r="C753" s="67">
        <v>46039</v>
      </c>
      <c r="D753" s="1" t="s">
        <v>310</v>
      </c>
      <c r="E753" s="1">
        <v>4</v>
      </c>
      <c r="F753" s="1">
        <v>70</v>
      </c>
      <c r="G753" s="5">
        <f t="shared" si="186"/>
        <v>280</v>
      </c>
      <c r="I753" s="3">
        <v>6</v>
      </c>
      <c r="J753" s="1" t="s">
        <v>614</v>
      </c>
      <c r="K753" s="67">
        <v>46041</v>
      </c>
      <c r="L753" s="1" t="s">
        <v>13</v>
      </c>
      <c r="M753" s="31">
        <v>21</v>
      </c>
      <c r="N753" s="1">
        <v>220</v>
      </c>
      <c r="O753" s="4">
        <f>N753*M753</f>
        <v>4620</v>
      </c>
    </row>
    <row r="754" spans="1:15" x14ac:dyDescent="0.25">
      <c r="A754" s="113">
        <v>18</v>
      </c>
      <c r="B754" s="1" t="s">
        <v>341</v>
      </c>
      <c r="C754" s="67">
        <v>46039</v>
      </c>
      <c r="D754" s="1" t="s">
        <v>310</v>
      </c>
      <c r="E754" s="1">
        <v>11</v>
      </c>
      <c r="F754" s="1">
        <v>30</v>
      </c>
      <c r="G754" s="5">
        <f t="shared" si="186"/>
        <v>330</v>
      </c>
      <c r="I754" s="3">
        <v>7</v>
      </c>
      <c r="J754" s="1" t="s">
        <v>19</v>
      </c>
      <c r="K754" s="67">
        <v>46041</v>
      </c>
      <c r="L754" s="1" t="s">
        <v>13</v>
      </c>
      <c r="M754" s="31">
        <v>1251</v>
      </c>
      <c r="N754" s="1">
        <v>15</v>
      </c>
      <c r="O754" s="4">
        <f t="shared" ref="O754:O762" si="188">N754*M754</f>
        <v>18765</v>
      </c>
    </row>
    <row r="755" spans="1:15" x14ac:dyDescent="0.25">
      <c r="A755" s="113">
        <v>19</v>
      </c>
      <c r="B755" s="1" t="s">
        <v>179</v>
      </c>
      <c r="C755" s="67">
        <v>46039</v>
      </c>
      <c r="D755" s="1" t="s">
        <v>310</v>
      </c>
      <c r="E755" s="1">
        <v>25</v>
      </c>
      <c r="F755" s="1">
        <v>70</v>
      </c>
      <c r="G755" s="5">
        <f t="shared" si="186"/>
        <v>1750</v>
      </c>
      <c r="I755" s="3">
        <v>8</v>
      </c>
      <c r="J755" s="1" t="s">
        <v>369</v>
      </c>
      <c r="K755" s="67">
        <v>46041</v>
      </c>
      <c r="L755" s="1" t="s">
        <v>13</v>
      </c>
      <c r="M755" s="31">
        <v>178</v>
      </c>
      <c r="N755" s="1">
        <v>110</v>
      </c>
      <c r="O755" s="5">
        <f t="shared" si="188"/>
        <v>19580</v>
      </c>
    </row>
    <row r="756" spans="1:15" x14ac:dyDescent="0.25">
      <c r="A756" s="113">
        <v>20</v>
      </c>
      <c r="B756" s="1" t="s">
        <v>294</v>
      </c>
      <c r="C756" s="67">
        <v>46039</v>
      </c>
      <c r="D756" s="1" t="s">
        <v>310</v>
      </c>
      <c r="E756" s="1">
        <v>1</v>
      </c>
      <c r="F756" s="1">
        <v>120</v>
      </c>
      <c r="G756" s="5">
        <f t="shared" si="186"/>
        <v>120</v>
      </c>
      <c r="I756" s="3">
        <v>9</v>
      </c>
      <c r="J756" s="1" t="s">
        <v>489</v>
      </c>
      <c r="K756" s="67">
        <v>46041</v>
      </c>
      <c r="L756" s="1" t="s">
        <v>310</v>
      </c>
      <c r="M756" s="5">
        <v>146</v>
      </c>
      <c r="N756" s="1">
        <v>30</v>
      </c>
      <c r="O756" s="5">
        <f t="shared" si="188"/>
        <v>4380</v>
      </c>
    </row>
    <row r="757" spans="1:15" x14ac:dyDescent="0.25">
      <c r="A757" s="113">
        <v>21</v>
      </c>
      <c r="B757" s="1" t="s">
        <v>102</v>
      </c>
      <c r="C757" s="67">
        <v>46039</v>
      </c>
      <c r="D757" s="1" t="s">
        <v>310</v>
      </c>
      <c r="E757" s="1">
        <v>4</v>
      </c>
      <c r="F757" s="1">
        <v>120</v>
      </c>
      <c r="G757" s="5">
        <f t="shared" si="186"/>
        <v>480</v>
      </c>
      <c r="I757" s="3">
        <v>10</v>
      </c>
      <c r="J757" s="1" t="s">
        <v>489</v>
      </c>
      <c r="K757" s="67">
        <v>46041</v>
      </c>
      <c r="L757" s="1" t="s">
        <v>310</v>
      </c>
      <c r="M757" s="5">
        <v>454</v>
      </c>
      <c r="N757" s="1">
        <v>30</v>
      </c>
      <c r="O757" s="5">
        <f t="shared" si="188"/>
        <v>13620</v>
      </c>
    </row>
    <row r="758" spans="1:15" x14ac:dyDescent="0.25">
      <c r="A758" s="113">
        <v>22</v>
      </c>
      <c r="B758" s="1" t="s">
        <v>951</v>
      </c>
      <c r="C758" s="67">
        <v>46039</v>
      </c>
      <c r="D758" s="1" t="s">
        <v>310</v>
      </c>
      <c r="E758" s="1">
        <v>2</v>
      </c>
      <c r="F758" s="1">
        <v>90</v>
      </c>
      <c r="G758" s="5">
        <f t="shared" si="186"/>
        <v>180</v>
      </c>
      <c r="I758" s="3">
        <v>11</v>
      </c>
      <c r="J758" s="1" t="s">
        <v>19</v>
      </c>
      <c r="K758" s="67">
        <v>46041</v>
      </c>
      <c r="L758" s="1" t="s">
        <v>20</v>
      </c>
      <c r="M758" s="5">
        <v>532</v>
      </c>
      <c r="N758" s="1">
        <v>15</v>
      </c>
      <c r="O758" s="5">
        <f t="shared" si="188"/>
        <v>7980</v>
      </c>
    </row>
    <row r="759" spans="1:15" x14ac:dyDescent="0.25">
      <c r="A759" s="113">
        <v>23</v>
      </c>
      <c r="B759" s="1" t="s">
        <v>744</v>
      </c>
      <c r="C759" s="67">
        <v>46039</v>
      </c>
      <c r="D759" s="1" t="s">
        <v>310</v>
      </c>
      <c r="E759" s="1">
        <v>1</v>
      </c>
      <c r="F759" s="1">
        <v>180</v>
      </c>
      <c r="G759" s="5">
        <f t="shared" si="186"/>
        <v>180</v>
      </c>
      <c r="I759" s="3">
        <v>12</v>
      </c>
      <c r="J759" s="1" t="s">
        <v>16</v>
      </c>
      <c r="K759" s="67">
        <v>46041</v>
      </c>
      <c r="L759" s="1" t="s">
        <v>310</v>
      </c>
      <c r="M759" s="5">
        <v>106</v>
      </c>
      <c r="N759" s="1">
        <v>30</v>
      </c>
      <c r="O759" s="5">
        <f t="shared" si="188"/>
        <v>3180</v>
      </c>
    </row>
    <row r="760" spans="1:15" x14ac:dyDescent="0.25">
      <c r="A760" s="113">
        <v>24</v>
      </c>
      <c r="B760" s="1" t="s">
        <v>757</v>
      </c>
      <c r="C760" s="67">
        <v>46039</v>
      </c>
      <c r="D760" s="1" t="s">
        <v>310</v>
      </c>
      <c r="E760" s="1">
        <v>2</v>
      </c>
      <c r="F760" s="1">
        <v>100</v>
      </c>
      <c r="G760" s="5">
        <f t="shared" si="186"/>
        <v>200</v>
      </c>
      <c r="I760" s="3">
        <v>13</v>
      </c>
      <c r="J760" s="1" t="s">
        <v>978</v>
      </c>
      <c r="K760" s="67">
        <v>46041</v>
      </c>
      <c r="L760" s="1" t="s">
        <v>20</v>
      </c>
      <c r="M760" s="5">
        <v>5</v>
      </c>
      <c r="N760" s="1">
        <v>220</v>
      </c>
      <c r="O760" s="5">
        <f t="shared" si="188"/>
        <v>1100</v>
      </c>
    </row>
    <row r="761" spans="1:15" x14ac:dyDescent="0.25">
      <c r="A761" s="113">
        <v>25</v>
      </c>
      <c r="B761" s="24" t="s">
        <v>722</v>
      </c>
      <c r="C761" s="67">
        <v>46039</v>
      </c>
      <c r="D761" s="1" t="s">
        <v>310</v>
      </c>
      <c r="E761" s="1">
        <v>2</v>
      </c>
      <c r="F761" s="1">
        <v>100</v>
      </c>
      <c r="G761" s="5">
        <f t="shared" si="186"/>
        <v>200</v>
      </c>
      <c r="I761" s="3">
        <v>14</v>
      </c>
      <c r="J761" s="1" t="s">
        <v>737</v>
      </c>
      <c r="K761" s="67">
        <v>46041</v>
      </c>
      <c r="L761" s="1" t="s">
        <v>20</v>
      </c>
      <c r="M761" s="5">
        <v>55</v>
      </c>
      <c r="N761" s="1">
        <v>80</v>
      </c>
      <c r="O761" s="5">
        <f t="shared" si="188"/>
        <v>4400</v>
      </c>
    </row>
    <row r="762" spans="1:15" x14ac:dyDescent="0.25">
      <c r="A762" s="113">
        <v>26</v>
      </c>
      <c r="B762" s="24" t="s">
        <v>732</v>
      </c>
      <c r="C762" s="67">
        <v>46039</v>
      </c>
      <c r="D762" s="1" t="s">
        <v>310</v>
      </c>
      <c r="E762" s="1">
        <v>2</v>
      </c>
      <c r="F762" s="1">
        <v>45</v>
      </c>
      <c r="G762" s="5">
        <f>F762*E762</f>
        <v>90</v>
      </c>
      <c r="I762" s="3">
        <v>15</v>
      </c>
      <c r="J762" s="1" t="s">
        <v>977</v>
      </c>
      <c r="K762" s="67">
        <v>46041</v>
      </c>
      <c r="L762" s="1" t="s">
        <v>20</v>
      </c>
      <c r="M762" s="5">
        <v>13</v>
      </c>
      <c r="N762" s="1">
        <v>120</v>
      </c>
      <c r="O762" s="5">
        <f t="shared" si="188"/>
        <v>1560</v>
      </c>
    </row>
    <row r="763" spans="1:15" ht="16.5" thickBot="1" x14ac:dyDescent="0.3">
      <c r="A763" s="262" t="s">
        <v>25</v>
      </c>
      <c r="B763" s="263"/>
      <c r="C763" s="263"/>
      <c r="D763" s="263"/>
      <c r="E763" s="263"/>
      <c r="F763" s="264"/>
      <c r="G763" s="68">
        <f>SUM(G737:G762)</f>
        <v>18760</v>
      </c>
      <c r="I763" s="233" t="s">
        <v>232</v>
      </c>
      <c r="J763" s="234"/>
      <c r="K763" s="234"/>
      <c r="L763" s="234"/>
      <c r="M763" s="234"/>
      <c r="N763" s="235"/>
      <c r="O763" s="57"/>
    </row>
    <row r="764" spans="1:15" ht="16.5" thickBot="1" x14ac:dyDescent="0.3">
      <c r="A764" s="265" t="s">
        <v>101</v>
      </c>
      <c r="B764" s="266"/>
      <c r="C764" s="266"/>
      <c r="D764" s="266"/>
      <c r="E764" s="266"/>
      <c r="F764" s="267"/>
      <c r="G764" s="141">
        <f>G763+G733+G725</f>
        <v>150895</v>
      </c>
      <c r="I764" s="236" t="s">
        <v>161</v>
      </c>
      <c r="J764" s="237"/>
      <c r="K764" s="237"/>
      <c r="L764" s="237"/>
      <c r="M764" s="237"/>
      <c r="N764" s="238"/>
      <c r="O764" s="51">
        <f>SUM(O748:O762)-O763</f>
        <v>117605</v>
      </c>
    </row>
    <row r="765" spans="1:15" ht="16.5" thickBot="1" x14ac:dyDescent="0.3">
      <c r="I765" s="239" t="s">
        <v>170</v>
      </c>
      <c r="J765" s="240"/>
      <c r="K765" s="240"/>
      <c r="L765" s="240"/>
      <c r="M765" s="240"/>
      <c r="N765" s="240"/>
      <c r="O765" s="241"/>
    </row>
    <row r="766" spans="1:15" ht="16.5" thickBot="1" x14ac:dyDescent="0.3">
      <c r="A766" s="33" t="s">
        <v>0</v>
      </c>
      <c r="B766" s="34" t="s">
        <v>1</v>
      </c>
      <c r="C766" s="34" t="s">
        <v>3</v>
      </c>
      <c r="D766" s="34" t="s">
        <v>2</v>
      </c>
      <c r="E766" s="34" t="s">
        <v>6</v>
      </c>
      <c r="F766" s="34" t="s">
        <v>7</v>
      </c>
      <c r="G766" s="35" t="s">
        <v>8</v>
      </c>
      <c r="I766" s="3">
        <v>1</v>
      </c>
      <c r="J766" s="3" t="s">
        <v>399</v>
      </c>
      <c r="K766" s="67">
        <v>46041</v>
      </c>
      <c r="L766" s="3" t="s">
        <v>310</v>
      </c>
      <c r="M766" s="4">
        <v>11</v>
      </c>
      <c r="N766" s="3">
        <v>120</v>
      </c>
      <c r="O766" s="4">
        <f>N766*M766</f>
        <v>1320</v>
      </c>
    </row>
    <row r="767" spans="1:15" x14ac:dyDescent="0.25">
      <c r="A767" s="3">
        <v>1</v>
      </c>
      <c r="B767" s="3" t="s">
        <v>4</v>
      </c>
      <c r="C767" s="67">
        <v>46042</v>
      </c>
      <c r="D767" s="3" t="s">
        <v>310</v>
      </c>
      <c r="E767" s="30">
        <v>256</v>
      </c>
      <c r="F767" s="3">
        <v>30</v>
      </c>
      <c r="G767" s="4">
        <f>F767*E767</f>
        <v>7680</v>
      </c>
      <c r="I767" s="3">
        <v>2</v>
      </c>
      <c r="J767" s="3" t="s">
        <v>194</v>
      </c>
      <c r="K767" s="67">
        <v>46041</v>
      </c>
      <c r="L767" s="3" t="s">
        <v>310</v>
      </c>
      <c r="M767" s="4">
        <v>1</v>
      </c>
      <c r="N767" s="3">
        <v>110</v>
      </c>
      <c r="O767" s="4">
        <f t="shared" ref="O767:O769" si="189">N767*M767</f>
        <v>110</v>
      </c>
    </row>
    <row r="768" spans="1:15" x14ac:dyDescent="0.25">
      <c r="A768" s="3">
        <v>2</v>
      </c>
      <c r="B768" s="1" t="s">
        <v>9</v>
      </c>
      <c r="C768" s="67">
        <v>46042</v>
      </c>
      <c r="D768" s="1" t="s">
        <v>12</v>
      </c>
      <c r="E768" s="31">
        <v>669</v>
      </c>
      <c r="F768" s="1">
        <v>30</v>
      </c>
      <c r="G768" s="4">
        <f t="shared" ref="G768:G772" si="190">F768*E768</f>
        <v>20070</v>
      </c>
      <c r="I768" s="3">
        <v>3</v>
      </c>
      <c r="J768" s="1" t="s">
        <v>102</v>
      </c>
      <c r="K768" s="67">
        <v>46041</v>
      </c>
      <c r="L768" s="3" t="s">
        <v>310</v>
      </c>
      <c r="M768" s="5">
        <v>34</v>
      </c>
      <c r="N768" s="1">
        <v>120</v>
      </c>
      <c r="O768" s="4">
        <f t="shared" si="189"/>
        <v>4080</v>
      </c>
    </row>
    <row r="769" spans="1:16" x14ac:dyDescent="0.25">
      <c r="A769" s="3">
        <v>3</v>
      </c>
      <c r="B769" s="1" t="s">
        <v>4</v>
      </c>
      <c r="C769" s="67">
        <v>46042</v>
      </c>
      <c r="D769" s="1" t="s">
        <v>12</v>
      </c>
      <c r="E769" s="31">
        <v>510</v>
      </c>
      <c r="F769" s="1">
        <v>30</v>
      </c>
      <c r="G769" s="4">
        <f t="shared" si="190"/>
        <v>15300</v>
      </c>
      <c r="I769" s="3">
        <v>4</v>
      </c>
      <c r="J769" s="1" t="s">
        <v>975</v>
      </c>
      <c r="K769" s="67">
        <v>46041</v>
      </c>
      <c r="L769" s="3" t="s">
        <v>310</v>
      </c>
      <c r="M769" s="5">
        <v>95</v>
      </c>
      <c r="N769" s="1">
        <v>50</v>
      </c>
      <c r="O769" s="4">
        <f t="shared" si="189"/>
        <v>4750</v>
      </c>
    </row>
    <row r="770" spans="1:16" ht="16.5" thickBot="1" x14ac:dyDescent="0.3">
      <c r="A770" s="3">
        <v>4</v>
      </c>
      <c r="B770" s="1" t="s">
        <v>241</v>
      </c>
      <c r="C770" s="67">
        <v>46042</v>
      </c>
      <c r="D770" s="1" t="s">
        <v>12</v>
      </c>
      <c r="E770" s="31">
        <v>70</v>
      </c>
      <c r="F770" s="1">
        <v>50</v>
      </c>
      <c r="G770" s="4">
        <f t="shared" si="190"/>
        <v>3500</v>
      </c>
      <c r="I770" s="223" t="s">
        <v>162</v>
      </c>
      <c r="J770" s="224"/>
      <c r="K770" s="224"/>
      <c r="L770" s="224"/>
      <c r="M770" s="224"/>
      <c r="N770" s="225"/>
      <c r="O770" s="70">
        <f>SUM(O766:O769)</f>
        <v>10260</v>
      </c>
    </row>
    <row r="771" spans="1:16" ht="16.5" thickBot="1" x14ac:dyDescent="0.3">
      <c r="A771" s="3">
        <v>5</v>
      </c>
      <c r="B771" s="1" t="s">
        <v>980</v>
      </c>
      <c r="C771" s="67">
        <v>46042</v>
      </c>
      <c r="D771" s="1" t="s">
        <v>310</v>
      </c>
      <c r="E771" s="31">
        <v>17</v>
      </c>
      <c r="F771" s="1">
        <v>50</v>
      </c>
      <c r="G771" s="4">
        <f t="shared" si="190"/>
        <v>850</v>
      </c>
      <c r="I771" s="201"/>
      <c r="J771" s="202"/>
      <c r="K771" s="202"/>
      <c r="L771" s="202"/>
      <c r="M771" s="202"/>
      <c r="N771" s="203"/>
      <c r="O771" s="70"/>
    </row>
    <row r="772" spans="1:16" ht="19.5" thickBot="1" x14ac:dyDescent="0.35">
      <c r="A772" s="3">
        <v>6</v>
      </c>
      <c r="B772" s="1" t="s">
        <v>33</v>
      </c>
      <c r="C772" s="67">
        <v>46042</v>
      </c>
      <c r="D772" s="1" t="s">
        <v>13</v>
      </c>
      <c r="E772" s="31">
        <v>5</v>
      </c>
      <c r="F772" s="1">
        <v>30</v>
      </c>
      <c r="G772" s="30">
        <f t="shared" si="190"/>
        <v>150</v>
      </c>
      <c r="I772" s="226" t="s">
        <v>103</v>
      </c>
      <c r="J772" s="227"/>
      <c r="K772" s="227"/>
      <c r="L772" s="227"/>
      <c r="M772" s="227"/>
      <c r="N772" s="228"/>
      <c r="O772" s="44">
        <f>O764+O770</f>
        <v>127865</v>
      </c>
    </row>
    <row r="773" spans="1:16" ht="15.75" x14ac:dyDescent="0.25">
      <c r="A773" s="3">
        <v>7</v>
      </c>
      <c r="B773" s="1" t="s">
        <v>109</v>
      </c>
      <c r="C773" s="67">
        <v>46042</v>
      </c>
      <c r="D773" s="1" t="s">
        <v>13</v>
      </c>
      <c r="E773" s="31">
        <v>32</v>
      </c>
      <c r="F773" s="1">
        <v>180</v>
      </c>
      <c r="G773" s="4">
        <f>F773*E773</f>
        <v>5760</v>
      </c>
      <c r="I773" s="229" t="s">
        <v>95</v>
      </c>
      <c r="J773" s="230"/>
      <c r="K773" s="230"/>
      <c r="L773" s="230"/>
      <c r="M773" s="230"/>
      <c r="N773" s="230"/>
      <c r="O773" s="231"/>
    </row>
    <row r="774" spans="1:16" ht="15.75" x14ac:dyDescent="0.25">
      <c r="A774" s="3">
        <v>8</v>
      </c>
      <c r="B774" s="1" t="s">
        <v>19</v>
      </c>
      <c r="C774" s="67">
        <v>46042</v>
      </c>
      <c r="D774" s="1" t="s">
        <v>13</v>
      </c>
      <c r="E774" s="31">
        <v>1121</v>
      </c>
      <c r="F774" s="1">
        <v>15</v>
      </c>
      <c r="G774" s="4">
        <f t="shared" ref="G774:G782" si="191">F774*E774</f>
        <v>16815</v>
      </c>
      <c r="I774" s="114" t="s">
        <v>0</v>
      </c>
      <c r="J774" s="114" t="s">
        <v>1</v>
      </c>
      <c r="K774" s="114" t="s">
        <v>3</v>
      </c>
      <c r="L774" s="114" t="s">
        <v>2</v>
      </c>
      <c r="M774" s="114" t="s">
        <v>6</v>
      </c>
      <c r="N774" s="114" t="s">
        <v>7</v>
      </c>
      <c r="O774" s="114" t="s">
        <v>8</v>
      </c>
    </row>
    <row r="775" spans="1:16" x14ac:dyDescent="0.25">
      <c r="A775" s="3">
        <v>9</v>
      </c>
      <c r="B775" s="1" t="s">
        <v>14</v>
      </c>
      <c r="C775" s="67">
        <v>46042</v>
      </c>
      <c r="D775" s="1" t="s">
        <v>13</v>
      </c>
      <c r="E775" s="31">
        <v>157</v>
      </c>
      <c r="F775" s="1">
        <v>80</v>
      </c>
      <c r="G775" s="5">
        <f t="shared" si="191"/>
        <v>12560</v>
      </c>
      <c r="I775" s="113">
        <v>1</v>
      </c>
      <c r="J775" s="113" t="s">
        <v>9</v>
      </c>
      <c r="K775" s="67">
        <v>46041</v>
      </c>
      <c r="L775" s="3" t="s">
        <v>12</v>
      </c>
      <c r="M775" s="113"/>
      <c r="N775" s="113">
        <v>35</v>
      </c>
      <c r="O775" s="4">
        <f t="shared" ref="O775:O777" si="192">N775*M775</f>
        <v>0</v>
      </c>
      <c r="P775" s="53"/>
    </row>
    <row r="776" spans="1:16" x14ac:dyDescent="0.25">
      <c r="A776" s="3">
        <v>10</v>
      </c>
      <c r="B776" s="1" t="s">
        <v>489</v>
      </c>
      <c r="C776" s="67">
        <v>46042</v>
      </c>
      <c r="D776" s="1" t="s">
        <v>310</v>
      </c>
      <c r="E776" s="5">
        <v>171</v>
      </c>
      <c r="F776" s="1">
        <v>30</v>
      </c>
      <c r="G776" s="5">
        <f t="shared" si="191"/>
        <v>5130</v>
      </c>
      <c r="I776" s="113">
        <v>2</v>
      </c>
      <c r="J776" s="1" t="s">
        <v>196</v>
      </c>
      <c r="K776" s="67">
        <v>46041</v>
      </c>
      <c r="L776" s="1" t="s">
        <v>12</v>
      </c>
      <c r="M776" s="1"/>
      <c r="N776" s="1">
        <v>50</v>
      </c>
      <c r="O776" s="5">
        <f t="shared" si="192"/>
        <v>0</v>
      </c>
    </row>
    <row r="777" spans="1:16" x14ac:dyDescent="0.25">
      <c r="A777" s="3">
        <v>11</v>
      </c>
      <c r="B777" s="1" t="s">
        <v>489</v>
      </c>
      <c r="C777" s="67">
        <v>46042</v>
      </c>
      <c r="D777" s="1" t="s">
        <v>310</v>
      </c>
      <c r="E777" s="5">
        <v>489</v>
      </c>
      <c r="F777" s="1">
        <v>30</v>
      </c>
      <c r="G777" s="5">
        <f t="shared" si="191"/>
        <v>14670</v>
      </c>
      <c r="I777" s="113">
        <v>3</v>
      </c>
      <c r="J777" s="1" t="s">
        <v>43</v>
      </c>
      <c r="K777" s="67">
        <v>46041</v>
      </c>
      <c r="L777" s="1" t="s">
        <v>13</v>
      </c>
      <c r="M777" s="1"/>
      <c r="N777" s="1">
        <v>30</v>
      </c>
      <c r="O777" s="5">
        <f t="shared" si="192"/>
        <v>0</v>
      </c>
    </row>
    <row r="778" spans="1:16" x14ac:dyDescent="0.25">
      <c r="A778" s="3">
        <v>12</v>
      </c>
      <c r="B778" s="1" t="s">
        <v>19</v>
      </c>
      <c r="C778" s="67">
        <v>46042</v>
      </c>
      <c r="D778" s="1" t="s">
        <v>20</v>
      </c>
      <c r="E778" s="5"/>
      <c r="F778" s="1">
        <v>15</v>
      </c>
      <c r="G778" s="5">
        <f t="shared" si="191"/>
        <v>0</v>
      </c>
      <c r="I778" s="113">
        <v>4</v>
      </c>
      <c r="J778" s="1" t="s">
        <v>178</v>
      </c>
      <c r="K778" s="67">
        <v>46041</v>
      </c>
      <c r="L778" s="1" t="s">
        <v>310</v>
      </c>
      <c r="M778" s="1"/>
      <c r="N778" s="1">
        <v>400</v>
      </c>
      <c r="O778" s="5">
        <f>N778*M778</f>
        <v>0</v>
      </c>
    </row>
    <row r="779" spans="1:16" x14ac:dyDescent="0.25">
      <c r="A779" s="3">
        <v>13</v>
      </c>
      <c r="B779" s="1" t="s">
        <v>16</v>
      </c>
      <c r="C779" s="67">
        <v>46042</v>
      </c>
      <c r="D779" s="1" t="s">
        <v>310</v>
      </c>
      <c r="E779" s="5"/>
      <c r="F779" s="1">
        <v>30</v>
      </c>
      <c r="G779" s="5">
        <f t="shared" si="191"/>
        <v>0</v>
      </c>
      <c r="I779" s="113">
        <v>5</v>
      </c>
      <c r="J779" s="1" t="s">
        <v>254</v>
      </c>
      <c r="K779" s="67">
        <v>46041</v>
      </c>
      <c r="L779" s="1" t="s">
        <v>13</v>
      </c>
      <c r="M779" s="1"/>
      <c r="N779" s="1"/>
      <c r="O779" s="5">
        <f>N779*1</f>
        <v>0</v>
      </c>
    </row>
    <row r="780" spans="1:16" x14ac:dyDescent="0.25">
      <c r="A780" s="3">
        <v>14</v>
      </c>
      <c r="B780" s="1" t="s">
        <v>978</v>
      </c>
      <c r="C780" s="67">
        <v>46042</v>
      </c>
      <c r="D780" s="1" t="s">
        <v>20</v>
      </c>
      <c r="E780" s="5"/>
      <c r="F780" s="1">
        <v>220</v>
      </c>
      <c r="G780" s="5">
        <f t="shared" si="191"/>
        <v>0</v>
      </c>
      <c r="I780" s="113">
        <v>6</v>
      </c>
      <c r="J780" s="1" t="s">
        <v>657</v>
      </c>
      <c r="K780" s="67">
        <v>46041</v>
      </c>
      <c r="L780" s="1" t="s">
        <v>13</v>
      </c>
      <c r="M780" s="1"/>
      <c r="N780" s="1">
        <v>220</v>
      </c>
      <c r="O780" s="5">
        <f t="shared" ref="O780:O782" si="193">N780*M780</f>
        <v>0</v>
      </c>
    </row>
    <row r="781" spans="1:16" x14ac:dyDescent="0.25">
      <c r="A781" s="3">
        <v>15</v>
      </c>
      <c r="B781" s="1" t="s">
        <v>737</v>
      </c>
      <c r="C781" s="67">
        <v>46042</v>
      </c>
      <c r="D781" s="1" t="s">
        <v>20</v>
      </c>
      <c r="E781" s="5"/>
      <c r="F781" s="1">
        <v>80</v>
      </c>
      <c r="G781" s="5">
        <f t="shared" si="191"/>
        <v>0</v>
      </c>
      <c r="I781" s="113">
        <v>7</v>
      </c>
      <c r="J781" s="18" t="s">
        <v>19</v>
      </c>
      <c r="K781" s="67">
        <v>46041</v>
      </c>
      <c r="L781" s="1" t="s">
        <v>13</v>
      </c>
      <c r="M781" s="20"/>
      <c r="N781" s="1">
        <v>15</v>
      </c>
      <c r="O781" s="5">
        <f t="shared" si="193"/>
        <v>0</v>
      </c>
    </row>
    <row r="782" spans="1:16" x14ac:dyDescent="0.25">
      <c r="A782" s="3">
        <v>16</v>
      </c>
      <c r="B782" s="1" t="s">
        <v>977</v>
      </c>
      <c r="C782" s="67">
        <v>46042</v>
      </c>
      <c r="D782" s="1" t="s">
        <v>20</v>
      </c>
      <c r="E782" s="5"/>
      <c r="F782" s="1">
        <v>120</v>
      </c>
      <c r="G782" s="5">
        <f t="shared" si="191"/>
        <v>0</v>
      </c>
      <c r="I782" s="113">
        <v>8</v>
      </c>
      <c r="J782" s="18" t="s">
        <v>14</v>
      </c>
      <c r="K782" s="67">
        <v>46041</v>
      </c>
      <c r="L782" s="1" t="s">
        <v>13</v>
      </c>
      <c r="M782" s="20"/>
      <c r="N782" s="1">
        <v>80</v>
      </c>
      <c r="O782" s="5">
        <f t="shared" si="193"/>
        <v>0</v>
      </c>
    </row>
    <row r="783" spans="1:16" ht="16.5" thickBot="1" x14ac:dyDescent="0.3">
      <c r="A783" s="233" t="s">
        <v>232</v>
      </c>
      <c r="B783" s="234"/>
      <c r="C783" s="234"/>
      <c r="D783" s="234"/>
      <c r="E783" s="234"/>
      <c r="F783" s="235"/>
      <c r="G783" s="57"/>
      <c r="I783" s="113">
        <v>9</v>
      </c>
      <c r="J783" s="18" t="s">
        <v>18</v>
      </c>
      <c r="K783" s="67">
        <v>46041</v>
      </c>
      <c r="L783" s="1" t="s">
        <v>20</v>
      </c>
      <c r="M783" s="20"/>
      <c r="N783" s="1">
        <v>80</v>
      </c>
      <c r="O783" s="5">
        <f>N783*M783</f>
        <v>0</v>
      </c>
    </row>
    <row r="784" spans="1:16" ht="16.5" thickBot="1" x14ac:dyDescent="0.3">
      <c r="A784" s="236" t="s">
        <v>161</v>
      </c>
      <c r="B784" s="237"/>
      <c r="C784" s="237"/>
      <c r="D784" s="237"/>
      <c r="E784" s="237"/>
      <c r="F784" s="238"/>
      <c r="G784" s="51">
        <f>SUM(G767:G782)-G783</f>
        <v>102485</v>
      </c>
      <c r="I784" s="113">
        <v>10</v>
      </c>
      <c r="J784" s="18" t="s">
        <v>19</v>
      </c>
      <c r="K784" s="67">
        <v>46041</v>
      </c>
      <c r="L784" s="1" t="s">
        <v>20</v>
      </c>
      <c r="M784" s="20"/>
      <c r="N784" s="1">
        <v>15</v>
      </c>
      <c r="O784" s="5">
        <f>N784*M784</f>
        <v>0</v>
      </c>
    </row>
    <row r="785" spans="1:15" ht="16.5" thickBot="1" x14ac:dyDescent="0.3">
      <c r="A785" s="239" t="s">
        <v>170</v>
      </c>
      <c r="B785" s="240"/>
      <c r="C785" s="240"/>
      <c r="D785" s="240"/>
      <c r="E785" s="240"/>
      <c r="F785" s="240"/>
      <c r="G785" s="241"/>
      <c r="I785" s="113">
        <v>11</v>
      </c>
      <c r="J785" s="18" t="s">
        <v>945</v>
      </c>
      <c r="K785" s="67">
        <v>46041</v>
      </c>
      <c r="L785" s="1" t="s">
        <v>20</v>
      </c>
      <c r="M785" s="20"/>
      <c r="N785" s="1">
        <v>500</v>
      </c>
      <c r="O785" s="5">
        <f>N785*M785</f>
        <v>0</v>
      </c>
    </row>
    <row r="786" spans="1:15" x14ac:dyDescent="0.25">
      <c r="A786" s="3">
        <v>1</v>
      </c>
      <c r="B786" s="3" t="s">
        <v>399</v>
      </c>
      <c r="C786" s="67">
        <v>46042</v>
      </c>
      <c r="D786" s="3" t="s">
        <v>310</v>
      </c>
      <c r="E786" s="4">
        <v>11</v>
      </c>
      <c r="F786" s="3">
        <v>120</v>
      </c>
      <c r="G786" s="4">
        <f>F786*E786</f>
        <v>1320</v>
      </c>
      <c r="I786" s="113">
        <v>12</v>
      </c>
      <c r="J786" s="18" t="s">
        <v>938</v>
      </c>
      <c r="K786" s="67">
        <v>46041</v>
      </c>
      <c r="L786" s="1" t="s">
        <v>20</v>
      </c>
      <c r="M786" s="20"/>
      <c r="N786" s="1">
        <v>350</v>
      </c>
      <c r="O786" s="5">
        <f>N786*M786</f>
        <v>0</v>
      </c>
    </row>
    <row r="787" spans="1:15" x14ac:dyDescent="0.25">
      <c r="A787" s="3">
        <v>2</v>
      </c>
      <c r="B787" s="3" t="s">
        <v>194</v>
      </c>
      <c r="C787" s="67">
        <v>46042</v>
      </c>
      <c r="D787" s="3" t="s">
        <v>310</v>
      </c>
      <c r="E787" s="4">
        <v>1</v>
      </c>
      <c r="F787" s="3">
        <v>460</v>
      </c>
      <c r="G787" s="4">
        <f t="shared" ref="G787:G792" si="194">F787*E787</f>
        <v>460</v>
      </c>
      <c r="I787" s="113">
        <v>13</v>
      </c>
      <c r="J787" s="18" t="s">
        <v>489</v>
      </c>
      <c r="K787" s="67">
        <v>46041</v>
      </c>
      <c r="L787" s="1" t="s">
        <v>310</v>
      </c>
      <c r="M787" s="20"/>
      <c r="N787" s="1">
        <v>35</v>
      </c>
      <c r="O787" s="5">
        <f t="shared" ref="O787:O799" si="195">N787*M787</f>
        <v>0</v>
      </c>
    </row>
    <row r="788" spans="1:15" x14ac:dyDescent="0.25">
      <c r="A788" s="3">
        <v>3</v>
      </c>
      <c r="B788" s="1" t="s">
        <v>102</v>
      </c>
      <c r="C788" s="67">
        <v>46042</v>
      </c>
      <c r="D788" s="3" t="s">
        <v>310</v>
      </c>
      <c r="E788" s="5">
        <v>39</v>
      </c>
      <c r="F788" s="1">
        <v>120</v>
      </c>
      <c r="G788" s="4">
        <f t="shared" si="194"/>
        <v>4680</v>
      </c>
      <c r="I788" s="113">
        <v>14</v>
      </c>
      <c r="J788" s="1" t="s">
        <v>194</v>
      </c>
      <c r="K788" s="67">
        <v>46041</v>
      </c>
      <c r="L788" s="1" t="s">
        <v>310</v>
      </c>
      <c r="M788" s="1"/>
      <c r="N788" s="1">
        <v>500</v>
      </c>
      <c r="O788" s="5">
        <f t="shared" si="195"/>
        <v>0</v>
      </c>
    </row>
    <row r="789" spans="1:15" x14ac:dyDescent="0.25">
      <c r="A789" s="3">
        <v>4</v>
      </c>
      <c r="B789" s="1" t="s">
        <v>979</v>
      </c>
      <c r="C789" s="67">
        <v>46042</v>
      </c>
      <c r="D789" s="3" t="s">
        <v>310</v>
      </c>
      <c r="E789" s="5">
        <v>7</v>
      </c>
      <c r="F789" s="1">
        <v>50</v>
      </c>
      <c r="G789" s="4">
        <f t="shared" si="194"/>
        <v>350</v>
      </c>
      <c r="I789" s="113">
        <v>15</v>
      </c>
      <c r="J789" s="1" t="s">
        <v>197</v>
      </c>
      <c r="K789" s="67">
        <v>46041</v>
      </c>
      <c r="L789" s="1" t="s">
        <v>310</v>
      </c>
      <c r="M789" s="1"/>
      <c r="N789" s="1">
        <v>40</v>
      </c>
      <c r="O789" s="5">
        <f t="shared" si="195"/>
        <v>0</v>
      </c>
    </row>
    <row r="790" spans="1:15" x14ac:dyDescent="0.25">
      <c r="A790" s="3">
        <v>5</v>
      </c>
      <c r="B790" s="1" t="s">
        <v>110</v>
      </c>
      <c r="C790" s="67">
        <v>46042</v>
      </c>
      <c r="D790" s="3" t="s">
        <v>310</v>
      </c>
      <c r="E790" s="5">
        <v>16</v>
      </c>
      <c r="F790" s="1">
        <v>120</v>
      </c>
      <c r="G790" s="4">
        <f t="shared" si="194"/>
        <v>1920</v>
      </c>
      <c r="I790" s="113">
        <v>16</v>
      </c>
      <c r="J790" s="1" t="s">
        <v>383</v>
      </c>
      <c r="K790" s="67">
        <v>46041</v>
      </c>
      <c r="L790" s="1" t="s">
        <v>310</v>
      </c>
      <c r="M790" s="1"/>
      <c r="N790" s="1">
        <v>220</v>
      </c>
      <c r="O790" s="5">
        <f t="shared" si="195"/>
        <v>0</v>
      </c>
    </row>
    <row r="791" spans="1:15" x14ac:dyDescent="0.25">
      <c r="A791" s="3">
        <v>6</v>
      </c>
      <c r="B791" s="1" t="s">
        <v>341</v>
      </c>
      <c r="C791" s="67">
        <v>46042</v>
      </c>
      <c r="D791" s="3" t="s">
        <v>310</v>
      </c>
      <c r="E791" s="5">
        <v>256</v>
      </c>
      <c r="F791" s="1">
        <v>30</v>
      </c>
      <c r="G791" s="4">
        <f t="shared" si="194"/>
        <v>7680</v>
      </c>
      <c r="I791" s="113">
        <v>17</v>
      </c>
      <c r="J791" s="1" t="s">
        <v>402</v>
      </c>
      <c r="K791" s="67">
        <v>46041</v>
      </c>
      <c r="L791" s="1" t="s">
        <v>310</v>
      </c>
      <c r="M791" s="1"/>
      <c r="N791" s="1">
        <v>70</v>
      </c>
      <c r="O791" s="5">
        <f t="shared" si="195"/>
        <v>0</v>
      </c>
    </row>
    <row r="792" spans="1:15" x14ac:dyDescent="0.25">
      <c r="A792" s="3">
        <v>7</v>
      </c>
      <c r="B792" s="1" t="s">
        <v>975</v>
      </c>
      <c r="C792" s="67">
        <v>46042</v>
      </c>
      <c r="D792" s="3" t="s">
        <v>310</v>
      </c>
      <c r="E792" s="5">
        <v>82</v>
      </c>
      <c r="F792" s="1">
        <v>50</v>
      </c>
      <c r="G792" s="4">
        <f t="shared" si="194"/>
        <v>4100</v>
      </c>
      <c r="I792" s="113">
        <v>18</v>
      </c>
      <c r="J792" s="1" t="s">
        <v>341</v>
      </c>
      <c r="K792" s="67">
        <v>46041</v>
      </c>
      <c r="L792" s="1" t="s">
        <v>310</v>
      </c>
      <c r="M792" s="1"/>
      <c r="N792" s="1">
        <v>30</v>
      </c>
      <c r="O792" s="5">
        <f t="shared" si="195"/>
        <v>0</v>
      </c>
    </row>
    <row r="793" spans="1:15" ht="16.5" thickBot="1" x14ac:dyDescent="0.3">
      <c r="A793" s="223" t="s">
        <v>162</v>
      </c>
      <c r="B793" s="224"/>
      <c r="C793" s="224"/>
      <c r="D793" s="224"/>
      <c r="E793" s="224"/>
      <c r="F793" s="225"/>
      <c r="G793" s="70">
        <f>SUM(G786:G792)</f>
        <v>20510</v>
      </c>
      <c r="I793" s="113">
        <v>19</v>
      </c>
      <c r="J793" s="1" t="s">
        <v>179</v>
      </c>
      <c r="K793" s="67">
        <v>46041</v>
      </c>
      <c r="L793" s="1" t="s">
        <v>310</v>
      </c>
      <c r="M793" s="1"/>
      <c r="N793" s="1">
        <v>70</v>
      </c>
      <c r="O793" s="5">
        <f t="shared" si="195"/>
        <v>0</v>
      </c>
    </row>
    <row r="794" spans="1:15" ht="19.5" thickBot="1" x14ac:dyDescent="0.35">
      <c r="A794" s="226" t="s">
        <v>103</v>
      </c>
      <c r="B794" s="227"/>
      <c r="C794" s="227"/>
      <c r="D794" s="227"/>
      <c r="E794" s="227"/>
      <c r="F794" s="228"/>
      <c r="G794" s="44">
        <f>G784+G793</f>
        <v>122995</v>
      </c>
      <c r="I794" s="113">
        <v>20</v>
      </c>
      <c r="J794" s="1" t="s">
        <v>294</v>
      </c>
      <c r="K794" s="67">
        <v>46041</v>
      </c>
      <c r="L794" s="1" t="s">
        <v>310</v>
      </c>
      <c r="M794" s="1"/>
      <c r="N794" s="1">
        <v>120</v>
      </c>
      <c r="O794" s="5">
        <f t="shared" si="195"/>
        <v>0</v>
      </c>
    </row>
    <row r="795" spans="1:15" ht="15.75" x14ac:dyDescent="0.25">
      <c r="A795" s="229" t="s">
        <v>95</v>
      </c>
      <c r="B795" s="230"/>
      <c r="C795" s="230"/>
      <c r="D795" s="230"/>
      <c r="E795" s="230"/>
      <c r="F795" s="230"/>
      <c r="G795" s="231"/>
      <c r="I795" s="113">
        <v>21</v>
      </c>
      <c r="J795" s="1" t="s">
        <v>102</v>
      </c>
      <c r="K795" s="67">
        <v>46041</v>
      </c>
      <c r="L795" s="1" t="s">
        <v>310</v>
      </c>
      <c r="M795" s="1"/>
      <c r="N795" s="1">
        <v>120</v>
      </c>
      <c r="O795" s="5">
        <f t="shared" si="195"/>
        <v>0</v>
      </c>
    </row>
    <row r="796" spans="1:15" ht="15.75" x14ac:dyDescent="0.25">
      <c r="A796" s="114" t="s">
        <v>0</v>
      </c>
      <c r="B796" s="114" t="s">
        <v>1</v>
      </c>
      <c r="C796" s="114" t="s">
        <v>3</v>
      </c>
      <c r="D796" s="114" t="s">
        <v>2</v>
      </c>
      <c r="E796" s="114" t="s">
        <v>6</v>
      </c>
      <c r="F796" s="114" t="s">
        <v>7</v>
      </c>
      <c r="G796" s="114" t="s">
        <v>8</v>
      </c>
      <c r="I796" s="113">
        <v>22</v>
      </c>
      <c r="J796" s="1" t="s">
        <v>951</v>
      </c>
      <c r="K796" s="67">
        <v>46041</v>
      </c>
      <c r="L796" s="1" t="s">
        <v>310</v>
      </c>
      <c r="M796" s="1"/>
      <c r="N796" s="1">
        <v>90</v>
      </c>
      <c r="O796" s="5">
        <f t="shared" si="195"/>
        <v>0</v>
      </c>
    </row>
    <row r="797" spans="1:15" x14ac:dyDescent="0.25">
      <c r="A797" s="113">
        <v>1</v>
      </c>
      <c r="B797" s="113" t="s">
        <v>9</v>
      </c>
      <c r="C797" s="67">
        <v>46042</v>
      </c>
      <c r="D797" s="3" t="s">
        <v>12</v>
      </c>
      <c r="E797" s="113"/>
      <c r="F797" s="113">
        <v>35</v>
      </c>
      <c r="G797" s="4">
        <f t="shared" ref="G797:G799" si="196">F797*E797</f>
        <v>0</v>
      </c>
      <c r="I797" s="113">
        <v>23</v>
      </c>
      <c r="J797" s="1" t="s">
        <v>744</v>
      </c>
      <c r="K797" s="67">
        <v>46041</v>
      </c>
      <c r="L797" s="1" t="s">
        <v>310</v>
      </c>
      <c r="M797" s="1"/>
      <c r="N797" s="1">
        <v>180</v>
      </c>
      <c r="O797" s="5">
        <f t="shared" si="195"/>
        <v>0</v>
      </c>
    </row>
    <row r="798" spans="1:15" x14ac:dyDescent="0.25">
      <c r="A798" s="113">
        <v>2</v>
      </c>
      <c r="B798" s="1" t="s">
        <v>196</v>
      </c>
      <c r="C798" s="67">
        <v>46042</v>
      </c>
      <c r="D798" s="1" t="s">
        <v>12</v>
      </c>
      <c r="E798" s="1"/>
      <c r="F798" s="1">
        <v>50</v>
      </c>
      <c r="G798" s="5">
        <f t="shared" si="196"/>
        <v>0</v>
      </c>
      <c r="I798" s="113">
        <v>24</v>
      </c>
      <c r="J798" s="1" t="s">
        <v>757</v>
      </c>
      <c r="K798" s="67">
        <v>46041</v>
      </c>
      <c r="L798" s="1" t="s">
        <v>310</v>
      </c>
      <c r="M798" s="1"/>
      <c r="N798" s="1">
        <v>100</v>
      </c>
      <c r="O798" s="5">
        <f t="shared" si="195"/>
        <v>0</v>
      </c>
    </row>
    <row r="799" spans="1:15" x14ac:dyDescent="0.25">
      <c r="A799" s="113">
        <v>3</v>
      </c>
      <c r="B799" s="1" t="s">
        <v>43</v>
      </c>
      <c r="C799" s="67">
        <v>46042</v>
      </c>
      <c r="D799" s="1" t="s">
        <v>13</v>
      </c>
      <c r="E799" s="1"/>
      <c r="F799" s="1">
        <v>30</v>
      </c>
      <c r="G799" s="5">
        <f t="shared" si="196"/>
        <v>0</v>
      </c>
      <c r="I799" s="113">
        <v>25</v>
      </c>
      <c r="J799" s="24" t="s">
        <v>722</v>
      </c>
      <c r="K799" s="67">
        <v>46041</v>
      </c>
      <c r="L799" s="1" t="s">
        <v>310</v>
      </c>
      <c r="M799" s="1"/>
      <c r="N799" s="1">
        <v>100</v>
      </c>
      <c r="O799" s="5">
        <f t="shared" si="195"/>
        <v>0</v>
      </c>
    </row>
    <row r="800" spans="1:15" x14ac:dyDescent="0.25">
      <c r="A800" s="113">
        <v>4</v>
      </c>
      <c r="B800" s="1" t="s">
        <v>178</v>
      </c>
      <c r="C800" s="67">
        <v>46042</v>
      </c>
      <c r="D800" s="1" t="s">
        <v>310</v>
      </c>
      <c r="E800" s="1"/>
      <c r="F800" s="1">
        <v>400</v>
      </c>
      <c r="G800" s="5">
        <f>F800*E800</f>
        <v>0</v>
      </c>
      <c r="I800" s="113">
        <v>26</v>
      </c>
      <c r="J800" s="24" t="s">
        <v>732</v>
      </c>
      <c r="K800" s="67">
        <v>46041</v>
      </c>
      <c r="L800" s="1" t="s">
        <v>310</v>
      </c>
      <c r="M800" s="1"/>
      <c r="N800" s="1">
        <v>45</v>
      </c>
      <c r="O800" s="5">
        <f>N800*M800</f>
        <v>0</v>
      </c>
    </row>
    <row r="801" spans="1:15" ht="15.75" x14ac:dyDescent="0.25">
      <c r="A801" s="113">
        <v>5</v>
      </c>
      <c r="B801" s="1" t="s">
        <v>254</v>
      </c>
      <c r="C801" s="67">
        <v>46042</v>
      </c>
      <c r="D801" s="1" t="s">
        <v>13</v>
      </c>
      <c r="E801" s="1"/>
      <c r="F801" s="1"/>
      <c r="G801" s="5">
        <f>F801*1</f>
        <v>0</v>
      </c>
      <c r="I801" s="262" t="s">
        <v>25</v>
      </c>
      <c r="J801" s="263"/>
      <c r="K801" s="263"/>
      <c r="L801" s="263"/>
      <c r="M801" s="263"/>
      <c r="N801" s="264"/>
      <c r="O801" s="68">
        <f>SUM(O775:O800)</f>
        <v>0</v>
      </c>
    </row>
    <row r="802" spans="1:15" ht="16.5" thickBot="1" x14ac:dyDescent="0.3">
      <c r="A802" s="113">
        <v>6</v>
      </c>
      <c r="B802" s="1" t="s">
        <v>657</v>
      </c>
      <c r="C802" s="67">
        <v>46042</v>
      </c>
      <c r="D802" s="1" t="s">
        <v>13</v>
      </c>
      <c r="E802" s="1"/>
      <c r="F802" s="1">
        <v>220</v>
      </c>
      <c r="G802" s="5">
        <f t="shared" ref="G802:G804" si="197">F802*E802</f>
        <v>0</v>
      </c>
      <c r="I802" s="265" t="s">
        <v>101</v>
      </c>
      <c r="J802" s="266"/>
      <c r="K802" s="266"/>
      <c r="L802" s="266"/>
      <c r="M802" s="266"/>
      <c r="N802" s="267"/>
      <c r="O802" s="141">
        <f>O801+O770+O764</f>
        <v>127865</v>
      </c>
    </row>
    <row r="803" spans="1:15" ht="15.75" thickBot="1" x14ac:dyDescent="0.3">
      <c r="A803" s="113">
        <v>7</v>
      </c>
      <c r="B803" s="18" t="s">
        <v>19</v>
      </c>
      <c r="C803" s="67">
        <v>46042</v>
      </c>
      <c r="D803" s="1" t="s">
        <v>13</v>
      </c>
      <c r="E803" s="20"/>
      <c r="F803" s="1">
        <v>15</v>
      </c>
      <c r="G803" s="5">
        <f t="shared" si="197"/>
        <v>0</v>
      </c>
      <c r="J803" s="189">
        <f>G16+O20+G59+O52+G95+O83+G128+O116+G169+O153+G205+O187+G240+O223+G273+O260+G312+O324+G362+O373+G413+O408+G467+O463+G519+O515+G559+O567+G616+O618+G670+O676+G734+O727+O772+G794</f>
        <v>4475033.2535193497</v>
      </c>
      <c r="K803" s="268" t="s">
        <v>526</v>
      </c>
      <c r="L803" s="269"/>
    </row>
    <row r="804" spans="1:15" ht="15.75" thickBot="1" x14ac:dyDescent="0.3">
      <c r="A804" s="113">
        <v>8</v>
      </c>
      <c r="B804" s="18" t="s">
        <v>14</v>
      </c>
      <c r="C804" s="67">
        <v>46042</v>
      </c>
      <c r="D804" s="1" t="s">
        <v>13</v>
      </c>
      <c r="E804" s="20"/>
      <c r="F804" s="1">
        <v>80</v>
      </c>
      <c r="G804" s="5">
        <f t="shared" si="197"/>
        <v>0</v>
      </c>
      <c r="J804" s="189">
        <f>'Cash Out From Sale'!C83</f>
        <v>4371561</v>
      </c>
      <c r="K804" s="268" t="s">
        <v>527</v>
      </c>
      <c r="L804" s="269"/>
    </row>
    <row r="805" spans="1:15" ht="15.75" thickBot="1" x14ac:dyDescent="0.3">
      <c r="A805" s="113">
        <v>9</v>
      </c>
      <c r="B805" s="18" t="s">
        <v>18</v>
      </c>
      <c r="C805" s="67">
        <v>46042</v>
      </c>
      <c r="D805" s="1" t="s">
        <v>20</v>
      </c>
      <c r="E805" s="20"/>
      <c r="F805" s="1">
        <v>80</v>
      </c>
      <c r="G805" s="5">
        <f>F805*E805</f>
        <v>0</v>
      </c>
      <c r="J805" s="192">
        <f>J803-J804</f>
        <v>103472.25351934973</v>
      </c>
      <c r="K805" s="270" t="s">
        <v>528</v>
      </c>
      <c r="L805" s="271"/>
    </row>
    <row r="806" spans="1:15" x14ac:dyDescent="0.25">
      <c r="A806" s="113">
        <v>10</v>
      </c>
      <c r="B806" s="18" t="s">
        <v>19</v>
      </c>
      <c r="C806" s="67">
        <v>46042</v>
      </c>
      <c r="D806" s="1" t="s">
        <v>20</v>
      </c>
      <c r="E806" s="20"/>
      <c r="F806" s="1">
        <v>15</v>
      </c>
      <c r="G806" s="5">
        <f>F806*E806</f>
        <v>0</v>
      </c>
    </row>
    <row r="807" spans="1:15" x14ac:dyDescent="0.25">
      <c r="A807" s="113">
        <v>11</v>
      </c>
      <c r="B807" s="18" t="s">
        <v>945</v>
      </c>
      <c r="C807" s="67">
        <v>46042</v>
      </c>
      <c r="D807" s="1" t="s">
        <v>20</v>
      </c>
      <c r="E807" s="20"/>
      <c r="F807" s="1">
        <v>500</v>
      </c>
      <c r="G807" s="5">
        <f>F807*E807</f>
        <v>0</v>
      </c>
    </row>
    <row r="808" spans="1:15" x14ac:dyDescent="0.25">
      <c r="A808" s="113">
        <v>12</v>
      </c>
      <c r="B808" s="18" t="s">
        <v>938</v>
      </c>
      <c r="C808" s="67">
        <v>46042</v>
      </c>
      <c r="D808" s="1" t="s">
        <v>20</v>
      </c>
      <c r="E808" s="20"/>
      <c r="F808" s="1">
        <v>350</v>
      </c>
      <c r="G808" s="5">
        <f>F808*E808</f>
        <v>0</v>
      </c>
    </row>
    <row r="809" spans="1:15" x14ac:dyDescent="0.25">
      <c r="A809" s="113">
        <v>13</v>
      </c>
      <c r="B809" s="18" t="s">
        <v>489</v>
      </c>
      <c r="C809" s="67">
        <v>46042</v>
      </c>
      <c r="D809" s="1" t="s">
        <v>310</v>
      </c>
      <c r="E809" s="20"/>
      <c r="F809" s="1">
        <v>35</v>
      </c>
      <c r="G809" s="5">
        <f t="shared" ref="G809:G821" si="198">F809*E809</f>
        <v>0</v>
      </c>
    </row>
    <row r="810" spans="1:15" x14ac:dyDescent="0.25">
      <c r="A810" s="113">
        <v>14</v>
      </c>
      <c r="B810" s="1" t="s">
        <v>194</v>
      </c>
      <c r="C810" s="67">
        <v>46042</v>
      </c>
      <c r="D810" s="1" t="s">
        <v>310</v>
      </c>
      <c r="E810" s="1"/>
      <c r="F810" s="1">
        <v>500</v>
      </c>
      <c r="G810" s="5">
        <f t="shared" si="198"/>
        <v>0</v>
      </c>
    </row>
    <row r="811" spans="1:15" x14ac:dyDescent="0.25">
      <c r="A811" s="113">
        <v>15</v>
      </c>
      <c r="B811" s="1" t="s">
        <v>197</v>
      </c>
      <c r="C811" s="67">
        <v>46042</v>
      </c>
      <c r="D811" s="1" t="s">
        <v>310</v>
      </c>
      <c r="E811" s="1"/>
      <c r="F811" s="1">
        <v>40</v>
      </c>
      <c r="G811" s="5">
        <f t="shared" si="198"/>
        <v>0</v>
      </c>
    </row>
    <row r="812" spans="1:15" x14ac:dyDescent="0.25">
      <c r="A812" s="113">
        <v>16</v>
      </c>
      <c r="B812" s="1" t="s">
        <v>383</v>
      </c>
      <c r="C812" s="67">
        <v>46042</v>
      </c>
      <c r="D812" s="1" t="s">
        <v>310</v>
      </c>
      <c r="E812" s="1"/>
      <c r="F812" s="1">
        <v>220</v>
      </c>
      <c r="G812" s="5">
        <f t="shared" si="198"/>
        <v>0</v>
      </c>
    </row>
    <row r="813" spans="1:15" x14ac:dyDescent="0.25">
      <c r="A813" s="113">
        <v>17</v>
      </c>
      <c r="B813" s="1" t="s">
        <v>402</v>
      </c>
      <c r="C813" s="67">
        <v>46042</v>
      </c>
      <c r="D813" s="1" t="s">
        <v>310</v>
      </c>
      <c r="E813" s="1"/>
      <c r="F813" s="1">
        <v>70</v>
      </c>
      <c r="G813" s="5">
        <f t="shared" si="198"/>
        <v>0</v>
      </c>
    </row>
    <row r="814" spans="1:15" x14ac:dyDescent="0.25">
      <c r="A814" s="113">
        <v>18</v>
      </c>
      <c r="B814" s="1" t="s">
        <v>341</v>
      </c>
      <c r="C814" s="67">
        <v>46042</v>
      </c>
      <c r="D814" s="1" t="s">
        <v>310</v>
      </c>
      <c r="E814" s="1"/>
      <c r="F814" s="1">
        <v>30</v>
      </c>
      <c r="G814" s="5">
        <f t="shared" si="198"/>
        <v>0</v>
      </c>
    </row>
    <row r="815" spans="1:15" x14ac:dyDescent="0.25">
      <c r="A815" s="113">
        <v>19</v>
      </c>
      <c r="B815" s="1" t="s">
        <v>179</v>
      </c>
      <c r="C815" s="67">
        <v>46042</v>
      </c>
      <c r="D815" s="1" t="s">
        <v>310</v>
      </c>
      <c r="E815" s="1"/>
      <c r="F815" s="1">
        <v>70</v>
      </c>
      <c r="G815" s="5">
        <f t="shared" si="198"/>
        <v>0</v>
      </c>
    </row>
    <row r="816" spans="1:15" x14ac:dyDescent="0.25">
      <c r="A816" s="113">
        <v>20</v>
      </c>
      <c r="B816" s="1" t="s">
        <v>294</v>
      </c>
      <c r="C816" s="67">
        <v>46042</v>
      </c>
      <c r="D816" s="1" t="s">
        <v>310</v>
      </c>
      <c r="E816" s="1"/>
      <c r="F816" s="1">
        <v>120</v>
      </c>
      <c r="G816" s="5">
        <f t="shared" si="198"/>
        <v>0</v>
      </c>
    </row>
    <row r="817" spans="1:8" x14ac:dyDescent="0.25">
      <c r="A817" s="113">
        <v>21</v>
      </c>
      <c r="B817" s="1" t="s">
        <v>102</v>
      </c>
      <c r="C817" s="67">
        <v>46042</v>
      </c>
      <c r="D817" s="1" t="s">
        <v>310</v>
      </c>
      <c r="E817" s="1"/>
      <c r="F817" s="1">
        <v>120</v>
      </c>
      <c r="G817" s="5">
        <f t="shared" si="198"/>
        <v>0</v>
      </c>
    </row>
    <row r="818" spans="1:8" x14ac:dyDescent="0.25">
      <c r="A818" s="113">
        <v>22</v>
      </c>
      <c r="B818" s="1" t="s">
        <v>951</v>
      </c>
      <c r="C818" s="67">
        <v>46042</v>
      </c>
      <c r="D818" s="1" t="s">
        <v>310</v>
      </c>
      <c r="E818" s="1"/>
      <c r="F818" s="1">
        <v>90</v>
      </c>
      <c r="G818" s="5">
        <f t="shared" si="198"/>
        <v>0</v>
      </c>
      <c r="H818" s="53"/>
    </row>
    <row r="819" spans="1:8" x14ac:dyDescent="0.25">
      <c r="A819" s="113">
        <v>23</v>
      </c>
      <c r="B819" s="1" t="s">
        <v>744</v>
      </c>
      <c r="C819" s="67">
        <v>46042</v>
      </c>
      <c r="D819" s="1" t="s">
        <v>310</v>
      </c>
      <c r="E819" s="1"/>
      <c r="F819" s="1">
        <v>180</v>
      </c>
      <c r="G819" s="5">
        <f t="shared" si="198"/>
        <v>0</v>
      </c>
    </row>
    <row r="820" spans="1:8" x14ac:dyDescent="0.25">
      <c r="A820" s="113">
        <v>24</v>
      </c>
      <c r="B820" s="1" t="s">
        <v>757</v>
      </c>
      <c r="C820" s="67">
        <v>46042</v>
      </c>
      <c r="D820" s="1" t="s">
        <v>310</v>
      </c>
      <c r="E820" s="1"/>
      <c r="F820" s="1">
        <v>100</v>
      </c>
      <c r="G820" s="5">
        <f t="shared" si="198"/>
        <v>0</v>
      </c>
    </row>
    <row r="821" spans="1:8" x14ac:dyDescent="0.25">
      <c r="A821" s="113">
        <v>25</v>
      </c>
      <c r="B821" s="24" t="s">
        <v>722</v>
      </c>
      <c r="C821" s="67">
        <v>46042</v>
      </c>
      <c r="D821" s="1" t="s">
        <v>310</v>
      </c>
      <c r="E821" s="1"/>
      <c r="F821" s="1">
        <v>100</v>
      </c>
      <c r="G821" s="5">
        <f t="shared" si="198"/>
        <v>0</v>
      </c>
    </row>
    <row r="822" spans="1:8" x14ac:dyDescent="0.25">
      <c r="A822" s="113">
        <v>26</v>
      </c>
      <c r="B822" s="24" t="s">
        <v>732</v>
      </c>
      <c r="C822" s="67">
        <v>46042</v>
      </c>
      <c r="D822" s="1" t="s">
        <v>310</v>
      </c>
      <c r="E822" s="1"/>
      <c r="F822" s="1">
        <v>45</v>
      </c>
      <c r="G822" s="5">
        <f>F822*E822</f>
        <v>0</v>
      </c>
    </row>
    <row r="823" spans="1:8" ht="15.75" x14ac:dyDescent="0.25">
      <c r="A823" s="262" t="s">
        <v>25</v>
      </c>
      <c r="B823" s="263"/>
      <c r="C823" s="263"/>
      <c r="D823" s="263"/>
      <c r="E823" s="263"/>
      <c r="F823" s="264"/>
      <c r="G823" s="68">
        <f>SUM(G797:G822)</f>
        <v>0</v>
      </c>
    </row>
    <row r="824" spans="1:8" ht="16.5" thickBot="1" x14ac:dyDescent="0.3">
      <c r="A824" s="265" t="s">
        <v>101</v>
      </c>
      <c r="B824" s="266"/>
      <c r="C824" s="266"/>
      <c r="D824" s="266"/>
      <c r="E824" s="266"/>
      <c r="F824" s="267"/>
      <c r="G824" s="141">
        <f>G823+G793+G784</f>
        <v>122995</v>
      </c>
    </row>
  </sheetData>
  <mergeCells count="287">
    <mergeCell ref="A823:F823"/>
    <mergeCell ref="A824:F824"/>
    <mergeCell ref="I666:N666"/>
    <mergeCell ref="I667:N667"/>
    <mergeCell ref="I668:O668"/>
    <mergeCell ref="I675:N675"/>
    <mergeCell ref="I676:N676"/>
    <mergeCell ref="I677:O677"/>
    <mergeCell ref="I801:N801"/>
    <mergeCell ref="I802:N802"/>
    <mergeCell ref="I763:N763"/>
    <mergeCell ref="I764:N764"/>
    <mergeCell ref="I765:O765"/>
    <mergeCell ref="I770:N770"/>
    <mergeCell ref="I772:N772"/>
    <mergeCell ref="I773:O773"/>
    <mergeCell ref="I701:N701"/>
    <mergeCell ref="I702:N702"/>
    <mergeCell ref="K803:L803"/>
    <mergeCell ref="K804:L804"/>
    <mergeCell ref="K805:L805"/>
    <mergeCell ref="A764:F764"/>
    <mergeCell ref="I727:N727"/>
    <mergeCell ref="I728:O728"/>
    <mergeCell ref="I744:N744"/>
    <mergeCell ref="I745:N745"/>
    <mergeCell ref="A724:F724"/>
    <mergeCell ref="A725:F725"/>
    <mergeCell ref="A726:G726"/>
    <mergeCell ref="A733:F733"/>
    <mergeCell ref="A734:F734"/>
    <mergeCell ref="A735:G735"/>
    <mergeCell ref="A783:F783"/>
    <mergeCell ref="A784:F784"/>
    <mergeCell ref="A785:G785"/>
    <mergeCell ref="A793:F793"/>
    <mergeCell ref="A794:F794"/>
    <mergeCell ref="A795:G795"/>
    <mergeCell ref="A660:F660"/>
    <mergeCell ref="A661:F661"/>
    <mergeCell ref="A662:G662"/>
    <mergeCell ref="A763:F763"/>
    <mergeCell ref="A457:F457"/>
    <mergeCell ref="A458:F458"/>
    <mergeCell ref="A459:G459"/>
    <mergeCell ref="A466:F466"/>
    <mergeCell ref="I647:N647"/>
    <mergeCell ref="I588:N588"/>
    <mergeCell ref="A558:F558"/>
    <mergeCell ref="A559:F559"/>
    <mergeCell ref="A560:G560"/>
    <mergeCell ref="A566:F566"/>
    <mergeCell ref="A567:F567"/>
    <mergeCell ref="A568:G568"/>
    <mergeCell ref="A585:F585"/>
    <mergeCell ref="A586:F586"/>
    <mergeCell ref="I567:N567"/>
    <mergeCell ref="I568:O568"/>
    <mergeCell ref="A510:F510"/>
    <mergeCell ref="A511:G511"/>
    <mergeCell ref="A518:F518"/>
    <mergeCell ref="A519:F519"/>
    <mergeCell ref="I617:N617"/>
    <mergeCell ref="I618:N618"/>
    <mergeCell ref="I619:O619"/>
    <mergeCell ref="A520:G520"/>
    <mergeCell ref="A541:F541"/>
    <mergeCell ref="A413:F413"/>
    <mergeCell ref="A414:G414"/>
    <mergeCell ref="A434:F434"/>
    <mergeCell ref="A435:F435"/>
    <mergeCell ref="A405:G405"/>
    <mergeCell ref="I399:N399"/>
    <mergeCell ref="A333:F333"/>
    <mergeCell ref="A334:F334"/>
    <mergeCell ref="I345:N345"/>
    <mergeCell ref="I346:N346"/>
    <mergeCell ref="I408:N408"/>
    <mergeCell ref="I409:O409"/>
    <mergeCell ref="A509:F509"/>
    <mergeCell ref="I516:O516"/>
    <mergeCell ref="I538:N538"/>
    <mergeCell ref="I539:N539"/>
    <mergeCell ref="A403:F403"/>
    <mergeCell ref="A404:F404"/>
    <mergeCell ref="A467:F467"/>
    <mergeCell ref="A468:G468"/>
    <mergeCell ref="A490:F490"/>
    <mergeCell ref="A491:F491"/>
    <mergeCell ref="A313:G313"/>
    <mergeCell ref="A352:F352"/>
    <mergeCell ref="A353:F353"/>
    <mergeCell ref="A354:G354"/>
    <mergeCell ref="A412:F412"/>
    <mergeCell ref="I380:N380"/>
    <mergeCell ref="I381:N381"/>
    <mergeCell ref="I363:N363"/>
    <mergeCell ref="I364:N364"/>
    <mergeCell ref="I365:O365"/>
    <mergeCell ref="I372:N372"/>
    <mergeCell ref="I373:N373"/>
    <mergeCell ref="I374:O374"/>
    <mergeCell ref="I398:N398"/>
    <mergeCell ref="A361:F361"/>
    <mergeCell ref="A362:F362"/>
    <mergeCell ref="A363:G363"/>
    <mergeCell ref="A386:F386"/>
    <mergeCell ref="A387:F387"/>
    <mergeCell ref="I400:O400"/>
    <mergeCell ref="I314:N314"/>
    <mergeCell ref="I315:N315"/>
    <mergeCell ref="I316:O316"/>
    <mergeCell ref="I407:N407"/>
    <mergeCell ref="A241:G241"/>
    <mergeCell ref="A245:F245"/>
    <mergeCell ref="A246:F246"/>
    <mergeCell ref="I224:O224"/>
    <mergeCell ref="I232:N232"/>
    <mergeCell ref="I233:N233"/>
    <mergeCell ref="I251:N251"/>
    <mergeCell ref="I252:N252"/>
    <mergeCell ref="I253:O253"/>
    <mergeCell ref="I214:N214"/>
    <mergeCell ref="I215:O215"/>
    <mergeCell ref="I222:N222"/>
    <mergeCell ref="I223:N223"/>
    <mergeCell ref="A230:F230"/>
    <mergeCell ref="A231:F231"/>
    <mergeCell ref="A232:G232"/>
    <mergeCell ref="A239:F239"/>
    <mergeCell ref="A240:F240"/>
    <mergeCell ref="A15:F15"/>
    <mergeCell ref="I15:N15"/>
    <mergeCell ref="I44:N44"/>
    <mergeCell ref="A86:F86"/>
    <mergeCell ref="I77:N77"/>
    <mergeCell ref="A51:F51"/>
    <mergeCell ref="I52:N52"/>
    <mergeCell ref="I59:N59"/>
    <mergeCell ref="I60:N60"/>
    <mergeCell ref="I46:O46"/>
    <mergeCell ref="I51:N51"/>
    <mergeCell ref="A18:G18"/>
    <mergeCell ref="I16:N16"/>
    <mergeCell ref="I19:N19"/>
    <mergeCell ref="A52:F52"/>
    <mergeCell ref="A58:F58"/>
    <mergeCell ref="A27:F27"/>
    <mergeCell ref="I27:N27"/>
    <mergeCell ref="A28:F28"/>
    <mergeCell ref="I28:N28"/>
    <mergeCell ref="A16:F16"/>
    <mergeCell ref="I20:N20"/>
    <mergeCell ref="I21:O21"/>
    <mergeCell ref="I45:N45"/>
    <mergeCell ref="A138:F138"/>
    <mergeCell ref="A162:G162"/>
    <mergeCell ref="I53:O53"/>
    <mergeCell ref="A53:G53"/>
    <mergeCell ref="I79:O79"/>
    <mergeCell ref="A87:F87"/>
    <mergeCell ref="A88:G88"/>
    <mergeCell ref="A68:F68"/>
    <mergeCell ref="A59:F59"/>
    <mergeCell ref="A60:G60"/>
    <mergeCell ref="A67:F67"/>
    <mergeCell ref="I78:N78"/>
    <mergeCell ref="I82:N82"/>
    <mergeCell ref="I83:N83"/>
    <mergeCell ref="I84:O84"/>
    <mergeCell ref="I88:N88"/>
    <mergeCell ref="A127:F127"/>
    <mergeCell ref="A128:F128"/>
    <mergeCell ref="I108:N108"/>
    <mergeCell ref="I109:N109"/>
    <mergeCell ref="I110:O110"/>
    <mergeCell ref="I115:N115"/>
    <mergeCell ref="I116:N116"/>
    <mergeCell ref="A129:G129"/>
    <mergeCell ref="A137:F137"/>
    <mergeCell ref="I89:N89"/>
    <mergeCell ref="A94:F94"/>
    <mergeCell ref="A95:F95"/>
    <mergeCell ref="A96:G96"/>
    <mergeCell ref="A102:F102"/>
    <mergeCell ref="I117:O117"/>
    <mergeCell ref="A103:F103"/>
    <mergeCell ref="I124:N124"/>
    <mergeCell ref="I125:N125"/>
    <mergeCell ref="A122:F122"/>
    <mergeCell ref="A123:F123"/>
    <mergeCell ref="A124:G124"/>
    <mergeCell ref="A168:F168"/>
    <mergeCell ref="A169:F169"/>
    <mergeCell ref="I259:N259"/>
    <mergeCell ref="I260:N260"/>
    <mergeCell ref="I261:O261"/>
    <mergeCell ref="A170:G170"/>
    <mergeCell ref="A178:F178"/>
    <mergeCell ref="A179:F179"/>
    <mergeCell ref="I144:N144"/>
    <mergeCell ref="I145:N145"/>
    <mergeCell ref="I146:O146"/>
    <mergeCell ref="I152:N152"/>
    <mergeCell ref="I153:N153"/>
    <mergeCell ref="I154:O154"/>
    <mergeCell ref="I160:N160"/>
    <mergeCell ref="I161:N161"/>
    <mergeCell ref="A160:F160"/>
    <mergeCell ref="A161:F161"/>
    <mergeCell ref="I177:N177"/>
    <mergeCell ref="I178:N178"/>
    <mergeCell ref="I179:O179"/>
    <mergeCell ref="A214:F214"/>
    <mergeCell ref="A215:F215"/>
    <mergeCell ref="I213:N213"/>
    <mergeCell ref="A302:F302"/>
    <mergeCell ref="A303:F303"/>
    <mergeCell ref="A304:G304"/>
    <mergeCell ref="A311:F311"/>
    <mergeCell ref="A312:F312"/>
    <mergeCell ref="I188:O188"/>
    <mergeCell ref="I193:N193"/>
    <mergeCell ref="I194:N194"/>
    <mergeCell ref="I186:N186"/>
    <mergeCell ref="I187:N187"/>
    <mergeCell ref="A206:G206"/>
    <mergeCell ref="A196:F196"/>
    <mergeCell ref="A197:F197"/>
    <mergeCell ref="A198:G198"/>
    <mergeCell ref="A204:F204"/>
    <mergeCell ref="A205:F205"/>
    <mergeCell ref="A263:F263"/>
    <mergeCell ref="A264:F264"/>
    <mergeCell ref="A265:G265"/>
    <mergeCell ref="A272:F272"/>
    <mergeCell ref="A273:F273"/>
    <mergeCell ref="A274:G274"/>
    <mergeCell ref="A284:F284"/>
    <mergeCell ref="A285:F285"/>
    <mergeCell ref="I293:N293"/>
    <mergeCell ref="I294:N294"/>
    <mergeCell ref="I486:N486"/>
    <mergeCell ref="I487:N487"/>
    <mergeCell ref="I505:N505"/>
    <mergeCell ref="I506:N506"/>
    <mergeCell ref="I507:O507"/>
    <mergeCell ref="I514:N514"/>
    <mergeCell ref="I515:N515"/>
    <mergeCell ref="I453:N453"/>
    <mergeCell ref="I454:N454"/>
    <mergeCell ref="I323:N323"/>
    <mergeCell ref="I455:O455"/>
    <mergeCell ref="I462:N462"/>
    <mergeCell ref="I463:N463"/>
    <mergeCell ref="I464:O464"/>
    <mergeCell ref="I434:N434"/>
    <mergeCell ref="I435:N435"/>
    <mergeCell ref="I324:N324"/>
    <mergeCell ref="I325:O325"/>
    <mergeCell ref="I557:N557"/>
    <mergeCell ref="I558:N558"/>
    <mergeCell ref="I559:O559"/>
    <mergeCell ref="I566:N566"/>
    <mergeCell ref="I587:N587"/>
    <mergeCell ref="I719:N719"/>
    <mergeCell ref="I720:N720"/>
    <mergeCell ref="I721:O721"/>
    <mergeCell ref="I726:N726"/>
    <mergeCell ref="I608:N608"/>
    <mergeCell ref="I609:N609"/>
    <mergeCell ref="I610:O610"/>
    <mergeCell ref="I648:N648"/>
    <mergeCell ref="A542:F542"/>
    <mergeCell ref="A704:F704"/>
    <mergeCell ref="A615:F615"/>
    <mergeCell ref="A616:F616"/>
    <mergeCell ref="A617:G617"/>
    <mergeCell ref="A640:F640"/>
    <mergeCell ref="A641:F641"/>
    <mergeCell ref="A669:F669"/>
    <mergeCell ref="A670:F670"/>
    <mergeCell ref="A671:G671"/>
    <mergeCell ref="A703:F703"/>
    <mergeCell ref="A606:F606"/>
    <mergeCell ref="A607:F607"/>
    <mergeCell ref="A608:G608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3"/>
  <sheetViews>
    <sheetView tabSelected="1" topLeftCell="A64" workbookViewId="0">
      <selection activeCell="B81" sqref="B81"/>
    </sheetView>
  </sheetViews>
  <sheetFormatPr defaultRowHeight="15" x14ac:dyDescent="0.25"/>
  <cols>
    <col min="1" max="1" width="4.140625" bestFit="1" customWidth="1"/>
    <col min="2" max="2" width="47.7109375" bestFit="1" customWidth="1"/>
    <col min="3" max="3" width="11.5703125" bestFit="1" customWidth="1"/>
  </cols>
  <sheetData>
    <row r="1" spans="1:3" ht="15.75" x14ac:dyDescent="0.25">
      <c r="A1" s="232" t="s">
        <v>314</v>
      </c>
      <c r="B1" s="232"/>
      <c r="C1" s="232"/>
    </row>
    <row r="2" spans="1:3" x14ac:dyDescent="0.25">
      <c r="A2" s="2" t="s">
        <v>0</v>
      </c>
      <c r="B2" s="2" t="s">
        <v>24</v>
      </c>
      <c r="C2" s="2" t="s">
        <v>60</v>
      </c>
    </row>
    <row r="3" spans="1:3" x14ac:dyDescent="0.25">
      <c r="A3" s="1">
        <v>1</v>
      </c>
      <c r="B3" s="1" t="s">
        <v>315</v>
      </c>
      <c r="C3" s="5">
        <v>100000</v>
      </c>
    </row>
    <row r="4" spans="1:3" x14ac:dyDescent="0.25">
      <c r="A4" s="1">
        <v>2</v>
      </c>
      <c r="B4" s="1" t="s">
        <v>316</v>
      </c>
      <c r="C4" s="5">
        <v>3500</v>
      </c>
    </row>
    <row r="5" spans="1:3" x14ac:dyDescent="0.25">
      <c r="A5" s="1">
        <v>3</v>
      </c>
      <c r="B5" s="1" t="s">
        <v>175</v>
      </c>
      <c r="C5" s="5">
        <v>2560</v>
      </c>
    </row>
    <row r="6" spans="1:3" x14ac:dyDescent="0.25">
      <c r="A6" s="1">
        <v>4</v>
      </c>
      <c r="B6" s="1" t="s">
        <v>376</v>
      </c>
      <c r="C6" s="5">
        <v>1500</v>
      </c>
    </row>
    <row r="7" spans="1:3" x14ac:dyDescent="0.25">
      <c r="A7" s="1">
        <v>5</v>
      </c>
      <c r="B7" s="1" t="s">
        <v>317</v>
      </c>
      <c r="C7" s="5">
        <v>14300</v>
      </c>
    </row>
    <row r="8" spans="1:3" x14ac:dyDescent="0.25">
      <c r="A8" s="1">
        <v>6</v>
      </c>
      <c r="B8" s="1" t="s">
        <v>318</v>
      </c>
      <c r="C8" s="5">
        <v>25666</v>
      </c>
    </row>
    <row r="9" spans="1:3" x14ac:dyDescent="0.25">
      <c r="A9" s="1">
        <v>7</v>
      </c>
      <c r="B9" s="1" t="s">
        <v>315</v>
      </c>
      <c r="C9" s="5">
        <v>8050</v>
      </c>
    </row>
    <row r="10" spans="1:3" x14ac:dyDescent="0.25">
      <c r="A10" s="1">
        <v>8</v>
      </c>
      <c r="B10" s="1" t="s">
        <v>315</v>
      </c>
      <c r="C10" s="5">
        <v>5000</v>
      </c>
    </row>
    <row r="11" spans="1:3" x14ac:dyDescent="0.25">
      <c r="A11" s="1">
        <v>9</v>
      </c>
      <c r="B11" s="1" t="s">
        <v>319</v>
      </c>
      <c r="C11" s="5">
        <v>3000</v>
      </c>
    </row>
    <row r="12" spans="1:3" x14ac:dyDescent="0.25">
      <c r="A12" s="1">
        <v>10</v>
      </c>
      <c r="B12" s="1" t="s">
        <v>315</v>
      </c>
      <c r="C12" s="5">
        <v>42720</v>
      </c>
    </row>
    <row r="13" spans="1:3" x14ac:dyDescent="0.25">
      <c r="A13" s="1">
        <v>11</v>
      </c>
      <c r="B13" s="1" t="s">
        <v>320</v>
      </c>
      <c r="C13" s="5">
        <v>42000</v>
      </c>
    </row>
    <row r="14" spans="1:3" x14ac:dyDescent="0.25">
      <c r="A14" s="1">
        <v>12</v>
      </c>
      <c r="B14" s="1" t="s">
        <v>375</v>
      </c>
      <c r="C14" s="5">
        <v>35000</v>
      </c>
    </row>
    <row r="15" spans="1:3" x14ac:dyDescent="0.25">
      <c r="A15" s="1">
        <v>13</v>
      </c>
      <c r="B15" s="1" t="s">
        <v>356</v>
      </c>
      <c r="C15" s="5">
        <v>2000</v>
      </c>
    </row>
    <row r="16" spans="1:3" x14ac:dyDescent="0.25">
      <c r="A16" s="1">
        <v>14</v>
      </c>
      <c r="B16" s="1" t="s">
        <v>374</v>
      </c>
      <c r="C16" s="5">
        <v>30000</v>
      </c>
    </row>
    <row r="17" spans="1:3" x14ac:dyDescent="0.25">
      <c r="A17" s="1">
        <v>15</v>
      </c>
      <c r="B17" s="1" t="s">
        <v>359</v>
      </c>
      <c r="C17" s="5">
        <v>15000</v>
      </c>
    </row>
    <row r="18" spans="1:3" x14ac:dyDescent="0.25">
      <c r="A18" s="1">
        <v>16</v>
      </c>
      <c r="B18" s="1" t="s">
        <v>362</v>
      </c>
      <c r="C18" s="5">
        <v>200000</v>
      </c>
    </row>
    <row r="19" spans="1:3" x14ac:dyDescent="0.25">
      <c r="A19" s="1">
        <v>17</v>
      </c>
      <c r="B19" s="1" t="s">
        <v>363</v>
      </c>
      <c r="C19" s="5">
        <v>9800</v>
      </c>
    </row>
    <row r="20" spans="1:3" x14ac:dyDescent="0.25">
      <c r="A20" s="1">
        <v>18</v>
      </c>
      <c r="B20" s="1" t="s">
        <v>364</v>
      </c>
      <c r="C20" s="5">
        <v>480</v>
      </c>
    </row>
    <row r="21" spans="1:3" x14ac:dyDescent="0.25">
      <c r="A21" s="1">
        <v>19</v>
      </c>
      <c r="B21" s="1" t="s">
        <v>373</v>
      </c>
      <c r="C21" s="5">
        <v>1000</v>
      </c>
    </row>
    <row r="22" spans="1:3" x14ac:dyDescent="0.25">
      <c r="A22" s="1">
        <v>20</v>
      </c>
      <c r="B22" s="1" t="s">
        <v>365</v>
      </c>
      <c r="C22" s="5">
        <v>500</v>
      </c>
    </row>
    <row r="23" spans="1:3" x14ac:dyDescent="0.25">
      <c r="A23" s="1">
        <v>21</v>
      </c>
      <c r="B23" s="1" t="s">
        <v>385</v>
      </c>
      <c r="C23" s="5">
        <v>5000</v>
      </c>
    </row>
    <row r="24" spans="1:3" x14ac:dyDescent="0.25">
      <c r="A24" s="1">
        <v>22</v>
      </c>
      <c r="B24" s="1" t="s">
        <v>386</v>
      </c>
      <c r="C24" s="5">
        <v>800</v>
      </c>
    </row>
    <row r="25" spans="1:3" x14ac:dyDescent="0.25">
      <c r="A25" s="1">
        <v>23</v>
      </c>
      <c r="B25" s="1" t="s">
        <v>390</v>
      </c>
      <c r="C25" s="5">
        <v>500</v>
      </c>
    </row>
    <row r="26" spans="1:3" x14ac:dyDescent="0.25">
      <c r="A26" s="1">
        <v>24</v>
      </c>
      <c r="B26" s="1" t="s">
        <v>391</v>
      </c>
      <c r="C26" s="5">
        <v>18466</v>
      </c>
    </row>
    <row r="27" spans="1:3" x14ac:dyDescent="0.25">
      <c r="A27" s="1">
        <v>25</v>
      </c>
      <c r="B27" s="1" t="s">
        <v>394</v>
      </c>
      <c r="C27" s="5">
        <v>10000</v>
      </c>
    </row>
    <row r="28" spans="1:3" x14ac:dyDescent="0.25">
      <c r="A28" s="1">
        <v>26</v>
      </c>
      <c r="B28" s="1" t="s">
        <v>397</v>
      </c>
      <c r="C28" s="5">
        <v>21500</v>
      </c>
    </row>
    <row r="29" spans="1:3" x14ac:dyDescent="0.25">
      <c r="A29" s="1">
        <v>27</v>
      </c>
      <c r="B29" s="1" t="s">
        <v>410</v>
      </c>
      <c r="C29" s="5">
        <v>46926</v>
      </c>
    </row>
    <row r="30" spans="1:3" x14ac:dyDescent="0.25">
      <c r="A30" s="1">
        <v>28</v>
      </c>
      <c r="B30" s="1" t="s">
        <v>411</v>
      </c>
      <c r="C30" s="5">
        <v>150000</v>
      </c>
    </row>
    <row r="31" spans="1:3" x14ac:dyDescent="0.25">
      <c r="A31" s="204">
        <v>29</v>
      </c>
      <c r="B31" s="204" t="s">
        <v>413</v>
      </c>
      <c r="C31" s="205">
        <v>500000</v>
      </c>
    </row>
    <row r="32" spans="1:3" x14ac:dyDescent="0.25">
      <c r="A32" s="1">
        <v>30</v>
      </c>
      <c r="B32" s="1" t="s">
        <v>428</v>
      </c>
      <c r="C32" s="5">
        <v>7150</v>
      </c>
    </row>
    <row r="33" spans="1:3" x14ac:dyDescent="0.25">
      <c r="A33" s="1">
        <v>31</v>
      </c>
      <c r="B33" s="1" t="s">
        <v>465</v>
      </c>
      <c r="C33" s="5">
        <v>1000</v>
      </c>
    </row>
    <row r="34" spans="1:3" x14ac:dyDescent="0.25">
      <c r="A34" s="1">
        <v>32</v>
      </c>
      <c r="B34" s="1" t="s">
        <v>317</v>
      </c>
      <c r="C34" s="5">
        <v>22660</v>
      </c>
    </row>
    <row r="35" spans="1:3" x14ac:dyDescent="0.25">
      <c r="A35" s="1">
        <v>33</v>
      </c>
      <c r="B35" s="1" t="s">
        <v>441</v>
      </c>
      <c r="C35" s="5">
        <v>10000</v>
      </c>
    </row>
    <row r="36" spans="1:3" x14ac:dyDescent="0.25">
      <c r="A36" s="1">
        <v>34</v>
      </c>
      <c r="B36" s="1" t="s">
        <v>446</v>
      </c>
      <c r="C36" s="5">
        <v>10400</v>
      </c>
    </row>
    <row r="37" spans="1:3" x14ac:dyDescent="0.25">
      <c r="A37" s="1">
        <v>35</v>
      </c>
      <c r="B37" s="1" t="s">
        <v>553</v>
      </c>
      <c r="C37" s="5">
        <v>14050</v>
      </c>
    </row>
    <row r="38" spans="1:3" x14ac:dyDescent="0.25">
      <c r="A38" s="1">
        <v>36</v>
      </c>
      <c r="B38" s="1" t="s">
        <v>554</v>
      </c>
      <c r="C38" s="5">
        <v>1000</v>
      </c>
    </row>
    <row r="39" spans="1:3" x14ac:dyDescent="0.25">
      <c r="A39" s="1">
        <v>37</v>
      </c>
      <c r="B39" s="1" t="s">
        <v>555</v>
      </c>
      <c r="C39" s="5">
        <v>10000</v>
      </c>
    </row>
    <row r="40" spans="1:3" x14ac:dyDescent="0.25">
      <c r="A40" s="1">
        <v>38</v>
      </c>
      <c r="B40" s="1" t="s">
        <v>556</v>
      </c>
      <c r="C40" s="5">
        <v>1000</v>
      </c>
    </row>
    <row r="41" spans="1:3" x14ac:dyDescent="0.25">
      <c r="A41" s="1">
        <v>39</v>
      </c>
      <c r="B41" s="1" t="s">
        <v>486</v>
      </c>
      <c r="C41" s="5">
        <v>60150</v>
      </c>
    </row>
    <row r="42" spans="1:3" x14ac:dyDescent="0.25">
      <c r="A42" s="1">
        <v>40</v>
      </c>
      <c r="B42" s="1" t="s">
        <v>502</v>
      </c>
      <c r="C42" s="5">
        <v>20000</v>
      </c>
    </row>
    <row r="43" spans="1:3" x14ac:dyDescent="0.25">
      <c r="A43" s="1">
        <v>41</v>
      </c>
      <c r="B43" s="1" t="s">
        <v>504</v>
      </c>
      <c r="C43" s="5">
        <v>16666</v>
      </c>
    </row>
    <row r="44" spans="1:3" x14ac:dyDescent="0.25">
      <c r="A44" s="1">
        <v>42</v>
      </c>
      <c r="B44" s="1" t="s">
        <v>505</v>
      </c>
      <c r="C44" s="5">
        <v>202500</v>
      </c>
    </row>
    <row r="45" spans="1:3" x14ac:dyDescent="0.25">
      <c r="A45" s="1">
        <v>43</v>
      </c>
      <c r="B45" s="1" t="s">
        <v>507</v>
      </c>
      <c r="C45" s="5">
        <v>57500</v>
      </c>
    </row>
    <row r="46" spans="1:3" x14ac:dyDescent="0.25">
      <c r="A46" s="1">
        <v>44</v>
      </c>
      <c r="B46" s="1" t="s">
        <v>508</v>
      </c>
      <c r="C46" s="5">
        <v>500</v>
      </c>
    </row>
    <row r="47" spans="1:3" x14ac:dyDescent="0.25">
      <c r="A47" s="206">
        <v>45</v>
      </c>
      <c r="B47" s="206" t="s">
        <v>529</v>
      </c>
      <c r="C47" s="205">
        <v>400000</v>
      </c>
    </row>
    <row r="48" spans="1:3" x14ac:dyDescent="0.25">
      <c r="A48" s="1">
        <v>46</v>
      </c>
      <c r="B48" s="1" t="s">
        <v>552</v>
      </c>
      <c r="C48" s="5">
        <v>37800</v>
      </c>
    </row>
    <row r="49" spans="1:3" x14ac:dyDescent="0.25">
      <c r="A49" s="1">
        <v>47</v>
      </c>
      <c r="B49" s="1" t="s">
        <v>561</v>
      </c>
      <c r="C49" s="5">
        <v>11500</v>
      </c>
    </row>
    <row r="50" spans="1:3" x14ac:dyDescent="0.25">
      <c r="A50" s="1">
        <v>48</v>
      </c>
      <c r="B50" s="1" t="s">
        <v>563</v>
      </c>
      <c r="C50" s="5">
        <v>7000</v>
      </c>
    </row>
    <row r="51" spans="1:3" x14ac:dyDescent="0.25">
      <c r="A51" s="1">
        <v>49</v>
      </c>
      <c r="B51" s="1" t="s">
        <v>566</v>
      </c>
      <c r="C51" s="5">
        <v>23933</v>
      </c>
    </row>
    <row r="52" spans="1:3" x14ac:dyDescent="0.25">
      <c r="A52" s="1">
        <v>50</v>
      </c>
      <c r="B52" s="1" t="s">
        <v>567</v>
      </c>
      <c r="C52" s="5">
        <v>500</v>
      </c>
    </row>
    <row r="53" spans="1:3" x14ac:dyDescent="0.25">
      <c r="A53" s="1">
        <v>51</v>
      </c>
      <c r="B53" s="1" t="s">
        <v>569</v>
      </c>
      <c r="C53" s="5">
        <v>118000</v>
      </c>
    </row>
    <row r="54" spans="1:3" x14ac:dyDescent="0.25">
      <c r="A54" s="1">
        <v>52</v>
      </c>
      <c r="B54" s="1" t="s">
        <v>609</v>
      </c>
      <c r="C54" s="5">
        <v>25275</v>
      </c>
    </row>
    <row r="55" spans="1:3" x14ac:dyDescent="0.25">
      <c r="A55" s="1">
        <v>53</v>
      </c>
      <c r="B55" s="1" t="s">
        <v>615</v>
      </c>
      <c r="C55" s="5">
        <v>600</v>
      </c>
    </row>
    <row r="56" spans="1:3" x14ac:dyDescent="0.25">
      <c r="A56" s="1">
        <v>54</v>
      </c>
      <c r="B56" s="1" t="s">
        <v>637</v>
      </c>
      <c r="C56" s="5">
        <v>1500</v>
      </c>
    </row>
    <row r="57" spans="1:3" x14ac:dyDescent="0.25">
      <c r="A57" s="1">
        <v>55</v>
      </c>
      <c r="B57" s="1" t="s">
        <v>640</v>
      </c>
      <c r="C57" s="5">
        <v>5000</v>
      </c>
    </row>
    <row r="58" spans="1:3" x14ac:dyDescent="0.25">
      <c r="A58" s="1">
        <v>56</v>
      </c>
      <c r="B58" s="1" t="s">
        <v>652</v>
      </c>
      <c r="C58" s="5">
        <v>30000</v>
      </c>
    </row>
    <row r="59" spans="1:3" x14ac:dyDescent="0.25">
      <c r="A59" s="206">
        <v>57</v>
      </c>
      <c r="B59" s="206" t="s">
        <v>667</v>
      </c>
      <c r="C59" s="205">
        <v>700000</v>
      </c>
    </row>
    <row r="60" spans="1:3" x14ac:dyDescent="0.25">
      <c r="A60" s="1">
        <v>58</v>
      </c>
      <c r="B60" s="1" t="s">
        <v>685</v>
      </c>
      <c r="C60" s="5">
        <v>13333</v>
      </c>
    </row>
    <row r="61" spans="1:3" x14ac:dyDescent="0.25">
      <c r="A61" s="1">
        <v>59</v>
      </c>
      <c r="B61" s="1" t="s">
        <v>684</v>
      </c>
      <c r="C61" s="5">
        <v>9000</v>
      </c>
    </row>
    <row r="62" spans="1:3" x14ac:dyDescent="0.25">
      <c r="A62" s="1">
        <v>60</v>
      </c>
      <c r="B62" s="1" t="s">
        <v>718</v>
      </c>
      <c r="C62" s="5">
        <v>12940</v>
      </c>
    </row>
    <row r="63" spans="1:3" x14ac:dyDescent="0.25">
      <c r="A63" s="1">
        <v>61</v>
      </c>
      <c r="B63" s="1" t="s">
        <v>728</v>
      </c>
      <c r="C63" s="5">
        <v>100</v>
      </c>
    </row>
    <row r="64" spans="1:3" x14ac:dyDescent="0.25">
      <c r="A64" s="1">
        <v>62</v>
      </c>
      <c r="B64" s="1" t="s">
        <v>729</v>
      </c>
      <c r="C64" s="5">
        <v>60</v>
      </c>
    </row>
    <row r="65" spans="1:3" x14ac:dyDescent="0.25">
      <c r="A65" s="1">
        <v>63</v>
      </c>
      <c r="B65" s="1" t="s">
        <v>730</v>
      </c>
      <c r="C65" s="5">
        <f>60000-1750-1250</f>
        <v>57000</v>
      </c>
    </row>
    <row r="66" spans="1:3" x14ac:dyDescent="0.25">
      <c r="A66" s="1">
        <v>64</v>
      </c>
      <c r="B66" s="1" t="s">
        <v>735</v>
      </c>
      <c r="C66" s="5">
        <v>26067</v>
      </c>
    </row>
    <row r="67" spans="1:3" x14ac:dyDescent="0.25">
      <c r="A67" s="1">
        <v>65</v>
      </c>
      <c r="B67" s="1" t="s">
        <v>736</v>
      </c>
      <c r="C67" s="5">
        <v>5000</v>
      </c>
    </row>
    <row r="68" spans="1:3" x14ac:dyDescent="0.25">
      <c r="A68" s="1">
        <v>66</v>
      </c>
      <c r="B68" s="1" t="s">
        <v>931</v>
      </c>
      <c r="C68" s="5">
        <v>10000</v>
      </c>
    </row>
    <row r="69" spans="1:3" x14ac:dyDescent="0.25">
      <c r="A69" s="1">
        <v>67</v>
      </c>
      <c r="B69" s="1" t="s">
        <v>933</v>
      </c>
      <c r="C69" s="5">
        <v>25000</v>
      </c>
    </row>
    <row r="70" spans="1:3" x14ac:dyDescent="0.25">
      <c r="A70" s="1">
        <v>68</v>
      </c>
      <c r="B70" s="1" t="s">
        <v>935</v>
      </c>
      <c r="C70" s="5">
        <v>18133</v>
      </c>
    </row>
    <row r="71" spans="1:3" x14ac:dyDescent="0.25">
      <c r="A71" s="1">
        <v>68</v>
      </c>
      <c r="B71" s="1" t="s">
        <v>936</v>
      </c>
      <c r="C71" s="5">
        <v>9000</v>
      </c>
    </row>
    <row r="72" spans="1:3" x14ac:dyDescent="0.25">
      <c r="A72" s="1">
        <v>69</v>
      </c>
      <c r="B72" s="1" t="s">
        <v>972</v>
      </c>
      <c r="C72" s="5">
        <v>180</v>
      </c>
    </row>
    <row r="73" spans="1:3" x14ac:dyDescent="0.25">
      <c r="A73" s="1">
        <v>70</v>
      </c>
      <c r="B73" s="1" t="s">
        <v>971</v>
      </c>
      <c r="C73" s="5">
        <v>720</v>
      </c>
    </row>
    <row r="74" spans="1:3" x14ac:dyDescent="0.25">
      <c r="A74" s="1">
        <v>71</v>
      </c>
      <c r="B74" s="1" t="s">
        <v>973</v>
      </c>
      <c r="C74" s="5">
        <v>1970</v>
      </c>
    </row>
    <row r="75" spans="1:3" x14ac:dyDescent="0.25">
      <c r="A75" s="1">
        <v>72</v>
      </c>
      <c r="B75" s="1" t="s">
        <v>974</v>
      </c>
      <c r="C75" s="5">
        <f>25000-6634</f>
        <v>18366</v>
      </c>
    </row>
    <row r="76" spans="1:3" x14ac:dyDescent="0.25">
      <c r="A76" s="1">
        <v>73</v>
      </c>
      <c r="B76" s="1" t="s">
        <v>976</v>
      </c>
      <c r="C76" s="5">
        <v>26040</v>
      </c>
    </row>
    <row r="77" spans="1:3" x14ac:dyDescent="0.25">
      <c r="A77" s="206">
        <v>74</v>
      </c>
      <c r="B77" s="206" t="s">
        <v>986</v>
      </c>
      <c r="C77" s="205">
        <v>900000</v>
      </c>
    </row>
    <row r="78" spans="1:3" x14ac:dyDescent="0.25">
      <c r="A78" s="1">
        <v>75</v>
      </c>
      <c r="B78" s="1" t="s">
        <v>987</v>
      </c>
      <c r="C78" s="5">
        <v>100000</v>
      </c>
    </row>
    <row r="79" spans="1:3" x14ac:dyDescent="0.25">
      <c r="A79" s="1">
        <v>76</v>
      </c>
      <c r="B79" s="1" t="s">
        <v>988</v>
      </c>
      <c r="C79" s="5">
        <v>15000</v>
      </c>
    </row>
    <row r="80" spans="1:3" x14ac:dyDescent="0.25">
      <c r="A80" s="1">
        <v>77</v>
      </c>
      <c r="B80" s="1" t="s">
        <v>989</v>
      </c>
      <c r="C80" s="5">
        <v>20900</v>
      </c>
    </row>
    <row r="81" spans="1:3" x14ac:dyDescent="0.25">
      <c r="A81" s="1">
        <v>78</v>
      </c>
      <c r="B81" s="1" t="s">
        <v>992</v>
      </c>
      <c r="C81" s="5">
        <v>1800</v>
      </c>
    </row>
    <row r="82" spans="1:3" x14ac:dyDescent="0.25">
      <c r="A82" s="1"/>
      <c r="B82" s="1" t="s">
        <v>991</v>
      </c>
      <c r="C82" s="5">
        <v>10000</v>
      </c>
    </row>
    <row r="83" spans="1:3" ht="15.75" x14ac:dyDescent="0.25">
      <c r="A83" s="232" t="s">
        <v>321</v>
      </c>
      <c r="B83" s="232"/>
      <c r="C83" s="68">
        <f>SUM(C3:C82)</f>
        <v>4371561</v>
      </c>
    </row>
  </sheetData>
  <mergeCells count="2">
    <mergeCell ref="A1:C1"/>
    <mergeCell ref="A83:B83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1179"/>
  <sheetViews>
    <sheetView topLeftCell="A1100" workbookViewId="0">
      <selection activeCell="D2" sqref="D2"/>
    </sheetView>
  </sheetViews>
  <sheetFormatPr defaultRowHeight="15" x14ac:dyDescent="0.25"/>
  <cols>
    <col min="1" max="1" width="12.140625" bestFit="1" customWidth="1"/>
    <col min="2" max="2" width="11.42578125" bestFit="1" customWidth="1"/>
    <col min="3" max="3" width="30" bestFit="1" customWidth="1"/>
    <col min="4" max="4" width="25.140625" bestFit="1" customWidth="1"/>
    <col min="5" max="5" width="10.5703125" bestFit="1" customWidth="1"/>
    <col min="6" max="6" width="9.42578125" bestFit="1" customWidth="1"/>
    <col min="7" max="7" width="10.5703125" bestFit="1" customWidth="1"/>
    <col min="8" max="8" width="12.7109375" bestFit="1" customWidth="1"/>
    <col min="9" max="9" width="26.85546875" bestFit="1" customWidth="1"/>
  </cols>
  <sheetData>
    <row r="1" spans="1:9" x14ac:dyDescent="0.25">
      <c r="I1" s="143" t="s">
        <v>966</v>
      </c>
    </row>
    <row r="2" spans="1:9" x14ac:dyDescent="0.25">
      <c r="A2" s="142" t="s">
        <v>3</v>
      </c>
      <c r="B2" s="142" t="s">
        <v>111</v>
      </c>
      <c r="C2" s="142" t="s">
        <v>779</v>
      </c>
      <c r="D2" s="142" t="s">
        <v>780</v>
      </c>
      <c r="E2" s="142" t="s">
        <v>781</v>
      </c>
      <c r="F2" s="142" t="s">
        <v>782</v>
      </c>
      <c r="G2" s="142" t="s">
        <v>23</v>
      </c>
      <c r="H2" s="142" t="s">
        <v>60</v>
      </c>
      <c r="I2" s="142" t="s">
        <v>783</v>
      </c>
    </row>
    <row r="3" spans="1:9" x14ac:dyDescent="0.25">
      <c r="A3" s="144" t="s">
        <v>784</v>
      </c>
      <c r="B3" s="145" t="s">
        <v>785</v>
      </c>
      <c r="C3" s="145" t="s">
        <v>310</v>
      </c>
      <c r="D3" s="1" t="s">
        <v>786</v>
      </c>
      <c r="E3" s="146">
        <v>54.5</v>
      </c>
      <c r="F3" s="1" t="s">
        <v>174</v>
      </c>
      <c r="G3" s="5">
        <v>1400</v>
      </c>
      <c r="H3" s="147">
        <f>Table3[[#This Row],[Qty]]*Table3[[#This Row],[Price]]</f>
        <v>76300</v>
      </c>
      <c r="I3" s="5"/>
    </row>
    <row r="4" spans="1:9" x14ac:dyDescent="0.25">
      <c r="A4" s="144" t="s">
        <v>784</v>
      </c>
      <c r="B4" s="145" t="s">
        <v>785</v>
      </c>
      <c r="C4" s="145" t="s">
        <v>310</v>
      </c>
      <c r="D4" s="1" t="s">
        <v>787</v>
      </c>
      <c r="E4" s="146">
        <v>159.5</v>
      </c>
      <c r="F4" s="1" t="s">
        <v>174</v>
      </c>
      <c r="G4" s="5">
        <v>170</v>
      </c>
      <c r="H4" s="147">
        <f>Table3[[#This Row],[Qty]]*Table3[[#This Row],[Price]]</f>
        <v>27115</v>
      </c>
      <c r="I4" s="5"/>
    </row>
    <row r="5" spans="1:9" x14ac:dyDescent="0.25">
      <c r="A5" s="144" t="s">
        <v>784</v>
      </c>
      <c r="B5" s="145" t="s">
        <v>785</v>
      </c>
      <c r="C5" s="145" t="s">
        <v>788</v>
      </c>
      <c r="D5" s="1" t="s">
        <v>789</v>
      </c>
      <c r="E5" s="146">
        <v>7</v>
      </c>
      <c r="F5" s="1" t="s">
        <v>174</v>
      </c>
      <c r="G5" s="5">
        <v>650</v>
      </c>
      <c r="H5" s="147">
        <f>Table3[[#This Row],[Qty]]*Table3[[#This Row],[Price]]</f>
        <v>4550</v>
      </c>
      <c r="I5" s="5"/>
    </row>
    <row r="6" spans="1:9" x14ac:dyDescent="0.25">
      <c r="A6" s="144" t="s">
        <v>784</v>
      </c>
      <c r="B6" s="145" t="s">
        <v>785</v>
      </c>
      <c r="C6" s="145" t="s">
        <v>788</v>
      </c>
      <c r="D6" s="1" t="s">
        <v>790</v>
      </c>
      <c r="E6" s="146">
        <v>1</v>
      </c>
      <c r="F6" s="1" t="s">
        <v>174</v>
      </c>
      <c r="G6" s="5">
        <v>650</v>
      </c>
      <c r="H6" s="147">
        <f>Table3[[#This Row],[Qty]]*Table3[[#This Row],[Price]]</f>
        <v>650</v>
      </c>
      <c r="I6" s="5"/>
    </row>
    <row r="7" spans="1:9" x14ac:dyDescent="0.25">
      <c r="A7" s="144" t="s">
        <v>784</v>
      </c>
      <c r="B7" s="145" t="s">
        <v>785</v>
      </c>
      <c r="C7" s="145" t="s">
        <v>788</v>
      </c>
      <c r="D7" s="1" t="s">
        <v>135</v>
      </c>
      <c r="E7" s="146">
        <v>211</v>
      </c>
      <c r="F7" s="1" t="s">
        <v>174</v>
      </c>
      <c r="G7" s="5">
        <v>300</v>
      </c>
      <c r="H7" s="147">
        <f>Table3[[#This Row],[Qty]]*Table3[[#This Row],[Price]]</f>
        <v>63300</v>
      </c>
      <c r="I7" s="5"/>
    </row>
    <row r="8" spans="1:9" x14ac:dyDescent="0.25">
      <c r="A8" s="144" t="s">
        <v>784</v>
      </c>
      <c r="B8" s="145" t="s">
        <v>785</v>
      </c>
      <c r="C8" s="145" t="s">
        <v>788</v>
      </c>
      <c r="D8" s="1" t="s">
        <v>791</v>
      </c>
      <c r="E8" s="146">
        <v>140</v>
      </c>
      <c r="F8" s="1" t="s">
        <v>792</v>
      </c>
      <c r="G8" s="5">
        <v>443.33</v>
      </c>
      <c r="H8" s="147">
        <f>Table3[[#This Row],[Qty]]*Table3[[#This Row],[Price]]</f>
        <v>62066.2</v>
      </c>
      <c r="I8" s="5"/>
    </row>
    <row r="9" spans="1:9" x14ac:dyDescent="0.25">
      <c r="A9" s="144" t="s">
        <v>784</v>
      </c>
      <c r="B9" s="145" t="s">
        <v>785</v>
      </c>
      <c r="C9" s="145" t="s">
        <v>788</v>
      </c>
      <c r="D9" s="1" t="s">
        <v>793</v>
      </c>
      <c r="E9" s="146">
        <v>600</v>
      </c>
      <c r="F9" s="1" t="s">
        <v>174</v>
      </c>
      <c r="G9" s="5">
        <v>119</v>
      </c>
      <c r="H9" s="147">
        <f>Table3[[#This Row],[Qty]]*Table3[[#This Row],[Price]]</f>
        <v>71400</v>
      </c>
      <c r="I9" s="5"/>
    </row>
    <row r="10" spans="1:9" x14ac:dyDescent="0.25">
      <c r="A10" s="144" t="s">
        <v>784</v>
      </c>
      <c r="B10" s="145" t="s">
        <v>785</v>
      </c>
      <c r="C10" s="145" t="s">
        <v>788</v>
      </c>
      <c r="D10" s="1" t="s">
        <v>794</v>
      </c>
      <c r="E10" s="146">
        <v>950</v>
      </c>
      <c r="F10" s="1" t="s">
        <v>174</v>
      </c>
      <c r="G10" s="5">
        <v>113</v>
      </c>
      <c r="H10" s="147">
        <f>Table3[[#This Row],[Qty]]*Table3[[#This Row],[Price]]</f>
        <v>107350</v>
      </c>
      <c r="I10" s="5"/>
    </row>
    <row r="11" spans="1:9" x14ac:dyDescent="0.25">
      <c r="A11" s="144" t="s">
        <v>784</v>
      </c>
      <c r="B11" s="145" t="s">
        <v>785</v>
      </c>
      <c r="C11" s="145" t="s">
        <v>99</v>
      </c>
      <c r="D11" s="1" t="s">
        <v>795</v>
      </c>
      <c r="E11" s="146">
        <v>6</v>
      </c>
      <c r="F11" s="1" t="s">
        <v>174</v>
      </c>
      <c r="G11" s="5">
        <v>580</v>
      </c>
      <c r="H11" s="147">
        <f>Table3[[#This Row],[Qty]]*Table3[[#This Row],[Price]]</f>
        <v>3480</v>
      </c>
      <c r="I11" s="5"/>
    </row>
    <row r="12" spans="1:9" x14ac:dyDescent="0.25">
      <c r="A12" s="144" t="s">
        <v>784</v>
      </c>
      <c r="B12" s="145" t="s">
        <v>785</v>
      </c>
      <c r="C12" s="145" t="s">
        <v>13</v>
      </c>
      <c r="D12" s="1" t="s">
        <v>796</v>
      </c>
      <c r="E12" s="146">
        <v>3.5</v>
      </c>
      <c r="F12" s="1" t="s">
        <v>174</v>
      </c>
      <c r="G12" s="5">
        <v>1150</v>
      </c>
      <c r="H12" s="147">
        <f>Table3[[#This Row],[Qty]]*Table3[[#This Row],[Price]]</f>
        <v>4025</v>
      </c>
      <c r="I12" s="5"/>
    </row>
    <row r="13" spans="1:9" x14ac:dyDescent="0.25">
      <c r="A13" s="144" t="s">
        <v>784</v>
      </c>
      <c r="B13" s="145" t="s">
        <v>785</v>
      </c>
      <c r="C13" s="145" t="s">
        <v>788</v>
      </c>
      <c r="D13" s="1" t="s">
        <v>797</v>
      </c>
      <c r="E13" s="146">
        <v>23</v>
      </c>
      <c r="F13" s="1" t="s">
        <v>174</v>
      </c>
      <c r="G13" s="5">
        <v>560</v>
      </c>
      <c r="H13" s="147">
        <f>Table3[[#This Row],[Qty]]*Table3[[#This Row],[Price]]</f>
        <v>12880</v>
      </c>
      <c r="I13" s="5"/>
    </row>
    <row r="14" spans="1:9" x14ac:dyDescent="0.25">
      <c r="A14" s="144" t="s">
        <v>784</v>
      </c>
      <c r="B14" s="145" t="s">
        <v>785</v>
      </c>
      <c r="C14" s="145" t="s">
        <v>99</v>
      </c>
      <c r="D14" s="1" t="s">
        <v>798</v>
      </c>
      <c r="E14" s="146">
        <v>13</v>
      </c>
      <c r="F14" s="1" t="s">
        <v>174</v>
      </c>
      <c r="G14" s="5">
        <v>210</v>
      </c>
      <c r="H14" s="147">
        <f>Table3[[#This Row],[Qty]]*Table3[[#This Row],[Price]]</f>
        <v>2730</v>
      </c>
      <c r="I14" s="5"/>
    </row>
    <row r="15" spans="1:9" x14ac:dyDescent="0.25">
      <c r="A15" s="144" t="s">
        <v>784</v>
      </c>
      <c r="B15" s="145" t="s">
        <v>785</v>
      </c>
      <c r="C15" s="145" t="s">
        <v>99</v>
      </c>
      <c r="D15" s="1" t="s">
        <v>799</v>
      </c>
      <c r="E15" s="146">
        <v>31</v>
      </c>
      <c r="F15" s="1" t="s">
        <v>174</v>
      </c>
      <c r="G15" s="5">
        <v>300</v>
      </c>
      <c r="H15" s="147">
        <f>Table3[[#This Row],[Qty]]*Table3[[#This Row],[Price]]</f>
        <v>9300</v>
      </c>
      <c r="I15" s="5"/>
    </row>
    <row r="16" spans="1:9" x14ac:dyDescent="0.25">
      <c r="A16" s="144" t="s">
        <v>784</v>
      </c>
      <c r="B16" s="145" t="s">
        <v>785</v>
      </c>
      <c r="C16" s="145" t="s">
        <v>99</v>
      </c>
      <c r="D16" s="1" t="s">
        <v>800</v>
      </c>
      <c r="E16" s="146">
        <v>5</v>
      </c>
      <c r="F16" s="1" t="s">
        <v>174</v>
      </c>
      <c r="G16" s="5">
        <v>195</v>
      </c>
      <c r="H16" s="147">
        <f>Table3[[#This Row],[Qty]]*Table3[[#This Row],[Price]]</f>
        <v>975</v>
      </c>
      <c r="I16" s="5"/>
    </row>
    <row r="17" spans="1:9" x14ac:dyDescent="0.25">
      <c r="A17" s="144" t="s">
        <v>784</v>
      </c>
      <c r="B17" s="145" t="s">
        <v>785</v>
      </c>
      <c r="C17" s="145" t="s">
        <v>788</v>
      </c>
      <c r="D17" s="1" t="s">
        <v>801</v>
      </c>
      <c r="E17" s="146">
        <v>2</v>
      </c>
      <c r="F17" s="1" t="s">
        <v>174</v>
      </c>
      <c r="G17" s="5">
        <v>580</v>
      </c>
      <c r="H17" s="147">
        <f>Table3[[#This Row],[Qty]]*Table3[[#This Row],[Price]]</f>
        <v>1160</v>
      </c>
      <c r="I17" s="5"/>
    </row>
    <row r="18" spans="1:9" x14ac:dyDescent="0.25">
      <c r="A18" s="144" t="s">
        <v>784</v>
      </c>
      <c r="B18" s="145" t="s">
        <v>785</v>
      </c>
      <c r="C18" s="145" t="s">
        <v>788</v>
      </c>
      <c r="D18" s="1" t="s">
        <v>802</v>
      </c>
      <c r="E18" s="146">
        <v>4</v>
      </c>
      <c r="F18" s="1" t="s">
        <v>174</v>
      </c>
      <c r="G18" s="5">
        <v>480</v>
      </c>
      <c r="H18" s="147">
        <f>Table3[[#This Row],[Qty]]*Table3[[#This Row],[Price]]</f>
        <v>1920</v>
      </c>
      <c r="I18" s="5"/>
    </row>
    <row r="19" spans="1:9" x14ac:dyDescent="0.25">
      <c r="A19" s="144" t="s">
        <v>784</v>
      </c>
      <c r="B19" s="145" t="s">
        <v>785</v>
      </c>
      <c r="C19" s="145" t="s">
        <v>788</v>
      </c>
      <c r="D19" s="1" t="s">
        <v>803</v>
      </c>
      <c r="E19" s="146">
        <v>2</v>
      </c>
      <c r="F19" s="1" t="s">
        <v>174</v>
      </c>
      <c r="G19" s="5">
        <v>580</v>
      </c>
      <c r="H19" s="147">
        <f>Table3[[#This Row],[Qty]]*Table3[[#This Row],[Price]]</f>
        <v>1160</v>
      </c>
      <c r="I19" s="5"/>
    </row>
    <row r="20" spans="1:9" x14ac:dyDescent="0.25">
      <c r="A20" s="144" t="s">
        <v>784</v>
      </c>
      <c r="B20" s="145" t="s">
        <v>785</v>
      </c>
      <c r="C20" s="145" t="s">
        <v>788</v>
      </c>
      <c r="D20" s="1" t="s">
        <v>804</v>
      </c>
      <c r="E20" s="146">
        <v>4.5</v>
      </c>
      <c r="F20" s="1" t="s">
        <v>174</v>
      </c>
      <c r="G20" s="5">
        <v>580</v>
      </c>
      <c r="H20" s="147">
        <f>Table3[[#This Row],[Qty]]*Table3[[#This Row],[Price]]</f>
        <v>2610</v>
      </c>
      <c r="I20" s="5"/>
    </row>
    <row r="21" spans="1:9" x14ac:dyDescent="0.25">
      <c r="A21" s="144" t="s">
        <v>784</v>
      </c>
      <c r="B21" s="145" t="s">
        <v>785</v>
      </c>
      <c r="C21" s="145" t="s">
        <v>788</v>
      </c>
      <c r="D21" s="1" t="s">
        <v>805</v>
      </c>
      <c r="E21" s="146">
        <v>2.5</v>
      </c>
      <c r="F21" s="1" t="s">
        <v>174</v>
      </c>
      <c r="G21" s="5">
        <v>580</v>
      </c>
      <c r="H21" s="147">
        <f>Table3[[#This Row],[Qty]]*Table3[[#This Row],[Price]]</f>
        <v>1450</v>
      </c>
      <c r="I21" s="5"/>
    </row>
    <row r="22" spans="1:9" x14ac:dyDescent="0.25">
      <c r="A22" s="144" t="s">
        <v>784</v>
      </c>
      <c r="B22" s="145" t="s">
        <v>785</v>
      </c>
      <c r="C22" s="145" t="s">
        <v>310</v>
      </c>
      <c r="D22" s="1" t="s">
        <v>806</v>
      </c>
      <c r="E22" s="146">
        <v>26</v>
      </c>
      <c r="F22" s="1" t="s">
        <v>807</v>
      </c>
      <c r="G22" s="5">
        <v>120</v>
      </c>
      <c r="H22" s="147">
        <f>Table3[[#This Row],[Qty]]*Table3[[#This Row],[Price]]</f>
        <v>3120</v>
      </c>
      <c r="I22" s="5"/>
    </row>
    <row r="23" spans="1:9" x14ac:dyDescent="0.25">
      <c r="A23" s="144" t="s">
        <v>784</v>
      </c>
      <c r="B23" s="145" t="s">
        <v>785</v>
      </c>
      <c r="C23" s="148" t="s">
        <v>310</v>
      </c>
      <c r="D23" s="1" t="s">
        <v>808</v>
      </c>
      <c r="E23" s="146">
        <v>4</v>
      </c>
      <c r="F23" s="1" t="s">
        <v>809</v>
      </c>
      <c r="G23" s="5">
        <v>896</v>
      </c>
      <c r="H23" s="147">
        <f>Table3[[#This Row],[Qty]]*Table3[[#This Row],[Price]]</f>
        <v>3584</v>
      </c>
      <c r="I23" s="5"/>
    </row>
    <row r="24" spans="1:9" x14ac:dyDescent="0.25">
      <c r="A24" s="144" t="s">
        <v>784</v>
      </c>
      <c r="B24" s="145" t="s">
        <v>785</v>
      </c>
      <c r="C24" s="145" t="s">
        <v>788</v>
      </c>
      <c r="D24" s="1" t="s">
        <v>810</v>
      </c>
      <c r="E24" s="146">
        <v>5</v>
      </c>
      <c r="F24" s="1" t="s">
        <v>174</v>
      </c>
      <c r="G24" s="5">
        <v>490</v>
      </c>
      <c r="H24" s="147">
        <f>Table3[[#This Row],[Qty]]*Table3[[#This Row],[Price]]</f>
        <v>2450</v>
      </c>
      <c r="I24" s="5"/>
    </row>
    <row r="25" spans="1:9" x14ac:dyDescent="0.25">
      <c r="A25" s="144" t="s">
        <v>784</v>
      </c>
      <c r="B25" s="145" t="s">
        <v>785</v>
      </c>
      <c r="C25" s="145" t="s">
        <v>310</v>
      </c>
      <c r="D25" s="1" t="s">
        <v>811</v>
      </c>
      <c r="E25" s="146">
        <v>5</v>
      </c>
      <c r="F25" s="1" t="s">
        <v>174</v>
      </c>
      <c r="G25" s="5">
        <v>600</v>
      </c>
      <c r="H25" s="147">
        <f>Table3[[#This Row],[Qty]]*Table3[[#This Row],[Price]]</f>
        <v>3000</v>
      </c>
      <c r="I25" s="5"/>
    </row>
    <row r="26" spans="1:9" x14ac:dyDescent="0.25">
      <c r="A26" s="144" t="s">
        <v>784</v>
      </c>
      <c r="B26" s="145" t="s">
        <v>785</v>
      </c>
      <c r="C26" s="145" t="s">
        <v>788</v>
      </c>
      <c r="D26" s="1" t="s">
        <v>812</v>
      </c>
      <c r="E26" s="146">
        <v>5</v>
      </c>
      <c r="F26" s="1" t="s">
        <v>174</v>
      </c>
      <c r="G26" s="5">
        <v>680</v>
      </c>
      <c r="H26" s="147">
        <f>Table3[[#This Row],[Qty]]*Table3[[#This Row],[Price]]</f>
        <v>3400</v>
      </c>
      <c r="I26" s="5"/>
    </row>
    <row r="27" spans="1:9" x14ac:dyDescent="0.25">
      <c r="A27" s="144" t="s">
        <v>784</v>
      </c>
      <c r="B27" s="145" t="s">
        <v>785</v>
      </c>
      <c r="C27" s="145" t="s">
        <v>788</v>
      </c>
      <c r="D27" s="1" t="s">
        <v>813</v>
      </c>
      <c r="E27" s="146">
        <v>3</v>
      </c>
      <c r="F27" s="1" t="s">
        <v>174</v>
      </c>
      <c r="G27" s="5">
        <v>700</v>
      </c>
      <c r="H27" s="147">
        <f>Table3[[#This Row],[Qty]]*Table3[[#This Row],[Price]]</f>
        <v>2100</v>
      </c>
      <c r="I27" s="5"/>
    </row>
    <row r="28" spans="1:9" x14ac:dyDescent="0.25">
      <c r="A28" s="144" t="s">
        <v>784</v>
      </c>
      <c r="B28" s="145" t="s">
        <v>785</v>
      </c>
      <c r="C28" s="148" t="s">
        <v>310</v>
      </c>
      <c r="D28" s="1" t="s">
        <v>814</v>
      </c>
      <c r="E28" s="146">
        <v>9</v>
      </c>
      <c r="F28" s="1" t="s">
        <v>174</v>
      </c>
      <c r="G28" s="5">
        <v>1600</v>
      </c>
      <c r="H28" s="147">
        <f>Table3[[#This Row],[Qty]]*Table3[[#This Row],[Price]]</f>
        <v>14400</v>
      </c>
      <c r="I28" s="5"/>
    </row>
    <row r="29" spans="1:9" x14ac:dyDescent="0.25">
      <c r="A29" s="144" t="s">
        <v>784</v>
      </c>
      <c r="B29" s="145" t="s">
        <v>785</v>
      </c>
      <c r="C29" s="145" t="s">
        <v>788</v>
      </c>
      <c r="D29" s="1" t="s">
        <v>815</v>
      </c>
      <c r="E29" s="146">
        <v>2</v>
      </c>
      <c r="F29" s="1" t="s">
        <v>174</v>
      </c>
      <c r="G29" s="5">
        <v>2100</v>
      </c>
      <c r="H29" s="147">
        <f>Table3[[#This Row],[Qty]]*Table3[[#This Row],[Price]]</f>
        <v>4200</v>
      </c>
      <c r="I29" s="5"/>
    </row>
    <row r="30" spans="1:9" x14ac:dyDescent="0.25">
      <c r="A30" s="144" t="s">
        <v>784</v>
      </c>
      <c r="B30" s="145" t="s">
        <v>785</v>
      </c>
      <c r="C30" s="145" t="s">
        <v>788</v>
      </c>
      <c r="D30" s="1" t="s">
        <v>816</v>
      </c>
      <c r="E30" s="146">
        <v>30</v>
      </c>
      <c r="F30" s="1" t="s">
        <v>174</v>
      </c>
      <c r="G30" s="5">
        <v>12</v>
      </c>
      <c r="H30" s="147">
        <f>Table3[[#This Row],[Qty]]*Table3[[#This Row],[Price]]</f>
        <v>360</v>
      </c>
      <c r="I30" s="5"/>
    </row>
    <row r="31" spans="1:9" x14ac:dyDescent="0.25">
      <c r="A31" s="144" t="s">
        <v>784</v>
      </c>
      <c r="B31" s="145" t="s">
        <v>785</v>
      </c>
      <c r="C31" s="145" t="s">
        <v>788</v>
      </c>
      <c r="D31" s="1" t="s">
        <v>817</v>
      </c>
      <c r="E31" s="146">
        <v>1</v>
      </c>
      <c r="F31" s="1" t="s">
        <v>174</v>
      </c>
      <c r="G31" s="5">
        <v>480</v>
      </c>
      <c r="H31" s="147">
        <f>Table3[[#This Row],[Qty]]*Table3[[#This Row],[Price]]</f>
        <v>480</v>
      </c>
      <c r="I31" s="5"/>
    </row>
    <row r="32" spans="1:9" x14ac:dyDescent="0.25">
      <c r="A32" s="144" t="s">
        <v>784</v>
      </c>
      <c r="B32" s="145" t="s">
        <v>785</v>
      </c>
      <c r="C32" s="145" t="s">
        <v>788</v>
      </c>
      <c r="D32" s="1" t="s">
        <v>818</v>
      </c>
      <c r="E32" s="146">
        <v>0.5</v>
      </c>
      <c r="F32" s="1" t="s">
        <v>174</v>
      </c>
      <c r="G32" s="5">
        <v>580</v>
      </c>
      <c r="H32" s="147">
        <f>Table3[[#This Row],[Qty]]*Table3[[#This Row],[Price]]</f>
        <v>290</v>
      </c>
      <c r="I32" s="5"/>
    </row>
    <row r="33" spans="1:9" x14ac:dyDescent="0.25">
      <c r="A33" s="144" t="s">
        <v>784</v>
      </c>
      <c r="B33" s="145" t="s">
        <v>785</v>
      </c>
      <c r="C33" s="145" t="s">
        <v>12</v>
      </c>
      <c r="D33" s="1" t="s">
        <v>221</v>
      </c>
      <c r="E33" s="146">
        <v>33</v>
      </c>
      <c r="F33" s="1" t="s">
        <v>174</v>
      </c>
      <c r="G33" s="5">
        <v>183</v>
      </c>
      <c r="H33" s="147">
        <f>Table3[[#This Row],[Qty]]*Table3[[#This Row],[Price]]</f>
        <v>6039</v>
      </c>
      <c r="I33" s="5"/>
    </row>
    <row r="34" spans="1:9" x14ac:dyDescent="0.25">
      <c r="A34" s="144" t="s">
        <v>784</v>
      </c>
      <c r="B34" s="148" t="s">
        <v>785</v>
      </c>
      <c r="C34" s="148" t="s">
        <v>788</v>
      </c>
      <c r="D34" s="58" t="s">
        <v>222</v>
      </c>
      <c r="E34" s="146">
        <v>214</v>
      </c>
      <c r="F34" s="58" t="s">
        <v>819</v>
      </c>
      <c r="G34" s="5">
        <v>30</v>
      </c>
      <c r="H34" s="147">
        <f>Table3[[#This Row],[Qty]]*Table3[[#This Row],[Price]]</f>
        <v>6420</v>
      </c>
      <c r="I34" s="5"/>
    </row>
    <row r="35" spans="1:9" x14ac:dyDescent="0.25">
      <c r="A35" s="144" t="s">
        <v>784</v>
      </c>
      <c r="B35" s="145" t="s">
        <v>785</v>
      </c>
      <c r="C35" s="145" t="s">
        <v>788</v>
      </c>
      <c r="D35" s="1" t="s">
        <v>820</v>
      </c>
      <c r="E35" s="146">
        <v>2</v>
      </c>
      <c r="F35" s="1" t="s">
        <v>174</v>
      </c>
      <c r="G35" s="5">
        <v>580</v>
      </c>
      <c r="H35" s="147">
        <f>Table3[[#This Row],[Qty]]*Table3[[#This Row],[Price]]</f>
        <v>1160</v>
      </c>
      <c r="I35" s="5"/>
    </row>
    <row r="36" spans="1:9" x14ac:dyDescent="0.25">
      <c r="A36" s="144" t="s">
        <v>784</v>
      </c>
      <c r="B36" s="145" t="s">
        <v>785</v>
      </c>
      <c r="C36" s="145" t="s">
        <v>788</v>
      </c>
      <c r="D36" s="1" t="s">
        <v>821</v>
      </c>
      <c r="E36" s="146">
        <v>2.5</v>
      </c>
      <c r="F36" s="1" t="s">
        <v>174</v>
      </c>
      <c r="G36" s="5">
        <v>700</v>
      </c>
      <c r="H36" s="147">
        <f>Table3[[#This Row],[Qty]]*Table3[[#This Row],[Price]]</f>
        <v>1750</v>
      </c>
      <c r="I36" s="5"/>
    </row>
    <row r="37" spans="1:9" x14ac:dyDescent="0.25">
      <c r="A37" s="144" t="s">
        <v>784</v>
      </c>
      <c r="B37" s="145" t="s">
        <v>785</v>
      </c>
      <c r="C37" s="145" t="s">
        <v>788</v>
      </c>
      <c r="D37" s="1" t="s">
        <v>822</v>
      </c>
      <c r="E37" s="146">
        <v>2</v>
      </c>
      <c r="F37" s="1" t="s">
        <v>174</v>
      </c>
      <c r="G37" s="5">
        <v>2000</v>
      </c>
      <c r="H37" s="147">
        <f>Table3[[#This Row],[Qty]]*Table3[[#This Row],[Price]]</f>
        <v>4000</v>
      </c>
      <c r="I37" s="5"/>
    </row>
    <row r="38" spans="1:9" x14ac:dyDescent="0.25">
      <c r="A38" s="144" t="s">
        <v>784</v>
      </c>
      <c r="B38" s="145" t="s">
        <v>785</v>
      </c>
      <c r="C38" s="145" t="s">
        <v>788</v>
      </c>
      <c r="D38" s="1" t="s">
        <v>823</v>
      </c>
      <c r="E38" s="146">
        <v>1</v>
      </c>
      <c r="F38" s="1" t="s">
        <v>174</v>
      </c>
      <c r="G38" s="5">
        <v>2400</v>
      </c>
      <c r="H38" s="147">
        <f>Table3[[#This Row],[Qty]]*Table3[[#This Row],[Price]]</f>
        <v>2400</v>
      </c>
      <c r="I38" s="5"/>
    </row>
    <row r="39" spans="1:9" x14ac:dyDescent="0.25">
      <c r="A39" s="144" t="s">
        <v>784</v>
      </c>
      <c r="B39" s="145" t="s">
        <v>785</v>
      </c>
      <c r="C39" s="145" t="s">
        <v>788</v>
      </c>
      <c r="D39" s="1" t="s">
        <v>824</v>
      </c>
      <c r="E39" s="146">
        <v>100</v>
      </c>
      <c r="F39" s="1" t="s">
        <v>174</v>
      </c>
      <c r="G39" s="5">
        <v>608</v>
      </c>
      <c r="H39" s="147">
        <f>Table3[[#This Row],[Qty]]*Table3[[#This Row],[Price]]</f>
        <v>60800</v>
      </c>
      <c r="I39" s="5"/>
    </row>
    <row r="40" spans="1:9" x14ac:dyDescent="0.25">
      <c r="A40" s="144" t="s">
        <v>784</v>
      </c>
      <c r="B40" s="145" t="s">
        <v>785</v>
      </c>
      <c r="C40" s="145" t="s">
        <v>13</v>
      </c>
      <c r="D40" s="1" t="s">
        <v>825</v>
      </c>
      <c r="E40" s="146">
        <v>7</v>
      </c>
      <c r="F40" s="1" t="s">
        <v>223</v>
      </c>
      <c r="G40" s="5">
        <v>65</v>
      </c>
      <c r="H40" s="147">
        <f>Table3[[#This Row],[Qty]]*Table3[[#This Row],[Price]]</f>
        <v>455</v>
      </c>
      <c r="I40" s="5"/>
    </row>
    <row r="41" spans="1:9" x14ac:dyDescent="0.25">
      <c r="A41" s="144" t="s">
        <v>784</v>
      </c>
      <c r="B41" s="145" t="s">
        <v>785</v>
      </c>
      <c r="C41" s="145" t="s">
        <v>310</v>
      </c>
      <c r="D41" s="1" t="s">
        <v>826</v>
      </c>
      <c r="E41" s="146">
        <v>20</v>
      </c>
      <c r="F41" s="1" t="s">
        <v>827</v>
      </c>
      <c r="G41" s="5">
        <v>220</v>
      </c>
      <c r="H41" s="147">
        <f>Table3[[#This Row],[Qty]]*Table3[[#This Row],[Price]]</f>
        <v>4400</v>
      </c>
      <c r="I41" s="5"/>
    </row>
    <row r="42" spans="1:9" x14ac:dyDescent="0.25">
      <c r="A42" s="144" t="s">
        <v>784</v>
      </c>
      <c r="B42" s="145" t="s">
        <v>785</v>
      </c>
      <c r="C42" s="145" t="s">
        <v>310</v>
      </c>
      <c r="D42" s="1" t="s">
        <v>826</v>
      </c>
      <c r="E42" s="146">
        <v>10</v>
      </c>
      <c r="F42" s="1" t="s">
        <v>827</v>
      </c>
      <c r="G42" s="5">
        <v>220</v>
      </c>
      <c r="H42" s="147">
        <f>Table3[[#This Row],[Qty]]*Table3[[#This Row],[Price]]</f>
        <v>2200</v>
      </c>
      <c r="I42" s="5"/>
    </row>
    <row r="43" spans="1:9" x14ac:dyDescent="0.25">
      <c r="A43" s="144" t="s">
        <v>784</v>
      </c>
      <c r="B43" s="145" t="s">
        <v>785</v>
      </c>
      <c r="C43" s="145" t="s">
        <v>310</v>
      </c>
      <c r="D43" s="1" t="s">
        <v>828</v>
      </c>
      <c r="E43" s="146">
        <v>38</v>
      </c>
      <c r="F43" s="1" t="s">
        <v>829</v>
      </c>
      <c r="G43" s="5">
        <v>145</v>
      </c>
      <c r="H43" s="147">
        <f>Table3[[#This Row],[Qty]]*Table3[[#This Row],[Price]]</f>
        <v>5510</v>
      </c>
      <c r="I43" s="5"/>
    </row>
    <row r="44" spans="1:9" x14ac:dyDescent="0.25">
      <c r="A44" s="144" t="s">
        <v>784</v>
      </c>
      <c r="B44" s="145" t="s">
        <v>785</v>
      </c>
      <c r="C44" s="145" t="s">
        <v>310</v>
      </c>
      <c r="D44" s="1" t="s">
        <v>828</v>
      </c>
      <c r="E44" s="146">
        <v>23</v>
      </c>
      <c r="F44" s="1" t="s">
        <v>829</v>
      </c>
      <c r="G44" s="5">
        <v>120</v>
      </c>
      <c r="H44" s="147">
        <f>Table3[[#This Row],[Qty]]*Table3[[#This Row],[Price]]</f>
        <v>2760</v>
      </c>
      <c r="I44" s="5"/>
    </row>
    <row r="45" spans="1:9" x14ac:dyDescent="0.25">
      <c r="A45" s="144" t="s">
        <v>784</v>
      </c>
      <c r="B45" s="145" t="s">
        <v>785</v>
      </c>
      <c r="C45" s="145" t="s">
        <v>310</v>
      </c>
      <c r="D45" s="1" t="s">
        <v>830</v>
      </c>
      <c r="E45" s="146">
        <v>1</v>
      </c>
      <c r="F45" s="1" t="s">
        <v>831</v>
      </c>
      <c r="G45" s="5">
        <v>1500</v>
      </c>
      <c r="H45" s="147">
        <f>Table3[[#This Row],[Qty]]*Table3[[#This Row],[Price]]</f>
        <v>1500</v>
      </c>
      <c r="I45" s="5"/>
    </row>
    <row r="46" spans="1:9" x14ac:dyDescent="0.25">
      <c r="A46" s="144" t="s">
        <v>784</v>
      </c>
      <c r="B46" s="145" t="s">
        <v>785</v>
      </c>
      <c r="C46" s="145" t="s">
        <v>310</v>
      </c>
      <c r="D46" s="1" t="s">
        <v>832</v>
      </c>
      <c r="E46" s="146">
        <v>1</v>
      </c>
      <c r="F46" s="1" t="s">
        <v>831</v>
      </c>
      <c r="G46" s="5">
        <v>1400</v>
      </c>
      <c r="H46" s="147">
        <f>Table3[[#This Row],[Qty]]*Table3[[#This Row],[Price]]</f>
        <v>1400</v>
      </c>
      <c r="I46" s="5"/>
    </row>
    <row r="47" spans="1:9" x14ac:dyDescent="0.25">
      <c r="A47" s="144" t="s">
        <v>784</v>
      </c>
      <c r="B47" s="145" t="s">
        <v>785</v>
      </c>
      <c r="C47" s="145" t="s">
        <v>310</v>
      </c>
      <c r="D47" s="1" t="s">
        <v>833</v>
      </c>
      <c r="E47" s="146">
        <v>13</v>
      </c>
      <c r="F47" s="1" t="s">
        <v>174</v>
      </c>
      <c r="G47" s="5">
        <v>146.15</v>
      </c>
      <c r="H47" s="147">
        <f>Table3[[#This Row],[Qty]]*Table3[[#This Row],[Price]]</f>
        <v>1899.95</v>
      </c>
      <c r="I47" s="5"/>
    </row>
    <row r="48" spans="1:9" x14ac:dyDescent="0.25">
      <c r="A48" s="144" t="s">
        <v>784</v>
      </c>
      <c r="B48" s="145" t="s">
        <v>785</v>
      </c>
      <c r="C48" s="145" t="s">
        <v>310</v>
      </c>
      <c r="D48" s="1" t="s">
        <v>834</v>
      </c>
      <c r="E48" s="146">
        <v>9</v>
      </c>
      <c r="F48" s="1" t="s">
        <v>174</v>
      </c>
      <c r="G48" s="5">
        <v>450</v>
      </c>
      <c r="H48" s="147">
        <f>Table3[[#This Row],[Qty]]*Table3[[#This Row],[Price]]</f>
        <v>4050</v>
      </c>
      <c r="I48" s="5"/>
    </row>
    <row r="49" spans="1:9" x14ac:dyDescent="0.25">
      <c r="A49" s="144" t="s">
        <v>784</v>
      </c>
      <c r="B49" s="148" t="s">
        <v>785</v>
      </c>
      <c r="C49" s="148" t="s">
        <v>310</v>
      </c>
      <c r="D49" s="58" t="s">
        <v>835</v>
      </c>
      <c r="E49" s="146">
        <v>10</v>
      </c>
      <c r="F49" s="1" t="s">
        <v>174</v>
      </c>
      <c r="G49" s="5">
        <v>220</v>
      </c>
      <c r="H49" s="147">
        <f>Table3[[#This Row],[Qty]]*Table3[[#This Row],[Price]]</f>
        <v>2200</v>
      </c>
      <c r="I49" s="5"/>
    </row>
    <row r="50" spans="1:9" x14ac:dyDescent="0.25">
      <c r="A50" s="144" t="s">
        <v>784</v>
      </c>
      <c r="B50" s="145" t="s">
        <v>785</v>
      </c>
      <c r="C50" s="145" t="s">
        <v>310</v>
      </c>
      <c r="D50" s="1" t="s">
        <v>826</v>
      </c>
      <c r="E50" s="146">
        <v>10</v>
      </c>
      <c r="F50" s="1" t="s">
        <v>827</v>
      </c>
      <c r="G50" s="5">
        <v>220</v>
      </c>
      <c r="H50" s="147">
        <f>Table3[[#This Row],[Qty]]*Table3[[#This Row],[Price]]</f>
        <v>2200</v>
      </c>
      <c r="I50" s="5"/>
    </row>
    <row r="51" spans="1:9" x14ac:dyDescent="0.25">
      <c r="A51" s="144" t="s">
        <v>784</v>
      </c>
      <c r="B51" s="145" t="s">
        <v>785</v>
      </c>
      <c r="C51" s="145" t="s">
        <v>310</v>
      </c>
      <c r="D51" s="1" t="s">
        <v>826</v>
      </c>
      <c r="E51" s="146">
        <v>15</v>
      </c>
      <c r="F51" s="1" t="s">
        <v>827</v>
      </c>
      <c r="G51" s="5">
        <v>220</v>
      </c>
      <c r="H51" s="147">
        <f>Table3[[#This Row],[Qty]]*Table3[[#This Row],[Price]]</f>
        <v>3300</v>
      </c>
      <c r="I51" s="5"/>
    </row>
    <row r="52" spans="1:9" x14ac:dyDescent="0.25">
      <c r="A52" s="144" t="s">
        <v>784</v>
      </c>
      <c r="B52" s="145" t="s">
        <v>785</v>
      </c>
      <c r="C52" s="145" t="s">
        <v>310</v>
      </c>
      <c r="D52" s="1" t="s">
        <v>836</v>
      </c>
      <c r="E52" s="146">
        <v>5</v>
      </c>
      <c r="F52" s="1" t="s">
        <v>174</v>
      </c>
      <c r="G52" s="5">
        <v>600</v>
      </c>
      <c r="H52" s="147">
        <f>Table3[[#This Row],[Qty]]*Table3[[#This Row],[Price]]</f>
        <v>3000</v>
      </c>
      <c r="I52" s="5"/>
    </row>
    <row r="53" spans="1:9" x14ac:dyDescent="0.25">
      <c r="A53" s="144" t="s">
        <v>784</v>
      </c>
      <c r="B53" s="145" t="s">
        <v>785</v>
      </c>
      <c r="C53" s="145" t="s">
        <v>310</v>
      </c>
      <c r="D53" s="1" t="s">
        <v>837</v>
      </c>
      <c r="E53" s="146">
        <v>8</v>
      </c>
      <c r="F53" s="1" t="s">
        <v>174</v>
      </c>
      <c r="G53" s="5">
        <v>320</v>
      </c>
      <c r="H53" s="147">
        <f>Table3[[#This Row],[Qty]]*Table3[[#This Row],[Price]]</f>
        <v>2560</v>
      </c>
      <c r="I53" s="5"/>
    </row>
    <row r="54" spans="1:9" x14ac:dyDescent="0.25">
      <c r="A54" s="144">
        <v>46013</v>
      </c>
      <c r="B54" s="145" t="s">
        <v>429</v>
      </c>
      <c r="C54" s="145" t="s">
        <v>310</v>
      </c>
      <c r="D54" s="1" t="s">
        <v>826</v>
      </c>
      <c r="E54" s="146">
        <v>10</v>
      </c>
      <c r="F54" s="1" t="s">
        <v>827</v>
      </c>
      <c r="G54" s="5">
        <v>220</v>
      </c>
      <c r="H54" s="147">
        <f>Table3[[#This Row],[Qty]]*Table3[[#This Row],[Price]]</f>
        <v>2200</v>
      </c>
      <c r="I54" s="5"/>
    </row>
    <row r="55" spans="1:9" x14ac:dyDescent="0.25">
      <c r="A55" s="144">
        <v>46013</v>
      </c>
      <c r="B55" s="145" t="s">
        <v>429</v>
      </c>
      <c r="C55" s="145" t="s">
        <v>310</v>
      </c>
      <c r="D55" s="1" t="s">
        <v>786</v>
      </c>
      <c r="E55" s="146">
        <v>11</v>
      </c>
      <c r="F55" s="1" t="s">
        <v>174</v>
      </c>
      <c r="G55" s="5">
        <v>1400</v>
      </c>
      <c r="H55" s="147">
        <f>Table3[[#This Row],[Qty]]*Table3[[#This Row],[Price]]</f>
        <v>15400</v>
      </c>
      <c r="I55" s="5"/>
    </row>
    <row r="56" spans="1:9" x14ac:dyDescent="0.25">
      <c r="A56" s="144">
        <v>46013</v>
      </c>
      <c r="B56" s="145" t="s">
        <v>429</v>
      </c>
      <c r="C56" s="145" t="s">
        <v>310</v>
      </c>
      <c r="D56" s="1" t="s">
        <v>787</v>
      </c>
      <c r="E56" s="146">
        <v>22.85</v>
      </c>
      <c r="F56" s="1" t="s">
        <v>174</v>
      </c>
      <c r="G56" s="5">
        <v>170</v>
      </c>
      <c r="H56" s="147">
        <f>Table3[[#This Row],[Qty]]*Table3[[#This Row],[Price]]</f>
        <v>3884.5000000000005</v>
      </c>
      <c r="I56" s="5"/>
    </row>
    <row r="57" spans="1:9" x14ac:dyDescent="0.25">
      <c r="A57" s="144">
        <v>46013</v>
      </c>
      <c r="B57" s="145" t="s">
        <v>429</v>
      </c>
      <c r="C57" s="145" t="s">
        <v>788</v>
      </c>
      <c r="D57" s="1" t="s">
        <v>135</v>
      </c>
      <c r="E57" s="146">
        <v>24</v>
      </c>
      <c r="F57" s="1" t="s">
        <v>174</v>
      </c>
      <c r="G57" s="5">
        <v>300</v>
      </c>
      <c r="H57" s="147">
        <f>Table3[[#This Row],[Qty]]*Table3[[#This Row],[Price]]</f>
        <v>7200</v>
      </c>
      <c r="I57" s="5"/>
    </row>
    <row r="58" spans="1:9" x14ac:dyDescent="0.25">
      <c r="A58" s="144">
        <v>46013</v>
      </c>
      <c r="B58" s="145" t="s">
        <v>429</v>
      </c>
      <c r="C58" s="145" t="s">
        <v>788</v>
      </c>
      <c r="D58" s="1" t="s">
        <v>791</v>
      </c>
      <c r="E58" s="146">
        <v>39</v>
      </c>
      <c r="F58" s="1" t="s">
        <v>827</v>
      </c>
      <c r="G58" s="5">
        <v>443.33</v>
      </c>
      <c r="H58" s="147">
        <f>Table3[[#This Row],[Qty]]*Table3[[#This Row],[Price]]</f>
        <v>17289.87</v>
      </c>
      <c r="I58" s="5"/>
    </row>
    <row r="59" spans="1:9" x14ac:dyDescent="0.25">
      <c r="A59" s="144">
        <v>46013</v>
      </c>
      <c r="B59" s="145" t="s">
        <v>429</v>
      </c>
      <c r="C59" s="145" t="s">
        <v>788</v>
      </c>
      <c r="D59" s="1" t="s">
        <v>793</v>
      </c>
      <c r="E59" s="146">
        <v>100</v>
      </c>
      <c r="F59" s="1" t="s">
        <v>174</v>
      </c>
      <c r="G59" s="5">
        <v>119</v>
      </c>
      <c r="H59" s="147">
        <f>Table3[[#This Row],[Qty]]*Table3[[#This Row],[Price]]</f>
        <v>11900</v>
      </c>
      <c r="I59" s="5"/>
    </row>
    <row r="60" spans="1:9" x14ac:dyDescent="0.25">
      <c r="A60" s="144">
        <v>46013</v>
      </c>
      <c r="B60" s="145" t="s">
        <v>429</v>
      </c>
      <c r="C60" s="145" t="s">
        <v>788</v>
      </c>
      <c r="D60" s="1" t="s">
        <v>794</v>
      </c>
      <c r="E60" s="146">
        <v>125</v>
      </c>
      <c r="F60" s="1" t="s">
        <v>174</v>
      </c>
      <c r="G60" s="5">
        <v>113</v>
      </c>
      <c r="H60" s="147">
        <f>Table3[[#This Row],[Qty]]*Table3[[#This Row],[Price]]</f>
        <v>14125</v>
      </c>
      <c r="I60" s="5"/>
    </row>
    <row r="61" spans="1:9" x14ac:dyDescent="0.25">
      <c r="A61" s="144">
        <v>46013</v>
      </c>
      <c r="B61" s="145" t="s">
        <v>429</v>
      </c>
      <c r="C61" s="145" t="s">
        <v>788</v>
      </c>
      <c r="D61" s="1" t="s">
        <v>797</v>
      </c>
      <c r="E61" s="146">
        <v>2.5</v>
      </c>
      <c r="F61" s="1" t="s">
        <v>174</v>
      </c>
      <c r="G61" s="5">
        <v>560</v>
      </c>
      <c r="H61" s="147">
        <f>Table3[[#This Row],[Qty]]*Table3[[#This Row],[Price]]</f>
        <v>1400</v>
      </c>
      <c r="I61" s="5"/>
    </row>
    <row r="62" spans="1:9" x14ac:dyDescent="0.25">
      <c r="A62" s="144">
        <v>46013</v>
      </c>
      <c r="B62" s="145" t="s">
        <v>429</v>
      </c>
      <c r="C62" s="145" t="s">
        <v>99</v>
      </c>
      <c r="D62" s="1" t="s">
        <v>798</v>
      </c>
      <c r="E62" s="146">
        <v>3</v>
      </c>
      <c r="F62" s="1" t="s">
        <v>174</v>
      </c>
      <c r="G62" s="5">
        <v>210</v>
      </c>
      <c r="H62" s="147">
        <f>Table3[[#This Row],[Qty]]*Table3[[#This Row],[Price]]</f>
        <v>630</v>
      </c>
      <c r="I62" s="5"/>
    </row>
    <row r="63" spans="1:9" x14ac:dyDescent="0.25">
      <c r="A63" s="144">
        <v>46013</v>
      </c>
      <c r="B63" s="145" t="s">
        <v>429</v>
      </c>
      <c r="C63" s="145" t="s">
        <v>788</v>
      </c>
      <c r="D63" s="1" t="s">
        <v>803</v>
      </c>
      <c r="E63" s="146">
        <v>0.5</v>
      </c>
      <c r="F63" s="1" t="s">
        <v>174</v>
      </c>
      <c r="G63" s="5">
        <v>580</v>
      </c>
      <c r="H63" s="147">
        <f>Table3[[#This Row],[Qty]]*Table3[[#This Row],[Price]]</f>
        <v>290</v>
      </c>
      <c r="I63" s="5"/>
    </row>
    <row r="64" spans="1:9" x14ac:dyDescent="0.25">
      <c r="A64" s="144">
        <v>46013</v>
      </c>
      <c r="B64" s="145" t="s">
        <v>429</v>
      </c>
      <c r="C64" s="145" t="s">
        <v>788</v>
      </c>
      <c r="D64" s="1" t="s">
        <v>805</v>
      </c>
      <c r="E64" s="146">
        <v>0.5</v>
      </c>
      <c r="F64" s="1" t="s">
        <v>174</v>
      </c>
      <c r="G64" s="5">
        <v>580</v>
      </c>
      <c r="H64" s="147">
        <f>Table3[[#This Row],[Qty]]*Table3[[#This Row],[Price]]</f>
        <v>290</v>
      </c>
      <c r="I64" s="5"/>
    </row>
    <row r="65" spans="1:9" x14ac:dyDescent="0.25">
      <c r="A65" s="144">
        <v>46013</v>
      </c>
      <c r="B65" s="145" t="s">
        <v>429</v>
      </c>
      <c r="C65" s="145" t="s">
        <v>788</v>
      </c>
      <c r="D65" s="1" t="s">
        <v>810</v>
      </c>
      <c r="E65" s="146">
        <v>10</v>
      </c>
      <c r="F65" s="1" t="s">
        <v>174</v>
      </c>
      <c r="G65" s="5">
        <v>490</v>
      </c>
      <c r="H65" s="147">
        <f>Table3[[#This Row],[Qty]]*Table3[[#This Row],[Price]]</f>
        <v>4900</v>
      </c>
      <c r="I65" s="5"/>
    </row>
    <row r="66" spans="1:9" x14ac:dyDescent="0.25">
      <c r="A66" s="144">
        <v>46013</v>
      </c>
      <c r="B66" s="145" t="s">
        <v>429</v>
      </c>
      <c r="C66" s="145" t="s">
        <v>788</v>
      </c>
      <c r="D66" s="1" t="s">
        <v>813</v>
      </c>
      <c r="E66" s="146">
        <v>2</v>
      </c>
      <c r="F66" s="1" t="s">
        <v>174</v>
      </c>
      <c r="G66" s="5">
        <v>700</v>
      </c>
      <c r="H66" s="147">
        <f>Table3[[#This Row],[Qty]]*Table3[[#This Row],[Price]]</f>
        <v>1400</v>
      </c>
      <c r="I66" s="5"/>
    </row>
    <row r="67" spans="1:9" x14ac:dyDescent="0.25">
      <c r="A67" s="144">
        <v>46013</v>
      </c>
      <c r="B67" s="145" t="s">
        <v>429</v>
      </c>
      <c r="C67" s="148" t="s">
        <v>310</v>
      </c>
      <c r="D67" s="1" t="s">
        <v>814</v>
      </c>
      <c r="E67" s="146">
        <v>2</v>
      </c>
      <c r="F67" s="1" t="s">
        <v>174</v>
      </c>
      <c r="G67" s="5">
        <v>1600</v>
      </c>
      <c r="H67" s="147">
        <f>Table3[[#This Row],[Qty]]*Table3[[#This Row],[Price]]</f>
        <v>3200</v>
      </c>
      <c r="I67" s="5"/>
    </row>
    <row r="68" spans="1:9" x14ac:dyDescent="0.25">
      <c r="A68" s="144">
        <v>46013</v>
      </c>
      <c r="B68" s="145" t="s">
        <v>429</v>
      </c>
      <c r="C68" s="145" t="s">
        <v>788</v>
      </c>
      <c r="D68" s="1" t="s">
        <v>816</v>
      </c>
      <c r="E68" s="146">
        <v>0.5</v>
      </c>
      <c r="F68" s="1" t="s">
        <v>174</v>
      </c>
      <c r="G68" s="5">
        <v>12</v>
      </c>
      <c r="H68" s="147">
        <f>Table3[[#This Row],[Qty]]*Table3[[#This Row],[Price]]</f>
        <v>6</v>
      </c>
      <c r="I68" s="5"/>
    </row>
    <row r="69" spans="1:9" x14ac:dyDescent="0.25">
      <c r="A69" s="144">
        <v>46013</v>
      </c>
      <c r="B69" s="145" t="s">
        <v>429</v>
      </c>
      <c r="C69" s="145" t="s">
        <v>12</v>
      </c>
      <c r="D69" s="1" t="s">
        <v>221</v>
      </c>
      <c r="E69" s="146">
        <v>4.5</v>
      </c>
      <c r="F69" s="1" t="s">
        <v>174</v>
      </c>
      <c r="G69" s="5">
        <v>183</v>
      </c>
      <c r="H69" s="147">
        <f>Table3[[#This Row],[Qty]]*Table3[[#This Row],[Price]]</f>
        <v>823.5</v>
      </c>
      <c r="I69" s="17"/>
    </row>
    <row r="70" spans="1:9" x14ac:dyDescent="0.25">
      <c r="A70" s="144">
        <v>46013</v>
      </c>
      <c r="B70" s="148" t="s">
        <v>429</v>
      </c>
      <c r="C70" s="148" t="s">
        <v>788</v>
      </c>
      <c r="D70" s="58" t="s">
        <v>222</v>
      </c>
      <c r="E70" s="146">
        <v>39</v>
      </c>
      <c r="F70" s="58" t="s">
        <v>819</v>
      </c>
      <c r="G70" s="5">
        <v>30</v>
      </c>
      <c r="H70" s="147">
        <f>Table3[[#This Row],[Qty]]*Table3[[#This Row],[Price]]</f>
        <v>1170</v>
      </c>
      <c r="I70" s="5"/>
    </row>
    <row r="71" spans="1:9" x14ac:dyDescent="0.25">
      <c r="A71" s="144">
        <v>46013</v>
      </c>
      <c r="B71" s="145" t="s">
        <v>429</v>
      </c>
      <c r="C71" s="145" t="s">
        <v>788</v>
      </c>
      <c r="D71" s="1" t="s">
        <v>824</v>
      </c>
      <c r="E71" s="146">
        <v>10</v>
      </c>
      <c r="F71" s="1" t="s">
        <v>174</v>
      </c>
      <c r="G71" s="5">
        <v>608</v>
      </c>
      <c r="H71" s="147">
        <f>Table3[[#This Row],[Qty]]*Table3[[#This Row],[Price]]</f>
        <v>6080</v>
      </c>
      <c r="I71" s="5"/>
    </row>
    <row r="72" spans="1:9" x14ac:dyDescent="0.25">
      <c r="A72" s="144">
        <v>46013</v>
      </c>
      <c r="B72" s="145" t="s">
        <v>429</v>
      </c>
      <c r="C72" s="145" t="s">
        <v>13</v>
      </c>
      <c r="D72" s="1" t="s">
        <v>825</v>
      </c>
      <c r="E72" s="146">
        <v>1</v>
      </c>
      <c r="F72" s="1" t="s">
        <v>223</v>
      </c>
      <c r="G72" s="5">
        <v>65</v>
      </c>
      <c r="H72" s="147">
        <f>Table3[[#This Row],[Qty]]*Table3[[#This Row],[Price]]</f>
        <v>65</v>
      </c>
      <c r="I72" s="5"/>
    </row>
    <row r="73" spans="1:9" x14ac:dyDescent="0.25">
      <c r="A73" s="144">
        <v>46014</v>
      </c>
      <c r="B73" s="145" t="s">
        <v>113</v>
      </c>
      <c r="C73" s="145" t="s">
        <v>310</v>
      </c>
      <c r="D73" s="1" t="s">
        <v>786</v>
      </c>
      <c r="E73" s="146">
        <v>13.7</v>
      </c>
      <c r="F73" s="1" t="s">
        <v>174</v>
      </c>
      <c r="G73" s="5">
        <v>1400</v>
      </c>
      <c r="H73" s="147">
        <f>Table3[[#This Row],[Qty]]*Table3[[#This Row],[Price]]</f>
        <v>19180</v>
      </c>
      <c r="I73" s="5"/>
    </row>
    <row r="74" spans="1:9" x14ac:dyDescent="0.25">
      <c r="A74" s="144">
        <v>46014</v>
      </c>
      <c r="B74" s="145" t="s">
        <v>113</v>
      </c>
      <c r="C74" s="145" t="s">
        <v>310</v>
      </c>
      <c r="D74" s="1" t="s">
        <v>787</v>
      </c>
      <c r="E74" s="146">
        <v>15.5</v>
      </c>
      <c r="F74" s="1" t="s">
        <v>174</v>
      </c>
      <c r="G74" s="5">
        <v>170</v>
      </c>
      <c r="H74" s="147">
        <f>Table3[[#This Row],[Qty]]*Table3[[#This Row],[Price]]</f>
        <v>2635</v>
      </c>
      <c r="I74" s="17"/>
    </row>
    <row r="75" spans="1:9" x14ac:dyDescent="0.25">
      <c r="A75" s="144">
        <v>46014</v>
      </c>
      <c r="B75" s="145" t="s">
        <v>113</v>
      </c>
      <c r="C75" s="145" t="s">
        <v>788</v>
      </c>
      <c r="D75" s="1" t="s">
        <v>135</v>
      </c>
      <c r="E75" s="146">
        <v>27</v>
      </c>
      <c r="F75" s="1" t="s">
        <v>174</v>
      </c>
      <c r="G75" s="5">
        <v>300</v>
      </c>
      <c r="H75" s="147">
        <f>Table3[[#This Row],[Qty]]*Table3[[#This Row],[Price]]</f>
        <v>8100</v>
      </c>
      <c r="I75" s="5"/>
    </row>
    <row r="76" spans="1:9" x14ac:dyDescent="0.25">
      <c r="A76" s="144">
        <v>46014</v>
      </c>
      <c r="B76" s="145" t="s">
        <v>113</v>
      </c>
      <c r="C76" s="145" t="s">
        <v>788</v>
      </c>
      <c r="D76" s="1" t="s">
        <v>791</v>
      </c>
      <c r="E76" s="146">
        <v>26</v>
      </c>
      <c r="F76" s="1" t="s">
        <v>827</v>
      </c>
      <c r="G76" s="5">
        <v>443.33</v>
      </c>
      <c r="H76" s="147">
        <f>Table3[[#This Row],[Qty]]*Table3[[#This Row],[Price]]</f>
        <v>11526.58</v>
      </c>
      <c r="I76" s="5"/>
    </row>
    <row r="77" spans="1:9" x14ac:dyDescent="0.25">
      <c r="A77" s="144">
        <v>46014</v>
      </c>
      <c r="B77" s="145" t="s">
        <v>113</v>
      </c>
      <c r="C77" s="145" t="s">
        <v>788</v>
      </c>
      <c r="D77" s="1" t="s">
        <v>793</v>
      </c>
      <c r="E77" s="146">
        <v>48</v>
      </c>
      <c r="F77" s="1" t="s">
        <v>174</v>
      </c>
      <c r="G77" s="5">
        <v>119</v>
      </c>
      <c r="H77" s="147">
        <f>Table3[[#This Row],[Qty]]*Table3[[#This Row],[Price]]</f>
        <v>5712</v>
      </c>
      <c r="I77" s="5"/>
    </row>
    <row r="78" spans="1:9" x14ac:dyDescent="0.25">
      <c r="A78" s="144">
        <v>46014</v>
      </c>
      <c r="B78" s="145" t="s">
        <v>113</v>
      </c>
      <c r="C78" s="145" t="s">
        <v>788</v>
      </c>
      <c r="D78" s="1" t="s">
        <v>794</v>
      </c>
      <c r="E78" s="146">
        <v>151.25</v>
      </c>
      <c r="F78" s="1" t="s">
        <v>174</v>
      </c>
      <c r="G78" s="5">
        <v>113</v>
      </c>
      <c r="H78" s="147">
        <f>Table3[[#This Row],[Qty]]*Table3[[#This Row],[Price]]</f>
        <v>17091.25</v>
      </c>
      <c r="I78" s="5"/>
    </row>
    <row r="79" spans="1:9" x14ac:dyDescent="0.25">
      <c r="A79" s="144">
        <v>46014</v>
      </c>
      <c r="B79" s="145" t="s">
        <v>113</v>
      </c>
      <c r="C79" s="145" t="s">
        <v>13</v>
      </c>
      <c r="D79" s="1" t="s">
        <v>796</v>
      </c>
      <c r="E79" s="146">
        <v>0.1</v>
      </c>
      <c r="F79" s="1" t="s">
        <v>174</v>
      </c>
      <c r="G79" s="5">
        <v>1150</v>
      </c>
      <c r="H79" s="147">
        <f>Table3[[#This Row],[Qty]]*Table3[[#This Row],[Price]]</f>
        <v>115</v>
      </c>
      <c r="I79" s="5"/>
    </row>
    <row r="80" spans="1:9" x14ac:dyDescent="0.25">
      <c r="A80" s="144">
        <v>46014</v>
      </c>
      <c r="B80" s="145" t="s">
        <v>113</v>
      </c>
      <c r="C80" s="145" t="s">
        <v>788</v>
      </c>
      <c r="D80" s="1" t="s">
        <v>797</v>
      </c>
      <c r="E80" s="146">
        <v>1.5</v>
      </c>
      <c r="F80" s="1" t="s">
        <v>174</v>
      </c>
      <c r="G80" s="5">
        <v>560</v>
      </c>
      <c r="H80" s="147">
        <f>Table3[[#This Row],[Qty]]*Table3[[#This Row],[Price]]</f>
        <v>840</v>
      </c>
      <c r="I80" s="5"/>
    </row>
    <row r="81" spans="1:9" x14ac:dyDescent="0.25">
      <c r="A81" s="144">
        <v>46014</v>
      </c>
      <c r="B81" s="145" t="s">
        <v>113</v>
      </c>
      <c r="C81" s="145" t="s">
        <v>838</v>
      </c>
      <c r="D81" s="1" t="s">
        <v>799</v>
      </c>
      <c r="E81" s="146">
        <v>8</v>
      </c>
      <c r="F81" s="1" t="s">
        <v>174</v>
      </c>
      <c r="G81" s="5">
        <v>300</v>
      </c>
      <c r="H81" s="147">
        <f>Table3[[#This Row],[Qty]]*Table3[[#This Row],[Price]]</f>
        <v>2400</v>
      </c>
      <c r="I81" s="5"/>
    </row>
    <row r="82" spans="1:9" x14ac:dyDescent="0.25">
      <c r="A82" s="144">
        <v>46014</v>
      </c>
      <c r="B82" s="145" t="s">
        <v>113</v>
      </c>
      <c r="C82" s="145" t="s">
        <v>788</v>
      </c>
      <c r="D82" s="1" t="s">
        <v>801</v>
      </c>
      <c r="E82" s="146">
        <v>1</v>
      </c>
      <c r="F82" s="1" t="s">
        <v>174</v>
      </c>
      <c r="G82" s="5">
        <v>580</v>
      </c>
      <c r="H82" s="147">
        <f>Table3[[#This Row],[Qty]]*Table3[[#This Row],[Price]]</f>
        <v>580</v>
      </c>
      <c r="I82" s="5"/>
    </row>
    <row r="83" spans="1:9" x14ac:dyDescent="0.25">
      <c r="A83" s="144">
        <v>46014</v>
      </c>
      <c r="B83" s="145" t="s">
        <v>113</v>
      </c>
      <c r="C83" s="145" t="s">
        <v>788</v>
      </c>
      <c r="D83" s="1" t="s">
        <v>805</v>
      </c>
      <c r="E83" s="146">
        <v>2</v>
      </c>
      <c r="F83" s="1" t="s">
        <v>174</v>
      </c>
      <c r="G83" s="5">
        <v>580</v>
      </c>
      <c r="H83" s="147">
        <f>Table3[[#This Row],[Qty]]*Table3[[#This Row],[Price]]</f>
        <v>1160</v>
      </c>
      <c r="I83" s="5"/>
    </row>
    <row r="84" spans="1:9" x14ac:dyDescent="0.25">
      <c r="A84" s="144">
        <v>46014</v>
      </c>
      <c r="B84" s="145" t="s">
        <v>113</v>
      </c>
      <c r="C84" s="148" t="s">
        <v>310</v>
      </c>
      <c r="D84" s="1" t="s">
        <v>808</v>
      </c>
      <c r="E84" s="146">
        <v>1</v>
      </c>
      <c r="F84" s="1" t="s">
        <v>809</v>
      </c>
      <c r="G84" s="5">
        <v>896</v>
      </c>
      <c r="H84" s="147">
        <f>Table3[[#This Row],[Qty]]*Table3[[#This Row],[Price]]</f>
        <v>896</v>
      </c>
      <c r="I84" s="5"/>
    </row>
    <row r="85" spans="1:9" x14ac:dyDescent="0.25">
      <c r="A85" s="144">
        <v>46014</v>
      </c>
      <c r="B85" s="145" t="s">
        <v>113</v>
      </c>
      <c r="C85" s="148" t="s">
        <v>310</v>
      </c>
      <c r="D85" s="1" t="s">
        <v>814</v>
      </c>
      <c r="E85" s="146">
        <v>1</v>
      </c>
      <c r="F85" s="1" t="s">
        <v>174</v>
      </c>
      <c r="G85" s="5">
        <v>1600</v>
      </c>
      <c r="H85" s="147">
        <f>Table3[[#This Row],[Qty]]*Table3[[#This Row],[Price]]</f>
        <v>1600</v>
      </c>
      <c r="I85" s="5"/>
    </row>
    <row r="86" spans="1:9" x14ac:dyDescent="0.25">
      <c r="A86" s="144">
        <v>46014</v>
      </c>
      <c r="B86" s="145" t="s">
        <v>113</v>
      </c>
      <c r="C86" s="145" t="s">
        <v>788</v>
      </c>
      <c r="D86" s="1" t="s">
        <v>816</v>
      </c>
      <c r="E86" s="146">
        <v>4</v>
      </c>
      <c r="F86" s="1" t="s">
        <v>174</v>
      </c>
      <c r="G86" s="5">
        <v>12</v>
      </c>
      <c r="H86" s="147">
        <f>Table3[[#This Row],[Qty]]*Table3[[#This Row],[Price]]</f>
        <v>48</v>
      </c>
      <c r="I86" s="5"/>
    </row>
    <row r="87" spans="1:9" x14ac:dyDescent="0.25">
      <c r="A87" s="144">
        <v>46014</v>
      </c>
      <c r="B87" s="145" t="s">
        <v>113</v>
      </c>
      <c r="C87" s="145" t="s">
        <v>788</v>
      </c>
      <c r="D87" s="1" t="s">
        <v>818</v>
      </c>
      <c r="E87" s="146">
        <v>1</v>
      </c>
      <c r="F87" s="1" t="s">
        <v>174</v>
      </c>
      <c r="G87" s="5">
        <v>580</v>
      </c>
      <c r="H87" s="147">
        <f>Table3[[#This Row],[Qty]]*Table3[[#This Row],[Price]]</f>
        <v>580</v>
      </c>
      <c r="I87" s="5"/>
    </row>
    <row r="88" spans="1:9" x14ac:dyDescent="0.25">
      <c r="A88" s="144">
        <v>46014</v>
      </c>
      <c r="B88" s="145" t="s">
        <v>113</v>
      </c>
      <c r="C88" s="145" t="s">
        <v>12</v>
      </c>
      <c r="D88" s="1" t="s">
        <v>221</v>
      </c>
      <c r="E88" s="146">
        <v>2</v>
      </c>
      <c r="F88" s="1" t="s">
        <v>174</v>
      </c>
      <c r="G88" s="5">
        <v>183</v>
      </c>
      <c r="H88" s="147">
        <f>Table3[[#This Row],[Qty]]*Table3[[#This Row],[Price]]</f>
        <v>366</v>
      </c>
      <c r="I88" s="5"/>
    </row>
    <row r="89" spans="1:9" x14ac:dyDescent="0.25">
      <c r="A89" s="144">
        <v>46014</v>
      </c>
      <c r="B89" s="148" t="s">
        <v>113</v>
      </c>
      <c r="C89" s="148" t="s">
        <v>788</v>
      </c>
      <c r="D89" s="58" t="s">
        <v>222</v>
      </c>
      <c r="E89" s="146">
        <v>3</v>
      </c>
      <c r="F89" s="58" t="s">
        <v>819</v>
      </c>
      <c r="G89" s="5">
        <v>30</v>
      </c>
      <c r="H89" s="147">
        <f>Table3[[#This Row],[Qty]]*Table3[[#This Row],[Price]]</f>
        <v>90</v>
      </c>
      <c r="I89" s="5"/>
    </row>
    <row r="90" spans="1:9" x14ac:dyDescent="0.25">
      <c r="A90" s="144">
        <v>46014</v>
      </c>
      <c r="B90" s="145" t="s">
        <v>113</v>
      </c>
      <c r="C90" s="145" t="s">
        <v>788</v>
      </c>
      <c r="D90" s="1" t="s">
        <v>824</v>
      </c>
      <c r="E90" s="146">
        <v>8</v>
      </c>
      <c r="F90" s="1" t="s">
        <v>174</v>
      </c>
      <c r="G90" s="5">
        <v>608</v>
      </c>
      <c r="H90" s="147">
        <f>Table3[[#This Row],[Qty]]*Table3[[#This Row],[Price]]</f>
        <v>4864</v>
      </c>
      <c r="I90" s="5"/>
    </row>
    <row r="91" spans="1:9" x14ac:dyDescent="0.25">
      <c r="A91" s="144">
        <v>46014</v>
      </c>
      <c r="B91" s="145" t="s">
        <v>113</v>
      </c>
      <c r="C91" s="145" t="s">
        <v>13</v>
      </c>
      <c r="D91" s="1" t="s">
        <v>825</v>
      </c>
      <c r="E91" s="146">
        <v>1</v>
      </c>
      <c r="F91" s="1" t="s">
        <v>223</v>
      </c>
      <c r="G91" s="5">
        <v>65</v>
      </c>
      <c r="H91" s="147">
        <f>Table3[[#This Row],[Qty]]*Table3[[#This Row],[Price]]</f>
        <v>65</v>
      </c>
      <c r="I91" s="5"/>
    </row>
    <row r="92" spans="1:9" x14ac:dyDescent="0.25">
      <c r="A92" s="144">
        <v>46014</v>
      </c>
      <c r="B92" s="145" t="s">
        <v>113</v>
      </c>
      <c r="C92" s="145" t="s">
        <v>788</v>
      </c>
      <c r="D92" s="1" t="s">
        <v>839</v>
      </c>
      <c r="E92" s="149">
        <v>0.5</v>
      </c>
      <c r="F92" s="1" t="s">
        <v>174</v>
      </c>
      <c r="G92" s="31">
        <v>2400</v>
      </c>
      <c r="H92" s="147">
        <f>Table3[[#This Row],[Qty]]*Table3[[#This Row],[Price]]</f>
        <v>1200</v>
      </c>
      <c r="I92" s="5"/>
    </row>
    <row r="93" spans="1:9" x14ac:dyDescent="0.25">
      <c r="A93" s="144">
        <v>46014</v>
      </c>
      <c r="B93" s="145" t="s">
        <v>113</v>
      </c>
      <c r="C93" s="145" t="s">
        <v>788</v>
      </c>
      <c r="D93" s="1" t="s">
        <v>840</v>
      </c>
      <c r="E93" s="146">
        <v>0.2</v>
      </c>
      <c r="F93" s="1" t="s">
        <v>174</v>
      </c>
      <c r="G93" s="5">
        <v>250</v>
      </c>
      <c r="H93" s="147">
        <f>Table3[[#This Row],[Qty]]*Table3[[#This Row],[Price]]</f>
        <v>50</v>
      </c>
      <c r="I93" s="5"/>
    </row>
    <row r="94" spans="1:9" x14ac:dyDescent="0.25">
      <c r="A94" s="144">
        <v>46014</v>
      </c>
      <c r="B94" s="145" t="s">
        <v>113</v>
      </c>
      <c r="C94" s="145" t="s">
        <v>788</v>
      </c>
      <c r="D94" s="1" t="s">
        <v>841</v>
      </c>
      <c r="E94" s="146">
        <v>0.5</v>
      </c>
      <c r="F94" s="1" t="s">
        <v>174</v>
      </c>
      <c r="G94" s="5">
        <v>500</v>
      </c>
      <c r="H94" s="147">
        <f>Table3[[#This Row],[Qty]]*Table3[[#This Row],[Price]]</f>
        <v>250</v>
      </c>
      <c r="I94" s="5"/>
    </row>
    <row r="95" spans="1:9" x14ac:dyDescent="0.25">
      <c r="A95" s="144">
        <v>46014</v>
      </c>
      <c r="B95" s="145" t="s">
        <v>113</v>
      </c>
      <c r="C95" s="145" t="s">
        <v>788</v>
      </c>
      <c r="D95" s="1" t="s">
        <v>813</v>
      </c>
      <c r="E95" s="146">
        <v>1</v>
      </c>
      <c r="F95" s="1" t="s">
        <v>174</v>
      </c>
      <c r="G95" s="5">
        <v>700</v>
      </c>
      <c r="H95" s="147">
        <f>Table3[[#This Row],[Qty]]*Table3[[#This Row],[Price]]</f>
        <v>700</v>
      </c>
      <c r="I95" s="5"/>
    </row>
    <row r="96" spans="1:9" x14ac:dyDescent="0.25">
      <c r="A96" s="144">
        <v>46014</v>
      </c>
      <c r="B96" s="145" t="s">
        <v>113</v>
      </c>
      <c r="C96" s="145" t="s">
        <v>788</v>
      </c>
      <c r="D96" s="1" t="s">
        <v>842</v>
      </c>
      <c r="E96" s="146">
        <v>5</v>
      </c>
      <c r="F96" s="1" t="s">
        <v>174</v>
      </c>
      <c r="G96" s="5">
        <v>80</v>
      </c>
      <c r="H96" s="147">
        <f>Table3[[#This Row],[Qty]]*Table3[[#This Row],[Price]]</f>
        <v>400</v>
      </c>
      <c r="I96" s="5"/>
    </row>
    <row r="97" spans="1:9" x14ac:dyDescent="0.25">
      <c r="A97" s="144">
        <v>46014</v>
      </c>
      <c r="B97" s="145" t="s">
        <v>113</v>
      </c>
      <c r="C97" s="145" t="s">
        <v>788</v>
      </c>
      <c r="D97" s="1" t="s">
        <v>843</v>
      </c>
      <c r="E97" s="146">
        <v>16.5</v>
      </c>
      <c r="F97" s="1" t="s">
        <v>174</v>
      </c>
      <c r="G97" s="5">
        <v>50</v>
      </c>
      <c r="H97" s="147">
        <f>Table3[[#This Row],[Qty]]*Table3[[#This Row],[Price]]</f>
        <v>825</v>
      </c>
      <c r="I97" s="5"/>
    </row>
    <row r="98" spans="1:9" x14ac:dyDescent="0.25">
      <c r="A98" s="144">
        <v>46014</v>
      </c>
      <c r="B98" s="145" t="s">
        <v>113</v>
      </c>
      <c r="C98" s="145" t="s">
        <v>788</v>
      </c>
      <c r="D98" s="1" t="s">
        <v>844</v>
      </c>
      <c r="E98" s="146">
        <v>29</v>
      </c>
      <c r="F98" s="1" t="s">
        <v>174</v>
      </c>
      <c r="G98" s="5">
        <v>50</v>
      </c>
      <c r="H98" s="147">
        <f>Table3[[#This Row],[Qty]]*Table3[[#This Row],[Price]]</f>
        <v>1450</v>
      </c>
      <c r="I98" s="5"/>
    </row>
    <row r="99" spans="1:9" x14ac:dyDescent="0.25">
      <c r="A99" s="144">
        <v>46014</v>
      </c>
      <c r="B99" s="145" t="s">
        <v>113</v>
      </c>
      <c r="C99" s="145" t="s">
        <v>788</v>
      </c>
      <c r="D99" s="1" t="s">
        <v>845</v>
      </c>
      <c r="E99" s="146">
        <v>2</v>
      </c>
      <c r="F99" s="1" t="s">
        <v>174</v>
      </c>
      <c r="G99" s="5">
        <v>50</v>
      </c>
      <c r="H99" s="147">
        <f>Table3[[#This Row],[Qty]]*Table3[[#This Row],[Price]]</f>
        <v>100</v>
      </c>
      <c r="I99" s="5"/>
    </row>
    <row r="100" spans="1:9" x14ac:dyDescent="0.25">
      <c r="A100" s="144">
        <v>46014</v>
      </c>
      <c r="B100" s="145" t="s">
        <v>113</v>
      </c>
      <c r="C100" s="145" t="s">
        <v>99</v>
      </c>
      <c r="D100" s="1" t="s">
        <v>846</v>
      </c>
      <c r="E100" s="146">
        <v>2</v>
      </c>
      <c r="F100" s="1" t="s">
        <v>174</v>
      </c>
      <c r="G100" s="5">
        <v>40</v>
      </c>
      <c r="H100" s="147">
        <f>Table3[[#This Row],[Qty]]*Table3[[#This Row],[Price]]</f>
        <v>80</v>
      </c>
      <c r="I100" s="17"/>
    </row>
    <row r="101" spans="1:9" x14ac:dyDescent="0.25">
      <c r="A101" s="144">
        <v>46014</v>
      </c>
      <c r="B101" s="148" t="s">
        <v>113</v>
      </c>
      <c r="C101" s="148" t="s">
        <v>788</v>
      </c>
      <c r="D101" s="58" t="s">
        <v>847</v>
      </c>
      <c r="E101" s="146">
        <v>6</v>
      </c>
      <c r="F101" s="1" t="s">
        <v>174</v>
      </c>
      <c r="G101" s="5">
        <v>390</v>
      </c>
      <c r="H101" s="147">
        <f>Table3[[#This Row],[Qty]]*Table3[[#This Row],[Price]]</f>
        <v>2340</v>
      </c>
      <c r="I101" s="150"/>
    </row>
    <row r="102" spans="1:9" x14ac:dyDescent="0.25">
      <c r="A102" s="144">
        <v>46014</v>
      </c>
      <c r="B102" s="145" t="s">
        <v>113</v>
      </c>
      <c r="C102" s="145" t="s">
        <v>788</v>
      </c>
      <c r="D102" s="1" t="s">
        <v>848</v>
      </c>
      <c r="E102" s="146">
        <v>0.3</v>
      </c>
      <c r="F102" s="1" t="s">
        <v>174</v>
      </c>
      <c r="G102" s="5">
        <v>50</v>
      </c>
      <c r="H102" s="147">
        <f>Table3[[#This Row],[Qty]]*Table3[[#This Row],[Price]]</f>
        <v>15</v>
      </c>
      <c r="I102" s="17"/>
    </row>
    <row r="103" spans="1:9" x14ac:dyDescent="0.25">
      <c r="A103" s="144">
        <v>46014</v>
      </c>
      <c r="B103" s="145" t="s">
        <v>113</v>
      </c>
      <c r="C103" s="145" t="s">
        <v>788</v>
      </c>
      <c r="D103" s="1" t="s">
        <v>849</v>
      </c>
      <c r="E103" s="146">
        <v>1</v>
      </c>
      <c r="F103" s="1" t="s">
        <v>174</v>
      </c>
      <c r="G103" s="5">
        <v>390</v>
      </c>
      <c r="H103" s="147">
        <f>Table3[[#This Row],[Qty]]*Table3[[#This Row],[Price]]</f>
        <v>390</v>
      </c>
      <c r="I103" s="5"/>
    </row>
    <row r="104" spans="1:9" x14ac:dyDescent="0.25">
      <c r="A104" s="144">
        <v>46014</v>
      </c>
      <c r="B104" s="145" t="s">
        <v>113</v>
      </c>
      <c r="C104" s="145" t="s">
        <v>13</v>
      </c>
      <c r="D104" s="1" t="s">
        <v>850</v>
      </c>
      <c r="E104" s="146">
        <v>0.2</v>
      </c>
      <c r="F104" s="1" t="s">
        <v>174</v>
      </c>
      <c r="G104" s="5">
        <v>300</v>
      </c>
      <c r="H104" s="147">
        <f>Table3[[#This Row],[Qty]]*Table3[[#This Row],[Price]]</f>
        <v>60</v>
      </c>
      <c r="I104" s="5"/>
    </row>
    <row r="105" spans="1:9" x14ac:dyDescent="0.25">
      <c r="A105" s="144">
        <v>46014</v>
      </c>
      <c r="B105" s="145" t="s">
        <v>113</v>
      </c>
      <c r="C105" s="145" t="s">
        <v>788</v>
      </c>
      <c r="D105" s="1" t="s">
        <v>851</v>
      </c>
      <c r="E105" s="146">
        <v>0.5</v>
      </c>
      <c r="F105" s="1" t="s">
        <v>174</v>
      </c>
      <c r="G105" s="5">
        <v>230</v>
      </c>
      <c r="H105" s="147">
        <f>Table3[[#This Row],[Qty]]*Table3[[#This Row],[Price]]</f>
        <v>115</v>
      </c>
      <c r="I105" s="17"/>
    </row>
    <row r="106" spans="1:9" x14ac:dyDescent="0.25">
      <c r="A106" s="144">
        <v>46014</v>
      </c>
      <c r="B106" s="145" t="s">
        <v>113</v>
      </c>
      <c r="C106" s="145" t="s">
        <v>788</v>
      </c>
      <c r="D106" s="1" t="s">
        <v>852</v>
      </c>
      <c r="E106" s="146">
        <v>0.5</v>
      </c>
      <c r="F106" s="1" t="s">
        <v>174</v>
      </c>
      <c r="G106" s="5">
        <v>150</v>
      </c>
      <c r="H106" s="147">
        <f>Table3[[#This Row],[Qty]]*Table3[[#This Row],[Price]]</f>
        <v>75</v>
      </c>
      <c r="I106" s="5"/>
    </row>
    <row r="107" spans="1:9" x14ac:dyDescent="0.25">
      <c r="A107" s="144">
        <v>46014</v>
      </c>
      <c r="B107" s="145" t="s">
        <v>113</v>
      </c>
      <c r="C107" s="145" t="s">
        <v>788</v>
      </c>
      <c r="D107" s="1" t="s">
        <v>853</v>
      </c>
      <c r="E107" s="146">
        <v>5</v>
      </c>
      <c r="F107" s="1" t="s">
        <v>174</v>
      </c>
      <c r="G107" s="5">
        <v>180</v>
      </c>
      <c r="H107" s="147">
        <f>Table3[[#This Row],[Qty]]*Table3[[#This Row],[Price]]</f>
        <v>900</v>
      </c>
      <c r="I107" s="5"/>
    </row>
    <row r="108" spans="1:9" x14ac:dyDescent="0.25">
      <c r="A108" s="144">
        <v>46014</v>
      </c>
      <c r="B108" s="145" t="s">
        <v>113</v>
      </c>
      <c r="C108" s="145" t="s">
        <v>788</v>
      </c>
      <c r="D108" s="1" t="s">
        <v>852</v>
      </c>
      <c r="E108" s="146">
        <v>1</v>
      </c>
      <c r="F108" s="1" t="s">
        <v>174</v>
      </c>
      <c r="G108" s="5">
        <v>150</v>
      </c>
      <c r="H108" s="147">
        <f>Table3[[#This Row],[Qty]]*Table3[[#This Row],[Price]]</f>
        <v>150</v>
      </c>
      <c r="I108" s="5"/>
    </row>
    <row r="109" spans="1:9" x14ac:dyDescent="0.25">
      <c r="A109" s="144">
        <v>46015</v>
      </c>
      <c r="B109" s="145" t="s">
        <v>114</v>
      </c>
      <c r="C109" s="145" t="s">
        <v>310</v>
      </c>
      <c r="D109" s="1" t="s">
        <v>786</v>
      </c>
      <c r="E109" s="146">
        <v>10.5</v>
      </c>
      <c r="F109" s="1" t="s">
        <v>174</v>
      </c>
      <c r="G109" s="5">
        <v>1400</v>
      </c>
      <c r="H109" s="147">
        <f>Table3[[#This Row],[Qty]]*Table3[[#This Row],[Price]]</f>
        <v>14700</v>
      </c>
      <c r="I109" s="5"/>
    </row>
    <row r="110" spans="1:9" x14ac:dyDescent="0.25">
      <c r="A110" s="144">
        <v>46015</v>
      </c>
      <c r="B110" s="145" t="s">
        <v>114</v>
      </c>
      <c r="C110" s="145" t="s">
        <v>310</v>
      </c>
      <c r="D110" s="1" t="s">
        <v>787</v>
      </c>
      <c r="E110" s="146">
        <v>18.100000000000001</v>
      </c>
      <c r="F110" s="1" t="s">
        <v>174</v>
      </c>
      <c r="G110" s="5">
        <v>170</v>
      </c>
      <c r="H110" s="147">
        <f>Table3[[#This Row],[Qty]]*Table3[[#This Row],[Price]]</f>
        <v>3077.0000000000005</v>
      </c>
      <c r="I110" s="5"/>
    </row>
    <row r="111" spans="1:9" x14ac:dyDescent="0.25">
      <c r="A111" s="144">
        <v>46015</v>
      </c>
      <c r="B111" s="145" t="s">
        <v>114</v>
      </c>
      <c r="C111" s="145" t="s">
        <v>788</v>
      </c>
      <c r="D111" s="1" t="s">
        <v>135</v>
      </c>
      <c r="E111" s="146">
        <v>24.5</v>
      </c>
      <c r="F111" s="1" t="s">
        <v>174</v>
      </c>
      <c r="G111" s="5">
        <v>300</v>
      </c>
      <c r="H111" s="147">
        <f>Table3[[#This Row],[Qty]]*Table3[[#This Row],[Price]]</f>
        <v>7350</v>
      </c>
      <c r="I111" s="5"/>
    </row>
    <row r="112" spans="1:9" x14ac:dyDescent="0.25">
      <c r="A112" s="144">
        <v>46015</v>
      </c>
      <c r="B112" s="145" t="s">
        <v>114</v>
      </c>
      <c r="C112" s="145" t="s">
        <v>788</v>
      </c>
      <c r="D112" s="1" t="s">
        <v>791</v>
      </c>
      <c r="E112" s="146">
        <v>24</v>
      </c>
      <c r="F112" s="1" t="s">
        <v>827</v>
      </c>
      <c r="G112" s="5">
        <v>443.33</v>
      </c>
      <c r="H112" s="147">
        <f>Table3[[#This Row],[Qty]]*Table3[[#This Row],[Price]]</f>
        <v>10639.92</v>
      </c>
      <c r="I112" s="5"/>
    </row>
    <row r="113" spans="1:9" x14ac:dyDescent="0.25">
      <c r="A113" s="144">
        <v>46015</v>
      </c>
      <c r="B113" s="145" t="s">
        <v>114</v>
      </c>
      <c r="C113" s="145" t="s">
        <v>788</v>
      </c>
      <c r="D113" s="1" t="s">
        <v>793</v>
      </c>
      <c r="E113" s="146">
        <v>50</v>
      </c>
      <c r="F113" s="1" t="s">
        <v>174</v>
      </c>
      <c r="G113" s="5">
        <v>119</v>
      </c>
      <c r="H113" s="147">
        <f>Table3[[#This Row],[Qty]]*Table3[[#This Row],[Price]]</f>
        <v>5950</v>
      </c>
      <c r="I113" s="5"/>
    </row>
    <row r="114" spans="1:9" x14ac:dyDescent="0.25">
      <c r="A114" s="144">
        <v>46015</v>
      </c>
      <c r="B114" s="145" t="s">
        <v>114</v>
      </c>
      <c r="C114" s="145" t="s">
        <v>788</v>
      </c>
      <c r="D114" s="1" t="s">
        <v>794</v>
      </c>
      <c r="E114" s="146">
        <v>136.69999999999999</v>
      </c>
      <c r="F114" s="1" t="s">
        <v>174</v>
      </c>
      <c r="G114" s="5">
        <v>113</v>
      </c>
      <c r="H114" s="147">
        <f>Table3[[#This Row],[Qty]]*Table3[[#This Row],[Price]]</f>
        <v>15447.099999999999</v>
      </c>
      <c r="I114" s="5"/>
    </row>
    <row r="115" spans="1:9" x14ac:dyDescent="0.25">
      <c r="A115" s="144">
        <v>46015</v>
      </c>
      <c r="B115" s="145" t="s">
        <v>114</v>
      </c>
      <c r="C115" s="145" t="s">
        <v>788</v>
      </c>
      <c r="D115" s="1" t="s">
        <v>797</v>
      </c>
      <c r="E115" s="146">
        <v>4.5</v>
      </c>
      <c r="F115" s="1" t="s">
        <v>174</v>
      </c>
      <c r="G115" s="5">
        <v>560</v>
      </c>
      <c r="H115" s="147">
        <f>Table3[[#This Row],[Qty]]*Table3[[#This Row],[Price]]</f>
        <v>2520</v>
      </c>
      <c r="I115" s="5"/>
    </row>
    <row r="116" spans="1:9" x14ac:dyDescent="0.25">
      <c r="A116" s="144">
        <v>46015</v>
      </c>
      <c r="B116" s="145" t="s">
        <v>114</v>
      </c>
      <c r="C116" s="145" t="s">
        <v>13</v>
      </c>
      <c r="D116" s="1" t="s">
        <v>798</v>
      </c>
      <c r="E116" s="146">
        <v>6</v>
      </c>
      <c r="F116" s="1" t="s">
        <v>174</v>
      </c>
      <c r="G116" s="5">
        <v>210</v>
      </c>
      <c r="H116" s="147">
        <f>Table3[[#This Row],[Qty]]*Table3[[#This Row],[Price]]</f>
        <v>1260</v>
      </c>
      <c r="I116" s="5"/>
    </row>
    <row r="117" spans="1:9" x14ac:dyDescent="0.25">
      <c r="A117" s="144">
        <v>46015</v>
      </c>
      <c r="B117" s="145" t="s">
        <v>114</v>
      </c>
      <c r="C117" s="145" t="s">
        <v>99</v>
      </c>
      <c r="D117" s="1" t="s">
        <v>800</v>
      </c>
      <c r="E117" s="146">
        <v>4</v>
      </c>
      <c r="F117" s="1" t="s">
        <v>174</v>
      </c>
      <c r="G117" s="5">
        <v>195</v>
      </c>
      <c r="H117" s="147">
        <f>Table3[[#This Row],[Qty]]*Table3[[#This Row],[Price]]</f>
        <v>780</v>
      </c>
      <c r="I117" s="5"/>
    </row>
    <row r="118" spans="1:9" x14ac:dyDescent="0.25">
      <c r="A118" s="144">
        <v>46015</v>
      </c>
      <c r="B118" s="145" t="s">
        <v>114</v>
      </c>
      <c r="C118" s="145" t="s">
        <v>788</v>
      </c>
      <c r="D118" s="1" t="s">
        <v>803</v>
      </c>
      <c r="E118" s="146">
        <v>0.5</v>
      </c>
      <c r="F118" s="1" t="s">
        <v>174</v>
      </c>
      <c r="G118" s="5">
        <v>580</v>
      </c>
      <c r="H118" s="147">
        <f>Table3[[#This Row],[Qty]]*Table3[[#This Row],[Price]]</f>
        <v>290</v>
      </c>
      <c r="I118" s="5"/>
    </row>
    <row r="119" spans="1:9" x14ac:dyDescent="0.25">
      <c r="A119" s="144">
        <v>46015</v>
      </c>
      <c r="B119" s="145" t="s">
        <v>114</v>
      </c>
      <c r="C119" s="148" t="s">
        <v>310</v>
      </c>
      <c r="D119" s="58" t="s">
        <v>854</v>
      </c>
      <c r="E119" s="146">
        <v>2</v>
      </c>
      <c r="F119" s="1" t="s">
        <v>174</v>
      </c>
      <c r="G119" s="5">
        <v>1600</v>
      </c>
      <c r="H119" s="147">
        <f>Table3[[#This Row],[Qty]]*Table3[[#This Row],[Price]]</f>
        <v>3200</v>
      </c>
      <c r="I119" s="5"/>
    </row>
    <row r="120" spans="1:9" x14ac:dyDescent="0.25">
      <c r="A120" s="144">
        <v>46015</v>
      </c>
      <c r="B120" s="145" t="s">
        <v>114</v>
      </c>
      <c r="C120" s="145" t="s">
        <v>788</v>
      </c>
      <c r="D120" s="1" t="s">
        <v>816</v>
      </c>
      <c r="E120" s="146">
        <v>4</v>
      </c>
      <c r="F120" s="1" t="s">
        <v>174</v>
      </c>
      <c r="G120" s="5">
        <v>12</v>
      </c>
      <c r="H120" s="147">
        <f>Table3[[#This Row],[Qty]]*Table3[[#This Row],[Price]]</f>
        <v>48</v>
      </c>
      <c r="I120" s="5"/>
    </row>
    <row r="121" spans="1:9" x14ac:dyDescent="0.25">
      <c r="A121" s="144">
        <v>46015</v>
      </c>
      <c r="B121" s="145" t="s">
        <v>114</v>
      </c>
      <c r="C121" s="145" t="s">
        <v>788</v>
      </c>
      <c r="D121" s="1" t="s">
        <v>818</v>
      </c>
      <c r="E121" s="146">
        <v>0.5</v>
      </c>
      <c r="F121" s="1" t="s">
        <v>174</v>
      </c>
      <c r="G121" s="5">
        <v>580</v>
      </c>
      <c r="H121" s="147">
        <f>Table3[[#This Row],[Qty]]*Table3[[#This Row],[Price]]</f>
        <v>290</v>
      </c>
      <c r="I121" s="5"/>
    </row>
    <row r="122" spans="1:9" x14ac:dyDescent="0.25">
      <c r="A122" s="144">
        <v>46015</v>
      </c>
      <c r="B122" s="145" t="s">
        <v>114</v>
      </c>
      <c r="C122" s="145" t="s">
        <v>12</v>
      </c>
      <c r="D122" s="1" t="s">
        <v>221</v>
      </c>
      <c r="E122" s="146">
        <v>12</v>
      </c>
      <c r="F122" s="1" t="s">
        <v>174</v>
      </c>
      <c r="G122" s="5">
        <v>183</v>
      </c>
      <c r="H122" s="147">
        <f>Table3[[#This Row],[Qty]]*Table3[[#This Row],[Price]]</f>
        <v>2196</v>
      </c>
      <c r="I122" s="5"/>
    </row>
    <row r="123" spans="1:9" x14ac:dyDescent="0.25">
      <c r="A123" s="144">
        <v>46015</v>
      </c>
      <c r="B123" s="148" t="s">
        <v>114</v>
      </c>
      <c r="C123" s="148" t="s">
        <v>788</v>
      </c>
      <c r="D123" s="58" t="s">
        <v>222</v>
      </c>
      <c r="E123" s="146">
        <v>14</v>
      </c>
      <c r="F123" s="58" t="s">
        <v>819</v>
      </c>
      <c r="G123" s="5">
        <v>30</v>
      </c>
      <c r="H123" s="147">
        <f>Table3[[#This Row],[Qty]]*Table3[[#This Row],[Price]]</f>
        <v>420</v>
      </c>
      <c r="I123" s="5"/>
    </row>
    <row r="124" spans="1:9" x14ac:dyDescent="0.25">
      <c r="A124" s="144">
        <v>46015</v>
      </c>
      <c r="B124" s="145" t="s">
        <v>114</v>
      </c>
      <c r="C124" s="145" t="s">
        <v>788</v>
      </c>
      <c r="D124" s="1" t="s">
        <v>822</v>
      </c>
      <c r="E124" s="146">
        <v>0.25</v>
      </c>
      <c r="F124" s="1" t="s">
        <v>174</v>
      </c>
      <c r="G124" s="5">
        <v>2000</v>
      </c>
      <c r="H124" s="147">
        <f>Table3[[#This Row],[Qty]]*Table3[[#This Row],[Price]]</f>
        <v>500</v>
      </c>
      <c r="I124" s="5"/>
    </row>
    <row r="125" spans="1:9" x14ac:dyDescent="0.25">
      <c r="A125" s="144">
        <v>46015</v>
      </c>
      <c r="B125" s="145" t="s">
        <v>114</v>
      </c>
      <c r="C125" s="145" t="s">
        <v>788</v>
      </c>
      <c r="D125" s="1" t="s">
        <v>824</v>
      </c>
      <c r="E125" s="146">
        <v>15</v>
      </c>
      <c r="F125" s="1" t="s">
        <v>174</v>
      </c>
      <c r="G125" s="5">
        <v>608</v>
      </c>
      <c r="H125" s="147">
        <f>Table3[[#This Row],[Qty]]*Table3[[#This Row],[Price]]</f>
        <v>9120</v>
      </c>
      <c r="I125" s="5"/>
    </row>
    <row r="126" spans="1:9" x14ac:dyDescent="0.25">
      <c r="A126" s="144">
        <v>46015</v>
      </c>
      <c r="B126" s="145" t="s">
        <v>114</v>
      </c>
      <c r="C126" s="145" t="s">
        <v>788</v>
      </c>
      <c r="D126" s="1" t="s">
        <v>842</v>
      </c>
      <c r="E126" s="146">
        <v>7.1</v>
      </c>
      <c r="F126" s="1" t="s">
        <v>174</v>
      </c>
      <c r="G126" s="5">
        <v>80</v>
      </c>
      <c r="H126" s="147">
        <f>Table3[[#This Row],[Qty]]*Table3[[#This Row],[Price]]</f>
        <v>568</v>
      </c>
      <c r="I126" s="5"/>
    </row>
    <row r="127" spans="1:9" x14ac:dyDescent="0.25">
      <c r="A127" s="144">
        <v>46015</v>
      </c>
      <c r="B127" s="145" t="s">
        <v>114</v>
      </c>
      <c r="C127" s="145" t="s">
        <v>788</v>
      </c>
      <c r="D127" s="1" t="s">
        <v>855</v>
      </c>
      <c r="E127" s="146">
        <v>15</v>
      </c>
      <c r="F127" s="1" t="s">
        <v>174</v>
      </c>
      <c r="G127" s="5">
        <v>50</v>
      </c>
      <c r="H127" s="147">
        <f>Table3[[#This Row],[Qty]]*Table3[[#This Row],[Price]]</f>
        <v>750</v>
      </c>
      <c r="I127" s="5"/>
    </row>
    <row r="128" spans="1:9" x14ac:dyDescent="0.25">
      <c r="A128" s="144">
        <v>46015</v>
      </c>
      <c r="B128" s="145" t="s">
        <v>114</v>
      </c>
      <c r="C128" s="145" t="s">
        <v>788</v>
      </c>
      <c r="D128" s="1" t="s">
        <v>844</v>
      </c>
      <c r="E128" s="146">
        <v>7</v>
      </c>
      <c r="F128" s="1" t="s">
        <v>174</v>
      </c>
      <c r="G128" s="5">
        <v>50</v>
      </c>
      <c r="H128" s="147">
        <f>Table3[[#This Row],[Qty]]*Table3[[#This Row],[Price]]</f>
        <v>350</v>
      </c>
      <c r="I128" s="5"/>
    </row>
    <row r="129" spans="1:9" x14ac:dyDescent="0.25">
      <c r="A129" s="144">
        <v>46015</v>
      </c>
      <c r="B129" s="145" t="s">
        <v>114</v>
      </c>
      <c r="C129" s="145" t="s">
        <v>788</v>
      </c>
      <c r="D129" s="1" t="s">
        <v>845</v>
      </c>
      <c r="E129" s="146">
        <v>1.5</v>
      </c>
      <c r="F129" s="1" t="s">
        <v>174</v>
      </c>
      <c r="G129" s="5">
        <v>50</v>
      </c>
      <c r="H129" s="147">
        <f>Table3[[#This Row],[Qty]]*Table3[[#This Row],[Price]]</f>
        <v>75</v>
      </c>
      <c r="I129" s="5"/>
    </row>
    <row r="130" spans="1:9" x14ac:dyDescent="0.25">
      <c r="A130" s="144">
        <v>46015</v>
      </c>
      <c r="B130" s="145" t="s">
        <v>114</v>
      </c>
      <c r="C130" s="145" t="s">
        <v>13</v>
      </c>
      <c r="D130" s="1" t="s">
        <v>850</v>
      </c>
      <c r="E130" s="146">
        <v>0.3</v>
      </c>
      <c r="F130" s="1" t="s">
        <v>174</v>
      </c>
      <c r="G130" s="5">
        <v>300</v>
      </c>
      <c r="H130" s="147">
        <f>Table3[[#This Row],[Qty]]*Table3[[#This Row],[Price]]</f>
        <v>90</v>
      </c>
      <c r="I130" s="5"/>
    </row>
    <row r="131" spans="1:9" x14ac:dyDescent="0.25">
      <c r="A131" s="144">
        <v>46015</v>
      </c>
      <c r="B131" s="145" t="s">
        <v>114</v>
      </c>
      <c r="C131" s="145" t="s">
        <v>788</v>
      </c>
      <c r="D131" s="1" t="s">
        <v>852</v>
      </c>
      <c r="E131" s="146">
        <v>0.55000000000000004</v>
      </c>
      <c r="F131" s="1" t="s">
        <v>174</v>
      </c>
      <c r="G131" s="5">
        <v>150</v>
      </c>
      <c r="H131" s="147">
        <f>Table3[[#This Row],[Qty]]*Table3[[#This Row],[Price]]</f>
        <v>82.5</v>
      </c>
      <c r="I131" s="5"/>
    </row>
    <row r="132" spans="1:9" x14ac:dyDescent="0.25">
      <c r="A132" s="144">
        <v>46015</v>
      </c>
      <c r="B132" s="145" t="s">
        <v>114</v>
      </c>
      <c r="C132" s="145" t="s">
        <v>856</v>
      </c>
      <c r="D132" s="1" t="s">
        <v>857</v>
      </c>
      <c r="E132" s="146">
        <v>2</v>
      </c>
      <c r="F132" s="1" t="s">
        <v>174</v>
      </c>
      <c r="G132" s="5">
        <v>160</v>
      </c>
      <c r="H132" s="147">
        <f>Table3[[#This Row],[Qty]]*Table3[[#This Row],[Price]]</f>
        <v>320</v>
      </c>
      <c r="I132" s="5"/>
    </row>
    <row r="133" spans="1:9" x14ac:dyDescent="0.25">
      <c r="A133" s="144">
        <v>46015</v>
      </c>
      <c r="B133" s="148" t="s">
        <v>114</v>
      </c>
      <c r="C133" s="148" t="s">
        <v>788</v>
      </c>
      <c r="D133" s="1" t="s">
        <v>849</v>
      </c>
      <c r="E133" s="146">
        <v>0.1</v>
      </c>
      <c r="F133" s="1" t="s">
        <v>174</v>
      </c>
      <c r="G133" s="5">
        <v>390</v>
      </c>
      <c r="H133" s="147">
        <f>Table3[[#This Row],[Qty]]*Table3[[#This Row],[Price]]</f>
        <v>39</v>
      </c>
      <c r="I133" s="151"/>
    </row>
    <row r="134" spans="1:9" x14ac:dyDescent="0.25">
      <c r="A134" s="144">
        <v>46015</v>
      </c>
      <c r="B134" s="145" t="s">
        <v>114</v>
      </c>
      <c r="C134" s="145" t="s">
        <v>788</v>
      </c>
      <c r="D134" s="1" t="s">
        <v>858</v>
      </c>
      <c r="E134" s="146">
        <v>0.2</v>
      </c>
      <c r="F134" s="1" t="s">
        <v>174</v>
      </c>
      <c r="G134" s="5">
        <v>530</v>
      </c>
      <c r="H134" s="147">
        <f>Table3[[#This Row],[Qty]]*Table3[[#This Row],[Price]]</f>
        <v>106</v>
      </c>
      <c r="I134" s="5"/>
    </row>
    <row r="135" spans="1:9" x14ac:dyDescent="0.25">
      <c r="A135" s="152">
        <v>46015</v>
      </c>
      <c r="B135" s="148" t="s">
        <v>114</v>
      </c>
      <c r="C135" s="148" t="s">
        <v>788</v>
      </c>
      <c r="D135" s="58" t="s">
        <v>859</v>
      </c>
      <c r="E135" s="146">
        <v>2</v>
      </c>
      <c r="F135" s="58" t="s">
        <v>819</v>
      </c>
      <c r="G135" s="5">
        <v>50</v>
      </c>
      <c r="H135" s="147">
        <f>Table3[[#This Row],[Qty]]*Table3[[#This Row],[Price]]</f>
        <v>100</v>
      </c>
      <c r="I135" s="5"/>
    </row>
    <row r="136" spans="1:9" x14ac:dyDescent="0.25">
      <c r="A136" s="152">
        <v>46016</v>
      </c>
      <c r="B136" s="148" t="s">
        <v>115</v>
      </c>
      <c r="C136" s="148" t="s">
        <v>788</v>
      </c>
      <c r="D136" s="58" t="s">
        <v>794</v>
      </c>
      <c r="E136" s="146">
        <v>150</v>
      </c>
      <c r="F136" s="1" t="s">
        <v>174</v>
      </c>
      <c r="G136" s="5">
        <v>113</v>
      </c>
      <c r="H136" s="147">
        <f>Table3[[#This Row],[Qty]]*Table3[[#This Row],[Price]]</f>
        <v>16950</v>
      </c>
      <c r="I136" s="5"/>
    </row>
    <row r="137" spans="1:9" x14ac:dyDescent="0.25">
      <c r="A137" s="152">
        <v>46016</v>
      </c>
      <c r="B137" s="148" t="s">
        <v>115</v>
      </c>
      <c r="C137" s="148" t="s">
        <v>788</v>
      </c>
      <c r="D137" s="58" t="s">
        <v>860</v>
      </c>
      <c r="E137" s="146">
        <v>5</v>
      </c>
      <c r="F137" s="1" t="s">
        <v>174</v>
      </c>
      <c r="G137" s="5">
        <v>12</v>
      </c>
      <c r="H137" s="147">
        <f>Table3[[#This Row],[Qty]]*Table3[[#This Row],[Price]]</f>
        <v>60</v>
      </c>
      <c r="I137" s="5"/>
    </row>
    <row r="138" spans="1:9" x14ac:dyDescent="0.25">
      <c r="A138" s="152">
        <v>46016</v>
      </c>
      <c r="B138" s="148" t="s">
        <v>115</v>
      </c>
      <c r="C138" s="148" t="s">
        <v>788</v>
      </c>
      <c r="D138" s="58" t="s">
        <v>844</v>
      </c>
      <c r="E138" s="146">
        <v>17.05</v>
      </c>
      <c r="F138" s="1" t="s">
        <v>174</v>
      </c>
      <c r="G138" s="5">
        <v>50</v>
      </c>
      <c r="H138" s="147">
        <f>Table3[[#This Row],[Qty]]*Table3[[#This Row],[Price]]</f>
        <v>852.5</v>
      </c>
      <c r="I138" s="5"/>
    </row>
    <row r="139" spans="1:9" x14ac:dyDescent="0.25">
      <c r="A139" s="153">
        <v>46016</v>
      </c>
      <c r="B139" s="154" t="s">
        <v>115</v>
      </c>
      <c r="C139" s="154" t="s">
        <v>788</v>
      </c>
      <c r="D139" s="155" t="s">
        <v>861</v>
      </c>
      <c r="E139" s="156">
        <v>20</v>
      </c>
      <c r="F139" s="1" t="s">
        <v>174</v>
      </c>
      <c r="G139" s="5">
        <v>70</v>
      </c>
      <c r="H139" s="147">
        <f>Table3[[#This Row],[Qty]]*Table3[[#This Row],[Price]]</f>
        <v>1400</v>
      </c>
      <c r="I139" s="5"/>
    </row>
    <row r="140" spans="1:9" x14ac:dyDescent="0.25">
      <c r="A140" s="152">
        <v>46016</v>
      </c>
      <c r="B140" s="148" t="s">
        <v>115</v>
      </c>
      <c r="C140" s="145" t="s">
        <v>310</v>
      </c>
      <c r="D140" s="58" t="s">
        <v>786</v>
      </c>
      <c r="E140" s="146">
        <v>8.9</v>
      </c>
      <c r="F140" s="1" t="s">
        <v>174</v>
      </c>
      <c r="G140" s="5">
        <v>1400</v>
      </c>
      <c r="H140" s="147">
        <f>Table3[[#This Row],[Qty]]*Table3[[#This Row],[Price]]</f>
        <v>12460</v>
      </c>
      <c r="I140" s="5"/>
    </row>
    <row r="141" spans="1:9" x14ac:dyDescent="0.25">
      <c r="A141" s="152">
        <v>46016</v>
      </c>
      <c r="B141" s="148" t="s">
        <v>115</v>
      </c>
      <c r="C141" s="145" t="s">
        <v>310</v>
      </c>
      <c r="D141" s="58" t="s">
        <v>862</v>
      </c>
      <c r="E141" s="146">
        <v>29</v>
      </c>
      <c r="F141" s="1" t="s">
        <v>174</v>
      </c>
      <c r="G141" s="5">
        <v>170</v>
      </c>
      <c r="H141" s="147">
        <f>Table3[[#This Row],[Qty]]*Table3[[#This Row],[Price]]</f>
        <v>4930</v>
      </c>
      <c r="I141" s="5"/>
    </row>
    <row r="142" spans="1:9" x14ac:dyDescent="0.25">
      <c r="A142" s="152">
        <v>46016</v>
      </c>
      <c r="B142" s="148" t="s">
        <v>115</v>
      </c>
      <c r="C142" s="148" t="s">
        <v>788</v>
      </c>
      <c r="D142" s="58" t="s">
        <v>222</v>
      </c>
      <c r="E142" s="146">
        <v>40</v>
      </c>
      <c r="F142" s="58" t="s">
        <v>819</v>
      </c>
      <c r="G142" s="5">
        <v>30</v>
      </c>
      <c r="H142" s="147">
        <f>Table3[[#This Row],[Qty]]*Table3[[#This Row],[Price]]</f>
        <v>1200</v>
      </c>
      <c r="I142" s="5"/>
    </row>
    <row r="143" spans="1:9" x14ac:dyDescent="0.25">
      <c r="A143" s="152">
        <v>46016</v>
      </c>
      <c r="B143" s="148" t="s">
        <v>115</v>
      </c>
      <c r="C143" s="148" t="s">
        <v>788</v>
      </c>
      <c r="D143" s="58" t="s">
        <v>863</v>
      </c>
      <c r="E143" s="146">
        <v>2</v>
      </c>
      <c r="F143" s="1" t="s">
        <v>174</v>
      </c>
      <c r="G143" s="5">
        <v>200</v>
      </c>
      <c r="H143" s="147">
        <f>Table3[[#This Row],[Qty]]*Table3[[#This Row],[Price]]</f>
        <v>400</v>
      </c>
      <c r="I143" s="5"/>
    </row>
    <row r="144" spans="1:9" x14ac:dyDescent="0.25">
      <c r="A144" s="152">
        <v>46016</v>
      </c>
      <c r="B144" s="148" t="s">
        <v>115</v>
      </c>
      <c r="C144" s="148" t="s">
        <v>788</v>
      </c>
      <c r="D144" s="58" t="s">
        <v>845</v>
      </c>
      <c r="E144" s="146">
        <v>1.75</v>
      </c>
      <c r="F144" s="1" t="s">
        <v>174</v>
      </c>
      <c r="G144" s="5">
        <v>50</v>
      </c>
      <c r="H144" s="147">
        <f>Table3[[#This Row],[Qty]]*Table3[[#This Row],[Price]]</f>
        <v>87.5</v>
      </c>
      <c r="I144" s="5"/>
    </row>
    <row r="145" spans="1:9" x14ac:dyDescent="0.25">
      <c r="A145" s="152">
        <v>46016</v>
      </c>
      <c r="B145" s="148" t="s">
        <v>115</v>
      </c>
      <c r="C145" s="145" t="s">
        <v>99</v>
      </c>
      <c r="D145" s="58" t="s">
        <v>846</v>
      </c>
      <c r="E145" s="146">
        <v>2.5</v>
      </c>
      <c r="F145" s="1" t="s">
        <v>174</v>
      </c>
      <c r="G145" s="5">
        <v>40</v>
      </c>
      <c r="H145" s="147">
        <f>Table3[[#This Row],[Qty]]*Table3[[#This Row],[Price]]</f>
        <v>100</v>
      </c>
      <c r="I145" s="5"/>
    </row>
    <row r="146" spans="1:9" x14ac:dyDescent="0.25">
      <c r="A146" s="152">
        <v>46016</v>
      </c>
      <c r="B146" s="148" t="s">
        <v>115</v>
      </c>
      <c r="C146" s="148" t="s">
        <v>788</v>
      </c>
      <c r="D146" s="58" t="s">
        <v>852</v>
      </c>
      <c r="E146" s="146">
        <v>1.6</v>
      </c>
      <c r="F146" s="1" t="s">
        <v>174</v>
      </c>
      <c r="G146" s="5">
        <v>150</v>
      </c>
      <c r="H146" s="147">
        <f>Table3[[#This Row],[Qty]]*Table3[[#This Row],[Price]]</f>
        <v>240</v>
      </c>
      <c r="I146" s="5"/>
    </row>
    <row r="147" spans="1:9" x14ac:dyDescent="0.25">
      <c r="A147" s="152">
        <v>46016</v>
      </c>
      <c r="B147" s="148" t="s">
        <v>115</v>
      </c>
      <c r="C147" s="148" t="s">
        <v>788</v>
      </c>
      <c r="D147" s="1" t="s">
        <v>851</v>
      </c>
      <c r="E147" s="146">
        <v>1.25</v>
      </c>
      <c r="F147" s="1" t="s">
        <v>174</v>
      </c>
      <c r="G147" s="5">
        <v>230</v>
      </c>
      <c r="H147" s="147">
        <f>Table3[[#This Row],[Qty]]*Table3[[#This Row],[Price]]</f>
        <v>287.5</v>
      </c>
      <c r="I147" s="5"/>
    </row>
    <row r="148" spans="1:9" x14ac:dyDescent="0.25">
      <c r="A148" s="152">
        <v>46016</v>
      </c>
      <c r="B148" s="148" t="s">
        <v>115</v>
      </c>
      <c r="C148" s="145" t="s">
        <v>12</v>
      </c>
      <c r="D148" s="1" t="s">
        <v>221</v>
      </c>
      <c r="E148" s="146">
        <v>6</v>
      </c>
      <c r="F148" s="1" t="s">
        <v>174</v>
      </c>
      <c r="G148" s="5">
        <v>183</v>
      </c>
      <c r="H148" s="147">
        <f>Table3[[#This Row],[Qty]]*Table3[[#This Row],[Price]]</f>
        <v>1098</v>
      </c>
      <c r="I148" s="5"/>
    </row>
    <row r="149" spans="1:9" x14ac:dyDescent="0.25">
      <c r="A149" s="152">
        <v>46016</v>
      </c>
      <c r="B149" s="148" t="s">
        <v>115</v>
      </c>
      <c r="C149" s="148" t="s">
        <v>788</v>
      </c>
      <c r="D149" s="58" t="s">
        <v>855</v>
      </c>
      <c r="E149" s="146">
        <v>24.2</v>
      </c>
      <c r="F149" s="1" t="s">
        <v>174</v>
      </c>
      <c r="G149" s="5">
        <v>50</v>
      </c>
      <c r="H149" s="147">
        <f>Table3[[#This Row],[Qty]]*Table3[[#This Row],[Price]]</f>
        <v>1210</v>
      </c>
      <c r="I149" s="5"/>
    </row>
    <row r="150" spans="1:9" x14ac:dyDescent="0.25">
      <c r="A150" s="152">
        <v>46016</v>
      </c>
      <c r="B150" s="148" t="s">
        <v>115</v>
      </c>
      <c r="C150" s="148" t="s">
        <v>788</v>
      </c>
      <c r="D150" s="58" t="s">
        <v>842</v>
      </c>
      <c r="E150" s="146">
        <v>1</v>
      </c>
      <c r="F150" s="1" t="s">
        <v>174</v>
      </c>
      <c r="G150" s="5">
        <v>80</v>
      </c>
      <c r="H150" s="147">
        <f>Table3[[#This Row],[Qty]]*Table3[[#This Row],[Price]]</f>
        <v>80</v>
      </c>
      <c r="I150" s="5"/>
    </row>
    <row r="151" spans="1:9" x14ac:dyDescent="0.25">
      <c r="A151" s="152">
        <v>46016</v>
      </c>
      <c r="B151" s="148" t="s">
        <v>115</v>
      </c>
      <c r="C151" s="148" t="s">
        <v>788</v>
      </c>
      <c r="D151" s="58" t="s">
        <v>813</v>
      </c>
      <c r="E151" s="146">
        <v>1</v>
      </c>
      <c r="F151" s="1" t="s">
        <v>174</v>
      </c>
      <c r="G151" s="5">
        <v>700</v>
      </c>
      <c r="H151" s="147">
        <f>Table3[[#This Row],[Qty]]*Table3[[#This Row],[Price]]</f>
        <v>700</v>
      </c>
      <c r="I151" s="5"/>
    </row>
    <row r="152" spans="1:9" x14ac:dyDescent="0.25">
      <c r="A152" s="152">
        <v>46016</v>
      </c>
      <c r="B152" s="148" t="s">
        <v>115</v>
      </c>
      <c r="C152" s="148" t="s">
        <v>310</v>
      </c>
      <c r="D152" s="58" t="s">
        <v>808</v>
      </c>
      <c r="E152" s="146">
        <v>1</v>
      </c>
      <c r="F152" s="1" t="s">
        <v>809</v>
      </c>
      <c r="G152" s="5">
        <v>896</v>
      </c>
      <c r="H152" s="147">
        <f>Table3[[#This Row],[Qty]]*Table3[[#This Row],[Price]]</f>
        <v>896</v>
      </c>
      <c r="I152" s="5"/>
    </row>
    <row r="153" spans="1:9" x14ac:dyDescent="0.25">
      <c r="A153" s="152">
        <v>46016</v>
      </c>
      <c r="B153" s="148" t="s">
        <v>115</v>
      </c>
      <c r="C153" s="148" t="s">
        <v>788</v>
      </c>
      <c r="D153" s="58" t="s">
        <v>791</v>
      </c>
      <c r="E153" s="146">
        <v>20</v>
      </c>
      <c r="F153" s="1" t="s">
        <v>827</v>
      </c>
      <c r="G153" s="5">
        <v>443.33</v>
      </c>
      <c r="H153" s="147">
        <f>Table3[[#This Row],[Qty]]*Table3[[#This Row],[Price]]</f>
        <v>8866.6</v>
      </c>
      <c r="I153" s="5"/>
    </row>
    <row r="154" spans="1:9" x14ac:dyDescent="0.25">
      <c r="A154" s="152">
        <v>46016</v>
      </c>
      <c r="B154" s="148" t="s">
        <v>115</v>
      </c>
      <c r="C154" s="148" t="s">
        <v>788</v>
      </c>
      <c r="D154" s="58" t="s">
        <v>864</v>
      </c>
      <c r="E154" s="146">
        <v>76</v>
      </c>
      <c r="F154" s="1" t="s">
        <v>174</v>
      </c>
      <c r="G154" s="5">
        <v>608</v>
      </c>
      <c r="H154" s="147">
        <f>Table3[[#This Row],[Qty]]*Table3[[#This Row],[Price]]</f>
        <v>46208</v>
      </c>
      <c r="I154" s="5"/>
    </row>
    <row r="155" spans="1:9" x14ac:dyDescent="0.25">
      <c r="A155" s="152">
        <v>46016</v>
      </c>
      <c r="B155" s="148" t="s">
        <v>115</v>
      </c>
      <c r="C155" s="148" t="s">
        <v>788</v>
      </c>
      <c r="D155" s="58" t="s">
        <v>852</v>
      </c>
      <c r="E155" s="146">
        <v>2</v>
      </c>
      <c r="F155" s="1" t="s">
        <v>174</v>
      </c>
      <c r="G155" s="5">
        <v>150</v>
      </c>
      <c r="H155" s="147">
        <f>Table3[[#This Row],[Qty]]*Table3[[#This Row],[Price]]</f>
        <v>300</v>
      </c>
      <c r="I155" s="5"/>
    </row>
    <row r="156" spans="1:9" x14ac:dyDescent="0.25">
      <c r="A156" s="152">
        <v>46016</v>
      </c>
      <c r="B156" s="148" t="s">
        <v>115</v>
      </c>
      <c r="C156" s="148" t="s">
        <v>788</v>
      </c>
      <c r="D156" s="58" t="s">
        <v>840</v>
      </c>
      <c r="E156" s="146">
        <v>0.5</v>
      </c>
      <c r="F156" s="1" t="s">
        <v>174</v>
      </c>
      <c r="G156" s="5">
        <v>250</v>
      </c>
      <c r="H156" s="147">
        <f>Table3[[#This Row],[Qty]]*Table3[[#This Row],[Price]]</f>
        <v>125</v>
      </c>
      <c r="I156" s="5"/>
    </row>
    <row r="157" spans="1:9" x14ac:dyDescent="0.25">
      <c r="A157" s="152">
        <v>46016</v>
      </c>
      <c r="B157" s="148" t="s">
        <v>115</v>
      </c>
      <c r="C157" s="148" t="s">
        <v>788</v>
      </c>
      <c r="D157" s="58" t="s">
        <v>865</v>
      </c>
      <c r="E157" s="146">
        <v>2.5</v>
      </c>
      <c r="F157" s="1" t="s">
        <v>174</v>
      </c>
      <c r="G157" s="5">
        <v>120</v>
      </c>
      <c r="H157" s="147">
        <f>Table3[[#This Row],[Qty]]*Table3[[#This Row],[Price]]</f>
        <v>300</v>
      </c>
      <c r="I157" s="5"/>
    </row>
    <row r="158" spans="1:9" x14ac:dyDescent="0.25">
      <c r="A158" s="152">
        <v>46016</v>
      </c>
      <c r="B158" s="148" t="s">
        <v>115</v>
      </c>
      <c r="C158" s="148" t="s">
        <v>310</v>
      </c>
      <c r="D158" s="58" t="s">
        <v>866</v>
      </c>
      <c r="E158" s="146">
        <v>0.3</v>
      </c>
      <c r="F158" s="1" t="s">
        <v>174</v>
      </c>
      <c r="G158" s="5">
        <v>480</v>
      </c>
      <c r="H158" s="147">
        <f>Table3[[#This Row],[Qty]]*Table3[[#This Row],[Price]]</f>
        <v>144</v>
      </c>
      <c r="I158" s="5"/>
    </row>
    <row r="159" spans="1:9" x14ac:dyDescent="0.25">
      <c r="A159" s="152">
        <v>46016</v>
      </c>
      <c r="B159" s="148" t="s">
        <v>115</v>
      </c>
      <c r="C159" s="148" t="s">
        <v>788</v>
      </c>
      <c r="D159" s="58" t="s">
        <v>803</v>
      </c>
      <c r="E159" s="146">
        <v>0.2</v>
      </c>
      <c r="F159" s="1" t="s">
        <v>174</v>
      </c>
      <c r="G159" s="5">
        <v>580</v>
      </c>
      <c r="H159" s="147">
        <f>Table3[[#This Row],[Qty]]*Table3[[#This Row],[Price]]</f>
        <v>116</v>
      </c>
      <c r="I159" s="5"/>
    </row>
    <row r="160" spans="1:9" x14ac:dyDescent="0.25">
      <c r="A160" s="152">
        <v>46016</v>
      </c>
      <c r="B160" s="148" t="s">
        <v>115</v>
      </c>
      <c r="C160" s="148" t="s">
        <v>788</v>
      </c>
      <c r="D160" s="58" t="s">
        <v>793</v>
      </c>
      <c r="E160" s="146">
        <v>36</v>
      </c>
      <c r="F160" s="1" t="s">
        <v>174</v>
      </c>
      <c r="G160" s="5">
        <v>119</v>
      </c>
      <c r="H160" s="147">
        <f>Table3[[#This Row],[Qty]]*Table3[[#This Row],[Price]]</f>
        <v>4284</v>
      </c>
      <c r="I160" s="5"/>
    </row>
    <row r="161" spans="1:9" x14ac:dyDescent="0.25">
      <c r="A161" s="152">
        <v>46016</v>
      </c>
      <c r="B161" s="148" t="s">
        <v>115</v>
      </c>
      <c r="C161" s="148" t="s">
        <v>310</v>
      </c>
      <c r="D161" s="58" t="s">
        <v>854</v>
      </c>
      <c r="E161" s="146">
        <v>1</v>
      </c>
      <c r="F161" s="1" t="s">
        <v>174</v>
      </c>
      <c r="G161" s="5">
        <v>1600</v>
      </c>
      <c r="H161" s="147">
        <f>Table3[[#This Row],[Qty]]*Table3[[#This Row],[Price]]</f>
        <v>1600</v>
      </c>
      <c r="I161" s="5"/>
    </row>
    <row r="162" spans="1:9" x14ac:dyDescent="0.25">
      <c r="A162" s="152">
        <v>46017</v>
      </c>
      <c r="B162" s="148" t="s">
        <v>116</v>
      </c>
      <c r="C162" s="148" t="s">
        <v>788</v>
      </c>
      <c r="D162" s="58" t="s">
        <v>135</v>
      </c>
      <c r="E162" s="146">
        <v>147</v>
      </c>
      <c r="F162" s="1" t="s">
        <v>174</v>
      </c>
      <c r="G162" s="5">
        <v>300</v>
      </c>
      <c r="H162" s="147">
        <f>Table3[[#This Row],[Qty]]*Table3[[#This Row],[Price]]</f>
        <v>44100</v>
      </c>
      <c r="I162" s="5"/>
    </row>
    <row r="163" spans="1:9" x14ac:dyDescent="0.25">
      <c r="A163" s="152">
        <v>46017</v>
      </c>
      <c r="B163" s="148" t="s">
        <v>116</v>
      </c>
      <c r="C163" s="145" t="s">
        <v>310</v>
      </c>
      <c r="D163" s="58" t="s">
        <v>786</v>
      </c>
      <c r="E163" s="146">
        <v>11</v>
      </c>
      <c r="F163" s="1" t="s">
        <v>174</v>
      </c>
      <c r="G163" s="5">
        <v>1400</v>
      </c>
      <c r="H163" s="147">
        <f>Table3[[#This Row],[Qty]]*Table3[[#This Row],[Price]]</f>
        <v>15400</v>
      </c>
      <c r="I163" s="5"/>
    </row>
    <row r="164" spans="1:9" x14ac:dyDescent="0.25">
      <c r="A164" s="152">
        <v>46017</v>
      </c>
      <c r="B164" s="148" t="s">
        <v>116</v>
      </c>
      <c r="C164" s="145" t="s">
        <v>310</v>
      </c>
      <c r="D164" s="58" t="s">
        <v>862</v>
      </c>
      <c r="E164" s="146">
        <v>24</v>
      </c>
      <c r="F164" s="1" t="s">
        <v>174</v>
      </c>
      <c r="G164" s="5">
        <v>170</v>
      </c>
      <c r="H164" s="147">
        <f>Table3[[#This Row],[Qty]]*Table3[[#This Row],[Price]]</f>
        <v>4080</v>
      </c>
      <c r="I164" s="5"/>
    </row>
    <row r="165" spans="1:9" x14ac:dyDescent="0.25">
      <c r="A165" s="152">
        <v>46017</v>
      </c>
      <c r="B165" s="148" t="s">
        <v>116</v>
      </c>
      <c r="C165" s="148" t="s">
        <v>788</v>
      </c>
      <c r="D165" s="58" t="s">
        <v>791</v>
      </c>
      <c r="E165" s="146">
        <v>25</v>
      </c>
      <c r="F165" s="1" t="s">
        <v>827</v>
      </c>
      <c r="G165" s="5">
        <v>443.33</v>
      </c>
      <c r="H165" s="147">
        <f>Table3[[#This Row],[Qty]]*Table3[[#This Row],[Price]]</f>
        <v>11083.25</v>
      </c>
      <c r="I165" s="5"/>
    </row>
    <row r="166" spans="1:9" x14ac:dyDescent="0.25">
      <c r="A166" s="152">
        <v>46017</v>
      </c>
      <c r="B166" s="148" t="s">
        <v>116</v>
      </c>
      <c r="C166" s="148" t="s">
        <v>788</v>
      </c>
      <c r="D166" s="58" t="s">
        <v>844</v>
      </c>
      <c r="E166" s="146">
        <v>29</v>
      </c>
      <c r="F166" s="1" t="s">
        <v>174</v>
      </c>
      <c r="G166" s="5">
        <v>50</v>
      </c>
      <c r="H166" s="147">
        <f>Table3[[#This Row],[Qty]]*Table3[[#This Row],[Price]]</f>
        <v>1450</v>
      </c>
      <c r="I166" s="5"/>
    </row>
    <row r="167" spans="1:9" x14ac:dyDescent="0.25">
      <c r="A167" s="152">
        <v>46017</v>
      </c>
      <c r="B167" s="148" t="s">
        <v>116</v>
      </c>
      <c r="C167" s="148" t="s">
        <v>788</v>
      </c>
      <c r="D167" s="58" t="s">
        <v>794</v>
      </c>
      <c r="E167" s="146">
        <v>50</v>
      </c>
      <c r="F167" s="1" t="s">
        <v>174</v>
      </c>
      <c r="G167" s="5">
        <v>113</v>
      </c>
      <c r="H167" s="147">
        <f>Table3[[#This Row],[Qty]]*Table3[[#This Row],[Price]]</f>
        <v>5650</v>
      </c>
      <c r="I167" s="5"/>
    </row>
    <row r="168" spans="1:9" x14ac:dyDescent="0.25">
      <c r="A168" s="152">
        <v>46017</v>
      </c>
      <c r="B168" s="148" t="s">
        <v>116</v>
      </c>
      <c r="C168" s="145" t="s">
        <v>12</v>
      </c>
      <c r="D168" s="1" t="s">
        <v>221</v>
      </c>
      <c r="E168" s="146">
        <v>7</v>
      </c>
      <c r="F168" s="1" t="s">
        <v>174</v>
      </c>
      <c r="G168" s="5">
        <v>183</v>
      </c>
      <c r="H168" s="147">
        <f>Table3[[#This Row],[Qty]]*Table3[[#This Row],[Price]]</f>
        <v>1281</v>
      </c>
      <c r="I168" s="5"/>
    </row>
    <row r="169" spans="1:9" x14ac:dyDescent="0.25">
      <c r="A169" s="152">
        <v>46017</v>
      </c>
      <c r="B169" s="148" t="s">
        <v>116</v>
      </c>
      <c r="C169" s="148" t="s">
        <v>788</v>
      </c>
      <c r="D169" s="58" t="s">
        <v>860</v>
      </c>
      <c r="E169" s="146">
        <v>8</v>
      </c>
      <c r="F169" s="1" t="s">
        <v>174</v>
      </c>
      <c r="G169" s="5">
        <v>12</v>
      </c>
      <c r="H169" s="147">
        <f>Table3[[#This Row],[Qty]]*Table3[[#This Row],[Price]]</f>
        <v>96</v>
      </c>
      <c r="I169" s="5"/>
    </row>
    <row r="170" spans="1:9" x14ac:dyDescent="0.25">
      <c r="A170" s="152">
        <v>46017</v>
      </c>
      <c r="B170" s="148" t="s">
        <v>116</v>
      </c>
      <c r="C170" s="148" t="s">
        <v>788</v>
      </c>
      <c r="D170" s="58" t="s">
        <v>842</v>
      </c>
      <c r="E170" s="146">
        <v>1</v>
      </c>
      <c r="F170" s="1" t="s">
        <v>174</v>
      </c>
      <c r="G170" s="5">
        <v>80</v>
      </c>
      <c r="H170" s="147">
        <f>Table3[[#This Row],[Qty]]*Table3[[#This Row],[Price]]</f>
        <v>80</v>
      </c>
      <c r="I170" s="5"/>
    </row>
    <row r="171" spans="1:9" x14ac:dyDescent="0.25">
      <c r="A171" s="152">
        <v>46017</v>
      </c>
      <c r="B171" s="148" t="s">
        <v>116</v>
      </c>
      <c r="C171" s="148" t="s">
        <v>788</v>
      </c>
      <c r="D171" s="58" t="s">
        <v>797</v>
      </c>
      <c r="E171" s="146">
        <v>5.5</v>
      </c>
      <c r="F171" s="1" t="s">
        <v>174</v>
      </c>
      <c r="G171" s="5">
        <v>560</v>
      </c>
      <c r="H171" s="147">
        <f>Table3[[#This Row],[Qty]]*Table3[[#This Row],[Price]]</f>
        <v>3080</v>
      </c>
      <c r="I171" s="5"/>
    </row>
    <row r="172" spans="1:9" x14ac:dyDescent="0.25">
      <c r="A172" s="152">
        <v>46017</v>
      </c>
      <c r="B172" s="148" t="s">
        <v>116</v>
      </c>
      <c r="C172" s="148" t="s">
        <v>788</v>
      </c>
      <c r="D172" s="1" t="s">
        <v>822</v>
      </c>
      <c r="E172" s="146">
        <v>1.5</v>
      </c>
      <c r="F172" s="1" t="s">
        <v>174</v>
      </c>
      <c r="G172" s="5">
        <v>2000</v>
      </c>
      <c r="H172" s="147">
        <f>Table3[[#This Row],[Qty]]*Table3[[#This Row],[Price]]</f>
        <v>3000</v>
      </c>
      <c r="I172" s="5"/>
    </row>
    <row r="173" spans="1:9" x14ac:dyDescent="0.25">
      <c r="A173" s="152">
        <v>46017</v>
      </c>
      <c r="B173" s="148" t="s">
        <v>116</v>
      </c>
      <c r="C173" s="145" t="s">
        <v>13</v>
      </c>
      <c r="D173" s="58" t="s">
        <v>825</v>
      </c>
      <c r="E173" s="146">
        <v>2</v>
      </c>
      <c r="F173" s="1" t="s">
        <v>223</v>
      </c>
      <c r="G173" s="5">
        <v>65</v>
      </c>
      <c r="H173" s="147">
        <f>Table3[[#This Row],[Qty]]*Table3[[#This Row],[Price]]</f>
        <v>130</v>
      </c>
      <c r="I173" s="5"/>
    </row>
    <row r="174" spans="1:9" x14ac:dyDescent="0.25">
      <c r="A174" s="152">
        <v>46017</v>
      </c>
      <c r="B174" s="148" t="s">
        <v>116</v>
      </c>
      <c r="C174" s="148" t="s">
        <v>788</v>
      </c>
      <c r="D174" s="58" t="s">
        <v>855</v>
      </c>
      <c r="E174" s="146">
        <v>17</v>
      </c>
      <c r="F174" s="1" t="s">
        <v>174</v>
      </c>
      <c r="G174" s="5">
        <v>50</v>
      </c>
      <c r="H174" s="147">
        <f>Table3[[#This Row],[Qty]]*Table3[[#This Row],[Price]]</f>
        <v>850</v>
      </c>
      <c r="I174" s="5"/>
    </row>
    <row r="175" spans="1:9" x14ac:dyDescent="0.25">
      <c r="A175" s="152">
        <v>46017</v>
      </c>
      <c r="B175" s="148" t="s">
        <v>116</v>
      </c>
      <c r="C175" s="148" t="s">
        <v>788</v>
      </c>
      <c r="D175" s="58" t="s">
        <v>867</v>
      </c>
      <c r="E175" s="146">
        <v>0.21</v>
      </c>
      <c r="F175" s="1" t="s">
        <v>174</v>
      </c>
      <c r="G175" s="5">
        <v>1200</v>
      </c>
      <c r="H175" s="147">
        <f>Table3[[#This Row],[Qty]]*Table3[[#This Row],[Price]]</f>
        <v>252</v>
      </c>
      <c r="I175" s="5"/>
    </row>
    <row r="176" spans="1:9" x14ac:dyDescent="0.25">
      <c r="A176" s="152">
        <v>46017</v>
      </c>
      <c r="B176" s="148" t="s">
        <v>116</v>
      </c>
      <c r="C176" s="148" t="s">
        <v>788</v>
      </c>
      <c r="D176" s="58" t="s">
        <v>222</v>
      </c>
      <c r="E176" s="146">
        <v>8</v>
      </c>
      <c r="F176" s="58" t="s">
        <v>819</v>
      </c>
      <c r="G176" s="5">
        <v>30</v>
      </c>
      <c r="H176" s="147">
        <f>Table3[[#This Row],[Qty]]*Table3[[#This Row],[Price]]</f>
        <v>240</v>
      </c>
      <c r="I176" s="5"/>
    </row>
    <row r="177" spans="1:9" x14ac:dyDescent="0.25">
      <c r="A177" s="152">
        <v>46017</v>
      </c>
      <c r="B177" s="148" t="s">
        <v>116</v>
      </c>
      <c r="C177" s="148" t="s">
        <v>788</v>
      </c>
      <c r="D177" s="1" t="s">
        <v>851</v>
      </c>
      <c r="E177" s="146">
        <v>0.45</v>
      </c>
      <c r="F177" s="1" t="s">
        <v>174</v>
      </c>
      <c r="G177" s="5">
        <v>230</v>
      </c>
      <c r="H177" s="147">
        <f>Table3[[#This Row],[Qty]]*Table3[[#This Row],[Price]]</f>
        <v>103.5</v>
      </c>
      <c r="I177" s="5"/>
    </row>
    <row r="178" spans="1:9" x14ac:dyDescent="0.25">
      <c r="A178" s="152">
        <v>46017</v>
      </c>
      <c r="B178" s="148" t="s">
        <v>116</v>
      </c>
      <c r="C178" s="148" t="s">
        <v>788</v>
      </c>
      <c r="D178" s="58" t="s">
        <v>840</v>
      </c>
      <c r="E178" s="146">
        <v>0.6</v>
      </c>
      <c r="F178" s="1" t="s">
        <v>174</v>
      </c>
      <c r="G178" s="5">
        <v>250</v>
      </c>
      <c r="H178" s="147">
        <f>Table3[[#This Row],[Qty]]*Table3[[#This Row],[Price]]</f>
        <v>150</v>
      </c>
      <c r="I178" s="5"/>
    </row>
    <row r="179" spans="1:9" x14ac:dyDescent="0.25">
      <c r="A179" s="152">
        <v>46017</v>
      </c>
      <c r="B179" s="148" t="s">
        <v>116</v>
      </c>
      <c r="C179" s="148" t="s">
        <v>788</v>
      </c>
      <c r="D179" s="58" t="s">
        <v>813</v>
      </c>
      <c r="E179" s="146">
        <v>1</v>
      </c>
      <c r="F179" s="1" t="s">
        <v>174</v>
      </c>
      <c r="G179" s="5">
        <v>700</v>
      </c>
      <c r="H179" s="147">
        <f>Table3[[#This Row],[Qty]]*Table3[[#This Row],[Price]]</f>
        <v>700</v>
      </c>
      <c r="I179" s="5"/>
    </row>
    <row r="180" spans="1:9" x14ac:dyDescent="0.25">
      <c r="A180" s="152">
        <v>46017</v>
      </c>
      <c r="B180" s="148" t="s">
        <v>116</v>
      </c>
      <c r="C180" s="145" t="s">
        <v>310</v>
      </c>
      <c r="D180" s="58" t="s">
        <v>868</v>
      </c>
      <c r="E180" s="146">
        <v>10</v>
      </c>
      <c r="F180" s="1" t="s">
        <v>827</v>
      </c>
      <c r="G180" s="5">
        <v>220</v>
      </c>
      <c r="H180" s="147">
        <f>Table3[[#This Row],[Qty]]*Table3[[#This Row],[Price]]</f>
        <v>2200</v>
      </c>
      <c r="I180" s="5"/>
    </row>
    <row r="181" spans="1:9" x14ac:dyDescent="0.25">
      <c r="A181" s="152">
        <v>46017</v>
      </c>
      <c r="B181" s="148" t="s">
        <v>116</v>
      </c>
      <c r="C181" s="148" t="s">
        <v>788</v>
      </c>
      <c r="D181" s="58" t="s">
        <v>865</v>
      </c>
      <c r="E181" s="146">
        <v>1</v>
      </c>
      <c r="F181" s="1" t="s">
        <v>174</v>
      </c>
      <c r="G181" s="5">
        <v>120</v>
      </c>
      <c r="H181" s="147">
        <f>Table3[[#This Row],[Qty]]*Table3[[#This Row],[Price]]</f>
        <v>120</v>
      </c>
      <c r="I181" s="5"/>
    </row>
    <row r="182" spans="1:9" x14ac:dyDescent="0.25">
      <c r="A182" s="152">
        <v>46017</v>
      </c>
      <c r="B182" s="148" t="s">
        <v>116</v>
      </c>
      <c r="C182" s="148" t="s">
        <v>310</v>
      </c>
      <c r="D182" s="58" t="s">
        <v>854</v>
      </c>
      <c r="E182" s="146">
        <v>1</v>
      </c>
      <c r="F182" s="1" t="s">
        <v>174</v>
      </c>
      <c r="G182" s="5">
        <v>1600</v>
      </c>
      <c r="H182" s="147">
        <f>Table3[[#This Row],[Qty]]*Table3[[#This Row],[Price]]</f>
        <v>1600</v>
      </c>
      <c r="I182" s="5"/>
    </row>
    <row r="183" spans="1:9" x14ac:dyDescent="0.25">
      <c r="A183" s="152">
        <v>46017</v>
      </c>
      <c r="B183" s="148" t="s">
        <v>116</v>
      </c>
      <c r="C183" s="148" t="s">
        <v>310</v>
      </c>
      <c r="D183" s="58" t="s">
        <v>866</v>
      </c>
      <c r="E183" s="146">
        <v>9.5</v>
      </c>
      <c r="F183" s="1" t="s">
        <v>174</v>
      </c>
      <c r="G183" s="5">
        <v>480</v>
      </c>
      <c r="H183" s="147">
        <f>Table3[[#This Row],[Qty]]*Table3[[#This Row],[Price]]</f>
        <v>4560</v>
      </c>
      <c r="I183" s="5"/>
    </row>
    <row r="184" spans="1:9" x14ac:dyDescent="0.25">
      <c r="A184" s="152">
        <v>46017</v>
      </c>
      <c r="B184" s="148" t="s">
        <v>116</v>
      </c>
      <c r="C184" s="148" t="s">
        <v>788</v>
      </c>
      <c r="D184" s="58" t="s">
        <v>852</v>
      </c>
      <c r="E184" s="146">
        <v>0.1</v>
      </c>
      <c r="F184" s="1" t="s">
        <v>174</v>
      </c>
      <c r="G184" s="5">
        <v>150</v>
      </c>
      <c r="H184" s="147">
        <f>Table3[[#This Row],[Qty]]*Table3[[#This Row],[Price]]</f>
        <v>15</v>
      </c>
      <c r="I184" s="5"/>
    </row>
    <row r="185" spans="1:9" x14ac:dyDescent="0.25">
      <c r="A185" s="152">
        <v>46017</v>
      </c>
      <c r="B185" s="148" t="s">
        <v>116</v>
      </c>
      <c r="C185" s="145" t="s">
        <v>13</v>
      </c>
      <c r="D185" s="58" t="s">
        <v>850</v>
      </c>
      <c r="E185" s="146">
        <v>0.2</v>
      </c>
      <c r="F185" s="1" t="s">
        <v>174</v>
      </c>
      <c r="G185" s="5">
        <v>300</v>
      </c>
      <c r="H185" s="147">
        <f>Table3[[#This Row],[Qty]]*Table3[[#This Row],[Price]]</f>
        <v>60</v>
      </c>
      <c r="I185" s="5"/>
    </row>
    <row r="186" spans="1:9" x14ac:dyDescent="0.25">
      <c r="A186" s="152">
        <v>46017</v>
      </c>
      <c r="B186" s="148" t="s">
        <v>116</v>
      </c>
      <c r="C186" s="148" t="s">
        <v>788</v>
      </c>
      <c r="D186" s="58" t="s">
        <v>853</v>
      </c>
      <c r="E186" s="146">
        <v>4</v>
      </c>
      <c r="F186" s="1" t="s">
        <v>174</v>
      </c>
      <c r="G186" s="5">
        <v>180</v>
      </c>
      <c r="H186" s="147">
        <f>Table3[[#This Row],[Qty]]*Table3[[#This Row],[Price]]</f>
        <v>720</v>
      </c>
      <c r="I186" s="5"/>
    </row>
    <row r="187" spans="1:9" x14ac:dyDescent="0.25">
      <c r="A187" s="152">
        <v>46017</v>
      </c>
      <c r="B187" s="148" t="s">
        <v>116</v>
      </c>
      <c r="C187" s="148" t="s">
        <v>788</v>
      </c>
      <c r="D187" s="58" t="s">
        <v>803</v>
      </c>
      <c r="E187" s="146">
        <v>0.5</v>
      </c>
      <c r="F187" s="1" t="s">
        <v>174</v>
      </c>
      <c r="G187" s="5">
        <v>580</v>
      </c>
      <c r="H187" s="147">
        <f>Table3[[#This Row],[Qty]]*Table3[[#This Row],[Price]]</f>
        <v>290</v>
      </c>
      <c r="I187" s="5"/>
    </row>
    <row r="188" spans="1:9" x14ac:dyDescent="0.25">
      <c r="A188" s="152">
        <v>46017</v>
      </c>
      <c r="B188" s="148" t="s">
        <v>116</v>
      </c>
      <c r="C188" s="148" t="s">
        <v>788</v>
      </c>
      <c r="D188" s="58" t="s">
        <v>849</v>
      </c>
      <c r="E188" s="146">
        <v>2.5</v>
      </c>
      <c r="F188" s="1" t="s">
        <v>174</v>
      </c>
      <c r="G188" s="5">
        <v>390</v>
      </c>
      <c r="H188" s="147">
        <f>Table3[[#This Row],[Qty]]*Table3[[#This Row],[Price]]</f>
        <v>975</v>
      </c>
      <c r="I188" s="5"/>
    </row>
    <row r="189" spans="1:9" x14ac:dyDescent="0.25">
      <c r="A189" s="152">
        <v>46017</v>
      </c>
      <c r="B189" s="148" t="s">
        <v>116</v>
      </c>
      <c r="C189" s="148" t="s">
        <v>788</v>
      </c>
      <c r="D189" s="58" t="s">
        <v>793</v>
      </c>
      <c r="E189" s="146">
        <v>50</v>
      </c>
      <c r="F189" s="1" t="s">
        <v>174</v>
      </c>
      <c r="G189" s="5">
        <v>119</v>
      </c>
      <c r="H189" s="147">
        <f>Table3[[#This Row],[Qty]]*Table3[[#This Row],[Price]]</f>
        <v>5950</v>
      </c>
      <c r="I189" s="5"/>
    </row>
    <row r="190" spans="1:9" x14ac:dyDescent="0.25">
      <c r="A190" s="152">
        <v>46017</v>
      </c>
      <c r="B190" s="148" t="s">
        <v>116</v>
      </c>
      <c r="C190" s="148" t="s">
        <v>788</v>
      </c>
      <c r="D190" s="58" t="s">
        <v>805</v>
      </c>
      <c r="E190" s="146">
        <v>0.5</v>
      </c>
      <c r="F190" s="1" t="s">
        <v>174</v>
      </c>
      <c r="G190" s="5">
        <v>580</v>
      </c>
      <c r="H190" s="147">
        <f>Table3[[#This Row],[Qty]]*Table3[[#This Row],[Price]]</f>
        <v>290</v>
      </c>
      <c r="I190" s="5"/>
    </row>
    <row r="191" spans="1:9" x14ac:dyDescent="0.25">
      <c r="A191" s="152">
        <v>46017</v>
      </c>
      <c r="B191" s="148" t="s">
        <v>116</v>
      </c>
      <c r="C191" s="148" t="s">
        <v>788</v>
      </c>
      <c r="D191" s="58" t="s">
        <v>863</v>
      </c>
      <c r="E191" s="146">
        <v>5</v>
      </c>
      <c r="F191" s="1" t="s">
        <v>174</v>
      </c>
      <c r="G191" s="5">
        <v>200</v>
      </c>
      <c r="H191" s="147">
        <f>Table3[[#This Row],[Qty]]*Table3[[#This Row],[Price]]</f>
        <v>1000</v>
      </c>
      <c r="I191" s="5"/>
    </row>
    <row r="192" spans="1:9" x14ac:dyDescent="0.25">
      <c r="A192" s="144">
        <v>46018</v>
      </c>
      <c r="B192" s="145" t="s">
        <v>117</v>
      </c>
      <c r="C192" s="145" t="s">
        <v>310</v>
      </c>
      <c r="D192" s="1" t="s">
        <v>786</v>
      </c>
      <c r="E192" s="157">
        <v>3.5</v>
      </c>
      <c r="F192" s="1" t="s">
        <v>174</v>
      </c>
      <c r="G192" s="5">
        <v>1400</v>
      </c>
      <c r="H192" s="147">
        <f>Table3[[#This Row],[Qty]]*Table3[[#This Row],[Price]]</f>
        <v>4900</v>
      </c>
      <c r="I192" s="5"/>
    </row>
    <row r="193" spans="1:9" x14ac:dyDescent="0.25">
      <c r="A193" s="144">
        <v>46018</v>
      </c>
      <c r="B193" s="145" t="s">
        <v>117</v>
      </c>
      <c r="C193" s="145" t="s">
        <v>310</v>
      </c>
      <c r="D193" s="1" t="s">
        <v>787</v>
      </c>
      <c r="E193" s="146">
        <v>28</v>
      </c>
      <c r="F193" s="1" t="s">
        <v>174</v>
      </c>
      <c r="G193" s="5">
        <v>170</v>
      </c>
      <c r="H193" s="147">
        <f>Table3[[#This Row],[Qty]]*Table3[[#This Row],[Price]]</f>
        <v>4760</v>
      </c>
      <c r="I193" s="5"/>
    </row>
    <row r="194" spans="1:9" x14ac:dyDescent="0.25">
      <c r="A194" s="144">
        <v>46018</v>
      </c>
      <c r="B194" s="145" t="s">
        <v>117</v>
      </c>
      <c r="C194" s="145" t="s">
        <v>12</v>
      </c>
      <c r="D194" s="1" t="s">
        <v>793</v>
      </c>
      <c r="E194" s="146">
        <v>25</v>
      </c>
      <c r="F194" s="1" t="s">
        <v>174</v>
      </c>
      <c r="G194" s="5">
        <v>119</v>
      </c>
      <c r="H194" s="147">
        <f>Table3[[#This Row],[Qty]]*Table3[[#This Row],[Price]]</f>
        <v>2975</v>
      </c>
      <c r="I194" s="5"/>
    </row>
    <row r="195" spans="1:9" x14ac:dyDescent="0.25">
      <c r="A195" s="144">
        <v>46018</v>
      </c>
      <c r="B195" s="145" t="s">
        <v>117</v>
      </c>
      <c r="C195" s="148" t="s">
        <v>310</v>
      </c>
      <c r="D195" s="58" t="s">
        <v>866</v>
      </c>
      <c r="E195" s="157">
        <v>2</v>
      </c>
      <c r="F195" s="1" t="s">
        <v>174</v>
      </c>
      <c r="G195" s="5">
        <v>480</v>
      </c>
      <c r="H195" s="147">
        <f>Table3[[#This Row],[Qty]]*Table3[[#This Row],[Price]]</f>
        <v>960</v>
      </c>
      <c r="I195" s="5"/>
    </row>
    <row r="196" spans="1:9" x14ac:dyDescent="0.25">
      <c r="A196" s="144">
        <v>46018</v>
      </c>
      <c r="B196" s="145" t="s">
        <v>117</v>
      </c>
      <c r="C196" s="145" t="s">
        <v>12</v>
      </c>
      <c r="D196" s="1" t="s">
        <v>816</v>
      </c>
      <c r="E196" s="157">
        <v>0.5</v>
      </c>
      <c r="F196" s="1" t="s">
        <v>174</v>
      </c>
      <c r="G196" s="5">
        <v>12</v>
      </c>
      <c r="H196" s="147">
        <f>Table3[[#This Row],[Qty]]*Table3[[#This Row],[Price]]</f>
        <v>6</v>
      </c>
      <c r="I196" s="5"/>
    </row>
    <row r="197" spans="1:9" x14ac:dyDescent="0.25">
      <c r="A197" s="144">
        <v>46018</v>
      </c>
      <c r="B197" s="145" t="s">
        <v>117</v>
      </c>
      <c r="C197" s="145" t="s">
        <v>99</v>
      </c>
      <c r="D197" s="1" t="s">
        <v>794</v>
      </c>
      <c r="E197" s="157">
        <v>150</v>
      </c>
      <c r="F197" s="1" t="s">
        <v>174</v>
      </c>
      <c r="G197" s="5">
        <v>113</v>
      </c>
      <c r="H197" s="147">
        <f>Table3[[#This Row],[Qty]]*Table3[[#This Row],[Price]]</f>
        <v>16950</v>
      </c>
      <c r="I197" s="5"/>
    </row>
    <row r="198" spans="1:9" x14ac:dyDescent="0.25">
      <c r="A198" s="144">
        <v>46018</v>
      </c>
      <c r="B198" s="145" t="s">
        <v>117</v>
      </c>
      <c r="C198" s="145" t="s">
        <v>99</v>
      </c>
      <c r="D198" s="1" t="s">
        <v>816</v>
      </c>
      <c r="E198" s="157">
        <v>3</v>
      </c>
      <c r="F198" s="1" t="s">
        <v>174</v>
      </c>
      <c r="G198" s="5">
        <v>12</v>
      </c>
      <c r="H198" s="147">
        <f>Table3[[#This Row],[Qty]]*Table3[[#This Row],[Price]]</f>
        <v>36</v>
      </c>
      <c r="I198" s="5"/>
    </row>
    <row r="199" spans="1:9" x14ac:dyDescent="0.25">
      <c r="A199" s="144">
        <v>46018</v>
      </c>
      <c r="B199" s="145" t="s">
        <v>117</v>
      </c>
      <c r="C199" s="145" t="s">
        <v>99</v>
      </c>
      <c r="D199" s="1" t="s">
        <v>844</v>
      </c>
      <c r="E199" s="157">
        <v>19</v>
      </c>
      <c r="F199" s="1" t="s">
        <v>174</v>
      </c>
      <c r="G199" s="5">
        <v>50</v>
      </c>
      <c r="H199" s="147">
        <f>Table3[[#This Row],[Qty]]*Table3[[#This Row],[Price]]</f>
        <v>950</v>
      </c>
      <c r="I199" s="5"/>
    </row>
    <row r="200" spans="1:9" x14ac:dyDescent="0.25">
      <c r="A200" s="144">
        <v>46018</v>
      </c>
      <c r="B200" s="145" t="s">
        <v>117</v>
      </c>
      <c r="C200" s="145" t="s">
        <v>99</v>
      </c>
      <c r="D200" s="1" t="s">
        <v>842</v>
      </c>
      <c r="E200" s="157">
        <v>8</v>
      </c>
      <c r="F200" s="1" t="s">
        <v>174</v>
      </c>
      <c r="G200" s="5">
        <v>80</v>
      </c>
      <c r="H200" s="147">
        <f>Table3[[#This Row],[Qty]]*Table3[[#This Row],[Price]]</f>
        <v>640</v>
      </c>
      <c r="I200" s="5"/>
    </row>
    <row r="201" spans="1:9" x14ac:dyDescent="0.25">
      <c r="A201" s="144">
        <v>46018</v>
      </c>
      <c r="B201" s="145" t="s">
        <v>117</v>
      </c>
      <c r="C201" s="145" t="s">
        <v>99</v>
      </c>
      <c r="D201" s="1" t="s">
        <v>855</v>
      </c>
      <c r="E201" s="157">
        <v>18</v>
      </c>
      <c r="F201" s="1" t="s">
        <v>174</v>
      </c>
      <c r="G201" s="5">
        <v>50</v>
      </c>
      <c r="H201" s="147">
        <f>Table3[[#This Row],[Qty]]*Table3[[#This Row],[Price]]</f>
        <v>900</v>
      </c>
      <c r="I201" s="5"/>
    </row>
    <row r="202" spans="1:9" x14ac:dyDescent="0.25">
      <c r="A202" s="144">
        <v>46018</v>
      </c>
      <c r="B202" s="145" t="s">
        <v>117</v>
      </c>
      <c r="C202" s="145" t="s">
        <v>99</v>
      </c>
      <c r="D202" s="1" t="s">
        <v>799</v>
      </c>
      <c r="E202" s="157">
        <v>8</v>
      </c>
      <c r="F202" s="1" t="s">
        <v>174</v>
      </c>
      <c r="G202" s="5">
        <v>300</v>
      </c>
      <c r="H202" s="147">
        <f>Table3[[#This Row],[Qty]]*Table3[[#This Row],[Price]]</f>
        <v>2400</v>
      </c>
      <c r="I202" s="5"/>
    </row>
    <row r="203" spans="1:9" x14ac:dyDescent="0.25">
      <c r="A203" s="144">
        <v>46018</v>
      </c>
      <c r="B203" s="145" t="s">
        <v>117</v>
      </c>
      <c r="C203" s="145" t="s">
        <v>99</v>
      </c>
      <c r="D203" s="1" t="s">
        <v>864</v>
      </c>
      <c r="E203" s="157">
        <v>4</v>
      </c>
      <c r="F203" s="1" t="s">
        <v>174</v>
      </c>
      <c r="G203" s="5">
        <v>608</v>
      </c>
      <c r="H203" s="147">
        <f>Table3[[#This Row],[Qty]]*Table3[[#This Row],[Price]]</f>
        <v>2432</v>
      </c>
      <c r="I203" s="5"/>
    </row>
    <row r="204" spans="1:9" x14ac:dyDescent="0.25">
      <c r="A204" s="144">
        <v>46018</v>
      </c>
      <c r="B204" s="145" t="s">
        <v>117</v>
      </c>
      <c r="C204" s="145" t="s">
        <v>99</v>
      </c>
      <c r="D204" s="1" t="s">
        <v>222</v>
      </c>
      <c r="E204" s="157">
        <v>13</v>
      </c>
      <c r="F204" s="58" t="s">
        <v>819</v>
      </c>
      <c r="G204" s="5">
        <v>30</v>
      </c>
      <c r="H204" s="147">
        <f>Table3[[#This Row],[Qty]]*Table3[[#This Row],[Price]]</f>
        <v>390</v>
      </c>
      <c r="I204" s="5"/>
    </row>
    <row r="205" spans="1:9" x14ac:dyDescent="0.25">
      <c r="A205" s="144">
        <v>46018</v>
      </c>
      <c r="B205" s="145" t="s">
        <v>117</v>
      </c>
      <c r="C205" s="145" t="s">
        <v>310</v>
      </c>
      <c r="D205" s="1" t="s">
        <v>862</v>
      </c>
      <c r="E205" s="146">
        <v>1</v>
      </c>
      <c r="F205" s="1" t="s">
        <v>174</v>
      </c>
      <c r="G205" s="5">
        <v>170</v>
      </c>
      <c r="H205" s="147">
        <f>Table3[[#This Row],[Qty]]*Table3[[#This Row],[Price]]</f>
        <v>170</v>
      </c>
      <c r="I205" s="5"/>
    </row>
    <row r="206" spans="1:9" x14ac:dyDescent="0.25">
      <c r="A206" s="144">
        <v>46018</v>
      </c>
      <c r="B206" s="145" t="s">
        <v>117</v>
      </c>
      <c r="C206" s="145" t="s">
        <v>99</v>
      </c>
      <c r="D206" s="1" t="s">
        <v>846</v>
      </c>
      <c r="E206" s="157">
        <v>1</v>
      </c>
      <c r="F206" s="1" t="s">
        <v>174</v>
      </c>
      <c r="G206" s="5">
        <v>40</v>
      </c>
      <c r="H206" s="147">
        <f>Table3[[#This Row],[Qty]]*Table3[[#This Row],[Price]]</f>
        <v>40</v>
      </c>
      <c r="I206" s="5"/>
    </row>
    <row r="207" spans="1:9" x14ac:dyDescent="0.25">
      <c r="A207" s="144">
        <v>46018</v>
      </c>
      <c r="B207" s="145" t="s">
        <v>117</v>
      </c>
      <c r="C207" s="145" t="s">
        <v>99</v>
      </c>
      <c r="D207" s="1" t="s">
        <v>869</v>
      </c>
      <c r="E207" s="157">
        <v>1</v>
      </c>
      <c r="F207" s="1" t="s">
        <v>174</v>
      </c>
      <c r="G207" s="5">
        <v>50</v>
      </c>
      <c r="H207" s="147">
        <f>Table3[[#This Row],[Qty]]*Table3[[#This Row],[Price]]</f>
        <v>50</v>
      </c>
      <c r="I207" s="5"/>
    </row>
    <row r="208" spans="1:9" x14ac:dyDescent="0.25">
      <c r="A208" s="144">
        <v>46018</v>
      </c>
      <c r="B208" s="145" t="s">
        <v>117</v>
      </c>
      <c r="C208" s="145" t="s">
        <v>99</v>
      </c>
      <c r="D208" s="1" t="s">
        <v>870</v>
      </c>
      <c r="E208" s="157">
        <v>1</v>
      </c>
      <c r="F208" s="1" t="s">
        <v>174</v>
      </c>
      <c r="G208" s="5">
        <v>50</v>
      </c>
      <c r="H208" s="147">
        <f>Table3[[#This Row],[Qty]]*Table3[[#This Row],[Price]]</f>
        <v>50</v>
      </c>
      <c r="I208" s="5"/>
    </row>
    <row r="209" spans="1:10" x14ac:dyDescent="0.25">
      <c r="A209" s="144">
        <v>46018</v>
      </c>
      <c r="B209" s="145" t="s">
        <v>117</v>
      </c>
      <c r="C209" s="145" t="s">
        <v>99</v>
      </c>
      <c r="D209" s="58" t="s">
        <v>852</v>
      </c>
      <c r="E209" s="1">
        <v>1</v>
      </c>
      <c r="F209" s="1" t="s">
        <v>174</v>
      </c>
      <c r="G209" s="5">
        <v>150</v>
      </c>
      <c r="H209" s="147">
        <f>Table3[[#This Row],[Qty]]*Table3[[#This Row],[Price]]</f>
        <v>150</v>
      </c>
      <c r="I209" s="5"/>
    </row>
    <row r="210" spans="1:10" x14ac:dyDescent="0.25">
      <c r="A210" s="144">
        <v>46018</v>
      </c>
      <c r="B210" s="145" t="s">
        <v>117</v>
      </c>
      <c r="C210" s="145" t="s">
        <v>99</v>
      </c>
      <c r="D210" s="1" t="s">
        <v>851</v>
      </c>
      <c r="E210" s="1">
        <v>0.35</v>
      </c>
      <c r="F210" s="1" t="s">
        <v>174</v>
      </c>
      <c r="G210" s="5">
        <v>230</v>
      </c>
      <c r="H210" s="147">
        <f>Table3[[#This Row],[Qty]]*Table3[[#This Row],[Price]]</f>
        <v>80.5</v>
      </c>
      <c r="I210" s="5"/>
    </row>
    <row r="211" spans="1:10" x14ac:dyDescent="0.25">
      <c r="A211" s="144">
        <v>46018</v>
      </c>
      <c r="B211" s="145" t="s">
        <v>117</v>
      </c>
      <c r="C211" s="145" t="s">
        <v>99</v>
      </c>
      <c r="D211" s="1" t="s">
        <v>840</v>
      </c>
      <c r="E211" s="146">
        <v>0.5</v>
      </c>
      <c r="F211" s="1" t="s">
        <v>174</v>
      </c>
      <c r="G211" s="5">
        <v>250</v>
      </c>
      <c r="H211" s="147">
        <f>Table3[[#This Row],[Qty]]*Table3[[#This Row],[Price]]</f>
        <v>125</v>
      </c>
      <c r="I211" s="5"/>
    </row>
    <row r="212" spans="1:10" x14ac:dyDescent="0.25">
      <c r="A212" s="144">
        <v>46018</v>
      </c>
      <c r="B212" s="145" t="s">
        <v>117</v>
      </c>
      <c r="C212" s="145" t="s">
        <v>99</v>
      </c>
      <c r="D212" s="1" t="s">
        <v>791</v>
      </c>
      <c r="E212" s="146">
        <v>6</v>
      </c>
      <c r="F212" s="1" t="s">
        <v>827</v>
      </c>
      <c r="G212" s="5">
        <v>443.33</v>
      </c>
      <c r="H212" s="147">
        <f>Table3[[#This Row],[Qty]]*Table3[[#This Row],[Price]]</f>
        <v>2659.98</v>
      </c>
      <c r="I212" s="5"/>
    </row>
    <row r="213" spans="1:10" x14ac:dyDescent="0.25">
      <c r="A213" s="144">
        <v>46018</v>
      </c>
      <c r="B213" s="145" t="s">
        <v>117</v>
      </c>
      <c r="C213" s="145" t="s">
        <v>99</v>
      </c>
      <c r="D213" s="1" t="s">
        <v>797</v>
      </c>
      <c r="E213" s="157">
        <v>0.5</v>
      </c>
      <c r="F213" s="1" t="s">
        <v>174</v>
      </c>
      <c r="G213" s="5">
        <v>560</v>
      </c>
      <c r="H213" s="147">
        <f>Table3[[#This Row],[Qty]]*Table3[[#This Row],[Price]]</f>
        <v>280</v>
      </c>
      <c r="I213" s="5"/>
    </row>
    <row r="214" spans="1:10" x14ac:dyDescent="0.25">
      <c r="A214" s="152">
        <v>46018</v>
      </c>
      <c r="B214" s="148" t="s">
        <v>117</v>
      </c>
      <c r="C214" s="148" t="s">
        <v>99</v>
      </c>
      <c r="D214" s="58" t="s">
        <v>871</v>
      </c>
      <c r="E214" s="58">
        <v>0.25</v>
      </c>
      <c r="F214" s="1" t="s">
        <v>174</v>
      </c>
      <c r="G214" s="5">
        <v>250</v>
      </c>
      <c r="H214" s="147">
        <f>Table3[[#This Row],[Qty]]*Table3[[#This Row],[Price]]</f>
        <v>62.5</v>
      </c>
      <c r="I214" s="5"/>
    </row>
    <row r="215" spans="1:10" x14ac:dyDescent="0.25">
      <c r="A215" s="144">
        <v>46018</v>
      </c>
      <c r="B215" s="145" t="s">
        <v>117</v>
      </c>
      <c r="C215" s="145" t="s">
        <v>310</v>
      </c>
      <c r="D215" s="1" t="s">
        <v>868</v>
      </c>
      <c r="E215" s="146">
        <v>10</v>
      </c>
      <c r="F215" s="1" t="s">
        <v>827</v>
      </c>
      <c r="G215" s="5">
        <v>220</v>
      </c>
      <c r="H215" s="147">
        <f>Table3[[#This Row],[Qty]]*Table3[[#This Row],[Price]]</f>
        <v>2200</v>
      </c>
      <c r="I215" s="5"/>
    </row>
    <row r="216" spans="1:10" x14ac:dyDescent="0.25">
      <c r="A216" s="144">
        <v>46018</v>
      </c>
      <c r="B216" s="145" t="s">
        <v>117</v>
      </c>
      <c r="C216" s="145" t="s">
        <v>310</v>
      </c>
      <c r="D216" s="1" t="s">
        <v>865</v>
      </c>
      <c r="E216" s="157">
        <v>6</v>
      </c>
      <c r="F216" s="1" t="s">
        <v>174</v>
      </c>
      <c r="G216" s="5">
        <v>120</v>
      </c>
      <c r="H216" s="147">
        <f>Table3[[#This Row],[Qty]]*Table3[[#This Row],[Price]]</f>
        <v>720</v>
      </c>
      <c r="I216" s="5"/>
    </row>
    <row r="217" spans="1:10" x14ac:dyDescent="0.25">
      <c r="A217" s="144">
        <v>46018</v>
      </c>
      <c r="B217" s="145" t="s">
        <v>117</v>
      </c>
      <c r="C217" s="145" t="s">
        <v>310</v>
      </c>
      <c r="D217" s="1" t="s">
        <v>741</v>
      </c>
      <c r="E217" s="146">
        <v>13</v>
      </c>
      <c r="F217" s="1" t="s">
        <v>174</v>
      </c>
      <c r="G217" s="5">
        <v>190</v>
      </c>
      <c r="H217" s="147">
        <f>Table3[[#This Row],[Qty]]*Table3[[#This Row],[Price]]</f>
        <v>2470</v>
      </c>
      <c r="I217" s="5"/>
    </row>
    <row r="218" spans="1:10" x14ac:dyDescent="0.25">
      <c r="A218" s="152">
        <v>46018</v>
      </c>
      <c r="B218" s="148" t="s">
        <v>117</v>
      </c>
      <c r="C218" s="148" t="s">
        <v>310</v>
      </c>
      <c r="D218" s="1" t="s">
        <v>828</v>
      </c>
      <c r="E218" s="158">
        <v>25</v>
      </c>
      <c r="F218" s="1" t="s">
        <v>829</v>
      </c>
      <c r="G218" s="5">
        <v>130</v>
      </c>
      <c r="H218" s="147">
        <f>Table3[[#This Row],[Qty]]*Table3[[#This Row],[Price]]</f>
        <v>3250</v>
      </c>
      <c r="I218" s="5"/>
    </row>
    <row r="219" spans="1:10" x14ac:dyDescent="0.25">
      <c r="A219" s="144">
        <v>46018</v>
      </c>
      <c r="B219" s="145" t="s">
        <v>117</v>
      </c>
      <c r="C219" s="145" t="s">
        <v>310</v>
      </c>
      <c r="D219" s="1" t="s">
        <v>862</v>
      </c>
      <c r="E219" s="146">
        <v>4.0999999999999996</v>
      </c>
      <c r="F219" s="1" t="s">
        <v>174</v>
      </c>
      <c r="G219" s="5">
        <v>170</v>
      </c>
      <c r="H219" s="147">
        <f>Table3[[#This Row],[Qty]]*Table3[[#This Row],[Price]]</f>
        <v>696.99999999999989</v>
      </c>
      <c r="I219" s="5"/>
    </row>
    <row r="220" spans="1:10" x14ac:dyDescent="0.25">
      <c r="A220" s="144">
        <v>46018</v>
      </c>
      <c r="B220" s="145" t="s">
        <v>117</v>
      </c>
      <c r="C220" s="145" t="s">
        <v>310</v>
      </c>
      <c r="D220" s="1" t="s">
        <v>872</v>
      </c>
      <c r="E220" s="157">
        <v>1.35</v>
      </c>
      <c r="F220" s="1" t="s">
        <v>174</v>
      </c>
      <c r="G220" s="5">
        <v>1400</v>
      </c>
      <c r="H220" s="147">
        <f>Table3[[#This Row],[Qty]]*Table3[[#This Row],[Price]]</f>
        <v>1890.0000000000002</v>
      </c>
      <c r="I220" s="5"/>
    </row>
    <row r="221" spans="1:10" x14ac:dyDescent="0.25">
      <c r="A221" s="152">
        <v>46018</v>
      </c>
      <c r="B221" s="148" t="s">
        <v>117</v>
      </c>
      <c r="C221" s="148" t="s">
        <v>838</v>
      </c>
      <c r="D221" s="58" t="s">
        <v>873</v>
      </c>
      <c r="E221" s="146">
        <v>6</v>
      </c>
      <c r="F221" s="1" t="s">
        <v>174</v>
      </c>
      <c r="G221" s="5">
        <v>80</v>
      </c>
      <c r="H221" s="147">
        <f>Table3[[#This Row],[Qty]]*Table3[[#This Row],[Price]]</f>
        <v>480</v>
      </c>
      <c r="I221" s="5"/>
      <c r="J221" s="159"/>
    </row>
    <row r="222" spans="1:10" x14ac:dyDescent="0.25">
      <c r="A222" s="144">
        <v>46018</v>
      </c>
      <c r="B222" s="145" t="s">
        <v>117</v>
      </c>
      <c r="C222" s="145" t="s">
        <v>838</v>
      </c>
      <c r="D222" s="1" t="s">
        <v>844</v>
      </c>
      <c r="E222" s="157">
        <v>5</v>
      </c>
      <c r="F222" s="1" t="s">
        <v>174</v>
      </c>
      <c r="G222" s="5">
        <v>50</v>
      </c>
      <c r="H222" s="147">
        <f>Table3[[#This Row],[Qty]]*Table3[[#This Row],[Price]]</f>
        <v>250</v>
      </c>
      <c r="I222" s="5"/>
    </row>
    <row r="223" spans="1:10" x14ac:dyDescent="0.25">
      <c r="A223" s="152">
        <v>46018</v>
      </c>
      <c r="B223" s="148" t="s">
        <v>117</v>
      </c>
      <c r="C223" s="148" t="s">
        <v>310</v>
      </c>
      <c r="D223" s="58" t="s">
        <v>808</v>
      </c>
      <c r="E223" s="146">
        <v>1</v>
      </c>
      <c r="F223" s="1" t="s">
        <v>809</v>
      </c>
      <c r="G223" s="5">
        <v>896</v>
      </c>
      <c r="H223" s="147">
        <f>Table3[[#This Row],[Qty]]*Table3[[#This Row],[Price]]</f>
        <v>896</v>
      </c>
      <c r="I223" s="5"/>
    </row>
    <row r="224" spans="1:10" x14ac:dyDescent="0.25">
      <c r="A224" s="152">
        <v>46018</v>
      </c>
      <c r="B224" s="148" t="s">
        <v>117</v>
      </c>
      <c r="C224" s="148" t="s">
        <v>838</v>
      </c>
      <c r="D224" s="1" t="s">
        <v>874</v>
      </c>
      <c r="E224" s="146">
        <v>2</v>
      </c>
      <c r="F224" s="1" t="s">
        <v>174</v>
      </c>
      <c r="G224" s="5">
        <v>1600</v>
      </c>
      <c r="H224" s="147">
        <f>Table3[[#This Row],[Qty]]*Table3[[#This Row],[Price]]</f>
        <v>3200</v>
      </c>
      <c r="I224" s="5"/>
    </row>
    <row r="225" spans="1:9" x14ac:dyDescent="0.25">
      <c r="A225" s="144">
        <v>46018</v>
      </c>
      <c r="B225" s="145" t="s">
        <v>117</v>
      </c>
      <c r="C225" s="145" t="s">
        <v>12</v>
      </c>
      <c r="D225" s="1" t="s">
        <v>221</v>
      </c>
      <c r="E225" s="157">
        <v>2</v>
      </c>
      <c r="F225" s="1" t="s">
        <v>174</v>
      </c>
      <c r="G225" s="5">
        <v>183</v>
      </c>
      <c r="H225" s="147">
        <f>Table3[[#This Row],[Qty]]*Table3[[#This Row],[Price]]</f>
        <v>366</v>
      </c>
      <c r="I225" s="5"/>
    </row>
    <row r="226" spans="1:9" x14ac:dyDescent="0.25">
      <c r="A226" s="144">
        <v>46018</v>
      </c>
      <c r="B226" s="145" t="s">
        <v>117</v>
      </c>
      <c r="C226" s="145" t="s">
        <v>310</v>
      </c>
      <c r="D226" s="1" t="s">
        <v>787</v>
      </c>
      <c r="E226" s="146">
        <v>8</v>
      </c>
      <c r="F226" s="1" t="s">
        <v>174</v>
      </c>
      <c r="G226" s="5">
        <v>170</v>
      </c>
      <c r="H226" s="147">
        <f>Table3[[#This Row],[Qty]]*Table3[[#This Row],[Price]]</f>
        <v>1360</v>
      </c>
      <c r="I226" s="5"/>
    </row>
    <row r="227" spans="1:9" x14ac:dyDescent="0.25">
      <c r="A227" s="144">
        <v>46018</v>
      </c>
      <c r="B227" s="145" t="s">
        <v>117</v>
      </c>
      <c r="C227" s="148" t="s">
        <v>310</v>
      </c>
      <c r="D227" s="1" t="s">
        <v>866</v>
      </c>
      <c r="E227" s="157">
        <v>16</v>
      </c>
      <c r="F227" s="1" t="s">
        <v>174</v>
      </c>
      <c r="G227" s="5">
        <v>480</v>
      </c>
      <c r="H227" s="147">
        <f>Table3[[#This Row],[Qty]]*Table3[[#This Row],[Price]]</f>
        <v>7680</v>
      </c>
      <c r="I227" s="5"/>
    </row>
    <row r="228" spans="1:9" x14ac:dyDescent="0.25">
      <c r="A228" s="144">
        <v>46018</v>
      </c>
      <c r="B228" s="145" t="s">
        <v>117</v>
      </c>
      <c r="C228" s="145" t="s">
        <v>838</v>
      </c>
      <c r="D228" s="1" t="s">
        <v>791</v>
      </c>
      <c r="E228" s="146">
        <v>6</v>
      </c>
      <c r="F228" s="1" t="s">
        <v>827</v>
      </c>
      <c r="G228" s="5">
        <v>443.33</v>
      </c>
      <c r="H228" s="147">
        <f>Table3[[#This Row],[Qty]]*Table3[[#This Row],[Price]]</f>
        <v>2659.98</v>
      </c>
      <c r="I228" s="5"/>
    </row>
    <row r="229" spans="1:9" x14ac:dyDescent="0.25">
      <c r="A229" s="144">
        <v>46018</v>
      </c>
      <c r="B229" s="145" t="s">
        <v>117</v>
      </c>
      <c r="C229" s="145" t="s">
        <v>838</v>
      </c>
      <c r="D229" s="1" t="s">
        <v>875</v>
      </c>
      <c r="E229" s="157">
        <v>0.35</v>
      </c>
      <c r="F229" s="1" t="s">
        <v>174</v>
      </c>
      <c r="G229" s="5">
        <v>580</v>
      </c>
      <c r="H229" s="147">
        <f>Table3[[#This Row],[Qty]]*Table3[[#This Row],[Price]]</f>
        <v>203</v>
      </c>
      <c r="I229" s="5"/>
    </row>
    <row r="230" spans="1:9" x14ac:dyDescent="0.25">
      <c r="A230" s="144">
        <v>46018</v>
      </c>
      <c r="B230" s="145" t="s">
        <v>117</v>
      </c>
      <c r="C230" s="145" t="s">
        <v>838</v>
      </c>
      <c r="D230" s="1" t="s">
        <v>876</v>
      </c>
      <c r="E230" s="1">
        <v>0.35</v>
      </c>
      <c r="F230" s="1" t="s">
        <v>174</v>
      </c>
      <c r="G230" s="5">
        <v>230</v>
      </c>
      <c r="H230" s="147">
        <f>Table3[[#This Row],[Qty]]*Table3[[#This Row],[Price]]</f>
        <v>80.5</v>
      </c>
      <c r="I230" s="5"/>
    </row>
    <row r="231" spans="1:9" x14ac:dyDescent="0.25">
      <c r="A231" s="144">
        <v>46018</v>
      </c>
      <c r="B231" s="145" t="s">
        <v>117</v>
      </c>
      <c r="C231" s="145" t="s">
        <v>310</v>
      </c>
      <c r="D231" s="1" t="s">
        <v>872</v>
      </c>
      <c r="E231" s="157">
        <v>1</v>
      </c>
      <c r="F231" s="1" t="s">
        <v>174</v>
      </c>
      <c r="G231" s="5">
        <v>1400</v>
      </c>
      <c r="H231" s="147">
        <f>Table3[[#This Row],[Qty]]*Table3[[#This Row],[Price]]</f>
        <v>1400</v>
      </c>
      <c r="I231" s="5"/>
    </row>
    <row r="232" spans="1:9" x14ac:dyDescent="0.25">
      <c r="A232" s="144">
        <v>46018</v>
      </c>
      <c r="B232" s="145" t="s">
        <v>117</v>
      </c>
      <c r="C232" s="148" t="s">
        <v>310</v>
      </c>
      <c r="D232" s="58" t="s">
        <v>854</v>
      </c>
      <c r="E232" s="146">
        <v>1</v>
      </c>
      <c r="F232" s="1" t="s">
        <v>174</v>
      </c>
      <c r="G232" s="5">
        <v>1600</v>
      </c>
      <c r="H232" s="147">
        <f>Table3[[#This Row],[Qty]]*Table3[[#This Row],[Price]]</f>
        <v>1600</v>
      </c>
      <c r="I232" s="5"/>
    </row>
    <row r="233" spans="1:9" x14ac:dyDescent="0.25">
      <c r="A233" s="144">
        <v>46019</v>
      </c>
      <c r="B233" s="145" t="s">
        <v>118</v>
      </c>
      <c r="C233" s="145" t="s">
        <v>12</v>
      </c>
      <c r="D233" s="58" t="s">
        <v>791</v>
      </c>
      <c r="E233" s="146">
        <v>9</v>
      </c>
      <c r="F233" s="1" t="s">
        <v>827</v>
      </c>
      <c r="G233" s="5">
        <v>443</v>
      </c>
      <c r="H233" s="147">
        <f>Table3[[#This Row],[Qty]]*Table3[[#This Row],[Price]]</f>
        <v>3987</v>
      </c>
      <c r="I233" s="5"/>
    </row>
    <row r="234" spans="1:9" x14ac:dyDescent="0.25">
      <c r="A234" s="144">
        <v>46019</v>
      </c>
      <c r="B234" s="145" t="s">
        <v>118</v>
      </c>
      <c r="C234" s="145" t="s">
        <v>12</v>
      </c>
      <c r="D234" s="58" t="s">
        <v>144</v>
      </c>
      <c r="E234" s="157">
        <v>11</v>
      </c>
      <c r="F234" s="58" t="s">
        <v>819</v>
      </c>
      <c r="G234" s="5">
        <v>30</v>
      </c>
      <c r="H234" s="147">
        <f>Table3[[#This Row],[Qty]]*Table3[[#This Row],[Price]]</f>
        <v>330</v>
      </c>
      <c r="I234" s="5"/>
    </row>
    <row r="235" spans="1:9" x14ac:dyDescent="0.25">
      <c r="A235" s="152">
        <v>46019</v>
      </c>
      <c r="B235" s="148" t="s">
        <v>118</v>
      </c>
      <c r="C235" s="148" t="s">
        <v>99</v>
      </c>
      <c r="D235" s="1" t="s">
        <v>874</v>
      </c>
      <c r="E235" s="146">
        <v>6</v>
      </c>
      <c r="F235" s="1" t="s">
        <v>174</v>
      </c>
      <c r="G235" s="5">
        <v>1600</v>
      </c>
      <c r="H235" s="147">
        <f>Table3[[#This Row],[Qty]]*Table3[[#This Row],[Price]]</f>
        <v>9600</v>
      </c>
      <c r="I235" s="5"/>
    </row>
    <row r="236" spans="1:9" x14ac:dyDescent="0.25">
      <c r="A236" s="144">
        <v>46019</v>
      </c>
      <c r="B236" s="145" t="s">
        <v>118</v>
      </c>
      <c r="C236" s="145" t="s">
        <v>99</v>
      </c>
      <c r="D236" s="1" t="s">
        <v>863</v>
      </c>
      <c r="E236" s="146">
        <v>2</v>
      </c>
      <c r="F236" s="1" t="s">
        <v>174</v>
      </c>
      <c r="G236" s="5">
        <v>200</v>
      </c>
      <c r="H236" s="147">
        <f>Table3[[#This Row],[Qty]]*Table3[[#This Row],[Price]]</f>
        <v>400</v>
      </c>
      <c r="I236" s="5"/>
    </row>
    <row r="237" spans="1:9" x14ac:dyDescent="0.25">
      <c r="A237" s="144">
        <v>46019</v>
      </c>
      <c r="B237" s="145" t="s">
        <v>118</v>
      </c>
      <c r="C237" s="145" t="s">
        <v>99</v>
      </c>
      <c r="D237" s="1" t="s">
        <v>794</v>
      </c>
      <c r="E237" s="157">
        <v>50</v>
      </c>
      <c r="F237" s="1" t="s">
        <v>174</v>
      </c>
      <c r="G237" s="5">
        <v>113</v>
      </c>
      <c r="H237" s="147">
        <f>Table3[[#This Row],[Qty]]*Table3[[#This Row],[Price]]</f>
        <v>5650</v>
      </c>
      <c r="I237" s="5"/>
    </row>
    <row r="238" spans="1:9" x14ac:dyDescent="0.25">
      <c r="A238" s="144">
        <v>46019</v>
      </c>
      <c r="B238" s="145" t="s">
        <v>118</v>
      </c>
      <c r="C238" s="145" t="s">
        <v>99</v>
      </c>
      <c r="D238" s="1" t="s">
        <v>860</v>
      </c>
      <c r="E238" s="157">
        <v>1.5</v>
      </c>
      <c r="F238" s="1" t="s">
        <v>174</v>
      </c>
      <c r="G238" s="5">
        <v>12</v>
      </c>
      <c r="H238" s="147">
        <f>Table3[[#This Row],[Qty]]*Table3[[#This Row],[Price]]</f>
        <v>18</v>
      </c>
      <c r="I238" s="5"/>
    </row>
    <row r="239" spans="1:9" x14ac:dyDescent="0.25">
      <c r="A239" s="144">
        <v>46019</v>
      </c>
      <c r="B239" s="145" t="s">
        <v>118</v>
      </c>
      <c r="C239" s="145" t="s">
        <v>99</v>
      </c>
      <c r="D239" s="1" t="s">
        <v>844</v>
      </c>
      <c r="E239" s="157">
        <v>20</v>
      </c>
      <c r="F239" s="1" t="s">
        <v>174</v>
      </c>
      <c r="G239" s="5">
        <v>50</v>
      </c>
      <c r="H239" s="147">
        <f>Table3[[#This Row],[Qty]]*Table3[[#This Row],[Price]]</f>
        <v>1000</v>
      </c>
      <c r="I239" s="5"/>
    </row>
    <row r="240" spans="1:9" x14ac:dyDescent="0.25">
      <c r="A240" s="144">
        <v>46019</v>
      </c>
      <c r="B240" s="145" t="s">
        <v>118</v>
      </c>
      <c r="C240" s="145" t="s">
        <v>99</v>
      </c>
      <c r="D240" s="1" t="s">
        <v>855</v>
      </c>
      <c r="E240" s="157">
        <v>1</v>
      </c>
      <c r="F240" s="1" t="s">
        <v>174</v>
      </c>
      <c r="G240" s="5">
        <v>50</v>
      </c>
      <c r="H240" s="147">
        <f>Table3[[#This Row],[Qty]]*Table3[[#This Row],[Price]]</f>
        <v>50</v>
      </c>
      <c r="I240" s="5"/>
    </row>
    <row r="241" spans="1:9" x14ac:dyDescent="0.25">
      <c r="A241" s="144">
        <v>46019</v>
      </c>
      <c r="B241" s="145" t="s">
        <v>118</v>
      </c>
      <c r="C241" s="145" t="s">
        <v>99</v>
      </c>
      <c r="D241" s="1" t="s">
        <v>842</v>
      </c>
      <c r="E241" s="157">
        <v>5</v>
      </c>
      <c r="F241" s="1" t="s">
        <v>174</v>
      </c>
      <c r="G241" s="5">
        <v>80</v>
      </c>
      <c r="H241" s="147">
        <f>Table3[[#This Row],[Qty]]*Table3[[#This Row],[Price]]</f>
        <v>400</v>
      </c>
      <c r="I241" s="5"/>
    </row>
    <row r="242" spans="1:9" x14ac:dyDescent="0.25">
      <c r="A242" s="144">
        <v>46019</v>
      </c>
      <c r="B242" s="145" t="s">
        <v>118</v>
      </c>
      <c r="C242" s="145" t="s">
        <v>99</v>
      </c>
      <c r="D242" s="58" t="s">
        <v>852</v>
      </c>
      <c r="E242" s="1">
        <v>0.25</v>
      </c>
      <c r="F242" s="1" t="s">
        <v>174</v>
      </c>
      <c r="G242" s="5">
        <v>150</v>
      </c>
      <c r="H242" s="147">
        <f>Table3[[#This Row],[Qty]]*Table3[[#This Row],[Price]]</f>
        <v>37.5</v>
      </c>
      <c r="I242" s="5"/>
    </row>
    <row r="243" spans="1:9" x14ac:dyDescent="0.25">
      <c r="A243" s="144">
        <v>46019</v>
      </c>
      <c r="B243" s="145" t="s">
        <v>118</v>
      </c>
      <c r="C243" s="145" t="s">
        <v>12</v>
      </c>
      <c r="D243" s="1" t="s">
        <v>235</v>
      </c>
      <c r="E243" s="157">
        <v>7</v>
      </c>
      <c r="F243" s="1" t="s">
        <v>174</v>
      </c>
      <c r="G243" s="5">
        <v>183</v>
      </c>
      <c r="H243" s="147">
        <f>Table3[[#This Row],[Qty]]*Table3[[#This Row],[Price]]</f>
        <v>1281</v>
      </c>
      <c r="I243" s="5"/>
    </row>
    <row r="244" spans="1:9" x14ac:dyDescent="0.25">
      <c r="A244" s="144">
        <v>46019</v>
      </c>
      <c r="B244" s="145" t="s">
        <v>118</v>
      </c>
      <c r="C244" s="145" t="s">
        <v>99</v>
      </c>
      <c r="D244" s="1" t="s">
        <v>222</v>
      </c>
      <c r="E244" s="157">
        <v>5</v>
      </c>
      <c r="F244" s="58" t="s">
        <v>819</v>
      </c>
      <c r="G244" s="5">
        <v>30</v>
      </c>
      <c r="H244" s="147">
        <f>Table3[[#This Row],[Qty]]*Table3[[#This Row],[Price]]</f>
        <v>150</v>
      </c>
      <c r="I244" s="5"/>
    </row>
    <row r="245" spans="1:9" x14ac:dyDescent="0.25">
      <c r="A245" s="144">
        <v>46019</v>
      </c>
      <c r="B245" s="145" t="s">
        <v>118</v>
      </c>
      <c r="C245" s="145" t="s">
        <v>99</v>
      </c>
      <c r="D245" s="1" t="s">
        <v>791</v>
      </c>
      <c r="E245" s="146">
        <v>3</v>
      </c>
      <c r="F245" s="1" t="s">
        <v>827</v>
      </c>
      <c r="G245" s="5">
        <v>443.33</v>
      </c>
      <c r="H245" s="147">
        <f>Table3[[#This Row],[Qty]]*Table3[[#This Row],[Price]]</f>
        <v>1329.99</v>
      </c>
      <c r="I245" s="5"/>
    </row>
    <row r="246" spans="1:9" x14ac:dyDescent="0.25">
      <c r="A246" s="152">
        <v>46019</v>
      </c>
      <c r="B246" s="148" t="s">
        <v>118</v>
      </c>
      <c r="C246" s="148" t="s">
        <v>310</v>
      </c>
      <c r="D246" s="58" t="s">
        <v>866</v>
      </c>
      <c r="E246" s="157">
        <v>1</v>
      </c>
      <c r="F246" s="1" t="s">
        <v>174</v>
      </c>
      <c r="G246" s="5">
        <v>480</v>
      </c>
      <c r="H246" s="147">
        <f>Table3[[#This Row],[Qty]]*Table3[[#This Row],[Price]]</f>
        <v>480</v>
      </c>
      <c r="I246" s="5"/>
    </row>
    <row r="247" spans="1:9" x14ac:dyDescent="0.25">
      <c r="A247" s="144">
        <v>46019</v>
      </c>
      <c r="B247" s="145" t="s">
        <v>118</v>
      </c>
      <c r="C247" s="145" t="s">
        <v>99</v>
      </c>
      <c r="D247" s="1" t="s">
        <v>865</v>
      </c>
      <c r="E247" s="157">
        <v>5</v>
      </c>
      <c r="F247" s="1" t="s">
        <v>174</v>
      </c>
      <c r="G247" s="5">
        <v>120</v>
      </c>
      <c r="H247" s="147">
        <f>Table3[[#This Row],[Qty]]*Table3[[#This Row],[Price]]</f>
        <v>600</v>
      </c>
      <c r="I247" s="5"/>
    </row>
    <row r="248" spans="1:9" x14ac:dyDescent="0.25">
      <c r="A248" s="144">
        <v>46019</v>
      </c>
      <c r="B248" s="145" t="s">
        <v>118</v>
      </c>
      <c r="C248" s="145" t="s">
        <v>99</v>
      </c>
      <c r="D248" s="58" t="s">
        <v>852</v>
      </c>
      <c r="E248" s="1">
        <v>0.6</v>
      </c>
      <c r="F248" s="1" t="s">
        <v>174</v>
      </c>
      <c r="G248" s="5">
        <v>150</v>
      </c>
      <c r="H248" s="147">
        <f>Table3[[#This Row],[Qty]]*Table3[[#This Row],[Price]]</f>
        <v>90</v>
      </c>
      <c r="I248" s="5"/>
    </row>
    <row r="249" spans="1:9" x14ac:dyDescent="0.25">
      <c r="A249" s="144">
        <v>46019</v>
      </c>
      <c r="B249" s="145" t="s">
        <v>118</v>
      </c>
      <c r="C249" s="145" t="s">
        <v>99</v>
      </c>
      <c r="D249" s="1" t="s">
        <v>876</v>
      </c>
      <c r="E249" s="1">
        <v>0.35</v>
      </c>
      <c r="F249" s="1" t="s">
        <v>174</v>
      </c>
      <c r="G249" s="5">
        <v>230</v>
      </c>
      <c r="H249" s="147">
        <f>Table3[[#This Row],[Qty]]*Table3[[#This Row],[Price]]</f>
        <v>80.5</v>
      </c>
      <c r="I249" s="5"/>
    </row>
    <row r="250" spans="1:9" x14ac:dyDescent="0.25">
      <c r="A250" s="144">
        <v>46019</v>
      </c>
      <c r="B250" s="145" t="s">
        <v>118</v>
      </c>
      <c r="C250" s="145" t="s">
        <v>99</v>
      </c>
      <c r="D250" s="1" t="s">
        <v>846</v>
      </c>
      <c r="E250" s="157">
        <v>1</v>
      </c>
      <c r="F250" s="1" t="s">
        <v>174</v>
      </c>
      <c r="G250" s="5">
        <v>40</v>
      </c>
      <c r="H250" s="147">
        <f>Table3[[#This Row],[Qty]]*Table3[[#This Row],[Price]]</f>
        <v>40</v>
      </c>
      <c r="I250" s="5"/>
    </row>
    <row r="251" spans="1:9" x14ac:dyDescent="0.25">
      <c r="A251" s="144">
        <v>46019</v>
      </c>
      <c r="B251" s="145" t="s">
        <v>118</v>
      </c>
      <c r="C251" s="145" t="s">
        <v>99</v>
      </c>
      <c r="D251" s="1" t="s">
        <v>845</v>
      </c>
      <c r="E251" s="157">
        <v>1</v>
      </c>
      <c r="F251" s="1" t="s">
        <v>174</v>
      </c>
      <c r="G251" s="5">
        <v>50</v>
      </c>
      <c r="H251" s="147">
        <f>Table3[[#This Row],[Qty]]*Table3[[#This Row],[Price]]</f>
        <v>50</v>
      </c>
      <c r="I251" s="5"/>
    </row>
    <row r="252" spans="1:9" x14ac:dyDescent="0.25">
      <c r="A252" s="144">
        <v>46019</v>
      </c>
      <c r="B252" s="145" t="s">
        <v>118</v>
      </c>
      <c r="C252" s="145" t="s">
        <v>310</v>
      </c>
      <c r="D252" s="1" t="s">
        <v>787</v>
      </c>
      <c r="E252" s="146">
        <v>5</v>
      </c>
      <c r="F252" s="1" t="s">
        <v>174</v>
      </c>
      <c r="G252" s="5">
        <v>170</v>
      </c>
      <c r="H252" s="147">
        <f>Table3[[#This Row],[Qty]]*Table3[[#This Row],[Price]]</f>
        <v>850</v>
      </c>
      <c r="I252" s="5"/>
    </row>
    <row r="253" spans="1:9" x14ac:dyDescent="0.25">
      <c r="A253" s="144">
        <v>46019</v>
      </c>
      <c r="B253" s="145" t="s">
        <v>118</v>
      </c>
      <c r="C253" s="145" t="s">
        <v>310</v>
      </c>
      <c r="D253" s="1" t="s">
        <v>872</v>
      </c>
      <c r="E253" s="157">
        <v>2.1</v>
      </c>
      <c r="F253" s="1" t="s">
        <v>174</v>
      </c>
      <c r="G253" s="5">
        <v>1400</v>
      </c>
      <c r="H253" s="147">
        <f>Table3[[#This Row],[Qty]]*Table3[[#This Row],[Price]]</f>
        <v>2940</v>
      </c>
      <c r="I253" s="5"/>
    </row>
    <row r="254" spans="1:9" x14ac:dyDescent="0.25">
      <c r="A254" s="144">
        <v>46019</v>
      </c>
      <c r="B254" s="145" t="s">
        <v>118</v>
      </c>
      <c r="C254" s="145" t="s">
        <v>99</v>
      </c>
      <c r="D254" s="1" t="s">
        <v>793</v>
      </c>
      <c r="E254" s="146">
        <v>4</v>
      </c>
      <c r="F254" s="1" t="s">
        <v>174</v>
      </c>
      <c r="G254" s="5">
        <v>119</v>
      </c>
      <c r="H254" s="147">
        <f>Table3[[#This Row],[Qty]]*Table3[[#This Row],[Price]]</f>
        <v>476</v>
      </c>
      <c r="I254" s="5"/>
    </row>
    <row r="255" spans="1:9" x14ac:dyDescent="0.25">
      <c r="A255" s="144">
        <v>46019</v>
      </c>
      <c r="B255" s="145" t="s">
        <v>118</v>
      </c>
      <c r="C255" s="145" t="s">
        <v>99</v>
      </c>
      <c r="D255" s="1" t="s">
        <v>864</v>
      </c>
      <c r="E255" s="157">
        <v>2</v>
      </c>
      <c r="F255" s="1" t="s">
        <v>174</v>
      </c>
      <c r="G255" s="5">
        <v>608</v>
      </c>
      <c r="H255" s="147">
        <f>Table3[[#This Row],[Qty]]*Table3[[#This Row],[Price]]</f>
        <v>1216</v>
      </c>
      <c r="I255" s="5"/>
    </row>
    <row r="256" spans="1:9" x14ac:dyDescent="0.25">
      <c r="A256" s="152">
        <v>46019</v>
      </c>
      <c r="B256" s="148" t="s">
        <v>118</v>
      </c>
      <c r="C256" s="145" t="s">
        <v>310</v>
      </c>
      <c r="D256" s="58" t="s">
        <v>862</v>
      </c>
      <c r="E256" s="146">
        <v>11</v>
      </c>
      <c r="F256" s="1" t="s">
        <v>174</v>
      </c>
      <c r="G256" s="5">
        <v>170</v>
      </c>
      <c r="H256" s="147">
        <f>Table3[[#This Row],[Qty]]*Table3[[#This Row],[Price]]</f>
        <v>1870</v>
      </c>
      <c r="I256" s="5"/>
    </row>
    <row r="257" spans="1:9" x14ac:dyDescent="0.25">
      <c r="A257" s="152">
        <v>46019</v>
      </c>
      <c r="B257" s="148" t="s">
        <v>118</v>
      </c>
      <c r="C257" s="145" t="s">
        <v>310</v>
      </c>
      <c r="D257" s="58" t="s">
        <v>786</v>
      </c>
      <c r="E257" s="157">
        <v>1.35</v>
      </c>
      <c r="F257" s="1" t="s">
        <v>174</v>
      </c>
      <c r="G257" s="5">
        <v>1400</v>
      </c>
      <c r="H257" s="147">
        <f>Table3[[#This Row],[Qty]]*Table3[[#This Row],[Price]]</f>
        <v>1890.0000000000002</v>
      </c>
      <c r="I257" s="160"/>
    </row>
    <row r="258" spans="1:9" x14ac:dyDescent="0.25">
      <c r="A258" s="152">
        <v>46019</v>
      </c>
      <c r="B258" s="148" t="s">
        <v>118</v>
      </c>
      <c r="C258" s="148" t="s">
        <v>310</v>
      </c>
      <c r="D258" s="58" t="s">
        <v>854</v>
      </c>
      <c r="E258" s="146">
        <v>1</v>
      </c>
      <c r="F258" s="1" t="s">
        <v>174</v>
      </c>
      <c r="G258" s="5">
        <v>1600</v>
      </c>
      <c r="H258" s="147">
        <f>Table3[[#This Row],[Qty]]*Table3[[#This Row],[Price]]</f>
        <v>1600</v>
      </c>
      <c r="I258" s="160"/>
    </row>
    <row r="259" spans="1:9" x14ac:dyDescent="0.25">
      <c r="A259" s="152">
        <v>46019</v>
      </c>
      <c r="B259" s="148" t="s">
        <v>118</v>
      </c>
      <c r="C259" s="148" t="s">
        <v>310</v>
      </c>
      <c r="D259" s="58" t="s">
        <v>877</v>
      </c>
      <c r="E259" s="146">
        <v>50</v>
      </c>
      <c r="F259" s="1" t="s">
        <v>174</v>
      </c>
      <c r="G259" s="5">
        <v>119</v>
      </c>
      <c r="H259" s="147">
        <f>Table3[[#This Row],[Qty]]*Table3[[#This Row],[Price]]</f>
        <v>5950</v>
      </c>
      <c r="I259" s="160"/>
    </row>
    <row r="260" spans="1:9" x14ac:dyDescent="0.25">
      <c r="A260" s="152">
        <v>46019</v>
      </c>
      <c r="B260" s="148" t="s">
        <v>118</v>
      </c>
      <c r="C260" s="148" t="s">
        <v>838</v>
      </c>
      <c r="D260" s="58" t="s">
        <v>878</v>
      </c>
      <c r="E260" s="58">
        <v>4</v>
      </c>
      <c r="F260" s="1" t="s">
        <v>174</v>
      </c>
      <c r="G260" s="5">
        <v>200</v>
      </c>
      <c r="H260" s="147">
        <f>Table3[[#This Row],[Qty]]*Table3[[#This Row],[Price]]</f>
        <v>800</v>
      </c>
      <c r="I260" s="5"/>
    </row>
    <row r="261" spans="1:9" x14ac:dyDescent="0.25">
      <c r="A261" s="152">
        <v>46019</v>
      </c>
      <c r="B261" s="148" t="s">
        <v>118</v>
      </c>
      <c r="C261" s="145" t="s">
        <v>310</v>
      </c>
      <c r="D261" s="58" t="s">
        <v>862</v>
      </c>
      <c r="E261" s="146">
        <v>2</v>
      </c>
      <c r="F261" s="1" t="s">
        <v>174</v>
      </c>
      <c r="G261" s="5">
        <v>170</v>
      </c>
      <c r="H261" s="147">
        <f>Table3[[#This Row],[Qty]]*Table3[[#This Row],[Price]]</f>
        <v>340</v>
      </c>
      <c r="I261" s="5"/>
    </row>
    <row r="262" spans="1:9" x14ac:dyDescent="0.25">
      <c r="A262" s="144">
        <v>46019</v>
      </c>
      <c r="B262" s="145" t="s">
        <v>118</v>
      </c>
      <c r="C262" s="145" t="s">
        <v>310</v>
      </c>
      <c r="D262" s="1" t="s">
        <v>872</v>
      </c>
      <c r="E262" s="157">
        <v>1.5</v>
      </c>
      <c r="F262" s="1" t="s">
        <v>174</v>
      </c>
      <c r="G262" s="5">
        <v>1400</v>
      </c>
      <c r="H262" s="147">
        <f>Table3[[#This Row],[Qty]]*Table3[[#This Row],[Price]]</f>
        <v>2100</v>
      </c>
      <c r="I262" s="5"/>
    </row>
    <row r="263" spans="1:9" x14ac:dyDescent="0.25">
      <c r="A263" s="144">
        <v>46019</v>
      </c>
      <c r="B263" s="145" t="s">
        <v>118</v>
      </c>
      <c r="C263" s="145" t="s">
        <v>838</v>
      </c>
      <c r="D263" s="1" t="s">
        <v>860</v>
      </c>
      <c r="E263" s="157">
        <v>0.5</v>
      </c>
      <c r="F263" s="1" t="s">
        <v>174</v>
      </c>
      <c r="G263" s="5">
        <v>12</v>
      </c>
      <c r="H263" s="147">
        <f>Table3[[#This Row],[Qty]]*Table3[[#This Row],[Price]]</f>
        <v>6</v>
      </c>
      <c r="I263" s="5"/>
    </row>
    <row r="264" spans="1:9" x14ac:dyDescent="0.25">
      <c r="A264" s="144">
        <v>46019</v>
      </c>
      <c r="B264" s="145" t="s">
        <v>118</v>
      </c>
      <c r="C264" s="145" t="s">
        <v>838</v>
      </c>
      <c r="D264" s="1" t="s">
        <v>876</v>
      </c>
      <c r="E264" s="1">
        <v>0.15</v>
      </c>
      <c r="F264" s="1" t="s">
        <v>174</v>
      </c>
      <c r="G264" s="5">
        <v>230</v>
      </c>
      <c r="H264" s="147">
        <f>Table3[[#This Row],[Qty]]*Table3[[#This Row],[Price]]</f>
        <v>34.5</v>
      </c>
      <c r="I264" s="5"/>
    </row>
    <row r="265" spans="1:9" x14ac:dyDescent="0.25">
      <c r="A265" s="144">
        <v>46019</v>
      </c>
      <c r="B265" s="145" t="s">
        <v>118</v>
      </c>
      <c r="C265" s="145" t="s">
        <v>838</v>
      </c>
      <c r="D265" s="1" t="s">
        <v>852</v>
      </c>
      <c r="E265" s="1">
        <v>0.3</v>
      </c>
      <c r="F265" s="1" t="s">
        <v>174</v>
      </c>
      <c r="G265" s="5">
        <v>150</v>
      </c>
      <c r="H265" s="147">
        <f>Table3[[#This Row],[Qty]]*Table3[[#This Row],[Price]]</f>
        <v>45</v>
      </c>
      <c r="I265" s="5"/>
    </row>
    <row r="266" spans="1:9" x14ac:dyDescent="0.25">
      <c r="A266" s="144">
        <v>46019</v>
      </c>
      <c r="B266" s="145" t="s">
        <v>118</v>
      </c>
      <c r="C266" s="145" t="s">
        <v>838</v>
      </c>
      <c r="D266" s="1" t="s">
        <v>791</v>
      </c>
      <c r="E266" s="146">
        <v>5</v>
      </c>
      <c r="F266" s="1" t="s">
        <v>827</v>
      </c>
      <c r="G266" s="5">
        <v>443.33</v>
      </c>
      <c r="H266" s="147">
        <f>Table3[[#This Row],[Qty]]*Table3[[#This Row],[Price]]</f>
        <v>2216.65</v>
      </c>
      <c r="I266" s="5"/>
    </row>
    <row r="267" spans="1:9" x14ac:dyDescent="0.25">
      <c r="A267" s="144">
        <v>46019</v>
      </c>
      <c r="B267" s="145" t="s">
        <v>118</v>
      </c>
      <c r="C267" s="145" t="s">
        <v>838</v>
      </c>
      <c r="D267" s="1" t="s">
        <v>789</v>
      </c>
      <c r="E267" s="146">
        <v>3</v>
      </c>
      <c r="F267" s="1" t="s">
        <v>174</v>
      </c>
      <c r="G267" s="5">
        <v>650</v>
      </c>
      <c r="H267" s="147">
        <f>Table3[[#This Row],[Qty]]*Table3[[#This Row],[Price]]</f>
        <v>1950</v>
      </c>
      <c r="I267" s="5"/>
    </row>
    <row r="268" spans="1:9" x14ac:dyDescent="0.25">
      <c r="A268" s="144">
        <v>46019</v>
      </c>
      <c r="B268" s="145" t="s">
        <v>118</v>
      </c>
      <c r="C268" s="145" t="s">
        <v>838</v>
      </c>
      <c r="D268" s="1" t="s">
        <v>796</v>
      </c>
      <c r="E268" s="146">
        <v>1.5</v>
      </c>
      <c r="F268" s="1" t="s">
        <v>174</v>
      </c>
      <c r="G268" s="5">
        <v>1150</v>
      </c>
      <c r="H268" s="147">
        <f>Table3[[#This Row],[Qty]]*Table3[[#This Row],[Price]]</f>
        <v>1725</v>
      </c>
      <c r="I268" s="5"/>
    </row>
    <row r="269" spans="1:9" x14ac:dyDescent="0.25">
      <c r="A269" s="144">
        <v>46019</v>
      </c>
      <c r="B269" s="145" t="s">
        <v>118</v>
      </c>
      <c r="C269" s="145" t="s">
        <v>838</v>
      </c>
      <c r="D269" s="1" t="s">
        <v>879</v>
      </c>
      <c r="E269" s="146">
        <v>2</v>
      </c>
      <c r="F269" s="1" t="s">
        <v>174</v>
      </c>
      <c r="G269" s="5">
        <v>2100</v>
      </c>
      <c r="H269" s="147">
        <f>Table3[[#This Row],[Qty]]*Table3[[#This Row],[Price]]</f>
        <v>4200</v>
      </c>
      <c r="I269" s="5"/>
    </row>
    <row r="270" spans="1:9" x14ac:dyDescent="0.25">
      <c r="A270" s="144">
        <v>46019</v>
      </c>
      <c r="B270" s="145" t="s">
        <v>118</v>
      </c>
      <c r="C270" s="145" t="s">
        <v>838</v>
      </c>
      <c r="D270" s="1" t="s">
        <v>803</v>
      </c>
      <c r="E270" s="157">
        <v>0.2</v>
      </c>
      <c r="F270" s="1" t="s">
        <v>174</v>
      </c>
      <c r="G270" s="5">
        <v>580</v>
      </c>
      <c r="H270" s="147">
        <f>Table3[[#This Row],[Qty]]*Table3[[#This Row],[Price]]</f>
        <v>116</v>
      </c>
      <c r="I270" s="5"/>
    </row>
    <row r="271" spans="1:9" x14ac:dyDescent="0.25">
      <c r="A271" s="152">
        <v>46020</v>
      </c>
      <c r="B271" s="148" t="s">
        <v>429</v>
      </c>
      <c r="C271" s="148" t="s">
        <v>12</v>
      </c>
      <c r="D271" s="58" t="s">
        <v>791</v>
      </c>
      <c r="E271" s="146">
        <v>9</v>
      </c>
      <c r="F271" s="1" t="s">
        <v>827</v>
      </c>
      <c r="G271" s="5">
        <v>443.33</v>
      </c>
      <c r="H271" s="147">
        <f>Table3[[#This Row],[Qty]]*Table3[[#This Row],[Price]]</f>
        <v>3989.97</v>
      </c>
      <c r="I271" s="5"/>
    </row>
    <row r="272" spans="1:9" x14ac:dyDescent="0.25">
      <c r="A272" s="152">
        <v>46020</v>
      </c>
      <c r="B272" s="148" t="s">
        <v>429</v>
      </c>
      <c r="C272" s="145" t="s">
        <v>310</v>
      </c>
      <c r="D272" s="58" t="s">
        <v>862</v>
      </c>
      <c r="E272" s="146">
        <v>4.5</v>
      </c>
      <c r="F272" s="1" t="s">
        <v>174</v>
      </c>
      <c r="G272" s="5">
        <v>170</v>
      </c>
      <c r="H272" s="147">
        <f>Table3[[#This Row],[Qty]]*Table3[[#This Row],[Price]]</f>
        <v>765</v>
      </c>
      <c r="I272" s="5"/>
    </row>
    <row r="273" spans="1:9" x14ac:dyDescent="0.25">
      <c r="A273" s="152">
        <v>46020</v>
      </c>
      <c r="B273" s="148" t="s">
        <v>429</v>
      </c>
      <c r="C273" s="145" t="s">
        <v>310</v>
      </c>
      <c r="D273" s="58" t="s">
        <v>872</v>
      </c>
      <c r="E273" s="157">
        <v>3.6</v>
      </c>
      <c r="F273" s="1" t="s">
        <v>174</v>
      </c>
      <c r="G273" s="5">
        <v>1400</v>
      </c>
      <c r="H273" s="147">
        <f>Table3[[#This Row],[Qty]]*Table3[[#This Row],[Price]]</f>
        <v>5040</v>
      </c>
      <c r="I273" s="5"/>
    </row>
    <row r="274" spans="1:9" x14ac:dyDescent="0.25">
      <c r="A274" s="144">
        <v>46020</v>
      </c>
      <c r="B274" s="145" t="s">
        <v>429</v>
      </c>
      <c r="C274" s="145" t="s">
        <v>99</v>
      </c>
      <c r="D274" s="1" t="s">
        <v>864</v>
      </c>
      <c r="E274" s="157">
        <v>27</v>
      </c>
      <c r="F274" s="1" t="s">
        <v>174</v>
      </c>
      <c r="G274" s="5">
        <v>711</v>
      </c>
      <c r="H274" s="147">
        <f>Table3[[#This Row],[Qty]]*Table3[[#This Row],[Price]]</f>
        <v>19197</v>
      </c>
      <c r="I274" s="5"/>
    </row>
    <row r="275" spans="1:9" x14ac:dyDescent="0.25">
      <c r="A275" s="144">
        <v>46020</v>
      </c>
      <c r="B275" s="145" t="s">
        <v>429</v>
      </c>
      <c r="C275" s="145" t="s">
        <v>99</v>
      </c>
      <c r="D275" s="1" t="s">
        <v>794</v>
      </c>
      <c r="E275" s="157">
        <v>100</v>
      </c>
      <c r="F275" s="1" t="s">
        <v>174</v>
      </c>
      <c r="G275" s="5">
        <v>113</v>
      </c>
      <c r="H275" s="147">
        <f>Table3[[#This Row],[Qty]]*Table3[[#This Row],[Price]]</f>
        <v>11300</v>
      </c>
      <c r="I275" s="5"/>
    </row>
    <row r="276" spans="1:9" x14ac:dyDescent="0.25">
      <c r="A276" s="144">
        <v>46020</v>
      </c>
      <c r="B276" s="145" t="s">
        <v>429</v>
      </c>
      <c r="C276" s="145" t="s">
        <v>99</v>
      </c>
      <c r="D276" s="1" t="s">
        <v>860</v>
      </c>
      <c r="E276" s="157">
        <v>3</v>
      </c>
      <c r="F276" s="1" t="s">
        <v>174</v>
      </c>
      <c r="G276" s="5">
        <v>12</v>
      </c>
      <c r="H276" s="147">
        <f>Table3[[#This Row],[Qty]]*Table3[[#This Row],[Price]]</f>
        <v>36</v>
      </c>
      <c r="I276" s="5"/>
    </row>
    <row r="277" spans="1:9" x14ac:dyDescent="0.25">
      <c r="A277" s="144">
        <v>46020</v>
      </c>
      <c r="B277" s="145" t="s">
        <v>429</v>
      </c>
      <c r="C277" s="145" t="s">
        <v>99</v>
      </c>
      <c r="D277" s="1" t="s">
        <v>222</v>
      </c>
      <c r="E277" s="157">
        <v>11</v>
      </c>
      <c r="F277" s="58" t="s">
        <v>819</v>
      </c>
      <c r="G277" s="5">
        <v>30</v>
      </c>
      <c r="H277" s="147">
        <f>Table3[[#This Row],[Qty]]*Table3[[#This Row],[Price]]</f>
        <v>330</v>
      </c>
      <c r="I277" s="5"/>
    </row>
    <row r="278" spans="1:9" x14ac:dyDescent="0.25">
      <c r="A278" s="144">
        <v>46020</v>
      </c>
      <c r="B278" s="145" t="s">
        <v>429</v>
      </c>
      <c r="C278" s="145" t="s">
        <v>99</v>
      </c>
      <c r="D278" s="1" t="s">
        <v>844</v>
      </c>
      <c r="E278" s="157">
        <v>15.5</v>
      </c>
      <c r="F278" s="1" t="s">
        <v>174</v>
      </c>
      <c r="G278" s="5">
        <v>50</v>
      </c>
      <c r="H278" s="147">
        <f>Table3[[#This Row],[Qty]]*Table3[[#This Row],[Price]]</f>
        <v>775</v>
      </c>
      <c r="I278" s="5"/>
    </row>
    <row r="279" spans="1:9" x14ac:dyDescent="0.25">
      <c r="A279" s="144">
        <v>46020</v>
      </c>
      <c r="B279" s="145" t="s">
        <v>429</v>
      </c>
      <c r="C279" s="145" t="s">
        <v>99</v>
      </c>
      <c r="D279" s="1" t="s">
        <v>855</v>
      </c>
      <c r="E279" s="157">
        <v>15.5</v>
      </c>
      <c r="F279" s="1" t="s">
        <v>174</v>
      </c>
      <c r="G279" s="5">
        <v>50</v>
      </c>
      <c r="H279" s="147">
        <f>Table3[[#This Row],[Qty]]*Table3[[#This Row],[Price]]</f>
        <v>775</v>
      </c>
      <c r="I279" s="5"/>
    </row>
    <row r="280" spans="1:9" x14ac:dyDescent="0.25">
      <c r="A280" s="144">
        <v>46020</v>
      </c>
      <c r="B280" s="145" t="s">
        <v>429</v>
      </c>
      <c r="C280" s="145" t="s">
        <v>99</v>
      </c>
      <c r="D280" s="1" t="s">
        <v>852</v>
      </c>
      <c r="E280" s="1">
        <v>1.1000000000000001</v>
      </c>
      <c r="F280" s="1" t="s">
        <v>174</v>
      </c>
      <c r="G280" s="5">
        <v>150</v>
      </c>
      <c r="H280" s="147">
        <f>Table3[[#This Row],[Qty]]*Table3[[#This Row],[Price]]</f>
        <v>165</v>
      </c>
      <c r="I280" s="5"/>
    </row>
    <row r="281" spans="1:9" x14ac:dyDescent="0.25">
      <c r="A281" s="144">
        <v>46020</v>
      </c>
      <c r="B281" s="145" t="s">
        <v>429</v>
      </c>
      <c r="C281" s="145" t="s">
        <v>99</v>
      </c>
      <c r="D281" s="1" t="s">
        <v>842</v>
      </c>
      <c r="E281" s="157">
        <v>8.6999999999999993</v>
      </c>
      <c r="F281" s="1" t="s">
        <v>174</v>
      </c>
      <c r="G281" s="5">
        <v>80</v>
      </c>
      <c r="H281" s="147">
        <f>Table3[[#This Row],[Qty]]*Table3[[#This Row],[Price]]</f>
        <v>696</v>
      </c>
      <c r="I281" s="5"/>
    </row>
    <row r="282" spans="1:9" x14ac:dyDescent="0.25">
      <c r="A282" s="144">
        <v>46020</v>
      </c>
      <c r="B282" s="145" t="s">
        <v>429</v>
      </c>
      <c r="C282" s="145" t="s">
        <v>99</v>
      </c>
      <c r="D282" s="1" t="s">
        <v>876</v>
      </c>
      <c r="E282" s="1">
        <v>0.75</v>
      </c>
      <c r="F282" s="1" t="s">
        <v>174</v>
      </c>
      <c r="G282" s="5">
        <v>230</v>
      </c>
      <c r="H282" s="147">
        <f>Table3[[#This Row],[Qty]]*Table3[[#This Row],[Price]]</f>
        <v>172.5</v>
      </c>
      <c r="I282" s="5"/>
    </row>
    <row r="283" spans="1:9" x14ac:dyDescent="0.25">
      <c r="A283" s="144">
        <v>46020</v>
      </c>
      <c r="B283" s="145" t="s">
        <v>429</v>
      </c>
      <c r="C283" s="145" t="s">
        <v>310</v>
      </c>
      <c r="D283" s="1" t="s">
        <v>786</v>
      </c>
      <c r="E283" s="157">
        <v>1.3</v>
      </c>
      <c r="F283" s="1" t="s">
        <v>174</v>
      </c>
      <c r="G283" s="5">
        <v>1400</v>
      </c>
      <c r="H283" s="147">
        <f>Table3[[#This Row],[Qty]]*Table3[[#This Row],[Price]]</f>
        <v>1820</v>
      </c>
      <c r="I283" s="5"/>
    </row>
    <row r="284" spans="1:9" x14ac:dyDescent="0.25">
      <c r="A284" s="152">
        <v>46020</v>
      </c>
      <c r="B284" s="148" t="s">
        <v>429</v>
      </c>
      <c r="C284" s="145" t="s">
        <v>310</v>
      </c>
      <c r="D284" s="58" t="s">
        <v>862</v>
      </c>
      <c r="E284" s="146">
        <v>4.5</v>
      </c>
      <c r="F284" s="1" t="s">
        <v>174</v>
      </c>
      <c r="G284" s="5">
        <v>170</v>
      </c>
      <c r="H284" s="147">
        <f>Table3[[#This Row],[Qty]]*Table3[[#This Row],[Price]]</f>
        <v>765</v>
      </c>
      <c r="I284" s="5"/>
    </row>
    <row r="285" spans="1:9" x14ac:dyDescent="0.25">
      <c r="A285" s="144">
        <v>46020</v>
      </c>
      <c r="B285" s="145" t="s">
        <v>429</v>
      </c>
      <c r="C285" s="148" t="s">
        <v>310</v>
      </c>
      <c r="D285" s="1" t="s">
        <v>854</v>
      </c>
      <c r="E285" s="146">
        <v>1</v>
      </c>
      <c r="F285" s="1" t="s">
        <v>174</v>
      </c>
      <c r="G285" s="5">
        <v>1600</v>
      </c>
      <c r="H285" s="147">
        <f>Table3[[#This Row],[Qty]]*Table3[[#This Row],[Price]]</f>
        <v>1600</v>
      </c>
      <c r="I285" s="5"/>
    </row>
    <row r="286" spans="1:9" x14ac:dyDescent="0.25">
      <c r="A286" s="144">
        <v>46020</v>
      </c>
      <c r="B286" s="145" t="s">
        <v>429</v>
      </c>
      <c r="C286" s="145" t="s">
        <v>99</v>
      </c>
      <c r="D286" s="1" t="s">
        <v>791</v>
      </c>
      <c r="E286" s="146">
        <v>9</v>
      </c>
      <c r="F286" s="1" t="s">
        <v>827</v>
      </c>
      <c r="G286" s="5">
        <v>443.33</v>
      </c>
      <c r="H286" s="147">
        <f>Table3[[#This Row],[Qty]]*Table3[[#This Row],[Price]]</f>
        <v>3989.97</v>
      </c>
      <c r="I286" s="5"/>
    </row>
    <row r="287" spans="1:9" x14ac:dyDescent="0.25">
      <c r="A287" s="144">
        <v>46020</v>
      </c>
      <c r="B287" s="145" t="s">
        <v>429</v>
      </c>
      <c r="C287" s="145" t="s">
        <v>99</v>
      </c>
      <c r="D287" s="1" t="s">
        <v>845</v>
      </c>
      <c r="E287" s="157">
        <v>1.2</v>
      </c>
      <c r="F287" s="1" t="s">
        <v>174</v>
      </c>
      <c r="G287" s="5">
        <v>50</v>
      </c>
      <c r="H287" s="147">
        <f>Table3[[#This Row],[Qty]]*Table3[[#This Row],[Price]]</f>
        <v>60</v>
      </c>
      <c r="I287" s="5"/>
    </row>
    <row r="288" spans="1:9" x14ac:dyDescent="0.25">
      <c r="A288" s="144">
        <v>46020</v>
      </c>
      <c r="B288" s="145" t="s">
        <v>429</v>
      </c>
      <c r="C288" s="145" t="s">
        <v>99</v>
      </c>
      <c r="D288" s="1" t="s">
        <v>846</v>
      </c>
      <c r="E288" s="157">
        <v>1.3</v>
      </c>
      <c r="F288" s="1" t="s">
        <v>174</v>
      </c>
      <c r="G288" s="5">
        <v>40</v>
      </c>
      <c r="H288" s="147">
        <f>Table3[[#This Row],[Qty]]*Table3[[#This Row],[Price]]</f>
        <v>52</v>
      </c>
      <c r="I288" s="5"/>
    </row>
    <row r="289" spans="1:9" x14ac:dyDescent="0.25">
      <c r="A289" s="144">
        <v>46020</v>
      </c>
      <c r="B289" s="145" t="s">
        <v>429</v>
      </c>
      <c r="C289" s="148" t="s">
        <v>310</v>
      </c>
      <c r="D289" s="1" t="s">
        <v>837</v>
      </c>
      <c r="E289" s="146">
        <v>3</v>
      </c>
      <c r="F289" s="1" t="s">
        <v>174</v>
      </c>
      <c r="G289" s="5">
        <v>320</v>
      </c>
      <c r="H289" s="147">
        <f>Table3[[#This Row],[Qty]]*Table3[[#This Row],[Price]]</f>
        <v>960</v>
      </c>
      <c r="I289" s="5"/>
    </row>
    <row r="290" spans="1:9" x14ac:dyDescent="0.25">
      <c r="A290" s="144">
        <v>46020</v>
      </c>
      <c r="B290" s="145" t="s">
        <v>429</v>
      </c>
      <c r="C290" s="145" t="s">
        <v>99</v>
      </c>
      <c r="D290" s="1" t="s">
        <v>796</v>
      </c>
      <c r="E290" s="146">
        <v>1</v>
      </c>
      <c r="F290" s="1" t="s">
        <v>174</v>
      </c>
      <c r="G290" s="5">
        <v>1150</v>
      </c>
      <c r="H290" s="147">
        <f>Table3[[#This Row],[Qty]]*Table3[[#This Row],[Price]]</f>
        <v>1150</v>
      </c>
      <c r="I290" s="5"/>
    </row>
    <row r="291" spans="1:9" x14ac:dyDescent="0.25">
      <c r="A291" s="144">
        <v>46020</v>
      </c>
      <c r="B291" s="145" t="s">
        <v>429</v>
      </c>
      <c r="C291" s="145" t="s">
        <v>99</v>
      </c>
      <c r="D291" s="1" t="s">
        <v>797</v>
      </c>
      <c r="E291" s="157">
        <v>4.3</v>
      </c>
      <c r="F291" s="1" t="s">
        <v>174</v>
      </c>
      <c r="G291" s="5">
        <v>560</v>
      </c>
      <c r="H291" s="147">
        <f>Table3[[#This Row],[Qty]]*Table3[[#This Row],[Price]]</f>
        <v>2408</v>
      </c>
      <c r="I291" s="5"/>
    </row>
    <row r="292" spans="1:9" x14ac:dyDescent="0.25">
      <c r="A292" s="144">
        <v>46020</v>
      </c>
      <c r="B292" s="145" t="s">
        <v>429</v>
      </c>
      <c r="C292" s="145" t="s">
        <v>99</v>
      </c>
      <c r="D292" s="1" t="s">
        <v>880</v>
      </c>
      <c r="E292" s="146">
        <v>1</v>
      </c>
      <c r="F292" s="1" t="s">
        <v>174</v>
      </c>
      <c r="G292" s="5">
        <v>90</v>
      </c>
      <c r="H292" s="147">
        <f>Table3[[#This Row],[Qty]]*Table3[[#This Row],[Price]]</f>
        <v>90</v>
      </c>
      <c r="I292" s="5"/>
    </row>
    <row r="293" spans="1:9" x14ac:dyDescent="0.25">
      <c r="A293" s="144">
        <v>46020</v>
      </c>
      <c r="B293" s="145" t="s">
        <v>429</v>
      </c>
      <c r="C293" s="145" t="s">
        <v>99</v>
      </c>
      <c r="D293" s="1" t="s">
        <v>817</v>
      </c>
      <c r="E293" s="146">
        <v>1</v>
      </c>
      <c r="F293" s="1" t="s">
        <v>174</v>
      </c>
      <c r="G293" s="5">
        <v>480</v>
      </c>
      <c r="H293" s="147">
        <f>Table3[[#This Row],[Qty]]*Table3[[#This Row],[Price]]</f>
        <v>480</v>
      </c>
      <c r="I293" s="5"/>
    </row>
    <row r="294" spans="1:9" x14ac:dyDescent="0.25">
      <c r="A294" s="144">
        <v>46020</v>
      </c>
      <c r="B294" s="145" t="s">
        <v>429</v>
      </c>
      <c r="C294" s="145" t="s">
        <v>99</v>
      </c>
      <c r="D294" s="1" t="s">
        <v>865</v>
      </c>
      <c r="E294" s="157">
        <v>7</v>
      </c>
      <c r="F294" s="1" t="s">
        <v>174</v>
      </c>
      <c r="G294" s="5">
        <v>120</v>
      </c>
      <c r="H294" s="147">
        <f>Table3[[#This Row],[Qty]]*Table3[[#This Row],[Price]]</f>
        <v>840</v>
      </c>
      <c r="I294" s="5"/>
    </row>
    <row r="295" spans="1:9" x14ac:dyDescent="0.25">
      <c r="A295" s="144">
        <v>46020</v>
      </c>
      <c r="B295" s="145" t="s">
        <v>429</v>
      </c>
      <c r="C295" s="148" t="s">
        <v>310</v>
      </c>
      <c r="D295" s="58" t="s">
        <v>866</v>
      </c>
      <c r="E295" s="157">
        <v>1</v>
      </c>
      <c r="F295" s="1" t="s">
        <v>174</v>
      </c>
      <c r="G295" s="5">
        <v>480</v>
      </c>
      <c r="H295" s="147">
        <f>Table3[[#This Row],[Qty]]*Table3[[#This Row],[Price]]</f>
        <v>480</v>
      </c>
      <c r="I295" s="5"/>
    </row>
    <row r="296" spans="1:9" x14ac:dyDescent="0.25">
      <c r="A296" s="144">
        <v>46021</v>
      </c>
      <c r="B296" s="145" t="s">
        <v>361</v>
      </c>
      <c r="C296" s="145" t="s">
        <v>310</v>
      </c>
      <c r="D296" s="1" t="s">
        <v>868</v>
      </c>
      <c r="E296" s="146">
        <v>12</v>
      </c>
      <c r="F296" s="1" t="s">
        <v>827</v>
      </c>
      <c r="G296" s="5">
        <v>220</v>
      </c>
      <c r="H296" s="147">
        <f>Table3[[#This Row],[Qty]]*Table3[[#This Row],[Price]]</f>
        <v>2640</v>
      </c>
      <c r="I296" s="5"/>
    </row>
    <row r="297" spans="1:9" x14ac:dyDescent="0.25">
      <c r="A297" s="152">
        <v>46021</v>
      </c>
      <c r="B297" s="148" t="s">
        <v>361</v>
      </c>
      <c r="C297" s="145" t="s">
        <v>310</v>
      </c>
      <c r="D297" s="58" t="s">
        <v>862</v>
      </c>
      <c r="E297" s="146">
        <v>4</v>
      </c>
      <c r="F297" s="1" t="s">
        <v>174</v>
      </c>
      <c r="G297" s="5">
        <v>170</v>
      </c>
      <c r="H297" s="147">
        <f>Table3[[#This Row],[Qty]]*Table3[[#This Row],[Price]]</f>
        <v>680</v>
      </c>
      <c r="I297" s="5"/>
    </row>
    <row r="298" spans="1:9" x14ac:dyDescent="0.25">
      <c r="A298" s="144">
        <v>46021</v>
      </c>
      <c r="B298" s="145" t="s">
        <v>361</v>
      </c>
      <c r="C298" s="145" t="s">
        <v>310</v>
      </c>
      <c r="D298" s="1" t="s">
        <v>786</v>
      </c>
      <c r="E298" s="157">
        <v>1.6</v>
      </c>
      <c r="F298" s="1" t="s">
        <v>174</v>
      </c>
      <c r="G298" s="5">
        <v>1400</v>
      </c>
      <c r="H298" s="147">
        <f>Table3[[#This Row],[Qty]]*Table3[[#This Row],[Price]]</f>
        <v>2240</v>
      </c>
      <c r="I298" s="5"/>
    </row>
    <row r="299" spans="1:9" x14ac:dyDescent="0.25">
      <c r="A299" s="144">
        <v>46021</v>
      </c>
      <c r="B299" s="145" t="s">
        <v>361</v>
      </c>
      <c r="C299" s="145" t="s">
        <v>99</v>
      </c>
      <c r="D299" s="1" t="s">
        <v>794</v>
      </c>
      <c r="E299" s="157">
        <v>100</v>
      </c>
      <c r="F299" s="1" t="s">
        <v>174</v>
      </c>
      <c r="G299" s="5">
        <v>113</v>
      </c>
      <c r="H299" s="147">
        <f>Table3[[#This Row],[Qty]]*Table3[[#This Row],[Price]]</f>
        <v>11300</v>
      </c>
      <c r="I299" s="5"/>
    </row>
    <row r="300" spans="1:9" x14ac:dyDescent="0.25">
      <c r="A300" s="144">
        <v>46022</v>
      </c>
      <c r="B300" s="145" t="s">
        <v>114</v>
      </c>
      <c r="C300" s="145" t="s">
        <v>310</v>
      </c>
      <c r="D300" s="1" t="s">
        <v>868</v>
      </c>
      <c r="E300" s="146">
        <v>11</v>
      </c>
      <c r="F300" s="1" t="s">
        <v>827</v>
      </c>
      <c r="G300" s="5">
        <v>220</v>
      </c>
      <c r="H300" s="147">
        <f>Table3[[#This Row],[Qty]]*Table3[[#This Row],[Price]]</f>
        <v>2420</v>
      </c>
      <c r="I300" s="5"/>
    </row>
    <row r="301" spans="1:9" x14ac:dyDescent="0.25">
      <c r="A301" s="144">
        <v>46022</v>
      </c>
      <c r="B301" s="145" t="s">
        <v>114</v>
      </c>
      <c r="C301" s="145" t="s">
        <v>310</v>
      </c>
      <c r="D301" s="1" t="s">
        <v>787</v>
      </c>
      <c r="E301" s="157">
        <v>7</v>
      </c>
      <c r="F301" s="1" t="s">
        <v>174</v>
      </c>
      <c r="G301" s="5">
        <v>170</v>
      </c>
      <c r="H301" s="147">
        <f>Table3[[#This Row],[Qty]]*Table3[[#This Row],[Price]]</f>
        <v>1190</v>
      </c>
      <c r="I301" s="5"/>
    </row>
    <row r="302" spans="1:9" x14ac:dyDescent="0.25">
      <c r="A302" s="144">
        <v>46022</v>
      </c>
      <c r="B302" s="145" t="s">
        <v>114</v>
      </c>
      <c r="C302" s="145" t="s">
        <v>310</v>
      </c>
      <c r="D302" s="1" t="s">
        <v>872</v>
      </c>
      <c r="E302" s="157">
        <v>3.2</v>
      </c>
      <c r="F302" s="1" t="s">
        <v>174</v>
      </c>
      <c r="G302" s="5">
        <v>1400</v>
      </c>
      <c r="H302" s="147">
        <f>Table3[[#This Row],[Qty]]*Table3[[#This Row],[Price]]</f>
        <v>4480</v>
      </c>
      <c r="I302" s="5"/>
    </row>
    <row r="303" spans="1:9" x14ac:dyDescent="0.25">
      <c r="A303" s="144">
        <v>46022</v>
      </c>
      <c r="B303" s="145" t="s">
        <v>114</v>
      </c>
      <c r="C303" s="145" t="s">
        <v>12</v>
      </c>
      <c r="D303" s="1" t="s">
        <v>791</v>
      </c>
      <c r="E303" s="157">
        <v>7</v>
      </c>
      <c r="F303" s="1" t="s">
        <v>827</v>
      </c>
      <c r="G303" s="5">
        <v>443.33</v>
      </c>
      <c r="H303" s="147">
        <f>Table3[[#This Row],[Qty]]*Table3[[#This Row],[Price]]</f>
        <v>3103.31</v>
      </c>
      <c r="I303" s="5"/>
    </row>
    <row r="304" spans="1:9" x14ac:dyDescent="0.25">
      <c r="A304" s="144">
        <v>46022</v>
      </c>
      <c r="B304" s="145" t="s">
        <v>114</v>
      </c>
      <c r="C304" s="145" t="s">
        <v>12</v>
      </c>
      <c r="D304" s="1" t="s">
        <v>144</v>
      </c>
      <c r="E304" s="157">
        <v>11</v>
      </c>
      <c r="F304" s="58" t="s">
        <v>819</v>
      </c>
      <c r="G304" s="5">
        <v>30</v>
      </c>
      <c r="H304" s="147">
        <f>Table3[[#This Row],[Qty]]*Table3[[#This Row],[Price]]</f>
        <v>330</v>
      </c>
      <c r="I304" s="5"/>
    </row>
    <row r="305" spans="1:9" x14ac:dyDescent="0.25">
      <c r="A305" s="144">
        <v>46022</v>
      </c>
      <c r="B305" s="145" t="s">
        <v>114</v>
      </c>
      <c r="C305" s="145" t="s">
        <v>99</v>
      </c>
      <c r="D305" s="1" t="s">
        <v>794</v>
      </c>
      <c r="E305" s="157">
        <v>100</v>
      </c>
      <c r="F305" s="1" t="s">
        <v>174</v>
      </c>
      <c r="G305" s="5">
        <v>113</v>
      </c>
      <c r="H305" s="147">
        <f>Table3[[#This Row],[Qty]]*Table3[[#This Row],[Price]]</f>
        <v>11300</v>
      </c>
      <c r="I305" s="5"/>
    </row>
    <row r="306" spans="1:9" x14ac:dyDescent="0.25">
      <c r="A306" s="144">
        <v>46022</v>
      </c>
      <c r="B306" s="145" t="s">
        <v>114</v>
      </c>
      <c r="C306" s="145" t="s">
        <v>99</v>
      </c>
      <c r="D306" s="1" t="s">
        <v>791</v>
      </c>
      <c r="E306" s="157">
        <v>7</v>
      </c>
      <c r="F306" s="1" t="s">
        <v>827</v>
      </c>
      <c r="G306" s="5">
        <v>443.33</v>
      </c>
      <c r="H306" s="147">
        <f>Table3[[#This Row],[Qty]]*Table3[[#This Row],[Price]]</f>
        <v>3103.31</v>
      </c>
      <c r="I306" s="5"/>
    </row>
    <row r="307" spans="1:9" x14ac:dyDescent="0.25">
      <c r="A307" s="144">
        <v>46022</v>
      </c>
      <c r="B307" s="145" t="s">
        <v>114</v>
      </c>
      <c r="C307" s="145" t="s">
        <v>99</v>
      </c>
      <c r="D307" s="1" t="s">
        <v>798</v>
      </c>
      <c r="E307" s="157">
        <v>6</v>
      </c>
      <c r="F307" s="1" t="s">
        <v>174</v>
      </c>
      <c r="G307" s="5">
        <v>210</v>
      </c>
      <c r="H307" s="147">
        <f>Table3[[#This Row],[Qty]]*Table3[[#This Row],[Price]]</f>
        <v>1260</v>
      </c>
      <c r="I307" s="5"/>
    </row>
    <row r="308" spans="1:9" x14ac:dyDescent="0.25">
      <c r="A308" s="144">
        <v>46022</v>
      </c>
      <c r="B308" s="145" t="s">
        <v>114</v>
      </c>
      <c r="C308" s="145" t="s">
        <v>99</v>
      </c>
      <c r="D308" s="1" t="s">
        <v>843</v>
      </c>
      <c r="E308" s="157">
        <v>16.649999999999999</v>
      </c>
      <c r="F308" s="1" t="s">
        <v>174</v>
      </c>
      <c r="G308" s="5">
        <v>50</v>
      </c>
      <c r="H308" s="147">
        <f>Table3[[#This Row],[Qty]]*Table3[[#This Row],[Price]]</f>
        <v>832.49999999999989</v>
      </c>
      <c r="I308" s="5"/>
    </row>
    <row r="309" spans="1:9" x14ac:dyDescent="0.25">
      <c r="A309" s="144">
        <v>46022</v>
      </c>
      <c r="B309" s="145" t="s">
        <v>114</v>
      </c>
      <c r="C309" s="145" t="s">
        <v>99</v>
      </c>
      <c r="D309" s="1" t="s">
        <v>844</v>
      </c>
      <c r="E309" s="157">
        <v>16</v>
      </c>
      <c r="F309" s="1" t="s">
        <v>174</v>
      </c>
      <c r="G309" s="5">
        <v>50</v>
      </c>
      <c r="H309" s="147">
        <f>Table3[[#This Row],[Qty]]*Table3[[#This Row],[Price]]</f>
        <v>800</v>
      </c>
      <c r="I309" s="5"/>
    </row>
    <row r="310" spans="1:9" x14ac:dyDescent="0.25">
      <c r="A310" s="144">
        <v>46022</v>
      </c>
      <c r="B310" s="145" t="s">
        <v>114</v>
      </c>
      <c r="C310" s="145" t="s">
        <v>99</v>
      </c>
      <c r="D310" s="1" t="s">
        <v>876</v>
      </c>
      <c r="E310" s="157">
        <v>0.5</v>
      </c>
      <c r="F310" s="1" t="s">
        <v>174</v>
      </c>
      <c r="G310" s="5">
        <v>230</v>
      </c>
      <c r="H310" s="147">
        <f>Table3[[#This Row],[Qty]]*Table3[[#This Row],[Price]]</f>
        <v>115</v>
      </c>
      <c r="I310" s="5"/>
    </row>
    <row r="311" spans="1:9" x14ac:dyDescent="0.25">
      <c r="A311" s="144">
        <v>46022</v>
      </c>
      <c r="B311" s="145" t="s">
        <v>114</v>
      </c>
      <c r="C311" s="145" t="s">
        <v>99</v>
      </c>
      <c r="D311" s="1" t="s">
        <v>842</v>
      </c>
      <c r="E311" s="157">
        <v>10</v>
      </c>
      <c r="F311" s="1" t="s">
        <v>174</v>
      </c>
      <c r="G311" s="5">
        <v>75</v>
      </c>
      <c r="H311" s="147">
        <f>Table3[[#This Row],[Qty]]*Table3[[#This Row],[Price]]</f>
        <v>750</v>
      </c>
      <c r="I311" s="5"/>
    </row>
    <row r="312" spans="1:9" x14ac:dyDescent="0.25">
      <c r="A312" s="144">
        <v>46022</v>
      </c>
      <c r="B312" s="145" t="s">
        <v>114</v>
      </c>
      <c r="C312" s="145" t="s">
        <v>99</v>
      </c>
      <c r="D312" s="1" t="s">
        <v>881</v>
      </c>
      <c r="E312" s="157">
        <v>6.5</v>
      </c>
      <c r="F312" s="1" t="s">
        <v>174</v>
      </c>
      <c r="G312" s="5">
        <v>150</v>
      </c>
      <c r="H312" s="147">
        <f>Table3[[#This Row],[Qty]]*Table3[[#This Row],[Price]]</f>
        <v>975</v>
      </c>
      <c r="I312" s="5"/>
    </row>
    <row r="313" spans="1:9" x14ac:dyDescent="0.25">
      <c r="A313" s="144">
        <v>46022</v>
      </c>
      <c r="B313" s="145" t="s">
        <v>114</v>
      </c>
      <c r="C313" s="145" t="s">
        <v>99</v>
      </c>
      <c r="D313" s="1" t="s">
        <v>144</v>
      </c>
      <c r="E313" s="157">
        <v>6</v>
      </c>
      <c r="F313" s="58" t="s">
        <v>819</v>
      </c>
      <c r="G313" s="5">
        <v>30</v>
      </c>
      <c r="H313" s="147">
        <f>Table3[[#This Row],[Qty]]*Table3[[#This Row],[Price]]</f>
        <v>180</v>
      </c>
      <c r="I313" s="5"/>
    </row>
    <row r="314" spans="1:9" x14ac:dyDescent="0.25">
      <c r="A314" s="144">
        <v>46022</v>
      </c>
      <c r="B314" s="145" t="s">
        <v>114</v>
      </c>
      <c r="C314" s="148" t="s">
        <v>310</v>
      </c>
      <c r="D314" s="1" t="s">
        <v>866</v>
      </c>
      <c r="E314" s="157">
        <v>2.5</v>
      </c>
      <c r="F314" s="1" t="s">
        <v>174</v>
      </c>
      <c r="G314" s="5">
        <v>480</v>
      </c>
      <c r="H314" s="147">
        <f>Table3[[#This Row],[Qty]]*Table3[[#This Row],[Price]]</f>
        <v>1200</v>
      </c>
      <c r="I314" s="5"/>
    </row>
    <row r="315" spans="1:9" x14ac:dyDescent="0.25">
      <c r="A315" s="144">
        <v>46022</v>
      </c>
      <c r="B315" s="145" t="s">
        <v>114</v>
      </c>
      <c r="C315" s="145" t="s">
        <v>99</v>
      </c>
      <c r="D315" s="1" t="s">
        <v>795</v>
      </c>
      <c r="E315" s="157">
        <v>1.5</v>
      </c>
      <c r="F315" s="1" t="s">
        <v>174</v>
      </c>
      <c r="G315" s="5">
        <v>580</v>
      </c>
      <c r="H315" s="147">
        <f>Table3[[#This Row],[Qty]]*Table3[[#This Row],[Price]]</f>
        <v>870</v>
      </c>
      <c r="I315" s="5"/>
    </row>
    <row r="316" spans="1:9" x14ac:dyDescent="0.25">
      <c r="A316" s="153">
        <v>46022</v>
      </c>
      <c r="B316" s="154" t="s">
        <v>114</v>
      </c>
      <c r="C316" s="154" t="s">
        <v>99</v>
      </c>
      <c r="D316" s="155" t="s">
        <v>882</v>
      </c>
      <c r="E316" s="156">
        <v>50</v>
      </c>
      <c r="F316" s="151" t="s">
        <v>831</v>
      </c>
      <c r="G316" s="151"/>
      <c r="H316" s="147">
        <f>Table3[[#This Row],[Qty]]*Table3[[#This Row],[Price]]</f>
        <v>0</v>
      </c>
      <c r="I316" s="151"/>
    </row>
    <row r="317" spans="1:9" x14ac:dyDescent="0.25">
      <c r="A317" s="144">
        <v>46022</v>
      </c>
      <c r="B317" s="145" t="s">
        <v>114</v>
      </c>
      <c r="C317" s="145" t="s">
        <v>99</v>
      </c>
      <c r="D317" s="1" t="s">
        <v>858</v>
      </c>
      <c r="E317" s="157">
        <v>1</v>
      </c>
      <c r="F317" s="1" t="s">
        <v>174</v>
      </c>
      <c r="G317" s="5">
        <v>530</v>
      </c>
      <c r="H317" s="147">
        <f>Table3[[#This Row],[Qty]]*Table3[[#This Row],[Price]]</f>
        <v>530</v>
      </c>
      <c r="I317" s="5"/>
    </row>
    <row r="318" spans="1:9" x14ac:dyDescent="0.25">
      <c r="A318" s="144">
        <v>46022</v>
      </c>
      <c r="B318" s="145" t="s">
        <v>114</v>
      </c>
      <c r="C318" s="145" t="s">
        <v>99</v>
      </c>
      <c r="D318" s="1" t="s">
        <v>865</v>
      </c>
      <c r="E318" s="157">
        <v>12</v>
      </c>
      <c r="F318" s="1" t="s">
        <v>174</v>
      </c>
      <c r="G318" s="5">
        <v>120</v>
      </c>
      <c r="H318" s="147">
        <f>Table3[[#This Row],[Qty]]*Table3[[#This Row],[Price]]</f>
        <v>1440</v>
      </c>
      <c r="I318" s="5"/>
    </row>
    <row r="319" spans="1:9" x14ac:dyDescent="0.25">
      <c r="A319" s="144">
        <v>46022</v>
      </c>
      <c r="B319" s="145" t="s">
        <v>114</v>
      </c>
      <c r="C319" s="145" t="s">
        <v>99</v>
      </c>
      <c r="D319" s="1" t="s">
        <v>846</v>
      </c>
      <c r="E319" s="157">
        <v>0.5</v>
      </c>
      <c r="F319" s="1" t="s">
        <v>174</v>
      </c>
      <c r="G319" s="5">
        <v>95</v>
      </c>
      <c r="H319" s="147">
        <f>Table3[[#This Row],[Qty]]*Table3[[#This Row],[Price]]</f>
        <v>47.5</v>
      </c>
      <c r="I319" s="5"/>
    </row>
    <row r="320" spans="1:9" x14ac:dyDescent="0.25">
      <c r="A320" s="144">
        <v>46022</v>
      </c>
      <c r="B320" s="145" t="s">
        <v>114</v>
      </c>
      <c r="C320" s="145" t="s">
        <v>99</v>
      </c>
      <c r="D320" s="1" t="s">
        <v>869</v>
      </c>
      <c r="E320" s="157">
        <v>1.25</v>
      </c>
      <c r="F320" s="1" t="s">
        <v>174</v>
      </c>
      <c r="G320" s="5">
        <v>90</v>
      </c>
      <c r="H320" s="147">
        <f>Table3[[#This Row],[Qty]]*Table3[[#This Row],[Price]]</f>
        <v>112.5</v>
      </c>
      <c r="I320" s="5"/>
    </row>
    <row r="321" spans="1:9" x14ac:dyDescent="0.25">
      <c r="A321" s="144">
        <v>46022</v>
      </c>
      <c r="B321" s="145" t="s">
        <v>114</v>
      </c>
      <c r="C321" s="145" t="s">
        <v>99</v>
      </c>
      <c r="D321" s="1" t="s">
        <v>870</v>
      </c>
      <c r="E321" s="157">
        <v>0.3</v>
      </c>
      <c r="F321" s="1" t="s">
        <v>174</v>
      </c>
      <c r="G321" s="5">
        <v>50</v>
      </c>
      <c r="H321" s="147">
        <f>Table3[[#This Row],[Qty]]*Table3[[#This Row],[Price]]</f>
        <v>15</v>
      </c>
      <c r="I321" s="5"/>
    </row>
    <row r="322" spans="1:9" x14ac:dyDescent="0.25">
      <c r="A322" s="144">
        <v>46022</v>
      </c>
      <c r="B322" s="145" t="s">
        <v>114</v>
      </c>
      <c r="C322" s="145" t="s">
        <v>99</v>
      </c>
      <c r="D322" s="1" t="s">
        <v>875</v>
      </c>
      <c r="E322" s="157">
        <v>0.3</v>
      </c>
      <c r="F322" s="1" t="s">
        <v>174</v>
      </c>
      <c r="G322" s="5">
        <v>580</v>
      </c>
      <c r="H322" s="147">
        <f>Table3[[#This Row],[Qty]]*Table3[[#This Row],[Price]]</f>
        <v>174</v>
      </c>
      <c r="I322" s="5"/>
    </row>
    <row r="323" spans="1:9" x14ac:dyDescent="0.25">
      <c r="A323" s="144">
        <v>46022</v>
      </c>
      <c r="B323" s="145" t="s">
        <v>114</v>
      </c>
      <c r="C323" s="145" t="s">
        <v>99</v>
      </c>
      <c r="D323" s="1" t="s">
        <v>797</v>
      </c>
      <c r="E323" s="157">
        <v>2</v>
      </c>
      <c r="F323" s="1" t="s">
        <v>174</v>
      </c>
      <c r="G323" s="5">
        <v>560</v>
      </c>
      <c r="H323" s="147">
        <f>Table3[[#This Row],[Qty]]*Table3[[#This Row],[Price]]</f>
        <v>1120</v>
      </c>
      <c r="I323" s="5"/>
    </row>
    <row r="324" spans="1:9" x14ac:dyDescent="0.25">
      <c r="A324" s="144">
        <v>46022</v>
      </c>
      <c r="B324" s="145" t="s">
        <v>114</v>
      </c>
      <c r="C324" s="145" t="s">
        <v>12</v>
      </c>
      <c r="D324" s="1" t="s">
        <v>235</v>
      </c>
      <c r="E324" s="157">
        <v>2</v>
      </c>
      <c r="F324" s="1" t="s">
        <v>174</v>
      </c>
      <c r="G324" s="5">
        <v>183</v>
      </c>
      <c r="H324" s="147">
        <f>Table3[[#This Row],[Qty]]*Table3[[#This Row],[Price]]</f>
        <v>366</v>
      </c>
      <c r="I324" s="5"/>
    </row>
    <row r="325" spans="1:9" x14ac:dyDescent="0.25">
      <c r="A325" s="144">
        <v>46022</v>
      </c>
      <c r="B325" s="145" t="s">
        <v>114</v>
      </c>
      <c r="C325" s="145" t="s">
        <v>99</v>
      </c>
      <c r="D325" s="1" t="s">
        <v>841</v>
      </c>
      <c r="E325" s="157">
        <v>3.5</v>
      </c>
      <c r="F325" s="1" t="s">
        <v>174</v>
      </c>
      <c r="G325" s="5">
        <v>500</v>
      </c>
      <c r="H325" s="147">
        <f>Table3[[#This Row],[Qty]]*Table3[[#This Row],[Price]]</f>
        <v>1750</v>
      </c>
      <c r="I325" s="5"/>
    </row>
    <row r="326" spans="1:9" x14ac:dyDescent="0.25">
      <c r="A326" s="144">
        <v>46022</v>
      </c>
      <c r="B326" s="145" t="s">
        <v>114</v>
      </c>
      <c r="C326" s="145" t="s">
        <v>99</v>
      </c>
      <c r="D326" s="1" t="s">
        <v>849</v>
      </c>
      <c r="E326" s="157">
        <v>5.0000000000000001E-3</v>
      </c>
      <c r="F326" s="1" t="s">
        <v>174</v>
      </c>
      <c r="G326" s="5">
        <v>350</v>
      </c>
      <c r="H326" s="147">
        <f>Table3[[#This Row],[Qty]]*Table3[[#This Row],[Price]]</f>
        <v>1.75</v>
      </c>
      <c r="I326" s="5"/>
    </row>
    <row r="327" spans="1:9" x14ac:dyDescent="0.25">
      <c r="A327" s="144">
        <v>46022</v>
      </c>
      <c r="B327" s="145" t="s">
        <v>114</v>
      </c>
      <c r="C327" s="145" t="s">
        <v>99</v>
      </c>
      <c r="D327" s="1" t="s">
        <v>816</v>
      </c>
      <c r="E327" s="157">
        <v>3</v>
      </c>
      <c r="F327" s="1" t="s">
        <v>174</v>
      </c>
      <c r="G327" s="5">
        <v>12</v>
      </c>
      <c r="H327" s="147">
        <f>Table3[[#This Row],[Qty]]*Table3[[#This Row],[Price]]</f>
        <v>36</v>
      </c>
      <c r="I327" s="5"/>
    </row>
    <row r="328" spans="1:9" x14ac:dyDescent="0.25">
      <c r="A328" s="144">
        <v>46022</v>
      </c>
      <c r="B328" s="145" t="s">
        <v>114</v>
      </c>
      <c r="C328" s="148" t="s">
        <v>310</v>
      </c>
      <c r="D328" s="1" t="s">
        <v>808</v>
      </c>
      <c r="E328" s="157">
        <v>1</v>
      </c>
      <c r="F328" s="1" t="s">
        <v>809</v>
      </c>
      <c r="G328" s="5">
        <v>896</v>
      </c>
      <c r="H328" s="147">
        <f>Table3[[#This Row],[Qty]]*Table3[[#This Row],[Price]]</f>
        <v>896</v>
      </c>
      <c r="I328" s="5"/>
    </row>
    <row r="329" spans="1:9" x14ac:dyDescent="0.25">
      <c r="A329" s="144">
        <v>46022</v>
      </c>
      <c r="B329" s="145" t="s">
        <v>114</v>
      </c>
      <c r="C329" s="145" t="s">
        <v>310</v>
      </c>
      <c r="D329" s="1" t="s">
        <v>787</v>
      </c>
      <c r="E329" s="157">
        <v>4</v>
      </c>
      <c r="F329" s="1" t="s">
        <v>174</v>
      </c>
      <c r="G329" s="5">
        <v>170</v>
      </c>
      <c r="H329" s="147">
        <f>Table3[[#This Row],[Qty]]*Table3[[#This Row],[Price]]</f>
        <v>680</v>
      </c>
      <c r="I329" s="5"/>
    </row>
    <row r="330" spans="1:9" x14ac:dyDescent="0.25">
      <c r="A330" s="144">
        <v>46022</v>
      </c>
      <c r="B330" s="145" t="s">
        <v>114</v>
      </c>
      <c r="C330" s="145" t="s">
        <v>12</v>
      </c>
      <c r="D330" s="1" t="s">
        <v>816</v>
      </c>
      <c r="E330" s="157">
        <v>1.5</v>
      </c>
      <c r="F330" s="1" t="s">
        <v>174</v>
      </c>
      <c r="G330" s="5">
        <v>12</v>
      </c>
      <c r="H330" s="147">
        <f>Table3[[#This Row],[Qty]]*Table3[[#This Row],[Price]]</f>
        <v>18</v>
      </c>
      <c r="I330" s="5"/>
    </row>
    <row r="331" spans="1:9" x14ac:dyDescent="0.25">
      <c r="A331" s="144">
        <v>46022</v>
      </c>
      <c r="B331" s="145" t="s">
        <v>114</v>
      </c>
      <c r="C331" s="148" t="s">
        <v>310</v>
      </c>
      <c r="D331" s="1" t="s">
        <v>866</v>
      </c>
      <c r="E331" s="157">
        <v>2</v>
      </c>
      <c r="F331" s="1" t="s">
        <v>174</v>
      </c>
      <c r="G331" s="5">
        <v>480</v>
      </c>
      <c r="H331" s="147">
        <f>Table3[[#This Row],[Qty]]*Table3[[#This Row],[Price]]</f>
        <v>960</v>
      </c>
      <c r="I331" s="5"/>
    </row>
    <row r="332" spans="1:9" x14ac:dyDescent="0.25">
      <c r="A332" s="144">
        <v>46022</v>
      </c>
      <c r="B332" s="145" t="s">
        <v>114</v>
      </c>
      <c r="C332" s="145" t="s">
        <v>310</v>
      </c>
      <c r="D332" s="1" t="s">
        <v>872</v>
      </c>
      <c r="E332" s="157">
        <v>5.25</v>
      </c>
      <c r="F332" s="1" t="s">
        <v>174</v>
      </c>
      <c r="G332" s="5">
        <v>1400</v>
      </c>
      <c r="H332" s="147">
        <f>Table3[[#This Row],[Qty]]*Table3[[#This Row],[Price]]</f>
        <v>7350</v>
      </c>
      <c r="I332" s="5"/>
    </row>
    <row r="333" spans="1:9" x14ac:dyDescent="0.25">
      <c r="A333" s="144">
        <v>46022</v>
      </c>
      <c r="B333" s="145" t="s">
        <v>114</v>
      </c>
      <c r="C333" s="145" t="s">
        <v>310</v>
      </c>
      <c r="D333" s="1" t="s">
        <v>791</v>
      </c>
      <c r="E333" s="157">
        <v>10</v>
      </c>
      <c r="F333" s="1" t="s">
        <v>827</v>
      </c>
      <c r="G333" s="5">
        <v>443.33</v>
      </c>
      <c r="H333" s="147">
        <f>Table3[[#This Row],[Qty]]*Table3[[#This Row],[Price]]</f>
        <v>4433.3</v>
      </c>
      <c r="I333" s="5"/>
    </row>
    <row r="334" spans="1:9" x14ac:dyDescent="0.25">
      <c r="A334" s="144">
        <v>46022</v>
      </c>
      <c r="B334" s="145" t="s">
        <v>114</v>
      </c>
      <c r="C334" s="145" t="s">
        <v>310</v>
      </c>
      <c r="D334" s="1" t="s">
        <v>863</v>
      </c>
      <c r="E334" s="157">
        <v>2</v>
      </c>
      <c r="F334" s="1" t="s">
        <v>174</v>
      </c>
      <c r="G334" s="5">
        <v>150</v>
      </c>
      <c r="H334" s="147">
        <f>Table3[[#This Row],[Qty]]*Table3[[#This Row],[Price]]</f>
        <v>300</v>
      </c>
      <c r="I334" s="5"/>
    </row>
    <row r="335" spans="1:9" x14ac:dyDescent="0.25">
      <c r="A335" s="144">
        <v>46022</v>
      </c>
      <c r="B335" s="145" t="s">
        <v>114</v>
      </c>
      <c r="C335" s="145" t="s">
        <v>310</v>
      </c>
      <c r="D335" s="1" t="s">
        <v>793</v>
      </c>
      <c r="E335" s="157">
        <v>40</v>
      </c>
      <c r="F335" s="1" t="s">
        <v>174</v>
      </c>
      <c r="G335" s="5">
        <v>119</v>
      </c>
      <c r="H335" s="147">
        <f>Table3[[#This Row],[Qty]]*Table3[[#This Row],[Price]]</f>
        <v>4760</v>
      </c>
      <c r="I335" s="5"/>
    </row>
    <row r="336" spans="1:9" x14ac:dyDescent="0.25">
      <c r="A336" s="144">
        <v>46022</v>
      </c>
      <c r="B336" s="145" t="s">
        <v>114</v>
      </c>
      <c r="C336" s="145" t="s">
        <v>838</v>
      </c>
      <c r="D336" s="1" t="s">
        <v>883</v>
      </c>
      <c r="E336" s="157">
        <v>30</v>
      </c>
      <c r="F336" s="1" t="s">
        <v>174</v>
      </c>
      <c r="G336" s="5">
        <v>50</v>
      </c>
      <c r="H336" s="147">
        <f>Table3[[#This Row],[Qty]]*Table3[[#This Row],[Price]]</f>
        <v>1500</v>
      </c>
      <c r="I336" s="5"/>
    </row>
    <row r="337" spans="1:9" x14ac:dyDescent="0.25">
      <c r="A337" s="144">
        <v>46022</v>
      </c>
      <c r="B337" s="145" t="s">
        <v>114</v>
      </c>
      <c r="C337" s="145" t="s">
        <v>838</v>
      </c>
      <c r="D337" s="1" t="s">
        <v>881</v>
      </c>
      <c r="E337" s="157">
        <v>0.15</v>
      </c>
      <c r="F337" s="1" t="s">
        <v>174</v>
      </c>
      <c r="G337" s="5">
        <v>150</v>
      </c>
      <c r="H337" s="147">
        <f>Table3[[#This Row],[Qty]]*Table3[[#This Row],[Price]]</f>
        <v>22.5</v>
      </c>
      <c r="I337" s="5"/>
    </row>
    <row r="338" spans="1:9" x14ac:dyDescent="0.25">
      <c r="A338" s="144">
        <v>46022</v>
      </c>
      <c r="B338" s="145" t="s">
        <v>114</v>
      </c>
      <c r="C338" s="145" t="s">
        <v>838</v>
      </c>
      <c r="D338" s="1" t="s">
        <v>144</v>
      </c>
      <c r="E338" s="157">
        <v>1</v>
      </c>
      <c r="F338" s="58" t="s">
        <v>819</v>
      </c>
      <c r="G338" s="5">
        <v>30</v>
      </c>
      <c r="H338" s="147">
        <f>Table3[[#This Row],[Qty]]*Table3[[#This Row],[Price]]</f>
        <v>30</v>
      </c>
      <c r="I338" s="5"/>
    </row>
    <row r="339" spans="1:9" x14ac:dyDescent="0.25">
      <c r="A339" s="144">
        <v>46022</v>
      </c>
      <c r="B339" s="145" t="s">
        <v>114</v>
      </c>
      <c r="C339" s="145" t="s">
        <v>838</v>
      </c>
      <c r="D339" s="1" t="s">
        <v>794</v>
      </c>
      <c r="E339" s="157">
        <v>50</v>
      </c>
      <c r="F339" s="1" t="s">
        <v>174</v>
      </c>
      <c r="G339" s="5">
        <v>113</v>
      </c>
      <c r="H339" s="147">
        <f>Table3[[#This Row],[Qty]]*Table3[[#This Row],[Price]]</f>
        <v>5650</v>
      </c>
      <c r="I339" s="5"/>
    </row>
    <row r="340" spans="1:9" x14ac:dyDescent="0.25">
      <c r="A340" s="144">
        <v>46022</v>
      </c>
      <c r="B340" s="145" t="s">
        <v>114</v>
      </c>
      <c r="C340" s="148" t="s">
        <v>310</v>
      </c>
      <c r="D340" s="1" t="s">
        <v>814</v>
      </c>
      <c r="E340" s="157">
        <v>1</v>
      </c>
      <c r="F340" s="1" t="s">
        <v>174</v>
      </c>
      <c r="G340" s="5">
        <v>1600</v>
      </c>
      <c r="H340" s="147">
        <f>Table3[[#This Row],[Qty]]*Table3[[#This Row],[Price]]</f>
        <v>1600</v>
      </c>
      <c r="I340" s="5"/>
    </row>
    <row r="341" spans="1:9" x14ac:dyDescent="0.25">
      <c r="A341" s="144">
        <v>46022</v>
      </c>
      <c r="B341" s="145" t="s">
        <v>114</v>
      </c>
      <c r="C341" s="145" t="s">
        <v>838</v>
      </c>
      <c r="D341" s="1" t="s">
        <v>849</v>
      </c>
      <c r="E341" s="157">
        <v>2</v>
      </c>
      <c r="F341" s="1" t="s">
        <v>174</v>
      </c>
      <c r="G341" s="5">
        <v>350</v>
      </c>
      <c r="H341" s="147">
        <f>Table3[[#This Row],[Qty]]*Table3[[#This Row],[Price]]</f>
        <v>700</v>
      </c>
      <c r="I341" s="5"/>
    </row>
    <row r="342" spans="1:9" x14ac:dyDescent="0.25">
      <c r="A342" s="144">
        <v>46022</v>
      </c>
      <c r="B342" s="145" t="s">
        <v>114</v>
      </c>
      <c r="C342" s="145" t="s">
        <v>838</v>
      </c>
      <c r="D342" s="1" t="s">
        <v>884</v>
      </c>
      <c r="E342" s="157">
        <v>5</v>
      </c>
      <c r="F342" s="1" t="s">
        <v>174</v>
      </c>
      <c r="G342" s="5">
        <v>340</v>
      </c>
      <c r="H342" s="147">
        <f>Table3[[#This Row],[Qty]]*Table3[[#This Row],[Price]]</f>
        <v>1700</v>
      </c>
      <c r="I342" s="5"/>
    </row>
    <row r="343" spans="1:9" x14ac:dyDescent="0.25">
      <c r="A343" s="144">
        <v>46022</v>
      </c>
      <c r="B343" s="145" t="s">
        <v>114</v>
      </c>
      <c r="C343" s="145" t="s">
        <v>838</v>
      </c>
      <c r="D343" s="1" t="s">
        <v>842</v>
      </c>
      <c r="E343" s="157">
        <v>5.75</v>
      </c>
      <c r="F343" s="1" t="s">
        <v>174</v>
      </c>
      <c r="G343" s="5">
        <v>75</v>
      </c>
      <c r="H343" s="147">
        <f>Table3[[#This Row],[Qty]]*Table3[[#This Row],[Price]]</f>
        <v>431.25</v>
      </c>
      <c r="I343" s="5"/>
    </row>
    <row r="344" spans="1:9" x14ac:dyDescent="0.25">
      <c r="A344" s="144">
        <v>46022</v>
      </c>
      <c r="B344" s="145" t="s">
        <v>114</v>
      </c>
      <c r="C344" s="145" t="s">
        <v>310</v>
      </c>
      <c r="D344" s="1" t="s">
        <v>872</v>
      </c>
      <c r="E344" s="157">
        <v>1.4</v>
      </c>
      <c r="F344" s="1" t="s">
        <v>174</v>
      </c>
      <c r="G344" s="5">
        <v>1400</v>
      </c>
      <c r="H344" s="147">
        <f>Table3[[#This Row],[Qty]]*Table3[[#This Row],[Price]]</f>
        <v>1959.9999999999998</v>
      </c>
      <c r="I344" s="5"/>
    </row>
    <row r="345" spans="1:9" x14ac:dyDescent="0.25">
      <c r="A345" s="144">
        <v>46022</v>
      </c>
      <c r="B345" s="145" t="s">
        <v>114</v>
      </c>
      <c r="C345" s="145" t="s">
        <v>838</v>
      </c>
      <c r="D345" s="1" t="s">
        <v>799</v>
      </c>
      <c r="E345" s="157">
        <v>2</v>
      </c>
      <c r="F345" s="1" t="s">
        <v>174</v>
      </c>
      <c r="G345" s="5">
        <v>300</v>
      </c>
      <c r="H345" s="147">
        <f>Table3[[#This Row],[Qty]]*Table3[[#This Row],[Price]]</f>
        <v>600</v>
      </c>
      <c r="I345" s="5"/>
    </row>
    <row r="346" spans="1:9" x14ac:dyDescent="0.25">
      <c r="A346" s="144">
        <v>46022</v>
      </c>
      <c r="B346" s="145" t="s">
        <v>114</v>
      </c>
      <c r="C346" s="145" t="s">
        <v>838</v>
      </c>
      <c r="D346" s="1" t="s">
        <v>876</v>
      </c>
      <c r="E346" s="157">
        <v>0.05</v>
      </c>
      <c r="F346" s="1" t="s">
        <v>174</v>
      </c>
      <c r="G346" s="5">
        <v>230</v>
      </c>
      <c r="H346" s="147">
        <f>Table3[[#This Row],[Qty]]*Table3[[#This Row],[Price]]</f>
        <v>11.5</v>
      </c>
      <c r="I346" s="5"/>
    </row>
    <row r="347" spans="1:9" x14ac:dyDescent="0.25">
      <c r="A347" s="144">
        <v>46022</v>
      </c>
      <c r="B347" s="145" t="s">
        <v>114</v>
      </c>
      <c r="C347" s="145" t="s">
        <v>838</v>
      </c>
      <c r="D347" s="1" t="s">
        <v>843</v>
      </c>
      <c r="E347" s="157">
        <v>17</v>
      </c>
      <c r="F347" s="1" t="s">
        <v>174</v>
      </c>
      <c r="G347" s="5">
        <v>50</v>
      </c>
      <c r="H347" s="147">
        <f>Table3[[#This Row],[Qty]]*Table3[[#This Row],[Price]]</f>
        <v>850</v>
      </c>
      <c r="I347" s="5"/>
    </row>
    <row r="348" spans="1:9" x14ac:dyDescent="0.25">
      <c r="A348" s="144">
        <v>46022</v>
      </c>
      <c r="B348" s="145" t="s">
        <v>114</v>
      </c>
      <c r="C348" s="145" t="s">
        <v>310</v>
      </c>
      <c r="D348" s="1" t="s">
        <v>787</v>
      </c>
      <c r="E348" s="157">
        <v>8.5</v>
      </c>
      <c r="F348" s="1" t="s">
        <v>174</v>
      </c>
      <c r="G348" s="5">
        <v>170</v>
      </c>
      <c r="H348" s="147">
        <f>Table3[[#This Row],[Qty]]*Table3[[#This Row],[Price]]</f>
        <v>1445</v>
      </c>
      <c r="I348" s="5"/>
    </row>
    <row r="349" spans="1:9" x14ac:dyDescent="0.25">
      <c r="A349" s="144">
        <v>46023</v>
      </c>
      <c r="B349" s="145" t="s">
        <v>115</v>
      </c>
      <c r="C349" s="145" t="s">
        <v>310</v>
      </c>
      <c r="D349" s="1" t="s">
        <v>862</v>
      </c>
      <c r="E349" s="157">
        <v>5.5</v>
      </c>
      <c r="F349" s="1" t="s">
        <v>174</v>
      </c>
      <c r="G349" s="5">
        <v>170</v>
      </c>
      <c r="H349" s="147">
        <f>Table3[[#This Row],[Qty]]*Table3[[#This Row],[Price]]</f>
        <v>935</v>
      </c>
      <c r="I349" s="5"/>
    </row>
    <row r="350" spans="1:9" x14ac:dyDescent="0.25">
      <c r="A350" s="144">
        <v>46023</v>
      </c>
      <c r="B350" s="145" t="s">
        <v>115</v>
      </c>
      <c r="C350" s="145" t="s">
        <v>310</v>
      </c>
      <c r="D350" s="1" t="s">
        <v>872</v>
      </c>
      <c r="E350" s="157">
        <v>3</v>
      </c>
      <c r="F350" s="1" t="s">
        <v>174</v>
      </c>
      <c r="G350" s="5">
        <v>1400</v>
      </c>
      <c r="H350" s="147">
        <f>Table3[[#This Row],[Qty]]*Table3[[#This Row],[Price]]</f>
        <v>4200</v>
      </c>
      <c r="I350" s="5"/>
    </row>
    <row r="351" spans="1:9" x14ac:dyDescent="0.25">
      <c r="A351" s="144">
        <v>46023</v>
      </c>
      <c r="B351" s="145" t="s">
        <v>115</v>
      </c>
      <c r="C351" s="145" t="s">
        <v>12</v>
      </c>
      <c r="D351" s="1" t="s">
        <v>791</v>
      </c>
      <c r="E351" s="157">
        <v>10</v>
      </c>
      <c r="F351" s="1" t="s">
        <v>827</v>
      </c>
      <c r="G351" s="5">
        <v>443.33</v>
      </c>
      <c r="H351" s="147">
        <f>Table3[[#This Row],[Qty]]*Table3[[#This Row],[Price]]</f>
        <v>4433.3</v>
      </c>
      <c r="I351" s="5"/>
    </row>
    <row r="352" spans="1:9" x14ac:dyDescent="0.25">
      <c r="A352" s="144">
        <v>46023</v>
      </c>
      <c r="B352" s="145" t="s">
        <v>115</v>
      </c>
      <c r="C352" s="145" t="s">
        <v>12</v>
      </c>
      <c r="D352" s="1" t="s">
        <v>144</v>
      </c>
      <c r="E352" s="157">
        <v>10</v>
      </c>
      <c r="F352" s="58" t="s">
        <v>819</v>
      </c>
      <c r="G352" s="5">
        <v>30</v>
      </c>
      <c r="H352" s="147">
        <f>Table3[[#This Row],[Qty]]*Table3[[#This Row],[Price]]</f>
        <v>300</v>
      </c>
      <c r="I352" s="5"/>
    </row>
    <row r="353" spans="1:9" x14ac:dyDescent="0.25">
      <c r="A353" s="144">
        <v>46023</v>
      </c>
      <c r="B353" s="145" t="s">
        <v>115</v>
      </c>
      <c r="C353" s="145" t="s">
        <v>99</v>
      </c>
      <c r="D353" s="1" t="s">
        <v>791</v>
      </c>
      <c r="E353" s="157">
        <v>12</v>
      </c>
      <c r="F353" s="1" t="s">
        <v>827</v>
      </c>
      <c r="G353" s="5">
        <v>443.33</v>
      </c>
      <c r="H353" s="147">
        <f>Table3[[#This Row],[Qty]]*Table3[[#This Row],[Price]]</f>
        <v>5319.96</v>
      </c>
      <c r="I353" s="5"/>
    </row>
    <row r="354" spans="1:9" x14ac:dyDescent="0.25">
      <c r="A354" s="144">
        <v>46023</v>
      </c>
      <c r="B354" s="145" t="s">
        <v>115</v>
      </c>
      <c r="C354" s="145" t="s">
        <v>99</v>
      </c>
      <c r="D354" s="1" t="s">
        <v>794</v>
      </c>
      <c r="E354" s="157">
        <v>100</v>
      </c>
      <c r="F354" s="1" t="s">
        <v>174</v>
      </c>
      <c r="G354" s="5">
        <v>113</v>
      </c>
      <c r="H354" s="147">
        <f>Table3[[#This Row],[Qty]]*Table3[[#This Row],[Price]]</f>
        <v>11300</v>
      </c>
      <c r="I354" s="5"/>
    </row>
    <row r="355" spans="1:9" x14ac:dyDescent="0.25">
      <c r="A355" s="144">
        <v>46023</v>
      </c>
      <c r="B355" s="145" t="s">
        <v>115</v>
      </c>
      <c r="C355" s="145" t="s">
        <v>99</v>
      </c>
      <c r="D355" s="1" t="s">
        <v>864</v>
      </c>
      <c r="E355" s="157">
        <v>20</v>
      </c>
      <c r="F355" s="1" t="s">
        <v>174</v>
      </c>
      <c r="G355" s="5">
        <v>653</v>
      </c>
      <c r="H355" s="147">
        <f>Table3[[#This Row],[Qty]]*Table3[[#This Row],[Price]]</f>
        <v>13060</v>
      </c>
      <c r="I355" s="5"/>
    </row>
    <row r="356" spans="1:9" x14ac:dyDescent="0.25">
      <c r="A356" s="144">
        <v>46023</v>
      </c>
      <c r="B356" s="145" t="s">
        <v>115</v>
      </c>
      <c r="C356" s="145" t="s">
        <v>99</v>
      </c>
      <c r="D356" s="1" t="s">
        <v>885</v>
      </c>
      <c r="E356" s="157">
        <v>14</v>
      </c>
      <c r="F356" s="1" t="s">
        <v>174</v>
      </c>
      <c r="G356" s="5">
        <v>50</v>
      </c>
      <c r="H356" s="147">
        <f>Table3[[#This Row],[Qty]]*Table3[[#This Row],[Price]]</f>
        <v>700</v>
      </c>
      <c r="I356" s="5"/>
    </row>
    <row r="357" spans="1:9" x14ac:dyDescent="0.25">
      <c r="A357" s="144">
        <v>46023</v>
      </c>
      <c r="B357" s="145" t="s">
        <v>115</v>
      </c>
      <c r="C357" s="145" t="s">
        <v>99</v>
      </c>
      <c r="D357" s="1" t="s">
        <v>844</v>
      </c>
      <c r="E357" s="157">
        <v>29</v>
      </c>
      <c r="F357" s="1" t="s">
        <v>174</v>
      </c>
      <c r="G357" s="5">
        <v>50</v>
      </c>
      <c r="H357" s="147">
        <f>Table3[[#This Row],[Qty]]*Table3[[#This Row],[Price]]</f>
        <v>1450</v>
      </c>
      <c r="I357" s="5"/>
    </row>
    <row r="358" spans="1:9" x14ac:dyDescent="0.25">
      <c r="A358" s="144">
        <v>46023</v>
      </c>
      <c r="B358" s="145" t="s">
        <v>115</v>
      </c>
      <c r="C358" s="145" t="s">
        <v>310</v>
      </c>
      <c r="D358" s="1" t="s">
        <v>787</v>
      </c>
      <c r="E358" s="157">
        <v>5.85</v>
      </c>
      <c r="F358" s="1" t="s">
        <v>174</v>
      </c>
      <c r="G358" s="5">
        <v>170</v>
      </c>
      <c r="H358" s="147">
        <f>Table3[[#This Row],[Qty]]*Table3[[#This Row],[Price]]</f>
        <v>994.49999999999989</v>
      </c>
      <c r="I358" s="5"/>
    </row>
    <row r="359" spans="1:9" x14ac:dyDescent="0.25">
      <c r="A359" s="144">
        <v>46023</v>
      </c>
      <c r="B359" s="145" t="s">
        <v>115</v>
      </c>
      <c r="C359" s="148" t="s">
        <v>310</v>
      </c>
      <c r="D359" s="1" t="s">
        <v>866</v>
      </c>
      <c r="E359" s="157">
        <v>2.5</v>
      </c>
      <c r="F359" s="1" t="s">
        <v>174</v>
      </c>
      <c r="G359" s="5">
        <v>480</v>
      </c>
      <c r="H359" s="147">
        <f>Table3[[#This Row],[Qty]]*Table3[[#This Row],[Price]]</f>
        <v>1200</v>
      </c>
      <c r="I359" s="5"/>
    </row>
    <row r="360" spans="1:9" x14ac:dyDescent="0.25">
      <c r="A360" s="144">
        <v>46023</v>
      </c>
      <c r="B360" s="145" t="s">
        <v>115</v>
      </c>
      <c r="C360" s="145" t="s">
        <v>99</v>
      </c>
      <c r="D360" s="1" t="s">
        <v>793</v>
      </c>
      <c r="E360" s="157">
        <v>10</v>
      </c>
      <c r="F360" s="1" t="s">
        <v>174</v>
      </c>
      <c r="G360" s="5">
        <v>119</v>
      </c>
      <c r="H360" s="147">
        <f>Table3[[#This Row],[Qty]]*Table3[[#This Row],[Price]]</f>
        <v>1190</v>
      </c>
      <c r="I360" s="5"/>
    </row>
    <row r="361" spans="1:9" x14ac:dyDescent="0.25">
      <c r="A361" s="144">
        <v>46023</v>
      </c>
      <c r="B361" s="145" t="s">
        <v>115</v>
      </c>
      <c r="C361" s="145" t="s">
        <v>99</v>
      </c>
      <c r="D361" s="1" t="s">
        <v>865</v>
      </c>
      <c r="E361" s="157">
        <v>9</v>
      </c>
      <c r="F361" s="1" t="s">
        <v>174</v>
      </c>
      <c r="G361" s="5">
        <v>120</v>
      </c>
      <c r="H361" s="147">
        <f>Table3[[#This Row],[Qty]]*Table3[[#This Row],[Price]]</f>
        <v>1080</v>
      </c>
      <c r="I361" s="5"/>
    </row>
    <row r="362" spans="1:9" x14ac:dyDescent="0.25">
      <c r="A362" s="144">
        <v>46023</v>
      </c>
      <c r="B362" s="145" t="s">
        <v>115</v>
      </c>
      <c r="C362" s="145" t="s">
        <v>99</v>
      </c>
      <c r="D362" s="1" t="s">
        <v>845</v>
      </c>
      <c r="E362" s="157">
        <v>4.5</v>
      </c>
      <c r="F362" s="1" t="s">
        <v>174</v>
      </c>
      <c r="G362" s="5">
        <v>90</v>
      </c>
      <c r="H362" s="147">
        <f>Table3[[#This Row],[Qty]]*Table3[[#This Row],[Price]]</f>
        <v>405</v>
      </c>
      <c r="I362" s="5"/>
    </row>
    <row r="363" spans="1:9" x14ac:dyDescent="0.25">
      <c r="A363" s="144">
        <v>46023</v>
      </c>
      <c r="B363" s="145" t="s">
        <v>115</v>
      </c>
      <c r="C363" s="145" t="s">
        <v>99</v>
      </c>
      <c r="D363" s="1" t="s">
        <v>803</v>
      </c>
      <c r="E363" s="157">
        <v>0.25</v>
      </c>
      <c r="F363" s="1" t="s">
        <v>174</v>
      </c>
      <c r="G363" s="5">
        <v>580</v>
      </c>
      <c r="H363" s="147">
        <f>Table3[[#This Row],[Qty]]*Table3[[#This Row],[Price]]</f>
        <v>145</v>
      </c>
      <c r="I363" s="5"/>
    </row>
    <row r="364" spans="1:9" x14ac:dyDescent="0.25">
      <c r="A364" s="144">
        <v>46023</v>
      </c>
      <c r="B364" s="145" t="s">
        <v>115</v>
      </c>
      <c r="C364" s="145" t="s">
        <v>99</v>
      </c>
      <c r="D364" s="1" t="s">
        <v>842</v>
      </c>
      <c r="E364" s="157">
        <v>6</v>
      </c>
      <c r="F364" s="1" t="s">
        <v>174</v>
      </c>
      <c r="G364" s="5">
        <v>75</v>
      </c>
      <c r="H364" s="147">
        <f>Table3[[#This Row],[Qty]]*Table3[[#This Row],[Price]]</f>
        <v>450</v>
      </c>
      <c r="I364" s="5"/>
    </row>
    <row r="365" spans="1:9" x14ac:dyDescent="0.25">
      <c r="A365" s="144">
        <v>46023</v>
      </c>
      <c r="B365" s="145" t="s">
        <v>115</v>
      </c>
      <c r="C365" s="145" t="s">
        <v>99</v>
      </c>
      <c r="D365" s="1" t="s">
        <v>846</v>
      </c>
      <c r="E365" s="157">
        <v>1.7</v>
      </c>
      <c r="F365" s="1" t="s">
        <v>174</v>
      </c>
      <c r="G365" s="5">
        <v>95</v>
      </c>
      <c r="H365" s="147">
        <f>Table3[[#This Row],[Qty]]*Table3[[#This Row],[Price]]</f>
        <v>161.5</v>
      </c>
      <c r="I365" s="5"/>
    </row>
    <row r="366" spans="1:9" x14ac:dyDescent="0.25">
      <c r="A366" s="144">
        <v>46023</v>
      </c>
      <c r="B366" s="145" t="s">
        <v>115</v>
      </c>
      <c r="C366" s="145" t="s">
        <v>12</v>
      </c>
      <c r="D366" s="1" t="s">
        <v>235</v>
      </c>
      <c r="E366" s="157">
        <v>2.5</v>
      </c>
      <c r="F366" s="1" t="s">
        <v>174</v>
      </c>
      <c r="G366" s="5">
        <v>183</v>
      </c>
      <c r="H366" s="147">
        <f>Table3[[#This Row],[Qty]]*Table3[[#This Row],[Price]]</f>
        <v>457.5</v>
      </c>
      <c r="I366" s="5"/>
    </row>
    <row r="367" spans="1:9" x14ac:dyDescent="0.25">
      <c r="A367" s="144">
        <v>46023</v>
      </c>
      <c r="B367" s="145" t="s">
        <v>115</v>
      </c>
      <c r="C367" s="145" t="s">
        <v>99</v>
      </c>
      <c r="D367" s="1" t="s">
        <v>886</v>
      </c>
      <c r="E367" s="157">
        <v>4</v>
      </c>
      <c r="F367" s="1" t="s">
        <v>174</v>
      </c>
      <c r="G367" s="5">
        <v>1600</v>
      </c>
      <c r="H367" s="147">
        <f>Table3[[#This Row],[Qty]]*Table3[[#This Row],[Price]]</f>
        <v>6400</v>
      </c>
      <c r="I367" s="5"/>
    </row>
    <row r="368" spans="1:9" x14ac:dyDescent="0.25">
      <c r="A368" s="144">
        <v>46023</v>
      </c>
      <c r="B368" s="145" t="s">
        <v>115</v>
      </c>
      <c r="C368" s="145" t="s">
        <v>99</v>
      </c>
      <c r="D368" s="1" t="s">
        <v>135</v>
      </c>
      <c r="E368" s="157">
        <v>3</v>
      </c>
      <c r="F368" s="1" t="s">
        <v>174</v>
      </c>
      <c r="G368" s="5">
        <v>300</v>
      </c>
      <c r="H368" s="147">
        <f>Table3[[#This Row],[Qty]]*Table3[[#This Row],[Price]]</f>
        <v>900</v>
      </c>
      <c r="I368" s="5"/>
    </row>
    <row r="369" spans="1:9" x14ac:dyDescent="0.25">
      <c r="A369" s="144">
        <v>46023</v>
      </c>
      <c r="B369" s="145" t="s">
        <v>115</v>
      </c>
      <c r="C369" s="145" t="s">
        <v>310</v>
      </c>
      <c r="D369" s="1" t="s">
        <v>868</v>
      </c>
      <c r="E369" s="157">
        <v>16</v>
      </c>
      <c r="F369" s="1" t="s">
        <v>827</v>
      </c>
      <c r="G369" s="5">
        <v>220</v>
      </c>
      <c r="H369" s="147">
        <f>Table3[[#This Row],[Qty]]*Table3[[#This Row],[Price]]</f>
        <v>3520</v>
      </c>
      <c r="I369" s="5"/>
    </row>
    <row r="370" spans="1:9" x14ac:dyDescent="0.25">
      <c r="A370" s="144">
        <v>46023</v>
      </c>
      <c r="B370" s="145" t="s">
        <v>115</v>
      </c>
      <c r="C370" s="148" t="s">
        <v>310</v>
      </c>
      <c r="D370" s="1" t="s">
        <v>854</v>
      </c>
      <c r="E370" s="157">
        <v>1</v>
      </c>
      <c r="F370" s="1" t="s">
        <v>174</v>
      </c>
      <c r="G370" s="5">
        <v>1600</v>
      </c>
      <c r="H370" s="147">
        <f>Table3[[#This Row],[Qty]]*Table3[[#This Row],[Price]]</f>
        <v>1600</v>
      </c>
      <c r="I370" s="5"/>
    </row>
    <row r="371" spans="1:9" x14ac:dyDescent="0.25">
      <c r="A371" s="144">
        <v>46023</v>
      </c>
      <c r="B371" s="145" t="s">
        <v>115</v>
      </c>
      <c r="C371" s="145" t="s">
        <v>310</v>
      </c>
      <c r="D371" s="1" t="s">
        <v>786</v>
      </c>
      <c r="E371" s="146">
        <v>1.2</v>
      </c>
      <c r="F371" s="1" t="s">
        <v>174</v>
      </c>
      <c r="G371" s="5">
        <v>1400</v>
      </c>
      <c r="H371" s="147">
        <f>Table3[[#This Row],[Qty]]*Table3[[#This Row],[Price]]</f>
        <v>1680</v>
      </c>
      <c r="I371" s="5"/>
    </row>
    <row r="372" spans="1:9" x14ac:dyDescent="0.25">
      <c r="A372" s="144">
        <v>46023</v>
      </c>
      <c r="B372" s="145" t="s">
        <v>115</v>
      </c>
      <c r="C372" s="145" t="s">
        <v>99</v>
      </c>
      <c r="D372" s="1" t="s">
        <v>859</v>
      </c>
      <c r="E372" s="146">
        <v>4</v>
      </c>
      <c r="F372" s="58" t="s">
        <v>819</v>
      </c>
      <c r="G372" s="160">
        <v>50</v>
      </c>
      <c r="H372" s="147">
        <f>Table3[[#This Row],[Qty]]*Table3[[#This Row],[Price]]</f>
        <v>200</v>
      </c>
      <c r="I372" s="5"/>
    </row>
    <row r="373" spans="1:9" x14ac:dyDescent="0.25">
      <c r="A373" s="144">
        <v>46023</v>
      </c>
      <c r="B373" s="145" t="s">
        <v>115</v>
      </c>
      <c r="C373" s="145" t="s">
        <v>99</v>
      </c>
      <c r="D373" s="1" t="s">
        <v>855</v>
      </c>
      <c r="E373" s="146">
        <v>4</v>
      </c>
      <c r="F373" s="1" t="s">
        <v>174</v>
      </c>
      <c r="G373" s="5">
        <v>50</v>
      </c>
      <c r="H373" s="147">
        <f>Table3[[#This Row],[Qty]]*Table3[[#This Row],[Price]]</f>
        <v>200</v>
      </c>
      <c r="I373" s="5"/>
    </row>
    <row r="374" spans="1:9" x14ac:dyDescent="0.25">
      <c r="A374" s="144">
        <v>46023</v>
      </c>
      <c r="B374" s="145" t="s">
        <v>115</v>
      </c>
      <c r="C374" s="145" t="s">
        <v>99</v>
      </c>
      <c r="D374" s="1" t="s">
        <v>876</v>
      </c>
      <c r="E374" s="146">
        <v>0.3</v>
      </c>
      <c r="F374" s="1" t="s">
        <v>174</v>
      </c>
      <c r="G374" s="5">
        <v>230</v>
      </c>
      <c r="H374" s="147">
        <f>Table3[[#This Row],[Qty]]*Table3[[#This Row],[Price]]</f>
        <v>69</v>
      </c>
      <c r="I374" s="5"/>
    </row>
    <row r="375" spans="1:9" x14ac:dyDescent="0.25">
      <c r="A375" s="144">
        <v>46023</v>
      </c>
      <c r="B375" s="145" t="s">
        <v>115</v>
      </c>
      <c r="C375" s="145" t="s">
        <v>99</v>
      </c>
      <c r="D375" s="1" t="s">
        <v>852</v>
      </c>
      <c r="E375" s="146">
        <v>0.1</v>
      </c>
      <c r="F375" s="1" t="s">
        <v>174</v>
      </c>
      <c r="G375" s="5">
        <v>150</v>
      </c>
      <c r="H375" s="147">
        <f>Table3[[#This Row],[Qty]]*Table3[[#This Row],[Price]]</f>
        <v>15</v>
      </c>
      <c r="I375" s="5"/>
    </row>
    <row r="376" spans="1:9" x14ac:dyDescent="0.25">
      <c r="A376" s="144">
        <v>46023</v>
      </c>
      <c r="B376" s="145" t="s">
        <v>115</v>
      </c>
      <c r="C376" s="145" t="s">
        <v>99</v>
      </c>
      <c r="D376" s="1" t="s">
        <v>222</v>
      </c>
      <c r="E376" s="146">
        <v>4</v>
      </c>
      <c r="F376" s="58" t="s">
        <v>819</v>
      </c>
      <c r="G376" s="5">
        <v>30</v>
      </c>
      <c r="H376" s="147">
        <f>Table3[[#This Row],[Qty]]*Table3[[#This Row],[Price]]</f>
        <v>120</v>
      </c>
      <c r="I376" s="5"/>
    </row>
    <row r="377" spans="1:9" x14ac:dyDescent="0.25">
      <c r="A377" s="144">
        <v>46023</v>
      </c>
      <c r="B377" s="145" t="s">
        <v>115</v>
      </c>
      <c r="C377" s="145" t="s">
        <v>99</v>
      </c>
      <c r="D377" s="1" t="s">
        <v>860</v>
      </c>
      <c r="E377" s="146">
        <v>10</v>
      </c>
      <c r="F377" s="1" t="s">
        <v>174</v>
      </c>
      <c r="G377" s="5">
        <v>12</v>
      </c>
      <c r="H377" s="147">
        <f>Table3[[#This Row],[Qty]]*Table3[[#This Row],[Price]]</f>
        <v>120</v>
      </c>
      <c r="I377" s="5"/>
    </row>
    <row r="378" spans="1:9" x14ac:dyDescent="0.25">
      <c r="A378" s="144">
        <v>46023</v>
      </c>
      <c r="B378" s="145" t="s">
        <v>115</v>
      </c>
      <c r="C378" s="145" t="s">
        <v>20</v>
      </c>
      <c r="D378" s="1" t="s">
        <v>855</v>
      </c>
      <c r="E378" s="146">
        <v>30</v>
      </c>
      <c r="F378" s="1" t="s">
        <v>174</v>
      </c>
      <c r="G378" s="5">
        <v>50</v>
      </c>
      <c r="H378" s="147">
        <f>Table3[[#This Row],[Qty]]*Table3[[#This Row],[Price]]</f>
        <v>1500</v>
      </c>
      <c r="I378" s="5"/>
    </row>
    <row r="379" spans="1:9" x14ac:dyDescent="0.25">
      <c r="A379" s="144">
        <v>46023</v>
      </c>
      <c r="B379" s="145" t="s">
        <v>115</v>
      </c>
      <c r="C379" s="145" t="s">
        <v>310</v>
      </c>
      <c r="D379" s="1" t="s">
        <v>862</v>
      </c>
      <c r="E379" s="146">
        <v>3</v>
      </c>
      <c r="F379" s="1" t="s">
        <v>174</v>
      </c>
      <c r="G379" s="5">
        <v>170</v>
      </c>
      <c r="H379" s="147">
        <f>Table3[[#This Row],[Qty]]*Table3[[#This Row],[Price]]</f>
        <v>510</v>
      </c>
      <c r="I379" s="5"/>
    </row>
    <row r="380" spans="1:9" x14ac:dyDescent="0.25">
      <c r="A380" s="144">
        <v>46023</v>
      </c>
      <c r="B380" s="145" t="s">
        <v>115</v>
      </c>
      <c r="C380" s="145" t="s">
        <v>20</v>
      </c>
      <c r="D380" s="1" t="s">
        <v>844</v>
      </c>
      <c r="E380" s="146">
        <v>6.5</v>
      </c>
      <c r="F380" s="1" t="s">
        <v>174</v>
      </c>
      <c r="G380" s="5">
        <v>50</v>
      </c>
      <c r="H380" s="147">
        <f>Table3[[#This Row],[Qty]]*Table3[[#This Row],[Price]]</f>
        <v>325</v>
      </c>
      <c r="I380" s="5"/>
    </row>
    <row r="381" spans="1:9" x14ac:dyDescent="0.25">
      <c r="A381" s="144">
        <v>46023</v>
      </c>
      <c r="B381" s="145" t="s">
        <v>115</v>
      </c>
      <c r="C381" s="145" t="s">
        <v>20</v>
      </c>
      <c r="D381" s="1" t="s">
        <v>876</v>
      </c>
      <c r="E381" s="146">
        <v>0.75</v>
      </c>
      <c r="F381" s="1" t="s">
        <v>174</v>
      </c>
      <c r="G381" s="5">
        <v>230</v>
      </c>
      <c r="H381" s="147">
        <f>Table3[[#This Row],[Qty]]*Table3[[#This Row],[Price]]</f>
        <v>172.5</v>
      </c>
      <c r="I381" s="5"/>
    </row>
    <row r="382" spans="1:9" x14ac:dyDescent="0.25">
      <c r="A382" s="144">
        <v>46023</v>
      </c>
      <c r="B382" s="145" t="s">
        <v>115</v>
      </c>
      <c r="C382" s="145" t="s">
        <v>20</v>
      </c>
      <c r="D382" s="1" t="s">
        <v>852</v>
      </c>
      <c r="E382" s="146">
        <v>0.2</v>
      </c>
      <c r="F382" s="1" t="s">
        <v>174</v>
      </c>
      <c r="G382" s="5">
        <v>150</v>
      </c>
      <c r="H382" s="147">
        <f>Table3[[#This Row],[Qty]]*Table3[[#This Row],[Price]]</f>
        <v>30</v>
      </c>
      <c r="I382" s="5"/>
    </row>
    <row r="383" spans="1:9" x14ac:dyDescent="0.25">
      <c r="A383" s="144">
        <v>46023</v>
      </c>
      <c r="B383" s="145" t="s">
        <v>115</v>
      </c>
      <c r="C383" s="145" t="s">
        <v>20</v>
      </c>
      <c r="D383" s="1" t="s">
        <v>791</v>
      </c>
      <c r="E383" s="146">
        <v>6</v>
      </c>
      <c r="F383" s="1" t="s">
        <v>827</v>
      </c>
      <c r="G383" s="5">
        <v>443.33</v>
      </c>
      <c r="H383" s="147">
        <f>Table3[[#This Row],[Qty]]*Table3[[#This Row],[Price]]</f>
        <v>2659.98</v>
      </c>
      <c r="I383" s="5"/>
    </row>
    <row r="384" spans="1:9" x14ac:dyDescent="0.25">
      <c r="A384" s="144">
        <v>46023</v>
      </c>
      <c r="B384" s="145" t="s">
        <v>115</v>
      </c>
      <c r="C384" s="145" t="s">
        <v>310</v>
      </c>
      <c r="D384" s="1" t="s">
        <v>786</v>
      </c>
      <c r="E384" s="146">
        <v>1.45</v>
      </c>
      <c r="F384" s="1" t="s">
        <v>174</v>
      </c>
      <c r="G384" s="5">
        <v>1400</v>
      </c>
      <c r="H384" s="147">
        <f>Table3[[#This Row],[Qty]]*Table3[[#This Row],[Price]]</f>
        <v>2030</v>
      </c>
      <c r="I384" s="5"/>
    </row>
    <row r="385" spans="1:9" x14ac:dyDescent="0.25">
      <c r="A385" s="144">
        <v>46023</v>
      </c>
      <c r="B385" s="145" t="s">
        <v>115</v>
      </c>
      <c r="C385" s="145" t="s">
        <v>20</v>
      </c>
      <c r="D385" s="1" t="s">
        <v>135</v>
      </c>
      <c r="E385" s="146">
        <v>12</v>
      </c>
      <c r="F385" s="1" t="s">
        <v>174</v>
      </c>
      <c r="G385" s="5">
        <v>300</v>
      </c>
      <c r="H385" s="147">
        <f>Table3[[#This Row],[Qty]]*Table3[[#This Row],[Price]]</f>
        <v>3600</v>
      </c>
      <c r="I385" s="5"/>
    </row>
    <row r="386" spans="1:9" x14ac:dyDescent="0.25">
      <c r="A386" s="144">
        <v>46023</v>
      </c>
      <c r="B386" s="145" t="s">
        <v>115</v>
      </c>
      <c r="C386" s="145" t="s">
        <v>20</v>
      </c>
      <c r="D386" s="1" t="s">
        <v>842</v>
      </c>
      <c r="E386" s="146">
        <v>1</v>
      </c>
      <c r="F386" s="1" t="s">
        <v>174</v>
      </c>
      <c r="G386" s="5">
        <v>75</v>
      </c>
      <c r="H386" s="147">
        <f>Table3[[#This Row],[Qty]]*Table3[[#This Row],[Price]]</f>
        <v>75</v>
      </c>
      <c r="I386" s="5"/>
    </row>
    <row r="387" spans="1:9" x14ac:dyDescent="0.25">
      <c r="A387" s="144">
        <v>46023</v>
      </c>
      <c r="B387" s="145" t="s">
        <v>115</v>
      </c>
      <c r="C387" s="145" t="s">
        <v>20</v>
      </c>
      <c r="D387" s="1" t="s">
        <v>797</v>
      </c>
      <c r="E387" s="146">
        <v>4.5</v>
      </c>
      <c r="F387" s="1" t="s">
        <v>174</v>
      </c>
      <c r="G387" s="5">
        <v>560</v>
      </c>
      <c r="H387" s="147">
        <f>Table3[[#This Row],[Qty]]*Table3[[#This Row],[Price]]</f>
        <v>2520</v>
      </c>
      <c r="I387" s="5"/>
    </row>
    <row r="388" spans="1:9" x14ac:dyDescent="0.25">
      <c r="A388" s="144">
        <v>46023</v>
      </c>
      <c r="B388" s="145" t="s">
        <v>115</v>
      </c>
      <c r="C388" s="145" t="s">
        <v>20</v>
      </c>
      <c r="D388" s="1" t="s">
        <v>841</v>
      </c>
      <c r="E388" s="146">
        <v>1</v>
      </c>
      <c r="F388" s="1" t="s">
        <v>174</v>
      </c>
      <c r="G388" s="5">
        <v>500</v>
      </c>
      <c r="H388" s="147">
        <f>Table3[[#This Row],[Qty]]*Table3[[#This Row],[Price]]</f>
        <v>500</v>
      </c>
      <c r="I388" s="5"/>
    </row>
    <row r="389" spans="1:9" x14ac:dyDescent="0.25">
      <c r="A389" s="144">
        <v>46023</v>
      </c>
      <c r="B389" s="145" t="s">
        <v>115</v>
      </c>
      <c r="C389" s="145" t="s">
        <v>20</v>
      </c>
      <c r="D389" s="1" t="s">
        <v>805</v>
      </c>
      <c r="E389" s="146">
        <v>0.5</v>
      </c>
      <c r="F389" s="1" t="s">
        <v>174</v>
      </c>
      <c r="G389" s="5">
        <v>580</v>
      </c>
      <c r="H389" s="147">
        <f>Table3[[#This Row],[Qty]]*Table3[[#This Row],[Price]]</f>
        <v>290</v>
      </c>
      <c r="I389" s="5"/>
    </row>
    <row r="390" spans="1:9" x14ac:dyDescent="0.25">
      <c r="A390" s="144">
        <v>46023</v>
      </c>
      <c r="B390" s="145" t="s">
        <v>115</v>
      </c>
      <c r="C390" s="145" t="s">
        <v>20</v>
      </c>
      <c r="D390" s="1" t="s">
        <v>852</v>
      </c>
      <c r="E390" s="146">
        <v>0.5</v>
      </c>
      <c r="F390" s="1" t="s">
        <v>174</v>
      </c>
      <c r="G390" s="5">
        <v>150</v>
      </c>
      <c r="H390" s="147">
        <f>Table3[[#This Row],[Qty]]*Table3[[#This Row],[Price]]</f>
        <v>75</v>
      </c>
      <c r="I390" s="5"/>
    </row>
    <row r="391" spans="1:9" x14ac:dyDescent="0.25">
      <c r="A391" s="144">
        <v>46023</v>
      </c>
      <c r="B391" s="145" t="s">
        <v>115</v>
      </c>
      <c r="C391" s="145" t="s">
        <v>20</v>
      </c>
      <c r="D391" s="1" t="s">
        <v>864</v>
      </c>
      <c r="E391" s="146">
        <v>50</v>
      </c>
      <c r="F391" s="1" t="s">
        <v>174</v>
      </c>
      <c r="G391" s="5">
        <v>653</v>
      </c>
      <c r="H391" s="147">
        <f>Table3[[#This Row],[Qty]]*Table3[[#This Row],[Price]]</f>
        <v>32650</v>
      </c>
      <c r="I391" s="5"/>
    </row>
    <row r="392" spans="1:9" x14ac:dyDescent="0.25">
      <c r="A392" s="144">
        <v>46023</v>
      </c>
      <c r="B392" s="145" t="s">
        <v>115</v>
      </c>
      <c r="C392" s="148" t="s">
        <v>310</v>
      </c>
      <c r="D392" s="1" t="s">
        <v>854</v>
      </c>
      <c r="E392" s="146">
        <v>1</v>
      </c>
      <c r="F392" s="1" t="s">
        <v>174</v>
      </c>
      <c r="G392" s="5">
        <v>1600</v>
      </c>
      <c r="H392" s="147">
        <f>Table3[[#This Row],[Qty]]*Table3[[#This Row],[Price]]</f>
        <v>1600</v>
      </c>
      <c r="I392" s="5"/>
    </row>
    <row r="393" spans="1:9" x14ac:dyDescent="0.25">
      <c r="A393" s="144">
        <v>46023</v>
      </c>
      <c r="B393" s="145" t="s">
        <v>115</v>
      </c>
      <c r="C393" s="145" t="s">
        <v>20</v>
      </c>
      <c r="D393" s="1" t="s">
        <v>802</v>
      </c>
      <c r="E393" s="146">
        <v>1</v>
      </c>
      <c r="F393" s="1" t="s">
        <v>174</v>
      </c>
      <c r="G393" s="5">
        <v>480</v>
      </c>
      <c r="H393" s="147">
        <f>Table3[[#This Row],[Qty]]*Table3[[#This Row],[Price]]</f>
        <v>480</v>
      </c>
      <c r="I393" s="5"/>
    </row>
    <row r="394" spans="1:9" x14ac:dyDescent="0.25">
      <c r="A394" s="144">
        <v>46023</v>
      </c>
      <c r="B394" s="145" t="s">
        <v>115</v>
      </c>
      <c r="C394" s="145" t="s">
        <v>310</v>
      </c>
      <c r="D394" s="1" t="s">
        <v>862</v>
      </c>
      <c r="E394" s="146">
        <v>3</v>
      </c>
      <c r="F394" s="1" t="s">
        <v>174</v>
      </c>
      <c r="G394" s="5">
        <v>170</v>
      </c>
      <c r="H394" s="147">
        <f>Table3[[#This Row],[Qty]]*Table3[[#This Row],[Price]]</f>
        <v>510</v>
      </c>
      <c r="I394" s="5"/>
    </row>
    <row r="395" spans="1:9" x14ac:dyDescent="0.25">
      <c r="A395" s="144">
        <v>46023</v>
      </c>
      <c r="B395" s="145" t="s">
        <v>115</v>
      </c>
      <c r="C395" s="145" t="s">
        <v>310</v>
      </c>
      <c r="D395" s="1" t="s">
        <v>786</v>
      </c>
      <c r="E395" s="146">
        <v>1.35</v>
      </c>
      <c r="F395" s="1" t="s">
        <v>174</v>
      </c>
      <c r="G395" s="5">
        <v>1400</v>
      </c>
      <c r="H395" s="147">
        <f>Table3[[#This Row],[Qty]]*Table3[[#This Row],[Price]]</f>
        <v>1890.0000000000002</v>
      </c>
      <c r="I395" s="5"/>
    </row>
    <row r="396" spans="1:9" x14ac:dyDescent="0.25">
      <c r="A396" s="144">
        <v>46023</v>
      </c>
      <c r="B396" s="145" t="s">
        <v>115</v>
      </c>
      <c r="C396" s="145" t="s">
        <v>11</v>
      </c>
      <c r="D396" s="1" t="s">
        <v>877</v>
      </c>
      <c r="E396" s="146">
        <v>30</v>
      </c>
      <c r="F396" s="1" t="s">
        <v>174</v>
      </c>
      <c r="G396" s="5">
        <v>119</v>
      </c>
      <c r="H396" s="147">
        <f>Table3[[#This Row],[Qty]]*Table3[[#This Row],[Price]]</f>
        <v>3570</v>
      </c>
      <c r="I396" s="5"/>
    </row>
    <row r="397" spans="1:9" x14ac:dyDescent="0.25">
      <c r="A397" s="144">
        <v>46023</v>
      </c>
      <c r="B397" s="145" t="s">
        <v>115</v>
      </c>
      <c r="C397" s="148" t="s">
        <v>310</v>
      </c>
      <c r="D397" s="1" t="s">
        <v>866</v>
      </c>
      <c r="E397" s="146">
        <v>1</v>
      </c>
      <c r="F397" s="1" t="s">
        <v>174</v>
      </c>
      <c r="G397" s="5">
        <v>480</v>
      </c>
      <c r="H397" s="147">
        <f>Table3[[#This Row],[Qty]]*Table3[[#This Row],[Price]]</f>
        <v>480</v>
      </c>
      <c r="I397" s="5"/>
    </row>
    <row r="398" spans="1:9" x14ac:dyDescent="0.25">
      <c r="A398" s="144">
        <v>46024</v>
      </c>
      <c r="B398" s="145" t="s">
        <v>116</v>
      </c>
      <c r="C398" s="145" t="s">
        <v>310</v>
      </c>
      <c r="D398" s="1" t="s">
        <v>862</v>
      </c>
      <c r="E398" s="146">
        <v>6.5</v>
      </c>
      <c r="F398" s="1" t="s">
        <v>174</v>
      </c>
      <c r="G398" s="5">
        <v>170</v>
      </c>
      <c r="H398" s="147">
        <f>Table3[[#This Row],[Qty]]*Table3[[#This Row],[Price]]</f>
        <v>1105</v>
      </c>
      <c r="I398" s="5"/>
    </row>
    <row r="399" spans="1:9" x14ac:dyDescent="0.25">
      <c r="A399" s="144">
        <v>46024</v>
      </c>
      <c r="B399" s="145" t="s">
        <v>116</v>
      </c>
      <c r="C399" s="145" t="s">
        <v>310</v>
      </c>
      <c r="D399" s="1" t="s">
        <v>786</v>
      </c>
      <c r="E399" s="146">
        <v>3.5</v>
      </c>
      <c r="F399" s="1" t="s">
        <v>174</v>
      </c>
      <c r="G399" s="5">
        <v>1400</v>
      </c>
      <c r="H399" s="147">
        <f>Table3[[#This Row],[Qty]]*Table3[[#This Row],[Price]]</f>
        <v>4900</v>
      </c>
      <c r="I399" s="5"/>
    </row>
    <row r="400" spans="1:9" x14ac:dyDescent="0.25">
      <c r="A400" s="144">
        <v>46024</v>
      </c>
      <c r="B400" s="145" t="s">
        <v>116</v>
      </c>
      <c r="C400" s="145" t="s">
        <v>12</v>
      </c>
      <c r="D400" s="1" t="s">
        <v>222</v>
      </c>
      <c r="E400" s="146">
        <v>10</v>
      </c>
      <c r="F400" s="58" t="s">
        <v>819</v>
      </c>
      <c r="G400" s="5">
        <v>30</v>
      </c>
      <c r="H400" s="147">
        <f>Table3[[#This Row],[Qty]]*Table3[[#This Row],[Price]]</f>
        <v>300</v>
      </c>
      <c r="I400" s="5"/>
    </row>
    <row r="401" spans="1:9" x14ac:dyDescent="0.25">
      <c r="A401" s="144">
        <v>46024</v>
      </c>
      <c r="B401" s="145" t="s">
        <v>116</v>
      </c>
      <c r="C401" s="145" t="s">
        <v>12</v>
      </c>
      <c r="D401" s="1" t="s">
        <v>791</v>
      </c>
      <c r="E401" s="146">
        <v>9</v>
      </c>
      <c r="F401" s="1" t="s">
        <v>827</v>
      </c>
      <c r="G401" s="5">
        <v>443.33</v>
      </c>
      <c r="H401" s="147">
        <f>Table3[[#This Row],[Qty]]*Table3[[#This Row],[Price]]</f>
        <v>3989.97</v>
      </c>
      <c r="I401" s="5"/>
    </row>
    <row r="402" spans="1:9" x14ac:dyDescent="0.25">
      <c r="A402" s="144">
        <v>46024</v>
      </c>
      <c r="B402" s="145" t="s">
        <v>116</v>
      </c>
      <c r="C402" s="145" t="s">
        <v>99</v>
      </c>
      <c r="D402" s="1" t="s">
        <v>794</v>
      </c>
      <c r="E402" s="146">
        <v>20</v>
      </c>
      <c r="F402" s="1" t="s">
        <v>174</v>
      </c>
      <c r="G402" s="5">
        <v>113</v>
      </c>
      <c r="H402" s="147">
        <f>Table3[[#This Row],[Qty]]*Table3[[#This Row],[Price]]</f>
        <v>2260</v>
      </c>
      <c r="I402" s="5"/>
    </row>
    <row r="403" spans="1:9" x14ac:dyDescent="0.25">
      <c r="A403" s="144">
        <v>46024</v>
      </c>
      <c r="B403" s="145" t="s">
        <v>116</v>
      </c>
      <c r="C403" s="145" t="s">
        <v>99</v>
      </c>
      <c r="D403" s="1" t="s">
        <v>791</v>
      </c>
      <c r="E403" s="146">
        <v>22</v>
      </c>
      <c r="F403" s="1" t="s">
        <v>827</v>
      </c>
      <c r="G403" s="5">
        <v>443.33</v>
      </c>
      <c r="H403" s="147">
        <f>Table3[[#This Row],[Qty]]*Table3[[#This Row],[Price]]</f>
        <v>9753.26</v>
      </c>
      <c r="I403" s="5"/>
    </row>
    <row r="404" spans="1:9" x14ac:dyDescent="0.25">
      <c r="A404" s="144">
        <v>46024</v>
      </c>
      <c r="B404" s="145" t="s">
        <v>116</v>
      </c>
      <c r="C404" s="145" t="s">
        <v>99</v>
      </c>
      <c r="D404" s="1" t="s">
        <v>860</v>
      </c>
      <c r="E404" s="146">
        <v>4</v>
      </c>
      <c r="F404" s="1" t="s">
        <v>174</v>
      </c>
      <c r="G404" s="5">
        <v>12</v>
      </c>
      <c r="H404" s="147">
        <f>Table3[[#This Row],[Qty]]*Table3[[#This Row],[Price]]</f>
        <v>48</v>
      </c>
      <c r="I404" s="5"/>
    </row>
    <row r="405" spans="1:9" x14ac:dyDescent="0.25">
      <c r="A405" s="144">
        <v>46024</v>
      </c>
      <c r="B405" s="145" t="s">
        <v>116</v>
      </c>
      <c r="C405" s="145" t="s">
        <v>99</v>
      </c>
      <c r="D405" s="1" t="s">
        <v>855</v>
      </c>
      <c r="E405" s="146">
        <v>4.5</v>
      </c>
      <c r="F405" s="1" t="s">
        <v>174</v>
      </c>
      <c r="G405" s="5">
        <v>50</v>
      </c>
      <c r="H405" s="147">
        <f>Table3[[#This Row],[Qty]]*Table3[[#This Row],[Price]]</f>
        <v>225</v>
      </c>
      <c r="I405" s="5"/>
    </row>
    <row r="406" spans="1:9" x14ac:dyDescent="0.25">
      <c r="A406" s="144">
        <v>46024</v>
      </c>
      <c r="B406" s="145" t="s">
        <v>116</v>
      </c>
      <c r="C406" s="145" t="s">
        <v>99</v>
      </c>
      <c r="D406" s="1" t="s">
        <v>876</v>
      </c>
      <c r="E406" s="146">
        <v>0.35</v>
      </c>
      <c r="F406" s="1" t="s">
        <v>174</v>
      </c>
      <c r="G406" s="5">
        <v>230</v>
      </c>
      <c r="H406" s="147">
        <f>Table3[[#This Row],[Qty]]*Table3[[#This Row],[Price]]</f>
        <v>80.5</v>
      </c>
      <c r="I406" s="5"/>
    </row>
    <row r="407" spans="1:9" x14ac:dyDescent="0.25">
      <c r="A407" s="144">
        <v>46024</v>
      </c>
      <c r="B407" s="145" t="s">
        <v>116</v>
      </c>
      <c r="C407" s="145" t="s">
        <v>99</v>
      </c>
      <c r="D407" s="1" t="s">
        <v>852</v>
      </c>
      <c r="E407" s="146">
        <v>1.1000000000000001</v>
      </c>
      <c r="F407" s="1" t="s">
        <v>174</v>
      </c>
      <c r="G407" s="5">
        <v>150</v>
      </c>
      <c r="H407" s="147">
        <f>Table3[[#This Row],[Qty]]*Table3[[#This Row],[Price]]</f>
        <v>165</v>
      </c>
      <c r="I407" s="5"/>
    </row>
    <row r="408" spans="1:9" x14ac:dyDescent="0.25">
      <c r="A408" s="144">
        <v>46024</v>
      </c>
      <c r="B408" s="145" t="s">
        <v>116</v>
      </c>
      <c r="C408" s="145" t="s">
        <v>99</v>
      </c>
      <c r="D408" s="1" t="s">
        <v>884</v>
      </c>
      <c r="E408" s="146">
        <v>0.6</v>
      </c>
      <c r="F408" s="1" t="s">
        <v>174</v>
      </c>
      <c r="G408" s="5">
        <v>340</v>
      </c>
      <c r="H408" s="147">
        <f>Table3[[#This Row],[Qty]]*Table3[[#This Row],[Price]]</f>
        <v>204</v>
      </c>
      <c r="I408" s="5"/>
    </row>
    <row r="409" spans="1:9" x14ac:dyDescent="0.25">
      <c r="A409" s="144">
        <v>46024</v>
      </c>
      <c r="B409" s="145" t="s">
        <v>116</v>
      </c>
      <c r="C409" s="145" t="s">
        <v>99</v>
      </c>
      <c r="D409" s="1" t="s">
        <v>797</v>
      </c>
      <c r="E409" s="146">
        <v>2</v>
      </c>
      <c r="F409" s="1" t="s">
        <v>174</v>
      </c>
      <c r="G409" s="5">
        <v>560</v>
      </c>
      <c r="H409" s="147">
        <f>Table3[[#This Row],[Qty]]*Table3[[#This Row],[Price]]</f>
        <v>1120</v>
      </c>
      <c r="I409" s="5"/>
    </row>
    <row r="410" spans="1:9" x14ac:dyDescent="0.25">
      <c r="A410" s="144">
        <v>46024</v>
      </c>
      <c r="B410" s="145" t="s">
        <v>116</v>
      </c>
      <c r="C410" s="145" t="s">
        <v>99</v>
      </c>
      <c r="D410" s="1" t="s">
        <v>844</v>
      </c>
      <c r="E410" s="146">
        <v>26</v>
      </c>
      <c r="F410" s="1" t="s">
        <v>174</v>
      </c>
      <c r="G410" s="5">
        <v>50</v>
      </c>
      <c r="H410" s="147">
        <f>Table3[[#This Row],[Qty]]*Table3[[#This Row],[Price]]</f>
        <v>1300</v>
      </c>
      <c r="I410" s="5"/>
    </row>
    <row r="411" spans="1:9" x14ac:dyDescent="0.25">
      <c r="A411" s="144">
        <v>46024</v>
      </c>
      <c r="B411" s="145" t="s">
        <v>116</v>
      </c>
      <c r="C411" s="145" t="s">
        <v>13</v>
      </c>
      <c r="D411" s="1" t="s">
        <v>825</v>
      </c>
      <c r="E411" s="146">
        <v>1</v>
      </c>
      <c r="F411" s="1" t="s">
        <v>223</v>
      </c>
      <c r="G411" s="5">
        <v>65</v>
      </c>
      <c r="H411" s="147">
        <f>Table3[[#This Row],[Qty]]*Table3[[#This Row],[Price]]</f>
        <v>65</v>
      </c>
      <c r="I411" s="5"/>
    </row>
    <row r="412" spans="1:9" x14ac:dyDescent="0.25">
      <c r="A412" s="153">
        <v>46024</v>
      </c>
      <c r="B412" s="154" t="s">
        <v>116</v>
      </c>
      <c r="C412" s="154" t="s">
        <v>99</v>
      </c>
      <c r="D412" s="155" t="s">
        <v>887</v>
      </c>
      <c r="E412" s="156">
        <v>0.35</v>
      </c>
      <c r="F412" s="1" t="s">
        <v>174</v>
      </c>
      <c r="G412" s="151"/>
      <c r="H412" s="147">
        <f>Table3[[#This Row],[Qty]]*Table3[[#This Row],[Price]]</f>
        <v>0</v>
      </c>
      <c r="I412" s="151"/>
    </row>
    <row r="413" spans="1:9" x14ac:dyDescent="0.25">
      <c r="A413" s="144">
        <v>46024</v>
      </c>
      <c r="B413" s="145" t="s">
        <v>116</v>
      </c>
      <c r="C413" s="145" t="s">
        <v>99</v>
      </c>
      <c r="D413" s="1" t="s">
        <v>796</v>
      </c>
      <c r="E413" s="146">
        <v>1</v>
      </c>
      <c r="F413" s="1" t="s">
        <v>174</v>
      </c>
      <c r="G413" s="5">
        <v>1150</v>
      </c>
      <c r="H413" s="147">
        <f>Table3[[#This Row],[Qty]]*Table3[[#This Row],[Price]]</f>
        <v>1150</v>
      </c>
      <c r="I413" s="5"/>
    </row>
    <row r="414" spans="1:9" x14ac:dyDescent="0.25">
      <c r="A414" s="144">
        <v>46024</v>
      </c>
      <c r="B414" s="145" t="s">
        <v>116</v>
      </c>
      <c r="C414" s="145" t="s">
        <v>310</v>
      </c>
      <c r="D414" s="1" t="s">
        <v>862</v>
      </c>
      <c r="E414" s="146">
        <v>6.5</v>
      </c>
      <c r="F414" s="1" t="s">
        <v>174</v>
      </c>
      <c r="G414" s="5">
        <v>170</v>
      </c>
      <c r="H414" s="147">
        <f>Table3[[#This Row],[Qty]]*Table3[[#This Row],[Price]]</f>
        <v>1105</v>
      </c>
      <c r="I414" s="5"/>
    </row>
    <row r="415" spans="1:9" x14ac:dyDescent="0.25">
      <c r="A415" s="144">
        <v>46024</v>
      </c>
      <c r="B415" s="145" t="s">
        <v>116</v>
      </c>
      <c r="C415" s="145" t="s">
        <v>310</v>
      </c>
      <c r="D415" s="1" t="s">
        <v>786</v>
      </c>
      <c r="E415" s="146">
        <v>2</v>
      </c>
      <c r="F415" s="1" t="s">
        <v>174</v>
      </c>
      <c r="G415" s="5">
        <v>1400</v>
      </c>
      <c r="H415" s="147">
        <f>Table3[[#This Row],[Qty]]*Table3[[#This Row],[Price]]</f>
        <v>2800</v>
      </c>
      <c r="I415" s="5"/>
    </row>
    <row r="416" spans="1:9" x14ac:dyDescent="0.25">
      <c r="A416" s="144">
        <v>46024</v>
      </c>
      <c r="B416" s="145" t="s">
        <v>116</v>
      </c>
      <c r="C416" s="145" t="s">
        <v>99</v>
      </c>
      <c r="D416" s="1" t="s">
        <v>852</v>
      </c>
      <c r="E416" s="146">
        <v>0.65</v>
      </c>
      <c r="F416" s="1" t="s">
        <v>174</v>
      </c>
      <c r="G416" s="5">
        <v>150</v>
      </c>
      <c r="H416" s="147">
        <f>Table3[[#This Row],[Qty]]*Table3[[#This Row],[Price]]</f>
        <v>97.5</v>
      </c>
      <c r="I416" s="5"/>
    </row>
    <row r="417" spans="1:9" x14ac:dyDescent="0.25">
      <c r="A417" s="144">
        <v>46024</v>
      </c>
      <c r="B417" s="145" t="s">
        <v>116</v>
      </c>
      <c r="C417" s="145" t="s">
        <v>99</v>
      </c>
      <c r="D417" s="1" t="s">
        <v>813</v>
      </c>
      <c r="E417" s="146">
        <v>2</v>
      </c>
      <c r="F417" s="1" t="s">
        <v>174</v>
      </c>
      <c r="G417" s="5">
        <v>700</v>
      </c>
      <c r="H417" s="147">
        <f>Table3[[#This Row],[Qty]]*Table3[[#This Row],[Price]]</f>
        <v>1400</v>
      </c>
      <c r="I417" s="5"/>
    </row>
    <row r="418" spans="1:9" x14ac:dyDescent="0.25">
      <c r="A418" s="144">
        <v>46024</v>
      </c>
      <c r="B418" s="145" t="s">
        <v>116</v>
      </c>
      <c r="C418" s="145" t="s">
        <v>99</v>
      </c>
      <c r="D418" s="1" t="s">
        <v>888</v>
      </c>
      <c r="E418" s="146">
        <v>2</v>
      </c>
      <c r="F418" s="1" t="s">
        <v>174</v>
      </c>
      <c r="G418" s="5">
        <v>650</v>
      </c>
      <c r="H418" s="147">
        <f>Table3[[#This Row],[Qty]]*Table3[[#This Row],[Price]]</f>
        <v>1300</v>
      </c>
      <c r="I418" s="5"/>
    </row>
    <row r="419" spans="1:9" x14ac:dyDescent="0.25">
      <c r="A419" s="144">
        <v>46024</v>
      </c>
      <c r="B419" s="145" t="s">
        <v>116</v>
      </c>
      <c r="C419" s="145" t="s">
        <v>99</v>
      </c>
      <c r="D419" s="1" t="s">
        <v>821</v>
      </c>
      <c r="E419" s="146">
        <v>2</v>
      </c>
      <c r="F419" s="1" t="s">
        <v>174</v>
      </c>
      <c r="G419" s="5">
        <v>700</v>
      </c>
      <c r="H419" s="147">
        <f>Table3[[#This Row],[Qty]]*Table3[[#This Row],[Price]]</f>
        <v>1400</v>
      </c>
      <c r="I419" s="5"/>
    </row>
    <row r="420" spans="1:9" x14ac:dyDescent="0.25">
      <c r="A420" s="144">
        <v>46024</v>
      </c>
      <c r="B420" s="145" t="s">
        <v>116</v>
      </c>
      <c r="C420" s="145" t="s">
        <v>99</v>
      </c>
      <c r="D420" s="1" t="s">
        <v>842</v>
      </c>
      <c r="E420" s="146">
        <v>4</v>
      </c>
      <c r="F420" s="1" t="s">
        <v>174</v>
      </c>
      <c r="G420" s="5">
        <v>75</v>
      </c>
      <c r="H420" s="147">
        <f>Table3[[#This Row],[Qty]]*Table3[[#This Row],[Price]]</f>
        <v>300</v>
      </c>
      <c r="I420" s="5"/>
    </row>
    <row r="421" spans="1:9" x14ac:dyDescent="0.25">
      <c r="A421" s="144">
        <v>46024</v>
      </c>
      <c r="B421" s="145" t="s">
        <v>116</v>
      </c>
      <c r="C421" s="145" t="s">
        <v>99</v>
      </c>
      <c r="D421" s="1" t="s">
        <v>846</v>
      </c>
      <c r="E421" s="146">
        <v>0.5</v>
      </c>
      <c r="F421" s="1" t="s">
        <v>174</v>
      </c>
      <c r="G421" s="5">
        <v>95</v>
      </c>
      <c r="H421" s="147">
        <f>Table3[[#This Row],[Qty]]*Table3[[#This Row],[Price]]</f>
        <v>47.5</v>
      </c>
      <c r="I421" s="5"/>
    </row>
    <row r="422" spans="1:9" x14ac:dyDescent="0.25">
      <c r="A422" s="144">
        <v>46024</v>
      </c>
      <c r="B422" s="145" t="s">
        <v>116</v>
      </c>
      <c r="C422" s="145" t="s">
        <v>99</v>
      </c>
      <c r="D422" s="1" t="s">
        <v>845</v>
      </c>
      <c r="E422" s="146">
        <v>0.5</v>
      </c>
      <c r="F422" s="1" t="s">
        <v>174</v>
      </c>
      <c r="G422" s="5">
        <v>90</v>
      </c>
      <c r="H422" s="147">
        <f>Table3[[#This Row],[Qty]]*Table3[[#This Row],[Price]]</f>
        <v>45</v>
      </c>
      <c r="I422" s="5"/>
    </row>
    <row r="423" spans="1:9" x14ac:dyDescent="0.25">
      <c r="A423" s="144">
        <v>46024</v>
      </c>
      <c r="B423" s="145" t="s">
        <v>116</v>
      </c>
      <c r="C423" s="145" t="s">
        <v>99</v>
      </c>
      <c r="D423" s="1" t="s">
        <v>870</v>
      </c>
      <c r="E423" s="146">
        <v>0.4</v>
      </c>
      <c r="F423" s="1" t="s">
        <v>174</v>
      </c>
      <c r="G423" s="5">
        <v>50</v>
      </c>
      <c r="H423" s="147">
        <f>Table3[[#This Row],[Qty]]*Table3[[#This Row],[Price]]</f>
        <v>20</v>
      </c>
      <c r="I423" s="5"/>
    </row>
    <row r="424" spans="1:9" x14ac:dyDescent="0.25">
      <c r="A424" s="144">
        <v>46024</v>
      </c>
      <c r="B424" s="145" t="s">
        <v>116</v>
      </c>
      <c r="C424" s="145" t="s">
        <v>99</v>
      </c>
      <c r="D424" s="1" t="s">
        <v>144</v>
      </c>
      <c r="E424" s="146">
        <v>2</v>
      </c>
      <c r="F424" s="58" t="s">
        <v>819</v>
      </c>
      <c r="G424" s="5">
        <v>30</v>
      </c>
      <c r="H424" s="147">
        <f>Table3[[#This Row],[Qty]]*Table3[[#This Row],[Price]]</f>
        <v>60</v>
      </c>
      <c r="I424" s="5"/>
    </row>
    <row r="425" spans="1:9" x14ac:dyDescent="0.25">
      <c r="A425" s="144">
        <v>46024</v>
      </c>
      <c r="B425" s="145" t="s">
        <v>116</v>
      </c>
      <c r="C425" s="145" t="s">
        <v>99</v>
      </c>
      <c r="D425" s="1" t="s">
        <v>864</v>
      </c>
      <c r="E425" s="146">
        <v>10</v>
      </c>
      <c r="F425" s="1" t="s">
        <v>174</v>
      </c>
      <c r="G425" s="5">
        <v>653</v>
      </c>
      <c r="H425" s="147">
        <f>Table3[[#This Row],[Qty]]*Table3[[#This Row],[Price]]</f>
        <v>6530</v>
      </c>
      <c r="I425" s="5"/>
    </row>
    <row r="426" spans="1:9" x14ac:dyDescent="0.25">
      <c r="A426" s="144">
        <v>46024</v>
      </c>
      <c r="B426" s="145" t="s">
        <v>116</v>
      </c>
      <c r="C426" s="145" t="s">
        <v>99</v>
      </c>
      <c r="D426" s="1" t="s">
        <v>135</v>
      </c>
      <c r="E426" s="146">
        <v>100</v>
      </c>
      <c r="F426" s="1" t="s">
        <v>174</v>
      </c>
      <c r="G426" s="5">
        <v>300</v>
      </c>
      <c r="H426" s="147">
        <f>Table3[[#This Row],[Qty]]*Table3[[#This Row],[Price]]</f>
        <v>30000</v>
      </c>
      <c r="I426" s="5"/>
    </row>
    <row r="427" spans="1:9" x14ac:dyDescent="0.25">
      <c r="A427" s="144">
        <v>46024</v>
      </c>
      <c r="B427" s="145" t="s">
        <v>116</v>
      </c>
      <c r="C427" s="145" t="s">
        <v>99</v>
      </c>
      <c r="D427" s="1" t="s">
        <v>865</v>
      </c>
      <c r="E427" s="146">
        <v>9</v>
      </c>
      <c r="F427" s="1" t="s">
        <v>174</v>
      </c>
      <c r="G427" s="5">
        <v>120</v>
      </c>
      <c r="H427" s="147">
        <f>Table3[[#This Row],[Qty]]*Table3[[#This Row],[Price]]</f>
        <v>1080</v>
      </c>
      <c r="I427" s="5"/>
    </row>
    <row r="428" spans="1:9" x14ac:dyDescent="0.25">
      <c r="A428" s="144">
        <v>46024</v>
      </c>
      <c r="B428" s="145" t="s">
        <v>116</v>
      </c>
      <c r="C428" s="145" t="s">
        <v>20</v>
      </c>
      <c r="D428" s="1" t="s">
        <v>794</v>
      </c>
      <c r="E428" s="146">
        <v>30</v>
      </c>
      <c r="F428" s="1" t="s">
        <v>174</v>
      </c>
      <c r="G428" s="5">
        <v>113</v>
      </c>
      <c r="H428" s="147">
        <f>Table3[[#This Row],[Qty]]*Table3[[#This Row],[Price]]</f>
        <v>3390</v>
      </c>
      <c r="I428" s="5"/>
    </row>
    <row r="429" spans="1:9" x14ac:dyDescent="0.25">
      <c r="A429" s="144">
        <v>46024</v>
      </c>
      <c r="B429" s="145" t="s">
        <v>116</v>
      </c>
      <c r="C429" s="145" t="s">
        <v>12</v>
      </c>
      <c r="D429" s="1" t="s">
        <v>235</v>
      </c>
      <c r="E429" s="146">
        <v>0.5</v>
      </c>
      <c r="F429" s="1" t="s">
        <v>174</v>
      </c>
      <c r="G429" s="5">
        <v>183</v>
      </c>
      <c r="H429" s="147">
        <f>Table3[[#This Row],[Qty]]*Table3[[#This Row],[Price]]</f>
        <v>91.5</v>
      </c>
      <c r="I429" s="5"/>
    </row>
    <row r="430" spans="1:9" x14ac:dyDescent="0.25">
      <c r="A430" s="144">
        <v>46024</v>
      </c>
      <c r="B430" s="145" t="s">
        <v>116</v>
      </c>
      <c r="C430" s="148" t="s">
        <v>310</v>
      </c>
      <c r="D430" s="1" t="s">
        <v>866</v>
      </c>
      <c r="E430" s="146">
        <v>1.5</v>
      </c>
      <c r="F430" s="1" t="s">
        <v>174</v>
      </c>
      <c r="G430" s="5">
        <v>480</v>
      </c>
      <c r="H430" s="147">
        <f>Table3[[#This Row],[Qty]]*Table3[[#This Row],[Price]]</f>
        <v>720</v>
      </c>
      <c r="I430" s="5"/>
    </row>
    <row r="431" spans="1:9" x14ac:dyDescent="0.25">
      <c r="A431" s="144">
        <v>46024</v>
      </c>
      <c r="B431" s="145" t="s">
        <v>116</v>
      </c>
      <c r="C431" s="148" t="s">
        <v>310</v>
      </c>
      <c r="D431" s="1" t="s">
        <v>808</v>
      </c>
      <c r="E431" s="146">
        <v>1</v>
      </c>
      <c r="F431" s="1" t="s">
        <v>809</v>
      </c>
      <c r="G431" s="5">
        <v>896</v>
      </c>
      <c r="H431" s="147">
        <f>Table3[[#This Row],[Qty]]*Table3[[#This Row],[Price]]</f>
        <v>896</v>
      </c>
      <c r="I431" s="5"/>
    </row>
    <row r="432" spans="1:9" x14ac:dyDescent="0.25">
      <c r="A432" s="144">
        <v>46024</v>
      </c>
      <c r="B432" s="145" t="s">
        <v>116</v>
      </c>
      <c r="C432" s="145" t="s">
        <v>20</v>
      </c>
      <c r="D432" s="1" t="s">
        <v>802</v>
      </c>
      <c r="E432" s="146">
        <v>1</v>
      </c>
      <c r="F432" s="1" t="s">
        <v>174</v>
      </c>
      <c r="G432" s="5">
        <v>480</v>
      </c>
      <c r="H432" s="147">
        <f>Table3[[#This Row],[Qty]]*Table3[[#This Row],[Price]]</f>
        <v>480</v>
      </c>
      <c r="I432" s="5"/>
    </row>
    <row r="433" spans="1:9" x14ac:dyDescent="0.25">
      <c r="A433" s="144">
        <v>46024</v>
      </c>
      <c r="B433" s="145" t="s">
        <v>116</v>
      </c>
      <c r="C433" s="145" t="s">
        <v>310</v>
      </c>
      <c r="D433" s="1" t="s">
        <v>862</v>
      </c>
      <c r="E433" s="146">
        <v>6</v>
      </c>
      <c r="F433" s="1" t="s">
        <v>174</v>
      </c>
      <c r="G433" s="5">
        <v>170</v>
      </c>
      <c r="H433" s="147">
        <f>Table3[[#This Row],[Qty]]*Table3[[#This Row],[Price]]</f>
        <v>1020</v>
      </c>
      <c r="I433" s="5"/>
    </row>
    <row r="434" spans="1:9" x14ac:dyDescent="0.25">
      <c r="A434" s="144">
        <v>46024</v>
      </c>
      <c r="B434" s="145" t="s">
        <v>116</v>
      </c>
      <c r="C434" s="145" t="s">
        <v>310</v>
      </c>
      <c r="D434" s="1" t="s">
        <v>786</v>
      </c>
      <c r="E434" s="146">
        <v>2.1</v>
      </c>
      <c r="F434" s="1" t="s">
        <v>174</v>
      </c>
      <c r="G434" s="5">
        <v>1400</v>
      </c>
      <c r="H434" s="147">
        <f>Table3[[#This Row],[Qty]]*Table3[[#This Row],[Price]]</f>
        <v>2940</v>
      </c>
      <c r="I434" s="5"/>
    </row>
    <row r="435" spans="1:9" x14ac:dyDescent="0.25">
      <c r="A435" s="144">
        <v>46024</v>
      </c>
      <c r="B435" s="145" t="s">
        <v>116</v>
      </c>
      <c r="C435" s="145" t="s">
        <v>20</v>
      </c>
      <c r="D435" s="1" t="s">
        <v>791</v>
      </c>
      <c r="E435" s="146">
        <v>10</v>
      </c>
      <c r="F435" s="1" t="s">
        <v>827</v>
      </c>
      <c r="G435" s="5">
        <v>443.33</v>
      </c>
      <c r="H435" s="147">
        <f>Table3[[#This Row],[Qty]]*Table3[[#This Row],[Price]]</f>
        <v>4433.3</v>
      </c>
      <c r="I435" s="5"/>
    </row>
    <row r="436" spans="1:9" x14ac:dyDescent="0.25">
      <c r="A436" s="144">
        <v>46024</v>
      </c>
      <c r="B436" s="145" t="s">
        <v>116</v>
      </c>
      <c r="C436" s="145" t="s">
        <v>20</v>
      </c>
      <c r="D436" s="1" t="s">
        <v>844</v>
      </c>
      <c r="E436" s="146">
        <v>9.5</v>
      </c>
      <c r="F436" s="1" t="s">
        <v>174</v>
      </c>
      <c r="G436" s="5">
        <v>50</v>
      </c>
      <c r="H436" s="147">
        <f>Table3[[#This Row],[Qty]]*Table3[[#This Row],[Price]]</f>
        <v>475</v>
      </c>
      <c r="I436" s="5"/>
    </row>
    <row r="437" spans="1:9" x14ac:dyDescent="0.25">
      <c r="A437" s="144">
        <v>46024</v>
      </c>
      <c r="B437" s="145" t="s">
        <v>116</v>
      </c>
      <c r="C437" s="145" t="s">
        <v>20</v>
      </c>
      <c r="D437" s="1" t="s">
        <v>852</v>
      </c>
      <c r="E437" s="146">
        <v>0.5</v>
      </c>
      <c r="F437" s="1" t="s">
        <v>174</v>
      </c>
      <c r="G437" s="5">
        <v>150</v>
      </c>
      <c r="H437" s="147">
        <f>Table3[[#This Row],[Qty]]*Table3[[#This Row],[Price]]</f>
        <v>75</v>
      </c>
      <c r="I437" s="5"/>
    </row>
    <row r="438" spans="1:9" x14ac:dyDescent="0.25">
      <c r="A438" s="144">
        <v>46024</v>
      </c>
      <c r="B438" s="145" t="s">
        <v>116</v>
      </c>
      <c r="C438" s="148" t="s">
        <v>310</v>
      </c>
      <c r="D438" s="1" t="s">
        <v>854</v>
      </c>
      <c r="E438" s="146">
        <v>1</v>
      </c>
      <c r="F438" s="1" t="s">
        <v>174</v>
      </c>
      <c r="G438" s="5">
        <v>1600</v>
      </c>
      <c r="H438" s="147">
        <f>Table3[[#This Row],[Qty]]*Table3[[#This Row],[Price]]</f>
        <v>1600</v>
      </c>
      <c r="I438" s="5"/>
    </row>
    <row r="439" spans="1:9" x14ac:dyDescent="0.25">
      <c r="A439" s="144">
        <v>46024</v>
      </c>
      <c r="B439" s="145" t="s">
        <v>116</v>
      </c>
      <c r="C439" s="145" t="s">
        <v>20</v>
      </c>
      <c r="D439" s="1" t="s">
        <v>867</v>
      </c>
      <c r="E439" s="146">
        <v>0.5</v>
      </c>
      <c r="F439" s="1" t="s">
        <v>174</v>
      </c>
      <c r="G439" s="5">
        <v>1200</v>
      </c>
      <c r="H439" s="147">
        <f>Table3[[#This Row],[Qty]]*Table3[[#This Row],[Price]]</f>
        <v>600</v>
      </c>
      <c r="I439" s="5"/>
    </row>
    <row r="440" spans="1:9" x14ac:dyDescent="0.25">
      <c r="A440" s="144">
        <v>46024</v>
      </c>
      <c r="B440" s="145" t="s">
        <v>116</v>
      </c>
      <c r="C440" s="145" t="s">
        <v>20</v>
      </c>
      <c r="D440" s="1" t="s">
        <v>860</v>
      </c>
      <c r="E440" s="146">
        <v>2</v>
      </c>
      <c r="F440" s="1" t="s">
        <v>174</v>
      </c>
      <c r="G440" s="5">
        <v>12</v>
      </c>
      <c r="H440" s="147">
        <f>Table3[[#This Row],[Qty]]*Table3[[#This Row],[Price]]</f>
        <v>24</v>
      </c>
      <c r="I440" s="5"/>
    </row>
    <row r="441" spans="1:9" x14ac:dyDescent="0.25">
      <c r="A441" s="144">
        <v>46024</v>
      </c>
      <c r="B441" s="145" t="s">
        <v>116</v>
      </c>
      <c r="C441" s="145" t="s">
        <v>310</v>
      </c>
      <c r="D441" s="1" t="s">
        <v>868</v>
      </c>
      <c r="E441" s="146">
        <v>10</v>
      </c>
      <c r="F441" s="1" t="s">
        <v>827</v>
      </c>
      <c r="G441" s="5">
        <v>220</v>
      </c>
      <c r="H441" s="147">
        <f>Table3[[#This Row],[Qty]]*Table3[[#This Row],[Price]]</f>
        <v>2200</v>
      </c>
      <c r="I441" s="5"/>
    </row>
    <row r="442" spans="1:9" x14ac:dyDescent="0.25">
      <c r="A442" s="144">
        <v>46024</v>
      </c>
      <c r="B442" s="145" t="s">
        <v>116</v>
      </c>
      <c r="C442" s="145" t="s">
        <v>310</v>
      </c>
      <c r="D442" s="1" t="s">
        <v>862</v>
      </c>
      <c r="E442" s="146">
        <v>5</v>
      </c>
      <c r="F442" s="1" t="s">
        <v>174</v>
      </c>
      <c r="G442" s="5">
        <v>170</v>
      </c>
      <c r="H442" s="147">
        <f>Table3[[#This Row],[Qty]]*Table3[[#This Row],[Price]]</f>
        <v>850</v>
      </c>
      <c r="I442" s="5"/>
    </row>
    <row r="443" spans="1:9" x14ac:dyDescent="0.25">
      <c r="A443" s="144">
        <v>46024</v>
      </c>
      <c r="B443" s="145" t="s">
        <v>116</v>
      </c>
      <c r="C443" s="145" t="s">
        <v>310</v>
      </c>
      <c r="D443" s="1" t="s">
        <v>872</v>
      </c>
      <c r="E443" s="146">
        <v>2</v>
      </c>
      <c r="F443" s="1" t="s">
        <v>174</v>
      </c>
      <c r="G443" s="5">
        <v>1400</v>
      </c>
      <c r="H443" s="147">
        <f>Table3[[#This Row],[Qty]]*Table3[[#This Row],[Price]]</f>
        <v>2800</v>
      </c>
      <c r="I443" s="5"/>
    </row>
    <row r="444" spans="1:9" x14ac:dyDescent="0.25">
      <c r="A444" s="144">
        <v>46024</v>
      </c>
      <c r="B444" s="145" t="s">
        <v>116</v>
      </c>
      <c r="C444" s="148" t="s">
        <v>310</v>
      </c>
      <c r="D444" s="1" t="s">
        <v>866</v>
      </c>
      <c r="E444" s="146">
        <v>2</v>
      </c>
      <c r="F444" s="1" t="s">
        <v>174</v>
      </c>
      <c r="G444" s="5">
        <v>480</v>
      </c>
      <c r="H444" s="147">
        <f>Table3[[#This Row],[Qty]]*Table3[[#This Row],[Price]]</f>
        <v>960</v>
      </c>
      <c r="I444" s="5"/>
    </row>
    <row r="445" spans="1:9" x14ac:dyDescent="0.25">
      <c r="A445" s="144">
        <v>46024</v>
      </c>
      <c r="B445" s="145" t="s">
        <v>116</v>
      </c>
      <c r="C445" s="145" t="s">
        <v>11</v>
      </c>
      <c r="D445" s="1" t="s">
        <v>793</v>
      </c>
      <c r="E445" s="146">
        <v>50</v>
      </c>
      <c r="F445" s="1" t="s">
        <v>174</v>
      </c>
      <c r="G445" s="5">
        <v>119</v>
      </c>
      <c r="H445" s="147">
        <f>Table3[[#This Row],[Qty]]*Table3[[#This Row],[Price]]</f>
        <v>5950</v>
      </c>
      <c r="I445" s="5"/>
    </row>
    <row r="446" spans="1:9" x14ac:dyDescent="0.25">
      <c r="A446" s="144">
        <v>46025</v>
      </c>
      <c r="B446" s="145" t="s">
        <v>117</v>
      </c>
      <c r="C446" s="145" t="s">
        <v>310</v>
      </c>
      <c r="D446" s="1" t="s">
        <v>862</v>
      </c>
      <c r="E446" s="146">
        <v>7</v>
      </c>
      <c r="F446" s="1" t="s">
        <v>174</v>
      </c>
      <c r="G446" s="5">
        <v>170</v>
      </c>
      <c r="H446" s="147">
        <f>Table3[[#This Row],[Qty]]*Table3[[#This Row],[Price]]</f>
        <v>1190</v>
      </c>
      <c r="I446" s="5"/>
    </row>
    <row r="447" spans="1:9" x14ac:dyDescent="0.25">
      <c r="A447" s="144">
        <v>46025</v>
      </c>
      <c r="B447" s="145" t="s">
        <v>117</v>
      </c>
      <c r="C447" s="145" t="s">
        <v>310</v>
      </c>
      <c r="D447" s="1" t="s">
        <v>786</v>
      </c>
      <c r="E447" s="146">
        <v>4</v>
      </c>
      <c r="F447" s="1" t="s">
        <v>174</v>
      </c>
      <c r="G447" s="5">
        <v>1400</v>
      </c>
      <c r="H447" s="147">
        <f>Table3[[#This Row],[Qty]]*Table3[[#This Row],[Price]]</f>
        <v>5600</v>
      </c>
      <c r="I447" s="5"/>
    </row>
    <row r="448" spans="1:9" x14ac:dyDescent="0.25">
      <c r="A448" s="144">
        <v>46025</v>
      </c>
      <c r="B448" s="145" t="s">
        <v>117</v>
      </c>
      <c r="C448" s="145" t="s">
        <v>12</v>
      </c>
      <c r="D448" s="1" t="s">
        <v>144</v>
      </c>
      <c r="E448" s="146">
        <v>8</v>
      </c>
      <c r="F448" s="58" t="s">
        <v>819</v>
      </c>
      <c r="G448" s="5">
        <v>30</v>
      </c>
      <c r="H448" s="147">
        <f>Table3[[#This Row],[Qty]]*Table3[[#This Row],[Price]]</f>
        <v>240</v>
      </c>
      <c r="I448" s="5"/>
    </row>
    <row r="449" spans="1:9" x14ac:dyDescent="0.25">
      <c r="A449" s="144">
        <v>46025</v>
      </c>
      <c r="B449" s="145" t="s">
        <v>117</v>
      </c>
      <c r="C449" s="145" t="s">
        <v>12</v>
      </c>
      <c r="D449" s="1" t="s">
        <v>791</v>
      </c>
      <c r="E449" s="146">
        <v>7</v>
      </c>
      <c r="F449" s="1" t="s">
        <v>827</v>
      </c>
      <c r="G449" s="5">
        <v>443.33</v>
      </c>
      <c r="H449" s="147">
        <f>Table3[[#This Row],[Qty]]*Table3[[#This Row],[Price]]</f>
        <v>3103.31</v>
      </c>
      <c r="I449" s="5"/>
    </row>
    <row r="450" spans="1:9" x14ac:dyDescent="0.25">
      <c r="A450" s="144">
        <v>46025</v>
      </c>
      <c r="B450" s="145" t="s">
        <v>117</v>
      </c>
      <c r="C450" s="145" t="s">
        <v>12</v>
      </c>
      <c r="D450" s="1" t="s">
        <v>793</v>
      </c>
      <c r="E450" s="146">
        <v>26</v>
      </c>
      <c r="F450" s="1" t="s">
        <v>174</v>
      </c>
      <c r="G450" s="5">
        <v>119</v>
      </c>
      <c r="H450" s="147">
        <f>Table3[[#This Row],[Qty]]*Table3[[#This Row],[Price]]</f>
        <v>3094</v>
      </c>
      <c r="I450" s="5"/>
    </row>
    <row r="451" spans="1:9" x14ac:dyDescent="0.25">
      <c r="A451" s="144">
        <v>46025</v>
      </c>
      <c r="B451" s="145" t="s">
        <v>117</v>
      </c>
      <c r="C451" s="148" t="s">
        <v>310</v>
      </c>
      <c r="D451" s="1" t="s">
        <v>866</v>
      </c>
      <c r="E451" s="146">
        <v>1</v>
      </c>
      <c r="F451" s="1" t="s">
        <v>174</v>
      </c>
      <c r="G451" s="5">
        <v>480</v>
      </c>
      <c r="H451" s="147">
        <f>Table3[[#This Row],[Qty]]*Table3[[#This Row],[Price]]</f>
        <v>480</v>
      </c>
      <c r="I451" s="5"/>
    </row>
    <row r="452" spans="1:9" x14ac:dyDescent="0.25">
      <c r="A452" s="144">
        <v>46025</v>
      </c>
      <c r="B452" s="145" t="s">
        <v>117</v>
      </c>
      <c r="C452" s="145" t="s">
        <v>99</v>
      </c>
      <c r="D452" s="1" t="s">
        <v>794</v>
      </c>
      <c r="E452" s="146">
        <v>100</v>
      </c>
      <c r="F452" s="1" t="s">
        <v>174</v>
      </c>
      <c r="G452" s="5">
        <v>113</v>
      </c>
      <c r="H452" s="147">
        <f>Table3[[#This Row],[Qty]]*Table3[[#This Row],[Price]]</f>
        <v>11300</v>
      </c>
      <c r="I452" s="5"/>
    </row>
    <row r="453" spans="1:9" x14ac:dyDescent="0.25">
      <c r="A453" s="144">
        <v>46025</v>
      </c>
      <c r="B453" s="145" t="s">
        <v>117</v>
      </c>
      <c r="C453" s="145" t="s">
        <v>99</v>
      </c>
      <c r="D453" s="1" t="s">
        <v>816</v>
      </c>
      <c r="E453" s="146">
        <v>3</v>
      </c>
      <c r="F453" s="1" t="s">
        <v>174</v>
      </c>
      <c r="G453" s="5">
        <v>12</v>
      </c>
      <c r="H453" s="147">
        <f>Table3[[#This Row],[Qty]]*Table3[[#This Row],[Price]]</f>
        <v>36</v>
      </c>
      <c r="I453" s="5"/>
    </row>
    <row r="454" spans="1:9" x14ac:dyDescent="0.25">
      <c r="A454" s="144">
        <v>46025</v>
      </c>
      <c r="B454" s="145" t="s">
        <v>117</v>
      </c>
      <c r="C454" s="145" t="s">
        <v>99</v>
      </c>
      <c r="D454" s="1" t="s">
        <v>799</v>
      </c>
      <c r="E454" s="146">
        <v>10</v>
      </c>
      <c r="F454" s="1" t="s">
        <v>174</v>
      </c>
      <c r="G454" s="5">
        <v>300</v>
      </c>
      <c r="H454" s="147">
        <f>Table3[[#This Row],[Qty]]*Table3[[#This Row],[Price]]</f>
        <v>3000</v>
      </c>
      <c r="I454" s="5"/>
    </row>
    <row r="455" spans="1:9" x14ac:dyDescent="0.25">
      <c r="A455" s="144">
        <v>46025</v>
      </c>
      <c r="B455" s="145" t="s">
        <v>117</v>
      </c>
      <c r="C455" s="145" t="s">
        <v>99</v>
      </c>
      <c r="D455" s="1" t="s">
        <v>844</v>
      </c>
      <c r="E455" s="146">
        <v>23</v>
      </c>
      <c r="F455" s="1" t="s">
        <v>174</v>
      </c>
      <c r="G455" s="5">
        <v>50</v>
      </c>
      <c r="H455" s="147">
        <f>Table3[[#This Row],[Qty]]*Table3[[#This Row],[Price]]</f>
        <v>1150</v>
      </c>
      <c r="I455" s="5"/>
    </row>
    <row r="456" spans="1:9" x14ac:dyDescent="0.25">
      <c r="A456" s="144">
        <v>46025</v>
      </c>
      <c r="B456" s="145" t="s">
        <v>117</v>
      </c>
      <c r="C456" s="145" t="s">
        <v>99</v>
      </c>
      <c r="D456" s="1" t="s">
        <v>842</v>
      </c>
      <c r="E456" s="146">
        <v>5</v>
      </c>
      <c r="F456" s="1" t="s">
        <v>174</v>
      </c>
      <c r="G456" s="5">
        <v>75</v>
      </c>
      <c r="H456" s="147">
        <f>Table3[[#This Row],[Qty]]*Table3[[#This Row],[Price]]</f>
        <v>375</v>
      </c>
      <c r="I456" s="5"/>
    </row>
    <row r="457" spans="1:9" x14ac:dyDescent="0.25">
      <c r="A457" s="144">
        <v>46025</v>
      </c>
      <c r="B457" s="145" t="s">
        <v>117</v>
      </c>
      <c r="C457" s="145" t="s">
        <v>12</v>
      </c>
      <c r="D457" s="1" t="s">
        <v>235</v>
      </c>
      <c r="E457" s="146">
        <v>6</v>
      </c>
      <c r="F457" s="1" t="s">
        <v>174</v>
      </c>
      <c r="G457" s="5">
        <v>183</v>
      </c>
      <c r="H457" s="147">
        <f>Table3[[#This Row],[Qty]]*Table3[[#This Row],[Price]]</f>
        <v>1098</v>
      </c>
      <c r="I457" s="5"/>
    </row>
    <row r="458" spans="1:9" x14ac:dyDescent="0.25">
      <c r="A458" s="144">
        <v>46025</v>
      </c>
      <c r="B458" s="145" t="s">
        <v>117</v>
      </c>
      <c r="C458" s="148" t="s">
        <v>310</v>
      </c>
      <c r="D458" s="1" t="s">
        <v>866</v>
      </c>
      <c r="E458" s="146">
        <v>1.5</v>
      </c>
      <c r="F458" s="1" t="s">
        <v>174</v>
      </c>
      <c r="G458" s="5">
        <v>480</v>
      </c>
      <c r="H458" s="147">
        <f>Table3[[#This Row],[Qty]]*Table3[[#This Row],[Price]]</f>
        <v>720</v>
      </c>
      <c r="I458" s="5"/>
    </row>
    <row r="459" spans="1:9" x14ac:dyDescent="0.25">
      <c r="A459" s="144">
        <v>46025</v>
      </c>
      <c r="B459" s="145" t="s">
        <v>117</v>
      </c>
      <c r="C459" s="145" t="s">
        <v>99</v>
      </c>
      <c r="D459" s="1" t="s">
        <v>865</v>
      </c>
      <c r="E459" s="146">
        <v>9</v>
      </c>
      <c r="F459" s="1" t="s">
        <v>174</v>
      </c>
      <c r="G459" s="5">
        <v>120</v>
      </c>
      <c r="H459" s="147">
        <f>Table3[[#This Row],[Qty]]*Table3[[#This Row],[Price]]</f>
        <v>1080</v>
      </c>
      <c r="I459" s="5"/>
    </row>
    <row r="460" spans="1:9" x14ac:dyDescent="0.25">
      <c r="A460" s="144">
        <v>46025</v>
      </c>
      <c r="B460" s="145" t="s">
        <v>117</v>
      </c>
      <c r="C460" s="145" t="s">
        <v>99</v>
      </c>
      <c r="D460" s="1" t="s">
        <v>796</v>
      </c>
      <c r="E460" s="146">
        <v>1</v>
      </c>
      <c r="F460" s="1" t="s">
        <v>174</v>
      </c>
      <c r="G460" s="5">
        <v>1150</v>
      </c>
      <c r="H460" s="147">
        <f>Table3[[#This Row],[Qty]]*Table3[[#This Row],[Price]]</f>
        <v>1150</v>
      </c>
      <c r="I460" s="5"/>
    </row>
    <row r="461" spans="1:9" x14ac:dyDescent="0.25">
      <c r="A461" s="144">
        <v>46025</v>
      </c>
      <c r="B461" s="145" t="s">
        <v>117</v>
      </c>
      <c r="C461" s="145" t="s">
        <v>99</v>
      </c>
      <c r="D461" s="1" t="s">
        <v>791</v>
      </c>
      <c r="E461" s="146">
        <v>5</v>
      </c>
      <c r="F461" s="1" t="s">
        <v>827</v>
      </c>
      <c r="G461" s="5">
        <v>443.33</v>
      </c>
      <c r="H461" s="147">
        <f>Table3[[#This Row],[Qty]]*Table3[[#This Row],[Price]]</f>
        <v>2216.65</v>
      </c>
      <c r="I461" s="5"/>
    </row>
    <row r="462" spans="1:9" x14ac:dyDescent="0.25">
      <c r="A462" s="144">
        <v>46025</v>
      </c>
      <c r="B462" s="145" t="s">
        <v>117</v>
      </c>
      <c r="C462" s="145" t="s">
        <v>99</v>
      </c>
      <c r="D462" s="1" t="s">
        <v>846</v>
      </c>
      <c r="E462" s="146">
        <v>0.5</v>
      </c>
      <c r="F462" s="1" t="s">
        <v>174</v>
      </c>
      <c r="G462" s="5">
        <v>95</v>
      </c>
      <c r="H462" s="147">
        <f>Table3[[#This Row],[Qty]]*Table3[[#This Row],[Price]]</f>
        <v>47.5</v>
      </c>
      <c r="I462" s="5"/>
    </row>
    <row r="463" spans="1:9" x14ac:dyDescent="0.25">
      <c r="A463" s="144">
        <v>46025</v>
      </c>
      <c r="B463" s="145" t="s">
        <v>117</v>
      </c>
      <c r="C463" s="145" t="s">
        <v>99</v>
      </c>
      <c r="D463" s="1" t="s">
        <v>845</v>
      </c>
      <c r="E463" s="146">
        <v>0.5</v>
      </c>
      <c r="F463" s="1" t="s">
        <v>174</v>
      </c>
      <c r="G463" s="5">
        <v>90</v>
      </c>
      <c r="H463" s="147">
        <f>Table3[[#This Row],[Qty]]*Table3[[#This Row],[Price]]</f>
        <v>45</v>
      </c>
      <c r="I463" s="5"/>
    </row>
    <row r="464" spans="1:9" x14ac:dyDescent="0.25">
      <c r="A464" s="144">
        <v>46025</v>
      </c>
      <c r="B464" s="145" t="s">
        <v>117</v>
      </c>
      <c r="C464" s="145" t="s">
        <v>99</v>
      </c>
      <c r="D464" s="1" t="s">
        <v>880</v>
      </c>
      <c r="E464" s="146">
        <v>1</v>
      </c>
      <c r="F464" s="1" t="s">
        <v>174</v>
      </c>
      <c r="G464" s="5">
        <v>90</v>
      </c>
      <c r="H464" s="147">
        <f>Table3[[#This Row],[Qty]]*Table3[[#This Row],[Price]]</f>
        <v>90</v>
      </c>
      <c r="I464" s="5"/>
    </row>
    <row r="465" spans="1:9" x14ac:dyDescent="0.25">
      <c r="A465" s="144">
        <v>46025</v>
      </c>
      <c r="B465" s="145" t="s">
        <v>117</v>
      </c>
      <c r="C465" s="145" t="s">
        <v>99</v>
      </c>
      <c r="D465" s="1" t="s">
        <v>817</v>
      </c>
      <c r="E465" s="146">
        <v>1</v>
      </c>
      <c r="F465" s="1" t="s">
        <v>174</v>
      </c>
      <c r="G465" s="5">
        <v>480</v>
      </c>
      <c r="H465" s="147">
        <f>Table3[[#This Row],[Qty]]*Table3[[#This Row],[Price]]</f>
        <v>480</v>
      </c>
      <c r="I465" s="5"/>
    </row>
    <row r="466" spans="1:9" x14ac:dyDescent="0.25">
      <c r="A466" s="144">
        <v>46025</v>
      </c>
      <c r="B466" s="145" t="s">
        <v>117</v>
      </c>
      <c r="C466" s="145" t="s">
        <v>99</v>
      </c>
      <c r="D466" s="1" t="s">
        <v>876</v>
      </c>
      <c r="E466" s="146">
        <v>0.4</v>
      </c>
      <c r="F466" s="1" t="s">
        <v>174</v>
      </c>
      <c r="G466" s="5">
        <v>230</v>
      </c>
      <c r="H466" s="147">
        <f>Table3[[#This Row],[Qty]]*Table3[[#This Row],[Price]]</f>
        <v>92</v>
      </c>
      <c r="I466" s="5"/>
    </row>
    <row r="467" spans="1:9" x14ac:dyDescent="0.25">
      <c r="A467" s="144">
        <v>46025</v>
      </c>
      <c r="B467" s="145" t="s">
        <v>117</v>
      </c>
      <c r="C467" s="145" t="s">
        <v>99</v>
      </c>
      <c r="D467" s="1" t="s">
        <v>852</v>
      </c>
      <c r="E467" s="146">
        <v>0.5</v>
      </c>
      <c r="F467" s="1" t="s">
        <v>174</v>
      </c>
      <c r="G467" s="5">
        <v>150</v>
      </c>
      <c r="H467" s="147">
        <f>Table3[[#This Row],[Qty]]*Table3[[#This Row],[Price]]</f>
        <v>75</v>
      </c>
      <c r="I467" s="5"/>
    </row>
    <row r="468" spans="1:9" x14ac:dyDescent="0.25">
      <c r="A468" s="144">
        <v>46025</v>
      </c>
      <c r="B468" s="145" t="s">
        <v>117</v>
      </c>
      <c r="C468" s="145" t="s">
        <v>99</v>
      </c>
      <c r="D468" s="1" t="s">
        <v>222</v>
      </c>
      <c r="E468" s="146">
        <v>2</v>
      </c>
      <c r="F468" s="58" t="s">
        <v>819</v>
      </c>
      <c r="G468" s="5">
        <v>30</v>
      </c>
      <c r="H468" s="147">
        <f>Table3[[#This Row],[Qty]]*Table3[[#This Row],[Price]]</f>
        <v>60</v>
      </c>
      <c r="I468" s="5"/>
    </row>
    <row r="469" spans="1:9" x14ac:dyDescent="0.25">
      <c r="A469" s="144">
        <v>46025</v>
      </c>
      <c r="B469" s="145" t="s">
        <v>117</v>
      </c>
      <c r="C469" s="145" t="s">
        <v>99</v>
      </c>
      <c r="D469" s="1" t="s">
        <v>801</v>
      </c>
      <c r="E469" s="146">
        <v>0.3</v>
      </c>
      <c r="F469" s="1" t="s">
        <v>174</v>
      </c>
      <c r="G469" s="5">
        <v>580</v>
      </c>
      <c r="H469" s="147">
        <f>Table3[[#This Row],[Qty]]*Table3[[#This Row],[Price]]</f>
        <v>174</v>
      </c>
      <c r="I469" s="5"/>
    </row>
    <row r="470" spans="1:9" x14ac:dyDescent="0.25">
      <c r="A470" s="144">
        <v>46025</v>
      </c>
      <c r="B470" s="145" t="s">
        <v>117</v>
      </c>
      <c r="C470" s="145" t="s">
        <v>310</v>
      </c>
      <c r="D470" s="1" t="s">
        <v>786</v>
      </c>
      <c r="E470" s="146">
        <v>3.4</v>
      </c>
      <c r="F470" s="1" t="s">
        <v>174</v>
      </c>
      <c r="G470" s="5">
        <v>1400</v>
      </c>
      <c r="H470" s="147">
        <f>Table3[[#This Row],[Qty]]*Table3[[#This Row],[Price]]</f>
        <v>4760</v>
      </c>
      <c r="I470" s="5"/>
    </row>
    <row r="471" spans="1:9" x14ac:dyDescent="0.25">
      <c r="A471" s="144">
        <v>46025</v>
      </c>
      <c r="B471" s="145" t="s">
        <v>117</v>
      </c>
      <c r="C471" s="145" t="s">
        <v>310</v>
      </c>
      <c r="D471" s="1" t="s">
        <v>862</v>
      </c>
      <c r="E471" s="146">
        <v>5.5</v>
      </c>
      <c r="F471" s="1" t="s">
        <v>174</v>
      </c>
      <c r="G471" s="5">
        <v>170</v>
      </c>
      <c r="H471" s="147">
        <f>Table3[[#This Row],[Qty]]*Table3[[#This Row],[Price]]</f>
        <v>935</v>
      </c>
      <c r="I471" s="5"/>
    </row>
    <row r="472" spans="1:9" x14ac:dyDescent="0.25">
      <c r="A472" s="144">
        <v>46025</v>
      </c>
      <c r="B472" s="145" t="s">
        <v>117</v>
      </c>
      <c r="C472" s="145" t="s">
        <v>20</v>
      </c>
      <c r="D472" s="1" t="s">
        <v>794</v>
      </c>
      <c r="E472" s="146">
        <v>50</v>
      </c>
      <c r="F472" s="1" t="s">
        <v>174</v>
      </c>
      <c r="G472" s="5">
        <v>113</v>
      </c>
      <c r="H472" s="147">
        <f>Table3[[#This Row],[Qty]]*Table3[[#This Row],[Price]]</f>
        <v>5650</v>
      </c>
      <c r="I472" s="5"/>
    </row>
    <row r="473" spans="1:9" x14ac:dyDescent="0.25">
      <c r="A473" s="144">
        <v>46025</v>
      </c>
      <c r="B473" s="145" t="s">
        <v>117</v>
      </c>
      <c r="C473" s="145" t="s">
        <v>20</v>
      </c>
      <c r="D473" s="1" t="s">
        <v>800</v>
      </c>
      <c r="E473" s="146">
        <v>5</v>
      </c>
      <c r="F473" s="1" t="s">
        <v>174</v>
      </c>
      <c r="G473" s="5">
        <v>195</v>
      </c>
      <c r="H473" s="147">
        <f>Table3[[#This Row],[Qty]]*Table3[[#This Row],[Price]]</f>
        <v>975</v>
      </c>
      <c r="I473" s="5"/>
    </row>
    <row r="474" spans="1:9" x14ac:dyDescent="0.25">
      <c r="A474" s="144">
        <v>46025</v>
      </c>
      <c r="B474" s="145" t="s">
        <v>117</v>
      </c>
      <c r="C474" s="145" t="s">
        <v>20</v>
      </c>
      <c r="D474" s="1" t="s">
        <v>874</v>
      </c>
      <c r="E474" s="146">
        <v>1.2</v>
      </c>
      <c r="F474" s="1" t="s">
        <v>174</v>
      </c>
      <c r="G474" s="5">
        <v>1600</v>
      </c>
      <c r="H474" s="147">
        <f>Table3[[#This Row],[Qty]]*Table3[[#This Row],[Price]]</f>
        <v>1920</v>
      </c>
      <c r="I474" s="5"/>
    </row>
    <row r="475" spans="1:9" x14ac:dyDescent="0.25">
      <c r="A475" s="153">
        <v>46025</v>
      </c>
      <c r="B475" s="154" t="s">
        <v>117</v>
      </c>
      <c r="C475" s="154" t="s">
        <v>20</v>
      </c>
      <c r="D475" s="155" t="s">
        <v>889</v>
      </c>
      <c r="E475" s="156">
        <v>3</v>
      </c>
      <c r="F475" s="1" t="s">
        <v>174</v>
      </c>
      <c r="G475" s="151"/>
      <c r="H475" s="147">
        <f>Table3[[#This Row],[Qty]]*Table3[[#This Row],[Price]]</f>
        <v>0</v>
      </c>
      <c r="I475" s="151"/>
    </row>
    <row r="476" spans="1:9" x14ac:dyDescent="0.25">
      <c r="A476" s="144">
        <v>46025</v>
      </c>
      <c r="B476" s="145" t="s">
        <v>117</v>
      </c>
      <c r="C476" s="145" t="s">
        <v>20</v>
      </c>
      <c r="D476" s="1" t="s">
        <v>844</v>
      </c>
      <c r="E476" s="146">
        <v>2</v>
      </c>
      <c r="F476" s="1" t="s">
        <v>174</v>
      </c>
      <c r="G476" s="5">
        <v>50</v>
      </c>
      <c r="H476" s="147">
        <f>Table3[[#This Row],[Qty]]*Table3[[#This Row],[Price]]</f>
        <v>100</v>
      </c>
      <c r="I476" s="5"/>
    </row>
    <row r="477" spans="1:9" x14ac:dyDescent="0.25">
      <c r="A477" s="144">
        <v>46025</v>
      </c>
      <c r="B477" s="145" t="s">
        <v>117</v>
      </c>
      <c r="C477" s="145" t="s">
        <v>310</v>
      </c>
      <c r="D477" s="1" t="s">
        <v>868</v>
      </c>
      <c r="E477" s="146">
        <v>14</v>
      </c>
      <c r="F477" s="1" t="s">
        <v>827</v>
      </c>
      <c r="G477" s="5">
        <v>220</v>
      </c>
      <c r="H477" s="147">
        <f>Table3[[#This Row],[Qty]]*Table3[[#This Row],[Price]]</f>
        <v>3080</v>
      </c>
      <c r="I477" s="5"/>
    </row>
    <row r="478" spans="1:9" x14ac:dyDescent="0.25">
      <c r="A478" s="144">
        <v>46025</v>
      </c>
      <c r="B478" s="145" t="s">
        <v>117</v>
      </c>
      <c r="C478" s="145" t="s">
        <v>12</v>
      </c>
      <c r="D478" s="1" t="s">
        <v>235</v>
      </c>
      <c r="E478" s="146">
        <v>2</v>
      </c>
      <c r="F478" s="1" t="s">
        <v>174</v>
      </c>
      <c r="G478" s="5">
        <v>183</v>
      </c>
      <c r="H478" s="147">
        <f>Table3[[#This Row],[Qty]]*Table3[[#This Row],[Price]]</f>
        <v>366</v>
      </c>
      <c r="I478" s="5"/>
    </row>
    <row r="479" spans="1:9" x14ac:dyDescent="0.25">
      <c r="A479" s="144">
        <v>46025</v>
      </c>
      <c r="B479" s="145" t="s">
        <v>117</v>
      </c>
      <c r="C479" s="145" t="s">
        <v>20</v>
      </c>
      <c r="D479" s="1" t="s">
        <v>846</v>
      </c>
      <c r="E479" s="146">
        <v>0.1</v>
      </c>
      <c r="F479" s="1" t="s">
        <v>174</v>
      </c>
      <c r="G479" s="5">
        <v>95</v>
      </c>
      <c r="H479" s="147">
        <f>Table3[[#This Row],[Qty]]*Table3[[#This Row],[Price]]</f>
        <v>9.5</v>
      </c>
      <c r="I479" s="5"/>
    </row>
    <row r="480" spans="1:9" x14ac:dyDescent="0.25">
      <c r="A480" s="144">
        <v>46025</v>
      </c>
      <c r="B480" s="145" t="s">
        <v>117</v>
      </c>
      <c r="C480" s="145" t="s">
        <v>20</v>
      </c>
      <c r="D480" s="1" t="s">
        <v>852</v>
      </c>
      <c r="E480" s="146">
        <v>0.25</v>
      </c>
      <c r="F480" s="1" t="s">
        <v>174</v>
      </c>
      <c r="G480" s="5">
        <v>150</v>
      </c>
      <c r="H480" s="147">
        <f>Table3[[#This Row],[Qty]]*Table3[[#This Row],[Price]]</f>
        <v>37.5</v>
      </c>
      <c r="I480" s="5"/>
    </row>
    <row r="481" spans="1:9" x14ac:dyDescent="0.25">
      <c r="A481" s="144">
        <v>46025</v>
      </c>
      <c r="B481" s="145" t="s">
        <v>117</v>
      </c>
      <c r="C481" s="145" t="s">
        <v>20</v>
      </c>
      <c r="D481" s="1" t="s">
        <v>876</v>
      </c>
      <c r="E481" s="146">
        <v>0.1</v>
      </c>
      <c r="F481" s="1" t="s">
        <v>174</v>
      </c>
      <c r="G481" s="5">
        <v>230</v>
      </c>
      <c r="H481" s="147">
        <f>Table3[[#This Row],[Qty]]*Table3[[#This Row],[Price]]</f>
        <v>23</v>
      </c>
      <c r="I481" s="5"/>
    </row>
    <row r="482" spans="1:9" x14ac:dyDescent="0.25">
      <c r="A482" s="144">
        <v>46025</v>
      </c>
      <c r="B482" s="145" t="s">
        <v>117</v>
      </c>
      <c r="C482" s="145" t="s">
        <v>310</v>
      </c>
      <c r="D482" s="1" t="s">
        <v>862</v>
      </c>
      <c r="E482" s="146">
        <v>4.5</v>
      </c>
      <c r="F482" s="1" t="s">
        <v>174</v>
      </c>
      <c r="G482" s="5">
        <v>170</v>
      </c>
      <c r="H482" s="147">
        <f>Table3[[#This Row],[Qty]]*Table3[[#This Row],[Price]]</f>
        <v>765</v>
      </c>
      <c r="I482" s="5"/>
    </row>
    <row r="483" spans="1:9" x14ac:dyDescent="0.25">
      <c r="A483" s="144">
        <v>46025</v>
      </c>
      <c r="B483" s="145" t="s">
        <v>117</v>
      </c>
      <c r="C483" s="148" t="s">
        <v>310</v>
      </c>
      <c r="D483" s="1" t="s">
        <v>890</v>
      </c>
      <c r="E483" s="146">
        <v>15</v>
      </c>
      <c r="F483" s="1" t="s">
        <v>174</v>
      </c>
      <c r="G483" s="5">
        <v>220</v>
      </c>
      <c r="H483" s="147">
        <f>Table3[[#This Row],[Qty]]*Table3[[#This Row],[Price]]</f>
        <v>3300</v>
      </c>
      <c r="I483" s="5"/>
    </row>
    <row r="484" spans="1:9" x14ac:dyDescent="0.25">
      <c r="A484" s="144">
        <v>46025</v>
      </c>
      <c r="B484" s="145" t="s">
        <v>117</v>
      </c>
      <c r="C484" s="148" t="s">
        <v>310</v>
      </c>
      <c r="D484" s="1" t="s">
        <v>891</v>
      </c>
      <c r="E484" s="146">
        <v>15</v>
      </c>
      <c r="F484" s="1" t="s">
        <v>174</v>
      </c>
      <c r="G484" s="5">
        <v>110</v>
      </c>
      <c r="H484" s="147">
        <f>Table3[[#This Row],[Qty]]*Table3[[#This Row],[Price]]</f>
        <v>1650</v>
      </c>
      <c r="I484" s="5"/>
    </row>
    <row r="485" spans="1:9" x14ac:dyDescent="0.25">
      <c r="A485" s="144">
        <v>46025</v>
      </c>
      <c r="B485" s="145" t="s">
        <v>117</v>
      </c>
      <c r="C485" s="145" t="s">
        <v>310</v>
      </c>
      <c r="D485" s="1" t="s">
        <v>786</v>
      </c>
      <c r="E485" s="146">
        <v>1.75</v>
      </c>
      <c r="F485" s="1" t="s">
        <v>174</v>
      </c>
      <c r="G485" s="5">
        <v>1400</v>
      </c>
      <c r="H485" s="147">
        <f>Table3[[#This Row],[Qty]]*Table3[[#This Row],[Price]]</f>
        <v>2450</v>
      </c>
      <c r="I485" s="5"/>
    </row>
    <row r="486" spans="1:9" x14ac:dyDescent="0.25">
      <c r="A486" s="144">
        <v>46025</v>
      </c>
      <c r="B486" s="145" t="s">
        <v>117</v>
      </c>
      <c r="C486" s="145" t="s">
        <v>20</v>
      </c>
      <c r="D486" s="1" t="s">
        <v>860</v>
      </c>
      <c r="E486" s="146">
        <v>2</v>
      </c>
      <c r="F486" s="1" t="s">
        <v>174</v>
      </c>
      <c r="G486" s="5">
        <v>12</v>
      </c>
      <c r="H486" s="147">
        <f>Table3[[#This Row],[Qty]]*Table3[[#This Row],[Price]]</f>
        <v>24</v>
      </c>
      <c r="I486" s="5"/>
    </row>
    <row r="487" spans="1:9" x14ac:dyDescent="0.25">
      <c r="A487" s="144">
        <v>46025</v>
      </c>
      <c r="B487" s="145" t="s">
        <v>117</v>
      </c>
      <c r="C487" s="145" t="s">
        <v>20</v>
      </c>
      <c r="D487" s="1" t="s">
        <v>791</v>
      </c>
      <c r="E487" s="146">
        <v>5</v>
      </c>
      <c r="F487" s="1" t="s">
        <v>827</v>
      </c>
      <c r="G487" s="5">
        <v>443.33</v>
      </c>
      <c r="H487" s="147">
        <f>Table3[[#This Row],[Qty]]*Table3[[#This Row],[Price]]</f>
        <v>2216.65</v>
      </c>
      <c r="I487" s="5"/>
    </row>
    <row r="488" spans="1:9" x14ac:dyDescent="0.25">
      <c r="A488" s="144">
        <v>46025</v>
      </c>
      <c r="B488" s="145" t="s">
        <v>117</v>
      </c>
      <c r="C488" s="145" t="s">
        <v>310</v>
      </c>
      <c r="D488" s="1" t="s">
        <v>862</v>
      </c>
      <c r="E488" s="146">
        <v>3.5</v>
      </c>
      <c r="F488" s="1" t="s">
        <v>174</v>
      </c>
      <c r="G488" s="5">
        <v>170</v>
      </c>
      <c r="H488" s="147">
        <f>Table3[[#This Row],[Qty]]*Table3[[#This Row],[Price]]</f>
        <v>595</v>
      </c>
      <c r="I488" s="5"/>
    </row>
    <row r="489" spans="1:9" x14ac:dyDescent="0.25">
      <c r="A489" s="144">
        <v>46025</v>
      </c>
      <c r="B489" s="145" t="s">
        <v>117</v>
      </c>
      <c r="C489" s="145" t="s">
        <v>310</v>
      </c>
      <c r="D489" s="1" t="s">
        <v>786</v>
      </c>
      <c r="E489" s="146">
        <v>2</v>
      </c>
      <c r="F489" s="1" t="s">
        <v>174</v>
      </c>
      <c r="G489" s="5">
        <v>1400</v>
      </c>
      <c r="H489" s="147">
        <f>Table3[[#This Row],[Qty]]*Table3[[#This Row],[Price]]</f>
        <v>2800</v>
      </c>
      <c r="I489" s="5"/>
    </row>
    <row r="490" spans="1:9" x14ac:dyDescent="0.25">
      <c r="A490" s="144">
        <v>46025</v>
      </c>
      <c r="B490" s="145" t="s">
        <v>117</v>
      </c>
      <c r="C490" s="148" t="s">
        <v>310</v>
      </c>
      <c r="D490" s="1" t="s">
        <v>854</v>
      </c>
      <c r="E490" s="146">
        <v>1</v>
      </c>
      <c r="F490" s="1" t="s">
        <v>174</v>
      </c>
      <c r="G490" s="5">
        <v>1600</v>
      </c>
      <c r="H490" s="147">
        <f>Table3[[#This Row],[Qty]]*Table3[[#This Row],[Price]]</f>
        <v>1600</v>
      </c>
      <c r="I490" s="5"/>
    </row>
    <row r="491" spans="1:9" x14ac:dyDescent="0.25">
      <c r="A491" s="144">
        <v>46026</v>
      </c>
      <c r="B491" s="145" t="s">
        <v>118</v>
      </c>
      <c r="C491" s="145" t="s">
        <v>310</v>
      </c>
      <c r="D491" s="1" t="s">
        <v>862</v>
      </c>
      <c r="E491" s="146">
        <v>3.7</v>
      </c>
      <c r="F491" s="1" t="s">
        <v>174</v>
      </c>
      <c r="G491" s="5">
        <v>170</v>
      </c>
      <c r="H491" s="147">
        <f>Table3[[#This Row],[Qty]]*Table3[[#This Row],[Price]]</f>
        <v>629</v>
      </c>
      <c r="I491" s="5"/>
    </row>
    <row r="492" spans="1:9" x14ac:dyDescent="0.25">
      <c r="A492" s="144">
        <v>46026</v>
      </c>
      <c r="B492" s="145" t="s">
        <v>118</v>
      </c>
      <c r="C492" s="145" t="s">
        <v>310</v>
      </c>
      <c r="D492" s="1" t="s">
        <v>786</v>
      </c>
      <c r="E492" s="146">
        <v>3</v>
      </c>
      <c r="F492" s="1" t="s">
        <v>174</v>
      </c>
      <c r="G492" s="5">
        <v>1400</v>
      </c>
      <c r="H492" s="147">
        <f>Table3[[#This Row],[Qty]]*Table3[[#This Row],[Price]]</f>
        <v>4200</v>
      </c>
      <c r="I492" s="5"/>
    </row>
    <row r="493" spans="1:9" x14ac:dyDescent="0.25">
      <c r="A493" s="144">
        <v>46026</v>
      </c>
      <c r="B493" s="145" t="s">
        <v>118</v>
      </c>
      <c r="C493" s="145" t="s">
        <v>12</v>
      </c>
      <c r="D493" s="1" t="s">
        <v>877</v>
      </c>
      <c r="E493" s="146">
        <v>40</v>
      </c>
      <c r="F493" s="1" t="s">
        <v>174</v>
      </c>
      <c r="G493" s="5">
        <v>119</v>
      </c>
      <c r="H493" s="147">
        <f>Table3[[#This Row],[Qty]]*Table3[[#This Row],[Price]]</f>
        <v>4760</v>
      </c>
      <c r="I493" s="5"/>
    </row>
    <row r="494" spans="1:9" x14ac:dyDescent="0.25">
      <c r="A494" s="144">
        <v>46026</v>
      </c>
      <c r="B494" s="145" t="s">
        <v>118</v>
      </c>
      <c r="C494" s="145" t="s">
        <v>12</v>
      </c>
      <c r="D494" s="1" t="s">
        <v>791</v>
      </c>
      <c r="E494" s="146">
        <v>12</v>
      </c>
      <c r="F494" s="1" t="s">
        <v>827</v>
      </c>
      <c r="G494" s="5">
        <v>443.33</v>
      </c>
      <c r="H494" s="147">
        <f>Table3[[#This Row],[Qty]]*Table3[[#This Row],[Price]]</f>
        <v>5319.96</v>
      </c>
      <c r="I494" s="5"/>
    </row>
    <row r="495" spans="1:9" x14ac:dyDescent="0.25">
      <c r="A495" s="144">
        <v>46026</v>
      </c>
      <c r="B495" s="145" t="s">
        <v>118</v>
      </c>
      <c r="C495" s="148" t="s">
        <v>310</v>
      </c>
      <c r="D495" s="1" t="s">
        <v>866</v>
      </c>
      <c r="E495" s="146">
        <v>0.2</v>
      </c>
      <c r="F495" s="1" t="s">
        <v>174</v>
      </c>
      <c r="G495" s="5">
        <v>480</v>
      </c>
      <c r="H495" s="147">
        <f>Table3[[#This Row],[Qty]]*Table3[[#This Row],[Price]]</f>
        <v>96</v>
      </c>
      <c r="I495" s="5"/>
    </row>
    <row r="496" spans="1:9" x14ac:dyDescent="0.25">
      <c r="A496" s="144">
        <v>46026</v>
      </c>
      <c r="B496" s="145" t="s">
        <v>118</v>
      </c>
      <c r="C496" s="145" t="s">
        <v>12</v>
      </c>
      <c r="D496" s="1" t="s">
        <v>144</v>
      </c>
      <c r="E496" s="146">
        <v>4</v>
      </c>
      <c r="F496" s="58" t="s">
        <v>819</v>
      </c>
      <c r="G496" s="5">
        <v>30</v>
      </c>
      <c r="H496" s="147">
        <f>Table3[[#This Row],[Qty]]*Table3[[#This Row],[Price]]</f>
        <v>120</v>
      </c>
      <c r="I496" s="5"/>
    </row>
    <row r="497" spans="1:9" x14ac:dyDescent="0.25">
      <c r="A497" s="144">
        <v>46026</v>
      </c>
      <c r="B497" s="145" t="s">
        <v>118</v>
      </c>
      <c r="C497" s="145" t="s">
        <v>99</v>
      </c>
      <c r="D497" s="1" t="s">
        <v>794</v>
      </c>
      <c r="E497" s="146">
        <v>50</v>
      </c>
      <c r="F497" s="1" t="s">
        <v>174</v>
      </c>
      <c r="G497" s="5">
        <v>113</v>
      </c>
      <c r="H497" s="147">
        <f>Table3[[#This Row],[Qty]]*Table3[[#This Row],[Price]]</f>
        <v>5650</v>
      </c>
      <c r="I497" s="5"/>
    </row>
    <row r="498" spans="1:9" x14ac:dyDescent="0.25">
      <c r="A498" s="144">
        <v>46026</v>
      </c>
      <c r="B498" s="145" t="s">
        <v>118</v>
      </c>
      <c r="C498" s="145" t="s">
        <v>99</v>
      </c>
      <c r="D498" s="1" t="s">
        <v>816</v>
      </c>
      <c r="E498" s="146">
        <v>1.5</v>
      </c>
      <c r="F498" s="1" t="s">
        <v>174</v>
      </c>
      <c r="G498" s="5">
        <v>12</v>
      </c>
      <c r="H498" s="147">
        <f>Table3[[#This Row],[Qty]]*Table3[[#This Row],[Price]]</f>
        <v>18</v>
      </c>
      <c r="I498" s="5"/>
    </row>
    <row r="499" spans="1:9" x14ac:dyDescent="0.25">
      <c r="A499" s="144">
        <v>46026</v>
      </c>
      <c r="B499" s="145" t="s">
        <v>118</v>
      </c>
      <c r="C499" s="145" t="s">
        <v>99</v>
      </c>
      <c r="D499" s="1" t="s">
        <v>135</v>
      </c>
      <c r="E499" s="146">
        <v>14</v>
      </c>
      <c r="F499" s="1" t="s">
        <v>174</v>
      </c>
      <c r="G499" s="5">
        <v>300</v>
      </c>
      <c r="H499" s="147">
        <f>Table3[[#This Row],[Qty]]*Table3[[#This Row],[Price]]</f>
        <v>4200</v>
      </c>
      <c r="I499" s="5"/>
    </row>
    <row r="500" spans="1:9" x14ac:dyDescent="0.25">
      <c r="A500" s="144">
        <v>46026</v>
      </c>
      <c r="B500" s="145" t="s">
        <v>118</v>
      </c>
      <c r="C500" s="145" t="s">
        <v>310</v>
      </c>
      <c r="D500" s="1" t="s">
        <v>786</v>
      </c>
      <c r="E500" s="146">
        <v>1.2</v>
      </c>
      <c r="F500" s="1" t="s">
        <v>174</v>
      </c>
      <c r="G500" s="5">
        <v>1400</v>
      </c>
      <c r="H500" s="147">
        <f>Table3[[#This Row],[Qty]]*Table3[[#This Row],[Price]]</f>
        <v>1680</v>
      </c>
      <c r="I500" s="5"/>
    </row>
    <row r="501" spans="1:9" x14ac:dyDescent="0.25">
      <c r="A501" s="144">
        <v>46026</v>
      </c>
      <c r="B501" s="145" t="s">
        <v>118</v>
      </c>
      <c r="C501" s="145" t="s">
        <v>99</v>
      </c>
      <c r="D501" s="1" t="s">
        <v>842</v>
      </c>
      <c r="E501" s="146">
        <v>1</v>
      </c>
      <c r="F501" s="1" t="s">
        <v>174</v>
      </c>
      <c r="G501" s="5">
        <v>75</v>
      </c>
      <c r="H501" s="147">
        <f>Table3[[#This Row],[Qty]]*Table3[[#This Row],[Price]]</f>
        <v>75</v>
      </c>
      <c r="I501" s="5"/>
    </row>
    <row r="502" spans="1:9" x14ac:dyDescent="0.25">
      <c r="A502" s="144">
        <v>46026</v>
      </c>
      <c r="B502" s="145" t="s">
        <v>118</v>
      </c>
      <c r="C502" s="145" t="s">
        <v>99</v>
      </c>
      <c r="D502" s="1" t="s">
        <v>846</v>
      </c>
      <c r="E502" s="146">
        <v>0.3</v>
      </c>
      <c r="F502" s="1" t="s">
        <v>174</v>
      </c>
      <c r="G502" s="5">
        <v>95</v>
      </c>
      <c r="H502" s="147">
        <f>Table3[[#This Row],[Qty]]*Table3[[#This Row],[Price]]</f>
        <v>28.5</v>
      </c>
      <c r="I502" s="5"/>
    </row>
    <row r="503" spans="1:9" x14ac:dyDescent="0.25">
      <c r="A503" s="144">
        <v>46026</v>
      </c>
      <c r="B503" s="145" t="s">
        <v>118</v>
      </c>
      <c r="C503" s="145" t="s">
        <v>99</v>
      </c>
      <c r="D503" s="1" t="s">
        <v>869</v>
      </c>
      <c r="E503" s="146">
        <v>0.4</v>
      </c>
      <c r="F503" s="1" t="s">
        <v>174</v>
      </c>
      <c r="G503" s="5">
        <v>90</v>
      </c>
      <c r="H503" s="147">
        <f>Table3[[#This Row],[Qty]]*Table3[[#This Row],[Price]]</f>
        <v>36</v>
      </c>
      <c r="I503" s="5"/>
    </row>
    <row r="504" spans="1:9" x14ac:dyDescent="0.25">
      <c r="A504" s="144">
        <v>46026</v>
      </c>
      <c r="B504" s="145" t="s">
        <v>118</v>
      </c>
      <c r="C504" s="145" t="s">
        <v>99</v>
      </c>
      <c r="D504" s="1" t="s">
        <v>844</v>
      </c>
      <c r="E504" s="146">
        <v>5.5</v>
      </c>
      <c r="F504" s="1" t="s">
        <v>174</v>
      </c>
      <c r="G504" s="5">
        <v>50</v>
      </c>
      <c r="H504" s="147">
        <f>Table3[[#This Row],[Qty]]*Table3[[#This Row],[Price]]</f>
        <v>275</v>
      </c>
      <c r="I504" s="5"/>
    </row>
    <row r="505" spans="1:9" x14ac:dyDescent="0.25">
      <c r="A505" s="144">
        <v>46026</v>
      </c>
      <c r="B505" s="145" t="s">
        <v>118</v>
      </c>
      <c r="C505" s="145" t="s">
        <v>99</v>
      </c>
      <c r="D505" s="1" t="s">
        <v>865</v>
      </c>
      <c r="E505" s="146">
        <v>4</v>
      </c>
      <c r="F505" s="1" t="s">
        <v>174</v>
      </c>
      <c r="G505" s="5">
        <v>120</v>
      </c>
      <c r="H505" s="147">
        <f>Table3[[#This Row],[Qty]]*Table3[[#This Row],[Price]]</f>
        <v>480</v>
      </c>
      <c r="I505" s="5"/>
    </row>
    <row r="506" spans="1:9" x14ac:dyDescent="0.25">
      <c r="A506" s="144">
        <v>46026</v>
      </c>
      <c r="B506" s="145" t="s">
        <v>118</v>
      </c>
      <c r="C506" s="148" t="s">
        <v>310</v>
      </c>
      <c r="D506" s="1" t="s">
        <v>866</v>
      </c>
      <c r="E506" s="146">
        <v>0.75</v>
      </c>
      <c r="F506" s="1" t="s">
        <v>174</v>
      </c>
      <c r="G506" s="5">
        <v>480</v>
      </c>
      <c r="H506" s="147">
        <f>Table3[[#This Row],[Qty]]*Table3[[#This Row],[Price]]</f>
        <v>360</v>
      </c>
      <c r="I506" s="5"/>
    </row>
    <row r="507" spans="1:9" x14ac:dyDescent="0.25">
      <c r="A507" s="144">
        <v>46026</v>
      </c>
      <c r="B507" s="145" t="s">
        <v>118</v>
      </c>
      <c r="C507" s="145" t="s">
        <v>99</v>
      </c>
      <c r="D507" s="1" t="s">
        <v>791</v>
      </c>
      <c r="E507" s="146">
        <v>4</v>
      </c>
      <c r="F507" s="1" t="s">
        <v>827</v>
      </c>
      <c r="G507" s="5">
        <v>443.33</v>
      </c>
      <c r="H507" s="147">
        <f>Table3[[#This Row],[Qty]]*Table3[[#This Row],[Price]]</f>
        <v>1773.32</v>
      </c>
      <c r="I507" s="5"/>
    </row>
    <row r="508" spans="1:9" x14ac:dyDescent="0.25">
      <c r="A508" s="144">
        <v>46026</v>
      </c>
      <c r="B508" s="145" t="s">
        <v>118</v>
      </c>
      <c r="C508" s="145" t="s">
        <v>99</v>
      </c>
      <c r="D508" s="1" t="s">
        <v>864</v>
      </c>
      <c r="E508" s="146">
        <v>2</v>
      </c>
      <c r="F508" s="1" t="s">
        <v>174</v>
      </c>
      <c r="G508" s="5">
        <v>653</v>
      </c>
      <c r="H508" s="147">
        <f>Table3[[#This Row],[Qty]]*Table3[[#This Row],[Price]]</f>
        <v>1306</v>
      </c>
      <c r="I508" s="5"/>
    </row>
    <row r="509" spans="1:9" x14ac:dyDescent="0.25">
      <c r="A509" s="144">
        <v>46026</v>
      </c>
      <c r="B509" s="145" t="s">
        <v>118</v>
      </c>
      <c r="C509" s="145" t="s">
        <v>310</v>
      </c>
      <c r="D509" s="1" t="s">
        <v>862</v>
      </c>
      <c r="E509" s="146">
        <v>3.5</v>
      </c>
      <c r="F509" s="1" t="s">
        <v>174</v>
      </c>
      <c r="G509" s="5">
        <v>170</v>
      </c>
      <c r="H509" s="147">
        <f>Table3[[#This Row],[Qty]]*Table3[[#This Row],[Price]]</f>
        <v>595</v>
      </c>
      <c r="I509" s="5"/>
    </row>
    <row r="510" spans="1:9" x14ac:dyDescent="0.25">
      <c r="A510" s="144">
        <v>46026</v>
      </c>
      <c r="B510" s="145" t="s">
        <v>118</v>
      </c>
      <c r="C510" s="145" t="s">
        <v>20</v>
      </c>
      <c r="D510" s="1" t="s">
        <v>863</v>
      </c>
      <c r="E510" s="146">
        <v>4</v>
      </c>
      <c r="F510" s="1" t="s">
        <v>174</v>
      </c>
      <c r="G510" s="5">
        <v>150</v>
      </c>
      <c r="H510" s="147">
        <f>Table3[[#This Row],[Qty]]*Table3[[#This Row],[Price]]</f>
        <v>600</v>
      </c>
      <c r="I510" s="5"/>
    </row>
    <row r="511" spans="1:9" x14ac:dyDescent="0.25">
      <c r="A511" s="144">
        <v>46026</v>
      </c>
      <c r="B511" s="145" t="s">
        <v>118</v>
      </c>
      <c r="C511" s="145" t="s">
        <v>12</v>
      </c>
      <c r="D511" s="1" t="s">
        <v>235</v>
      </c>
      <c r="E511" s="146">
        <v>2</v>
      </c>
      <c r="F511" s="1" t="s">
        <v>174</v>
      </c>
      <c r="G511" s="5">
        <v>183</v>
      </c>
      <c r="H511" s="147">
        <f>Table3[[#This Row],[Qty]]*Table3[[#This Row],[Price]]</f>
        <v>366</v>
      </c>
      <c r="I511" s="5"/>
    </row>
    <row r="512" spans="1:9" x14ac:dyDescent="0.25">
      <c r="A512" s="144">
        <v>46026</v>
      </c>
      <c r="B512" s="145" t="s">
        <v>118</v>
      </c>
      <c r="C512" s="145" t="s">
        <v>310</v>
      </c>
      <c r="D512" s="1" t="s">
        <v>786</v>
      </c>
      <c r="E512" s="146">
        <v>1.07</v>
      </c>
      <c r="F512" s="1" t="s">
        <v>174</v>
      </c>
      <c r="G512" s="5">
        <v>1400</v>
      </c>
      <c r="H512" s="147">
        <f>Table3[[#This Row],[Qty]]*Table3[[#This Row],[Price]]</f>
        <v>1498</v>
      </c>
      <c r="I512" s="5"/>
    </row>
    <row r="513" spans="1:9" x14ac:dyDescent="0.25">
      <c r="A513" s="144">
        <v>46026</v>
      </c>
      <c r="B513" s="145" t="s">
        <v>118</v>
      </c>
      <c r="C513" s="145" t="s">
        <v>20</v>
      </c>
      <c r="D513" s="1" t="s">
        <v>844</v>
      </c>
      <c r="E513" s="146">
        <v>7.15</v>
      </c>
      <c r="F513" s="1" t="s">
        <v>174</v>
      </c>
      <c r="G513" s="5">
        <v>50</v>
      </c>
      <c r="H513" s="147">
        <f>Table3[[#This Row],[Qty]]*Table3[[#This Row],[Price]]</f>
        <v>357.5</v>
      </c>
      <c r="I513" s="5"/>
    </row>
    <row r="514" spans="1:9" x14ac:dyDescent="0.25">
      <c r="A514" s="144">
        <v>46026</v>
      </c>
      <c r="B514" s="145" t="s">
        <v>118</v>
      </c>
      <c r="C514" s="145" t="s">
        <v>20</v>
      </c>
      <c r="D514" s="1" t="s">
        <v>842</v>
      </c>
      <c r="E514" s="146">
        <v>1</v>
      </c>
      <c r="F514" s="1" t="s">
        <v>174</v>
      </c>
      <c r="G514" s="5">
        <v>75</v>
      </c>
      <c r="H514" s="147">
        <f>Table3[[#This Row],[Qty]]*Table3[[#This Row],[Price]]</f>
        <v>75</v>
      </c>
      <c r="I514" s="5"/>
    </row>
    <row r="515" spans="1:9" x14ac:dyDescent="0.25">
      <c r="A515" s="144">
        <v>46026</v>
      </c>
      <c r="B515" s="145" t="s">
        <v>118</v>
      </c>
      <c r="C515" s="145" t="s">
        <v>20</v>
      </c>
      <c r="D515" s="1" t="s">
        <v>855</v>
      </c>
      <c r="E515" s="146">
        <v>10.5</v>
      </c>
      <c r="F515" s="1" t="s">
        <v>174</v>
      </c>
      <c r="G515" s="5">
        <v>50</v>
      </c>
      <c r="H515" s="147">
        <f>Table3[[#This Row],[Qty]]*Table3[[#This Row],[Price]]</f>
        <v>525</v>
      </c>
      <c r="I515" s="5"/>
    </row>
    <row r="516" spans="1:9" x14ac:dyDescent="0.25">
      <c r="A516" s="144">
        <v>46026</v>
      </c>
      <c r="B516" s="145" t="s">
        <v>118</v>
      </c>
      <c r="C516" s="145" t="s">
        <v>20</v>
      </c>
      <c r="D516" s="1" t="s">
        <v>802</v>
      </c>
      <c r="E516" s="146">
        <v>1</v>
      </c>
      <c r="F516" s="1" t="s">
        <v>174</v>
      </c>
      <c r="G516" s="5">
        <v>480</v>
      </c>
      <c r="H516" s="147">
        <f>Table3[[#This Row],[Qty]]*Table3[[#This Row],[Price]]</f>
        <v>480</v>
      </c>
      <c r="I516" s="5"/>
    </row>
    <row r="517" spans="1:9" x14ac:dyDescent="0.25">
      <c r="A517" s="144">
        <v>46026</v>
      </c>
      <c r="B517" s="145" t="s">
        <v>118</v>
      </c>
      <c r="C517" s="145" t="s">
        <v>20</v>
      </c>
      <c r="D517" s="1" t="s">
        <v>852</v>
      </c>
      <c r="E517" s="146">
        <v>0.1</v>
      </c>
      <c r="F517" s="1" t="s">
        <v>174</v>
      </c>
      <c r="G517" s="5">
        <v>150</v>
      </c>
      <c r="H517" s="147">
        <f>Table3[[#This Row],[Qty]]*Table3[[#This Row],[Price]]</f>
        <v>15</v>
      </c>
      <c r="I517" s="5"/>
    </row>
    <row r="518" spans="1:9" x14ac:dyDescent="0.25">
      <c r="A518" s="144">
        <v>46026</v>
      </c>
      <c r="B518" s="145" t="s">
        <v>118</v>
      </c>
      <c r="C518" s="145" t="s">
        <v>20</v>
      </c>
      <c r="D518" s="1" t="s">
        <v>860</v>
      </c>
      <c r="E518" s="146">
        <v>1</v>
      </c>
      <c r="F518" s="1" t="s">
        <v>174</v>
      </c>
      <c r="G518" s="5">
        <v>12</v>
      </c>
      <c r="H518" s="147">
        <f>Table3[[#This Row],[Qty]]*Table3[[#This Row],[Price]]</f>
        <v>12</v>
      </c>
      <c r="I518" s="5"/>
    </row>
    <row r="519" spans="1:9" x14ac:dyDescent="0.25">
      <c r="A519" s="144">
        <v>46026</v>
      </c>
      <c r="B519" s="145" t="s">
        <v>118</v>
      </c>
      <c r="C519" s="145" t="s">
        <v>20</v>
      </c>
      <c r="D519" s="1" t="s">
        <v>791</v>
      </c>
      <c r="E519" s="146">
        <v>2</v>
      </c>
      <c r="F519" s="1" t="s">
        <v>827</v>
      </c>
      <c r="G519" s="5">
        <v>443.33</v>
      </c>
      <c r="H519" s="147">
        <f>Table3[[#This Row],[Qty]]*Table3[[#This Row],[Price]]</f>
        <v>886.66</v>
      </c>
      <c r="I519" s="5"/>
    </row>
    <row r="520" spans="1:9" x14ac:dyDescent="0.25">
      <c r="A520" s="144">
        <v>46026</v>
      </c>
      <c r="B520" s="145" t="s">
        <v>118</v>
      </c>
      <c r="C520" s="145" t="s">
        <v>20</v>
      </c>
      <c r="D520" s="1" t="s">
        <v>874</v>
      </c>
      <c r="E520" s="146">
        <v>2</v>
      </c>
      <c r="F520" s="1" t="s">
        <v>174</v>
      </c>
      <c r="G520" s="5">
        <v>1600</v>
      </c>
      <c r="H520" s="147">
        <f>Table3[[#This Row],[Qty]]*Table3[[#This Row],[Price]]</f>
        <v>3200</v>
      </c>
      <c r="I520" s="5"/>
    </row>
    <row r="521" spans="1:9" x14ac:dyDescent="0.25">
      <c r="A521" s="144">
        <v>46026</v>
      </c>
      <c r="B521" s="145" t="s">
        <v>118</v>
      </c>
      <c r="C521" s="145" t="s">
        <v>20</v>
      </c>
      <c r="D521" s="1" t="s">
        <v>797</v>
      </c>
      <c r="E521" s="146">
        <v>2</v>
      </c>
      <c r="F521" s="1" t="s">
        <v>174</v>
      </c>
      <c r="G521" s="5">
        <v>560</v>
      </c>
      <c r="H521" s="147">
        <f>Table3[[#This Row],[Qty]]*Table3[[#This Row],[Price]]</f>
        <v>1120</v>
      </c>
      <c r="I521" s="5"/>
    </row>
    <row r="522" spans="1:9" x14ac:dyDescent="0.25">
      <c r="A522" s="144">
        <v>46026</v>
      </c>
      <c r="B522" s="145" t="s">
        <v>118</v>
      </c>
      <c r="C522" s="145" t="s">
        <v>310</v>
      </c>
      <c r="D522" s="1" t="s">
        <v>862</v>
      </c>
      <c r="E522" s="146">
        <v>2</v>
      </c>
      <c r="F522" s="1" t="s">
        <v>174</v>
      </c>
      <c r="G522" s="5">
        <v>170</v>
      </c>
      <c r="H522" s="147">
        <f>Table3[[#This Row],[Qty]]*Table3[[#This Row],[Price]]</f>
        <v>340</v>
      </c>
      <c r="I522" s="5"/>
    </row>
    <row r="523" spans="1:9" x14ac:dyDescent="0.25">
      <c r="A523" s="144">
        <v>46026</v>
      </c>
      <c r="B523" s="145" t="s">
        <v>118</v>
      </c>
      <c r="C523" s="145" t="s">
        <v>310</v>
      </c>
      <c r="D523" s="1" t="s">
        <v>786</v>
      </c>
      <c r="E523" s="146">
        <v>2.4</v>
      </c>
      <c r="F523" s="1" t="s">
        <v>174</v>
      </c>
      <c r="G523" s="5">
        <v>1400</v>
      </c>
      <c r="H523" s="147">
        <f>Table3[[#This Row],[Qty]]*Table3[[#This Row],[Price]]</f>
        <v>3360</v>
      </c>
      <c r="I523" s="5"/>
    </row>
    <row r="524" spans="1:9" x14ac:dyDescent="0.25">
      <c r="A524" s="144">
        <v>46027</v>
      </c>
      <c r="B524" s="145" t="s">
        <v>429</v>
      </c>
      <c r="C524" s="145" t="s">
        <v>310</v>
      </c>
      <c r="D524" s="1" t="s">
        <v>862</v>
      </c>
      <c r="E524" s="146">
        <v>5.5</v>
      </c>
      <c r="F524" s="1" t="s">
        <v>174</v>
      </c>
      <c r="G524" s="5">
        <v>170</v>
      </c>
      <c r="H524" s="5">
        <f>Table3[[#This Row],[Qty]]*Table3[[#This Row],[Price]]</f>
        <v>935</v>
      </c>
      <c r="I524" s="5"/>
    </row>
    <row r="525" spans="1:9" x14ac:dyDescent="0.25">
      <c r="A525" s="144">
        <v>46027</v>
      </c>
      <c r="B525" s="145" t="s">
        <v>429</v>
      </c>
      <c r="C525" s="145" t="s">
        <v>310</v>
      </c>
      <c r="D525" s="1" t="s">
        <v>786</v>
      </c>
      <c r="E525" s="146">
        <v>3</v>
      </c>
      <c r="F525" s="1" t="s">
        <v>174</v>
      </c>
      <c r="G525" s="5">
        <v>1400</v>
      </c>
      <c r="H525" s="5">
        <f>Table3[[#This Row],[Qty]]*Table3[[#This Row],[Price]]</f>
        <v>4200</v>
      </c>
      <c r="I525" s="5"/>
    </row>
    <row r="526" spans="1:9" x14ac:dyDescent="0.25">
      <c r="A526" s="144">
        <v>46027</v>
      </c>
      <c r="B526" s="145" t="s">
        <v>429</v>
      </c>
      <c r="C526" s="145" t="s">
        <v>12</v>
      </c>
      <c r="D526" s="1" t="s">
        <v>222</v>
      </c>
      <c r="E526" s="146">
        <v>2</v>
      </c>
      <c r="F526" s="58" t="s">
        <v>819</v>
      </c>
      <c r="G526" s="5">
        <v>30</v>
      </c>
      <c r="H526" s="5">
        <f>Table3[[#This Row],[Qty]]*Table3[[#This Row],[Price]]</f>
        <v>60</v>
      </c>
      <c r="I526" s="5"/>
    </row>
    <row r="527" spans="1:9" x14ac:dyDescent="0.25">
      <c r="A527" s="144">
        <v>46027</v>
      </c>
      <c r="B527" s="145" t="s">
        <v>429</v>
      </c>
      <c r="C527" s="145" t="s">
        <v>12</v>
      </c>
      <c r="D527" s="1" t="s">
        <v>791</v>
      </c>
      <c r="E527" s="146">
        <v>6</v>
      </c>
      <c r="F527" s="1" t="s">
        <v>827</v>
      </c>
      <c r="G527" s="5">
        <v>443.33</v>
      </c>
      <c r="H527" s="5">
        <f>Table3[[#This Row],[Qty]]*Table3[[#This Row],[Price]]</f>
        <v>2659.98</v>
      </c>
      <c r="I527" s="5"/>
    </row>
    <row r="528" spans="1:9" x14ac:dyDescent="0.25">
      <c r="A528" s="144">
        <v>46027</v>
      </c>
      <c r="B528" s="145" t="s">
        <v>429</v>
      </c>
      <c r="C528" s="145" t="s">
        <v>13</v>
      </c>
      <c r="D528" s="1" t="s">
        <v>794</v>
      </c>
      <c r="E528" s="146">
        <v>100</v>
      </c>
      <c r="F528" s="1" t="s">
        <v>174</v>
      </c>
      <c r="G528" s="5">
        <v>113</v>
      </c>
      <c r="H528" s="5">
        <f>Table3[[#This Row],[Qty]]*Table3[[#This Row],[Price]]</f>
        <v>11300</v>
      </c>
      <c r="I528" s="5"/>
    </row>
    <row r="529" spans="1:9" x14ac:dyDescent="0.25">
      <c r="A529" s="144">
        <v>46027</v>
      </c>
      <c r="B529" s="145" t="s">
        <v>429</v>
      </c>
      <c r="C529" s="145" t="s">
        <v>13</v>
      </c>
      <c r="D529" s="1" t="s">
        <v>791</v>
      </c>
      <c r="E529" s="146">
        <v>6</v>
      </c>
      <c r="F529" s="1" t="s">
        <v>827</v>
      </c>
      <c r="G529" s="5">
        <v>443.33</v>
      </c>
      <c r="H529" s="5">
        <f>Table3[[#This Row],[Qty]]*Table3[[#This Row],[Price]]</f>
        <v>2659.98</v>
      </c>
      <c r="I529" s="5"/>
    </row>
    <row r="530" spans="1:9" x14ac:dyDescent="0.25">
      <c r="A530" s="144">
        <v>46027</v>
      </c>
      <c r="B530" s="145" t="s">
        <v>429</v>
      </c>
      <c r="C530" s="145" t="s">
        <v>13</v>
      </c>
      <c r="D530" s="1" t="s">
        <v>860</v>
      </c>
      <c r="E530" s="146">
        <v>7</v>
      </c>
      <c r="F530" s="1" t="s">
        <v>174</v>
      </c>
      <c r="G530" s="5">
        <v>60</v>
      </c>
      <c r="H530" s="5">
        <f>Table3[[#This Row],[Qty]]*Table3[[#This Row],[Price]]</f>
        <v>420</v>
      </c>
      <c r="I530" s="5"/>
    </row>
    <row r="531" spans="1:9" x14ac:dyDescent="0.25">
      <c r="A531" s="144">
        <v>46027</v>
      </c>
      <c r="B531" s="145" t="s">
        <v>429</v>
      </c>
      <c r="C531" s="145" t="s">
        <v>13</v>
      </c>
      <c r="D531" s="1" t="s">
        <v>844</v>
      </c>
      <c r="E531" s="146">
        <v>29</v>
      </c>
      <c r="F531" s="1" t="s">
        <v>174</v>
      </c>
      <c r="G531" s="5">
        <v>50</v>
      </c>
      <c r="H531" s="5">
        <f>Table3[[#This Row],[Qty]]*Table3[[#This Row],[Price]]</f>
        <v>1450</v>
      </c>
      <c r="I531" s="5"/>
    </row>
    <row r="532" spans="1:9" x14ac:dyDescent="0.25">
      <c r="A532" s="144">
        <v>46027</v>
      </c>
      <c r="B532" s="145" t="s">
        <v>429</v>
      </c>
      <c r="C532" s="145" t="s">
        <v>13</v>
      </c>
      <c r="D532" s="1" t="s">
        <v>842</v>
      </c>
      <c r="E532" s="146">
        <v>4</v>
      </c>
      <c r="F532" s="1" t="s">
        <v>174</v>
      </c>
      <c r="G532" s="5">
        <v>75</v>
      </c>
      <c r="H532" s="5">
        <f>Table3[[#This Row],[Qty]]*Table3[[#This Row],[Price]]</f>
        <v>300</v>
      </c>
      <c r="I532" s="5"/>
    </row>
    <row r="533" spans="1:9" x14ac:dyDescent="0.25">
      <c r="A533" s="144">
        <v>46027</v>
      </c>
      <c r="B533" s="145" t="s">
        <v>429</v>
      </c>
      <c r="C533" s="145" t="s">
        <v>13</v>
      </c>
      <c r="D533" s="1" t="s">
        <v>846</v>
      </c>
      <c r="E533" s="146">
        <v>0.5</v>
      </c>
      <c r="F533" s="1" t="s">
        <v>174</v>
      </c>
      <c r="G533" s="5">
        <v>95</v>
      </c>
      <c r="H533" s="5">
        <f>Table3[[#This Row],[Qty]]*Table3[[#This Row],[Price]]</f>
        <v>47.5</v>
      </c>
      <c r="I533" s="5"/>
    </row>
    <row r="534" spans="1:9" x14ac:dyDescent="0.25">
      <c r="A534" s="144">
        <v>46027</v>
      </c>
      <c r="B534" s="145" t="s">
        <v>429</v>
      </c>
      <c r="C534" s="145" t="s">
        <v>13</v>
      </c>
      <c r="D534" s="1" t="s">
        <v>845</v>
      </c>
      <c r="E534" s="146">
        <v>0.5</v>
      </c>
      <c r="F534" s="1" t="s">
        <v>174</v>
      </c>
      <c r="G534" s="5">
        <v>90</v>
      </c>
      <c r="H534" s="5">
        <f>Table3[[#This Row],[Qty]]*Table3[[#This Row],[Price]]</f>
        <v>45</v>
      </c>
      <c r="I534" s="5"/>
    </row>
    <row r="535" spans="1:9" x14ac:dyDescent="0.25">
      <c r="A535" s="144">
        <v>46027</v>
      </c>
      <c r="B535" s="145" t="s">
        <v>429</v>
      </c>
      <c r="C535" s="145" t="s">
        <v>13</v>
      </c>
      <c r="D535" s="1" t="s">
        <v>865</v>
      </c>
      <c r="E535" s="146">
        <v>7</v>
      </c>
      <c r="F535" s="1" t="s">
        <v>174</v>
      </c>
      <c r="G535" s="5">
        <v>120</v>
      </c>
      <c r="H535" s="5">
        <f>Table3[[#This Row],[Qty]]*Table3[[#This Row],[Price]]</f>
        <v>840</v>
      </c>
      <c r="I535" s="5"/>
    </row>
    <row r="536" spans="1:9" x14ac:dyDescent="0.25">
      <c r="A536" s="144">
        <v>46027</v>
      </c>
      <c r="B536" s="145" t="s">
        <v>429</v>
      </c>
      <c r="C536" s="145" t="s">
        <v>13</v>
      </c>
      <c r="D536" s="1" t="s">
        <v>135</v>
      </c>
      <c r="E536" s="146">
        <v>5</v>
      </c>
      <c r="F536" s="1" t="s">
        <v>174</v>
      </c>
      <c r="G536" s="5">
        <v>300</v>
      </c>
      <c r="H536" s="5">
        <f>Table3[[#This Row],[Qty]]*Table3[[#This Row],[Price]]</f>
        <v>1500</v>
      </c>
      <c r="I536" s="5"/>
    </row>
    <row r="537" spans="1:9" x14ac:dyDescent="0.25">
      <c r="A537" s="144">
        <v>46027</v>
      </c>
      <c r="B537" s="145" t="s">
        <v>429</v>
      </c>
      <c r="C537" s="145" t="s">
        <v>13</v>
      </c>
      <c r="D537" s="1" t="s">
        <v>855</v>
      </c>
      <c r="E537" s="146">
        <v>0.5</v>
      </c>
      <c r="F537" s="1" t="s">
        <v>174</v>
      </c>
      <c r="G537" s="5">
        <v>40</v>
      </c>
      <c r="H537" s="5">
        <f>Table3[[#This Row],[Qty]]*Table3[[#This Row],[Price]]</f>
        <v>20</v>
      </c>
      <c r="I537" s="5"/>
    </row>
    <row r="538" spans="1:9" x14ac:dyDescent="0.25">
      <c r="A538" s="144">
        <v>46027</v>
      </c>
      <c r="B538" s="145" t="s">
        <v>429</v>
      </c>
      <c r="C538" s="145" t="s">
        <v>13</v>
      </c>
      <c r="D538" s="1" t="s">
        <v>852</v>
      </c>
      <c r="E538" s="146">
        <v>0.5</v>
      </c>
      <c r="F538" s="1" t="s">
        <v>174</v>
      </c>
      <c r="G538" s="5">
        <v>150</v>
      </c>
      <c r="H538" s="5">
        <f>Table3[[#This Row],[Qty]]*Table3[[#This Row],[Price]]</f>
        <v>75</v>
      </c>
      <c r="I538" s="5"/>
    </row>
    <row r="539" spans="1:9" x14ac:dyDescent="0.25">
      <c r="A539" s="144">
        <v>46027</v>
      </c>
      <c r="B539" s="145" t="s">
        <v>429</v>
      </c>
      <c r="C539" s="148" t="s">
        <v>310</v>
      </c>
      <c r="D539" s="1" t="s">
        <v>808</v>
      </c>
      <c r="E539" s="146">
        <v>1</v>
      </c>
      <c r="F539" s="1" t="s">
        <v>809</v>
      </c>
      <c r="G539" s="5">
        <v>896</v>
      </c>
      <c r="H539" s="5">
        <f>Table3[[#This Row],[Qty]]*Table3[[#This Row],[Price]]</f>
        <v>896</v>
      </c>
      <c r="I539" s="5"/>
    </row>
    <row r="540" spans="1:9" x14ac:dyDescent="0.25">
      <c r="A540" s="144">
        <v>46027</v>
      </c>
      <c r="B540" s="145" t="s">
        <v>429</v>
      </c>
      <c r="C540" s="145" t="s">
        <v>310</v>
      </c>
      <c r="D540" s="1" t="s">
        <v>741</v>
      </c>
      <c r="E540" s="146">
        <v>15</v>
      </c>
      <c r="F540" s="1" t="s">
        <v>174</v>
      </c>
      <c r="G540" s="5">
        <v>153</v>
      </c>
      <c r="H540" s="5">
        <f>Table3[[#This Row],[Qty]]*Table3[[#This Row],[Price]]</f>
        <v>2295</v>
      </c>
      <c r="I540" s="5"/>
    </row>
    <row r="541" spans="1:9" x14ac:dyDescent="0.25">
      <c r="A541" s="144">
        <v>46027</v>
      </c>
      <c r="B541" s="145" t="s">
        <v>429</v>
      </c>
      <c r="C541" s="145" t="s">
        <v>13</v>
      </c>
      <c r="D541" s="1" t="s">
        <v>875</v>
      </c>
      <c r="E541" s="146">
        <v>0.25</v>
      </c>
      <c r="F541" s="1" t="s">
        <v>174</v>
      </c>
      <c r="G541" s="5">
        <v>580</v>
      </c>
      <c r="H541" s="5">
        <f>Table3[[#This Row],[Qty]]*Table3[[#This Row],[Price]]</f>
        <v>145</v>
      </c>
      <c r="I541" s="5"/>
    </row>
    <row r="542" spans="1:9" x14ac:dyDescent="0.25">
      <c r="A542" s="144">
        <v>46027</v>
      </c>
      <c r="B542" s="145" t="s">
        <v>429</v>
      </c>
      <c r="C542" s="145" t="s">
        <v>13</v>
      </c>
      <c r="D542" s="1" t="s">
        <v>876</v>
      </c>
      <c r="E542" s="146">
        <v>0.5</v>
      </c>
      <c r="F542" s="1" t="s">
        <v>174</v>
      </c>
      <c r="G542" s="5">
        <v>230</v>
      </c>
      <c r="H542" s="5">
        <f>Table3[[#This Row],[Qty]]*Table3[[#This Row],[Price]]</f>
        <v>115</v>
      </c>
      <c r="I542" s="5"/>
    </row>
    <row r="543" spans="1:9" x14ac:dyDescent="0.25">
      <c r="A543" s="144">
        <v>46027</v>
      </c>
      <c r="B543" s="145" t="s">
        <v>429</v>
      </c>
      <c r="C543" s="145" t="s">
        <v>310</v>
      </c>
      <c r="D543" s="1" t="s">
        <v>866</v>
      </c>
      <c r="E543" s="146">
        <v>1</v>
      </c>
      <c r="F543" s="1" t="s">
        <v>174</v>
      </c>
      <c r="G543" s="5">
        <v>500</v>
      </c>
      <c r="H543" s="5">
        <f>Table3[[#This Row],[Qty]]*Table3[[#This Row],[Price]]</f>
        <v>500</v>
      </c>
      <c r="I543" s="5"/>
    </row>
    <row r="544" spans="1:9" x14ac:dyDescent="0.25">
      <c r="A544" s="144">
        <v>46027</v>
      </c>
      <c r="B544" s="145" t="s">
        <v>429</v>
      </c>
      <c r="C544" s="145" t="s">
        <v>310</v>
      </c>
      <c r="D544" s="1" t="s">
        <v>862</v>
      </c>
      <c r="E544" s="146">
        <v>4.4000000000000004</v>
      </c>
      <c r="F544" s="1" t="s">
        <v>174</v>
      </c>
      <c r="G544" s="5">
        <v>170</v>
      </c>
      <c r="H544" s="5">
        <f>Table3[[#This Row],[Qty]]*Table3[[#This Row],[Price]]</f>
        <v>748.00000000000011</v>
      </c>
      <c r="I544" s="5"/>
    </row>
    <row r="545" spans="1:9" x14ac:dyDescent="0.25">
      <c r="A545" s="144">
        <v>46027</v>
      </c>
      <c r="B545" s="145" t="s">
        <v>429</v>
      </c>
      <c r="C545" s="145" t="s">
        <v>310</v>
      </c>
      <c r="D545" s="1" t="s">
        <v>786</v>
      </c>
      <c r="E545" s="146">
        <v>2.6</v>
      </c>
      <c r="F545" s="1" t="s">
        <v>174</v>
      </c>
      <c r="G545" s="5">
        <v>1400</v>
      </c>
      <c r="H545" s="5">
        <f>Table3[[#This Row],[Qty]]*Table3[[#This Row],[Price]]</f>
        <v>3640</v>
      </c>
      <c r="I545" s="5"/>
    </row>
    <row r="546" spans="1:9" x14ac:dyDescent="0.25">
      <c r="A546" s="144">
        <v>46027</v>
      </c>
      <c r="B546" s="145" t="s">
        <v>429</v>
      </c>
      <c r="C546" s="145" t="s">
        <v>838</v>
      </c>
      <c r="D546" s="1" t="s">
        <v>794</v>
      </c>
      <c r="E546" s="146">
        <v>10</v>
      </c>
      <c r="F546" s="1" t="s">
        <v>174</v>
      </c>
      <c r="G546" s="5">
        <v>113</v>
      </c>
      <c r="H546" s="5">
        <f>Table3[[#This Row],[Qty]]*Table3[[#This Row],[Price]]</f>
        <v>1130</v>
      </c>
      <c r="I546" s="5"/>
    </row>
    <row r="547" spans="1:9" x14ac:dyDescent="0.25">
      <c r="A547" s="144">
        <v>46027</v>
      </c>
      <c r="B547" s="145" t="s">
        <v>429</v>
      </c>
      <c r="C547" s="145" t="s">
        <v>838</v>
      </c>
      <c r="D547" s="1" t="s">
        <v>791</v>
      </c>
      <c r="E547" s="146">
        <v>6</v>
      </c>
      <c r="F547" s="1" t="s">
        <v>827</v>
      </c>
      <c r="G547" s="5">
        <v>443.33</v>
      </c>
      <c r="H547" s="5">
        <f>Table3[[#This Row],[Qty]]*Table3[[#This Row],[Price]]</f>
        <v>2659.98</v>
      </c>
      <c r="I547" s="5"/>
    </row>
    <row r="548" spans="1:9" x14ac:dyDescent="0.25">
      <c r="A548" s="144">
        <v>46027</v>
      </c>
      <c r="B548" s="145" t="s">
        <v>429</v>
      </c>
      <c r="C548" s="145" t="s">
        <v>310</v>
      </c>
      <c r="D548" s="1" t="s">
        <v>862</v>
      </c>
      <c r="E548" s="146">
        <v>4.5</v>
      </c>
      <c r="F548" s="1" t="s">
        <v>174</v>
      </c>
      <c r="G548" s="5">
        <v>170</v>
      </c>
      <c r="H548" s="5">
        <f>Table3[[#This Row],[Qty]]*Table3[[#This Row],[Price]]</f>
        <v>765</v>
      </c>
      <c r="I548" s="5"/>
    </row>
    <row r="549" spans="1:9" x14ac:dyDescent="0.25">
      <c r="A549" s="144">
        <v>46027</v>
      </c>
      <c r="B549" s="145" t="s">
        <v>429</v>
      </c>
      <c r="C549" s="145" t="s">
        <v>310</v>
      </c>
      <c r="D549" s="1" t="s">
        <v>786</v>
      </c>
      <c r="E549" s="146">
        <v>2.6</v>
      </c>
      <c r="F549" s="1" t="s">
        <v>174</v>
      </c>
      <c r="G549" s="5">
        <v>1400</v>
      </c>
      <c r="H549" s="5">
        <f>Table3[[#This Row],[Qty]]*Table3[[#This Row],[Price]]</f>
        <v>3640</v>
      </c>
      <c r="I549" s="5"/>
    </row>
    <row r="550" spans="1:9" x14ac:dyDescent="0.25">
      <c r="A550" s="144">
        <v>46027</v>
      </c>
      <c r="B550" s="145" t="s">
        <v>429</v>
      </c>
      <c r="C550" s="145" t="s">
        <v>310</v>
      </c>
      <c r="D550" s="1" t="s">
        <v>854</v>
      </c>
      <c r="E550" s="146">
        <v>1</v>
      </c>
      <c r="F550" s="1" t="s">
        <v>174</v>
      </c>
      <c r="G550" s="5">
        <v>1600</v>
      </c>
      <c r="H550" s="5">
        <f>Table3[[#This Row],[Qty]]*Table3[[#This Row],[Price]]</f>
        <v>1600</v>
      </c>
      <c r="I550" s="5"/>
    </row>
    <row r="551" spans="1:9" x14ac:dyDescent="0.25">
      <c r="A551" s="144">
        <v>46027</v>
      </c>
      <c r="B551" s="145" t="s">
        <v>429</v>
      </c>
      <c r="C551" s="145" t="s">
        <v>310</v>
      </c>
      <c r="D551" s="1" t="s">
        <v>806</v>
      </c>
      <c r="E551" s="146">
        <v>3</v>
      </c>
      <c r="F551" s="1" t="s">
        <v>807</v>
      </c>
      <c r="G551" s="5">
        <v>120</v>
      </c>
      <c r="H551" s="5">
        <f>Table3[[#This Row],[Qty]]*Table3[[#This Row],[Price]]</f>
        <v>360</v>
      </c>
      <c r="I551" s="5"/>
    </row>
    <row r="552" spans="1:9" x14ac:dyDescent="0.25">
      <c r="A552" s="144">
        <v>46027</v>
      </c>
      <c r="B552" s="145" t="s">
        <v>429</v>
      </c>
      <c r="C552" s="145" t="s">
        <v>20</v>
      </c>
      <c r="D552" s="1" t="s">
        <v>852</v>
      </c>
      <c r="E552" s="146">
        <v>3</v>
      </c>
      <c r="F552" s="1" t="s">
        <v>174</v>
      </c>
      <c r="G552" s="5">
        <v>150</v>
      </c>
      <c r="H552" s="5">
        <f>Table3[[#This Row],[Qty]]*Table3[[#This Row],[Price]]</f>
        <v>450</v>
      </c>
      <c r="I552" s="5"/>
    </row>
    <row r="553" spans="1:9" x14ac:dyDescent="0.25">
      <c r="A553" s="144">
        <v>46027</v>
      </c>
      <c r="B553" s="145" t="s">
        <v>429</v>
      </c>
      <c r="C553" s="145" t="s">
        <v>20</v>
      </c>
      <c r="D553" s="1" t="s">
        <v>876</v>
      </c>
      <c r="E553" s="146">
        <v>0.15</v>
      </c>
      <c r="F553" s="1" t="s">
        <v>174</v>
      </c>
      <c r="G553" s="5">
        <v>230</v>
      </c>
      <c r="H553" s="5">
        <f>Table3[[#This Row],[Qty]]*Table3[[#This Row],[Price]]</f>
        <v>34.5</v>
      </c>
      <c r="I553" s="5"/>
    </row>
    <row r="554" spans="1:9" x14ac:dyDescent="0.25">
      <c r="A554" s="144">
        <v>46027</v>
      </c>
      <c r="B554" s="145" t="s">
        <v>429</v>
      </c>
      <c r="C554" s="145" t="s">
        <v>20</v>
      </c>
      <c r="D554" s="1" t="s">
        <v>855</v>
      </c>
      <c r="E554" s="146">
        <v>12.5</v>
      </c>
      <c r="F554" s="1" t="s">
        <v>174</v>
      </c>
      <c r="G554" s="5">
        <v>40</v>
      </c>
      <c r="H554" s="5">
        <f>Table3[[#This Row],[Qty]]*Table3[[#This Row],[Price]]</f>
        <v>500</v>
      </c>
      <c r="I554" s="5"/>
    </row>
    <row r="555" spans="1:9" x14ac:dyDescent="0.25">
      <c r="A555" s="144">
        <v>46027</v>
      </c>
      <c r="B555" s="145" t="s">
        <v>429</v>
      </c>
      <c r="C555" s="145" t="s">
        <v>310</v>
      </c>
      <c r="D555" s="1" t="s">
        <v>868</v>
      </c>
      <c r="E555" s="146">
        <v>8</v>
      </c>
      <c r="F555" s="1" t="s">
        <v>827</v>
      </c>
      <c r="G555" s="5">
        <v>220</v>
      </c>
      <c r="H555" s="5">
        <f>Table3[[#This Row],[Qty]]*Table3[[#This Row],[Price]]</f>
        <v>1760</v>
      </c>
      <c r="I555" s="5"/>
    </row>
    <row r="556" spans="1:9" x14ac:dyDescent="0.25">
      <c r="A556" s="144">
        <v>46027</v>
      </c>
      <c r="B556" s="145" t="s">
        <v>429</v>
      </c>
      <c r="C556" s="145" t="s">
        <v>12</v>
      </c>
      <c r="D556" s="1" t="s">
        <v>235</v>
      </c>
      <c r="E556" s="146">
        <v>2</v>
      </c>
      <c r="F556" s="1" t="s">
        <v>174</v>
      </c>
      <c r="G556" s="5">
        <v>183</v>
      </c>
      <c r="H556" s="5">
        <f>Table3[[#This Row],[Qty]]*Table3[[#This Row],[Price]]</f>
        <v>366</v>
      </c>
      <c r="I556" s="5"/>
    </row>
    <row r="557" spans="1:9" x14ac:dyDescent="0.25">
      <c r="A557" s="144">
        <v>46027</v>
      </c>
      <c r="B557" s="145" t="s">
        <v>429</v>
      </c>
      <c r="C557" s="145" t="s">
        <v>20</v>
      </c>
      <c r="D557" s="1" t="s">
        <v>797</v>
      </c>
      <c r="E557" s="146">
        <v>1</v>
      </c>
      <c r="F557" s="1" t="s">
        <v>174</v>
      </c>
      <c r="G557" s="5">
        <v>560</v>
      </c>
      <c r="H557" s="5">
        <f>Table3[[#This Row],[Qty]]*Table3[[#This Row],[Price]]</f>
        <v>560</v>
      </c>
      <c r="I557" s="5"/>
    </row>
    <row r="558" spans="1:9" x14ac:dyDescent="0.25">
      <c r="A558" s="144">
        <v>46027</v>
      </c>
      <c r="B558" s="145" t="s">
        <v>429</v>
      </c>
      <c r="C558" s="145" t="s">
        <v>856</v>
      </c>
      <c r="D558" s="1" t="s">
        <v>728</v>
      </c>
      <c r="E558" s="146">
        <v>1</v>
      </c>
      <c r="F558" s="1" t="s">
        <v>174</v>
      </c>
      <c r="G558" s="5">
        <v>250</v>
      </c>
      <c r="H558" s="5">
        <f>Table3[[#This Row],[Qty]]*Table3[[#This Row],[Price]]</f>
        <v>250</v>
      </c>
      <c r="I558" s="5"/>
    </row>
    <row r="559" spans="1:9" x14ac:dyDescent="0.25">
      <c r="A559" s="144">
        <v>46027</v>
      </c>
      <c r="B559" s="145" t="s">
        <v>429</v>
      </c>
      <c r="C559" s="145" t="s">
        <v>310</v>
      </c>
      <c r="D559" s="1" t="s">
        <v>862</v>
      </c>
      <c r="E559" s="146">
        <v>4.2</v>
      </c>
      <c r="F559" s="1" t="s">
        <v>174</v>
      </c>
      <c r="G559" s="5">
        <v>170</v>
      </c>
      <c r="H559" s="5">
        <f>Table3[[#This Row],[Qty]]*Table3[[#This Row],[Price]]</f>
        <v>714</v>
      </c>
      <c r="I559" s="5"/>
    </row>
    <row r="560" spans="1:9" x14ac:dyDescent="0.25">
      <c r="A560" s="144">
        <v>46027</v>
      </c>
      <c r="B560" s="145" t="s">
        <v>429</v>
      </c>
      <c r="C560" s="145" t="s">
        <v>310</v>
      </c>
      <c r="D560" s="1" t="s">
        <v>786</v>
      </c>
      <c r="E560" s="146">
        <v>1.25</v>
      </c>
      <c r="F560" s="1" t="s">
        <v>174</v>
      </c>
      <c r="G560" s="5">
        <v>1400</v>
      </c>
      <c r="H560" s="5">
        <f>Table3[[#This Row],[Qty]]*Table3[[#This Row],[Price]]</f>
        <v>1750</v>
      </c>
      <c r="I560" s="5"/>
    </row>
    <row r="561" spans="1:9" x14ac:dyDescent="0.25">
      <c r="A561" s="144">
        <v>46028</v>
      </c>
      <c r="B561" s="145" t="s">
        <v>113</v>
      </c>
      <c r="C561" s="145" t="s">
        <v>12</v>
      </c>
      <c r="D561" s="1" t="s">
        <v>793</v>
      </c>
      <c r="E561" s="146">
        <v>40</v>
      </c>
      <c r="F561" s="1" t="s">
        <v>174</v>
      </c>
      <c r="G561" s="5">
        <v>119</v>
      </c>
      <c r="H561" s="5">
        <f>Table3[[#This Row],[Qty]]*Table3[[#This Row],[Price]]</f>
        <v>4760</v>
      </c>
      <c r="I561" s="5"/>
    </row>
    <row r="562" spans="1:9" x14ac:dyDescent="0.25">
      <c r="A562" s="144">
        <v>46028</v>
      </c>
      <c r="B562" s="145" t="s">
        <v>113</v>
      </c>
      <c r="C562" s="145" t="s">
        <v>310</v>
      </c>
      <c r="D562" s="1" t="s">
        <v>862</v>
      </c>
      <c r="E562" s="146">
        <v>7.5</v>
      </c>
      <c r="F562" s="1" t="s">
        <v>174</v>
      </c>
      <c r="G562" s="5">
        <v>170</v>
      </c>
      <c r="H562" s="5">
        <f>Table3[[#This Row],[Qty]]*Table3[[#This Row],[Price]]</f>
        <v>1275</v>
      </c>
      <c r="I562" s="5"/>
    </row>
    <row r="563" spans="1:9" x14ac:dyDescent="0.25">
      <c r="A563" s="144">
        <v>46028</v>
      </c>
      <c r="B563" s="145" t="s">
        <v>113</v>
      </c>
      <c r="C563" s="145" t="s">
        <v>310</v>
      </c>
      <c r="D563" s="1" t="s">
        <v>786</v>
      </c>
      <c r="E563" s="146">
        <v>3</v>
      </c>
      <c r="F563" s="1" t="s">
        <v>174</v>
      </c>
      <c r="G563" s="5">
        <v>1400</v>
      </c>
      <c r="H563" s="5">
        <f>Table3[[#This Row],[Qty]]*Table3[[#This Row],[Price]]</f>
        <v>4200</v>
      </c>
      <c r="I563" s="5"/>
    </row>
    <row r="564" spans="1:9" x14ac:dyDescent="0.25">
      <c r="A564" s="144">
        <v>46028</v>
      </c>
      <c r="B564" s="145" t="s">
        <v>113</v>
      </c>
      <c r="C564" s="145" t="s">
        <v>310</v>
      </c>
      <c r="D564" s="1" t="s">
        <v>854</v>
      </c>
      <c r="E564" s="146">
        <v>1</v>
      </c>
      <c r="F564" s="1" t="s">
        <v>174</v>
      </c>
      <c r="G564" s="5">
        <v>1600</v>
      </c>
      <c r="H564" s="5">
        <f>Table3[[#This Row],[Qty]]*Table3[[#This Row],[Price]]</f>
        <v>1600</v>
      </c>
      <c r="I564" s="5"/>
    </row>
    <row r="565" spans="1:9" x14ac:dyDescent="0.25">
      <c r="A565" s="144">
        <v>46028</v>
      </c>
      <c r="B565" s="145" t="s">
        <v>113</v>
      </c>
      <c r="C565" s="145" t="s">
        <v>12</v>
      </c>
      <c r="D565" s="1" t="s">
        <v>791</v>
      </c>
      <c r="E565" s="146">
        <v>6</v>
      </c>
      <c r="F565" s="1" t="s">
        <v>827</v>
      </c>
      <c r="G565" s="5">
        <v>443.33</v>
      </c>
      <c r="H565" s="5">
        <f>Table3[[#This Row],[Qty]]*Table3[[#This Row],[Price]]</f>
        <v>2659.98</v>
      </c>
      <c r="I565" s="5"/>
    </row>
    <row r="566" spans="1:9" x14ac:dyDescent="0.25">
      <c r="A566" s="144">
        <v>46028</v>
      </c>
      <c r="B566" s="145" t="s">
        <v>113</v>
      </c>
      <c r="C566" s="145" t="s">
        <v>12</v>
      </c>
      <c r="D566" s="1" t="s">
        <v>222</v>
      </c>
      <c r="E566" s="146">
        <v>2</v>
      </c>
      <c r="F566" s="58" t="s">
        <v>819</v>
      </c>
      <c r="G566" s="5">
        <v>30</v>
      </c>
      <c r="H566" s="5">
        <f>Table3[[#This Row],[Qty]]*Table3[[#This Row],[Price]]</f>
        <v>60</v>
      </c>
      <c r="I566" s="5"/>
    </row>
    <row r="567" spans="1:9" x14ac:dyDescent="0.25">
      <c r="A567" s="144">
        <v>46028</v>
      </c>
      <c r="B567" s="145" t="s">
        <v>113</v>
      </c>
      <c r="C567" s="145" t="s">
        <v>13</v>
      </c>
      <c r="D567" s="1" t="s">
        <v>794</v>
      </c>
      <c r="E567" s="146">
        <v>100</v>
      </c>
      <c r="F567" s="1" t="s">
        <v>174</v>
      </c>
      <c r="G567" s="5">
        <v>113</v>
      </c>
      <c r="H567" s="5">
        <f>Table3[[#This Row],[Qty]]*Table3[[#This Row],[Price]]</f>
        <v>11300</v>
      </c>
      <c r="I567" s="5"/>
    </row>
    <row r="568" spans="1:9" x14ac:dyDescent="0.25">
      <c r="A568" s="144">
        <v>46028</v>
      </c>
      <c r="B568" s="145" t="s">
        <v>113</v>
      </c>
      <c r="C568" s="145" t="s">
        <v>13</v>
      </c>
      <c r="D568" s="1" t="s">
        <v>791</v>
      </c>
      <c r="E568" s="146">
        <v>5</v>
      </c>
      <c r="F568" s="1" t="s">
        <v>827</v>
      </c>
      <c r="G568" s="5">
        <v>443.33</v>
      </c>
      <c r="H568" s="5">
        <f>Table3[[#This Row],[Qty]]*Table3[[#This Row],[Price]]</f>
        <v>2216.65</v>
      </c>
      <c r="I568" s="5"/>
    </row>
    <row r="569" spans="1:9" x14ac:dyDescent="0.25">
      <c r="A569" s="144">
        <v>46028</v>
      </c>
      <c r="B569" s="145" t="s">
        <v>113</v>
      </c>
      <c r="C569" s="145" t="s">
        <v>13</v>
      </c>
      <c r="D569" s="1" t="s">
        <v>799</v>
      </c>
      <c r="E569" s="146">
        <v>6</v>
      </c>
      <c r="F569" s="1" t="s">
        <v>174</v>
      </c>
      <c r="G569" s="5">
        <v>300</v>
      </c>
      <c r="H569" s="5">
        <f>Table3[[#This Row],[Qty]]*Table3[[#This Row],[Price]]</f>
        <v>1800</v>
      </c>
      <c r="I569" s="5"/>
    </row>
    <row r="570" spans="1:9" x14ac:dyDescent="0.25">
      <c r="A570" s="144">
        <v>46028</v>
      </c>
      <c r="B570" s="145" t="s">
        <v>113</v>
      </c>
      <c r="C570" s="145" t="s">
        <v>13</v>
      </c>
      <c r="D570" s="1" t="s">
        <v>844</v>
      </c>
      <c r="E570" s="146">
        <v>19</v>
      </c>
      <c r="F570" s="1" t="s">
        <v>174</v>
      </c>
      <c r="G570" s="5">
        <v>50</v>
      </c>
      <c r="H570" s="5">
        <f>Table3[[#This Row],[Qty]]*Table3[[#This Row],[Price]]</f>
        <v>950</v>
      </c>
      <c r="I570" s="5"/>
    </row>
    <row r="571" spans="1:9" x14ac:dyDescent="0.25">
      <c r="A571" s="144">
        <v>46028</v>
      </c>
      <c r="B571" s="145" t="s">
        <v>113</v>
      </c>
      <c r="C571" s="145" t="s">
        <v>310</v>
      </c>
      <c r="D571" s="1" t="s">
        <v>866</v>
      </c>
      <c r="E571" s="146">
        <v>2</v>
      </c>
      <c r="F571" s="1" t="s">
        <v>174</v>
      </c>
      <c r="G571" s="5">
        <v>500</v>
      </c>
      <c r="H571" s="5">
        <f>Table3[[#This Row],[Qty]]*Table3[[#This Row],[Price]]</f>
        <v>1000</v>
      </c>
      <c r="I571" s="5"/>
    </row>
    <row r="572" spans="1:9" x14ac:dyDescent="0.25">
      <c r="A572" s="144">
        <v>46028</v>
      </c>
      <c r="B572" s="145" t="s">
        <v>113</v>
      </c>
      <c r="C572" s="145" t="s">
        <v>13</v>
      </c>
      <c r="D572" s="1" t="s">
        <v>135</v>
      </c>
      <c r="E572" s="146">
        <v>8</v>
      </c>
      <c r="F572" s="1" t="s">
        <v>174</v>
      </c>
      <c r="G572" s="5">
        <v>300</v>
      </c>
      <c r="H572" s="5">
        <f>Table3[[#This Row],[Qty]]*Table3[[#This Row],[Price]]</f>
        <v>2400</v>
      </c>
      <c r="I572" s="5"/>
    </row>
    <row r="573" spans="1:9" x14ac:dyDescent="0.25">
      <c r="A573" s="144">
        <v>46028</v>
      </c>
      <c r="B573" s="145" t="s">
        <v>113</v>
      </c>
      <c r="C573" s="145" t="s">
        <v>13</v>
      </c>
      <c r="D573" s="1" t="s">
        <v>865</v>
      </c>
      <c r="E573" s="146">
        <v>9</v>
      </c>
      <c r="F573" s="1" t="s">
        <v>174</v>
      </c>
      <c r="G573" s="5">
        <v>120</v>
      </c>
      <c r="H573" s="5">
        <f>Table3[[#This Row],[Qty]]*Table3[[#This Row],[Price]]</f>
        <v>1080</v>
      </c>
      <c r="I573" s="5"/>
    </row>
    <row r="574" spans="1:9" x14ac:dyDescent="0.25">
      <c r="A574" s="144">
        <v>46028</v>
      </c>
      <c r="B574" s="145" t="s">
        <v>113</v>
      </c>
      <c r="C574" s="145" t="s">
        <v>13</v>
      </c>
      <c r="D574" s="1" t="s">
        <v>884</v>
      </c>
      <c r="E574" s="146">
        <v>3</v>
      </c>
      <c r="F574" s="1" t="s">
        <v>174</v>
      </c>
      <c r="G574" s="5">
        <v>340</v>
      </c>
      <c r="H574" s="5">
        <f>Table3[[#This Row],[Qty]]*Table3[[#This Row],[Price]]</f>
        <v>1020</v>
      </c>
      <c r="I574" s="5"/>
    </row>
    <row r="575" spans="1:9" x14ac:dyDescent="0.25">
      <c r="A575" s="144">
        <v>46028</v>
      </c>
      <c r="B575" s="145" t="s">
        <v>113</v>
      </c>
      <c r="C575" s="145" t="s">
        <v>13</v>
      </c>
      <c r="D575" s="1" t="s">
        <v>849</v>
      </c>
      <c r="E575" s="146">
        <v>2</v>
      </c>
      <c r="F575" s="1" t="s">
        <v>174</v>
      </c>
      <c r="G575" s="5">
        <v>350</v>
      </c>
      <c r="H575" s="5">
        <f>Table3[[#This Row],[Qty]]*Table3[[#This Row],[Price]]</f>
        <v>700</v>
      </c>
      <c r="I575" s="5"/>
    </row>
    <row r="576" spans="1:9" x14ac:dyDescent="0.25">
      <c r="A576" s="144">
        <v>46028</v>
      </c>
      <c r="B576" s="145" t="s">
        <v>113</v>
      </c>
      <c r="C576" s="145" t="s">
        <v>13</v>
      </c>
      <c r="D576" s="1" t="s">
        <v>855</v>
      </c>
      <c r="E576" s="146">
        <v>7.5</v>
      </c>
      <c r="F576" s="1" t="s">
        <v>174</v>
      </c>
      <c r="G576" s="5">
        <v>40</v>
      </c>
      <c r="H576" s="5">
        <f>Table3[[#This Row],[Qty]]*Table3[[#This Row],[Price]]</f>
        <v>300</v>
      </c>
      <c r="I576" s="5"/>
    </row>
    <row r="577" spans="1:9" x14ac:dyDescent="0.25">
      <c r="A577" s="144">
        <v>46028</v>
      </c>
      <c r="B577" s="145" t="s">
        <v>113</v>
      </c>
      <c r="C577" s="145" t="s">
        <v>13</v>
      </c>
      <c r="D577" s="1" t="s">
        <v>842</v>
      </c>
      <c r="E577" s="146">
        <v>3.4</v>
      </c>
      <c r="F577" s="1" t="s">
        <v>174</v>
      </c>
      <c r="G577" s="5">
        <v>75</v>
      </c>
      <c r="H577" s="5">
        <f>Table3[[#This Row],[Qty]]*Table3[[#This Row],[Price]]</f>
        <v>255</v>
      </c>
      <c r="I577" s="5"/>
    </row>
    <row r="578" spans="1:9" x14ac:dyDescent="0.25">
      <c r="A578" s="144">
        <v>46028</v>
      </c>
      <c r="B578" s="145" t="s">
        <v>113</v>
      </c>
      <c r="C578" s="145" t="s">
        <v>13</v>
      </c>
      <c r="D578" s="1" t="s">
        <v>846</v>
      </c>
      <c r="E578" s="146">
        <v>0.8</v>
      </c>
      <c r="F578" s="1" t="s">
        <v>174</v>
      </c>
      <c r="G578" s="5">
        <v>95</v>
      </c>
      <c r="H578" s="5">
        <f>Table3[[#This Row],[Qty]]*Table3[[#This Row],[Price]]</f>
        <v>76</v>
      </c>
      <c r="I578" s="5"/>
    </row>
    <row r="579" spans="1:9" x14ac:dyDescent="0.25">
      <c r="A579" s="144">
        <v>46028</v>
      </c>
      <c r="B579" s="145" t="s">
        <v>113</v>
      </c>
      <c r="C579" s="145" t="s">
        <v>13</v>
      </c>
      <c r="D579" s="1" t="s">
        <v>845</v>
      </c>
      <c r="E579" s="146">
        <v>7.8</v>
      </c>
      <c r="F579" s="1" t="s">
        <v>174</v>
      </c>
      <c r="G579" s="5">
        <v>90</v>
      </c>
      <c r="H579" s="5">
        <f>Table3[[#This Row],[Qty]]*Table3[[#This Row],[Price]]</f>
        <v>702</v>
      </c>
      <c r="I579" s="5"/>
    </row>
    <row r="580" spans="1:9" x14ac:dyDescent="0.25">
      <c r="A580" s="144">
        <v>46028</v>
      </c>
      <c r="B580" s="145" t="s">
        <v>113</v>
      </c>
      <c r="C580" s="145" t="s">
        <v>13</v>
      </c>
      <c r="D580" s="1" t="s">
        <v>797</v>
      </c>
      <c r="E580" s="146">
        <v>1</v>
      </c>
      <c r="F580" s="1" t="s">
        <v>174</v>
      </c>
      <c r="G580" s="5">
        <v>560</v>
      </c>
      <c r="H580" s="5">
        <f>Table3[[#This Row],[Qty]]*Table3[[#This Row],[Price]]</f>
        <v>560</v>
      </c>
      <c r="I580" s="5"/>
    </row>
    <row r="581" spans="1:9" x14ac:dyDescent="0.25">
      <c r="A581" s="144">
        <v>46028</v>
      </c>
      <c r="B581" s="145" t="s">
        <v>113</v>
      </c>
      <c r="C581" s="145" t="s">
        <v>13</v>
      </c>
      <c r="D581" s="1" t="s">
        <v>852</v>
      </c>
      <c r="E581" s="146">
        <v>0.3</v>
      </c>
      <c r="F581" s="1" t="s">
        <v>174</v>
      </c>
      <c r="G581" s="5">
        <v>150</v>
      </c>
      <c r="H581" s="5">
        <f>Table3[[#This Row],[Qty]]*Table3[[#This Row],[Price]]</f>
        <v>45</v>
      </c>
      <c r="I581" s="5"/>
    </row>
    <row r="582" spans="1:9" x14ac:dyDescent="0.25">
      <c r="A582" s="144">
        <v>46028</v>
      </c>
      <c r="B582" s="145" t="s">
        <v>113</v>
      </c>
      <c r="C582" s="145" t="s">
        <v>13</v>
      </c>
      <c r="D582" s="1" t="s">
        <v>803</v>
      </c>
      <c r="E582" s="146">
        <v>0.1</v>
      </c>
      <c r="F582" s="1" t="s">
        <v>174</v>
      </c>
      <c r="G582" s="5">
        <v>580</v>
      </c>
      <c r="H582" s="5">
        <f>Table3[[#This Row],[Qty]]*Table3[[#This Row],[Price]]</f>
        <v>58</v>
      </c>
      <c r="I582" s="5"/>
    </row>
    <row r="583" spans="1:9" x14ac:dyDescent="0.25">
      <c r="A583" s="144">
        <v>46028</v>
      </c>
      <c r="B583" s="145" t="s">
        <v>113</v>
      </c>
      <c r="C583" s="145" t="s">
        <v>12</v>
      </c>
      <c r="D583" s="1" t="s">
        <v>221</v>
      </c>
      <c r="E583" s="146">
        <v>5</v>
      </c>
      <c r="F583" s="1" t="s">
        <v>174</v>
      </c>
      <c r="G583" s="5">
        <v>183</v>
      </c>
      <c r="H583" s="5">
        <f>Table3[[#This Row],[Qty]]*Table3[[#This Row],[Price]]</f>
        <v>915</v>
      </c>
      <c r="I583" s="5"/>
    </row>
    <row r="584" spans="1:9" x14ac:dyDescent="0.25">
      <c r="A584" s="144">
        <v>46028</v>
      </c>
      <c r="B584" s="145" t="s">
        <v>113</v>
      </c>
      <c r="C584" s="145" t="s">
        <v>13</v>
      </c>
      <c r="D584" s="1" t="s">
        <v>793</v>
      </c>
      <c r="E584" s="146">
        <v>20</v>
      </c>
      <c r="F584" s="1" t="s">
        <v>174</v>
      </c>
      <c r="G584" s="5">
        <v>119</v>
      </c>
      <c r="H584" s="5">
        <f>Table3[[#This Row],[Qty]]*Table3[[#This Row],[Price]]</f>
        <v>2380</v>
      </c>
      <c r="I584" s="5"/>
    </row>
    <row r="585" spans="1:9" x14ac:dyDescent="0.25">
      <c r="A585" s="144">
        <v>46028</v>
      </c>
      <c r="B585" s="145" t="s">
        <v>113</v>
      </c>
      <c r="C585" s="145" t="s">
        <v>310</v>
      </c>
      <c r="D585" s="1" t="s">
        <v>786</v>
      </c>
      <c r="E585" s="146">
        <v>2</v>
      </c>
      <c r="F585" s="1" t="s">
        <v>174</v>
      </c>
      <c r="G585" s="5">
        <v>1400</v>
      </c>
      <c r="H585" s="5">
        <f>Table3[[#This Row],[Qty]]*Table3[[#This Row],[Price]]</f>
        <v>2800</v>
      </c>
      <c r="I585" s="5"/>
    </row>
    <row r="586" spans="1:9" x14ac:dyDescent="0.25">
      <c r="A586" s="144">
        <v>46028</v>
      </c>
      <c r="B586" s="145" t="s">
        <v>113</v>
      </c>
      <c r="C586" s="145" t="s">
        <v>13</v>
      </c>
      <c r="D586" s="1" t="s">
        <v>864</v>
      </c>
      <c r="E586" s="146">
        <v>1</v>
      </c>
      <c r="F586" s="1" t="s">
        <v>174</v>
      </c>
      <c r="G586" s="5">
        <v>653</v>
      </c>
      <c r="H586" s="5">
        <f>Table3[[#This Row],[Qty]]*Table3[[#This Row],[Price]]</f>
        <v>653</v>
      </c>
      <c r="I586" s="5"/>
    </row>
    <row r="587" spans="1:9" x14ac:dyDescent="0.25">
      <c r="A587" s="144">
        <v>46028</v>
      </c>
      <c r="B587" s="145" t="s">
        <v>113</v>
      </c>
      <c r="C587" s="145" t="s">
        <v>310</v>
      </c>
      <c r="D587" s="1" t="s">
        <v>862</v>
      </c>
      <c r="E587" s="146">
        <v>5</v>
      </c>
      <c r="F587" s="1" t="s">
        <v>174</v>
      </c>
      <c r="G587" s="5">
        <v>170</v>
      </c>
      <c r="H587" s="5">
        <f>Table3[[#This Row],[Qty]]*Table3[[#This Row],[Price]]</f>
        <v>850</v>
      </c>
      <c r="I587" s="5"/>
    </row>
    <row r="588" spans="1:9" x14ac:dyDescent="0.25">
      <c r="A588" s="144">
        <v>46028</v>
      </c>
      <c r="B588" s="145" t="s">
        <v>113</v>
      </c>
      <c r="C588" s="145" t="s">
        <v>13</v>
      </c>
      <c r="D588" s="1" t="s">
        <v>860</v>
      </c>
      <c r="E588" s="146">
        <v>6</v>
      </c>
      <c r="F588" s="1" t="s">
        <v>174</v>
      </c>
      <c r="G588" s="5">
        <v>60</v>
      </c>
      <c r="H588" s="5">
        <f>Table3[[#This Row],[Qty]]*Table3[[#This Row],[Price]]</f>
        <v>360</v>
      </c>
      <c r="I588" s="5"/>
    </row>
    <row r="589" spans="1:9" x14ac:dyDescent="0.25">
      <c r="A589" s="144">
        <v>46028</v>
      </c>
      <c r="B589" s="145" t="s">
        <v>113</v>
      </c>
      <c r="C589" s="145" t="s">
        <v>20</v>
      </c>
      <c r="D589" s="1" t="s">
        <v>844</v>
      </c>
      <c r="E589" s="146">
        <v>7</v>
      </c>
      <c r="F589" s="1" t="s">
        <v>174</v>
      </c>
      <c r="G589" s="5">
        <v>50</v>
      </c>
      <c r="H589" s="5">
        <f>Table3[[#This Row],[Qty]]*Table3[[#This Row],[Price]]</f>
        <v>350</v>
      </c>
      <c r="I589" s="5"/>
    </row>
    <row r="590" spans="1:9" x14ac:dyDescent="0.25">
      <c r="A590" s="144">
        <v>46028</v>
      </c>
      <c r="B590" s="145" t="s">
        <v>113</v>
      </c>
      <c r="C590" s="145" t="s">
        <v>20</v>
      </c>
      <c r="D590" s="1" t="s">
        <v>860</v>
      </c>
      <c r="E590" s="146">
        <v>1</v>
      </c>
      <c r="F590" s="1" t="s">
        <v>174</v>
      </c>
      <c r="G590" s="5">
        <v>60</v>
      </c>
      <c r="H590" s="5">
        <f>Table3[[#This Row],[Qty]]*Table3[[#This Row],[Price]]</f>
        <v>60</v>
      </c>
      <c r="I590" s="5"/>
    </row>
    <row r="591" spans="1:9" x14ac:dyDescent="0.25">
      <c r="A591" s="144">
        <v>46028</v>
      </c>
      <c r="B591" s="145" t="s">
        <v>113</v>
      </c>
      <c r="C591" s="145" t="s">
        <v>838</v>
      </c>
      <c r="D591" s="1" t="s">
        <v>791</v>
      </c>
      <c r="E591" s="146">
        <v>9</v>
      </c>
      <c r="F591" s="1" t="s">
        <v>827</v>
      </c>
      <c r="G591" s="5">
        <v>443.33</v>
      </c>
      <c r="H591" s="5">
        <f>Table3[[#This Row],[Qty]]*Table3[[#This Row],[Price]]</f>
        <v>3989.97</v>
      </c>
      <c r="I591" s="5"/>
    </row>
    <row r="592" spans="1:9" x14ac:dyDescent="0.25">
      <c r="A592" s="144">
        <v>46028</v>
      </c>
      <c r="B592" s="145" t="s">
        <v>113</v>
      </c>
      <c r="C592" s="145" t="s">
        <v>838</v>
      </c>
      <c r="D592" s="1" t="s">
        <v>852</v>
      </c>
      <c r="E592" s="146">
        <v>0.35</v>
      </c>
      <c r="F592" s="1" t="s">
        <v>174</v>
      </c>
      <c r="G592" s="5">
        <v>150</v>
      </c>
      <c r="H592" s="5">
        <f>Table3[[#This Row],[Qty]]*Table3[[#This Row],[Price]]</f>
        <v>52.5</v>
      </c>
      <c r="I592" s="5"/>
    </row>
    <row r="593" spans="1:9" x14ac:dyDescent="0.25">
      <c r="A593" s="144">
        <v>46028</v>
      </c>
      <c r="B593" s="145" t="s">
        <v>113</v>
      </c>
      <c r="C593" s="145" t="s">
        <v>838</v>
      </c>
      <c r="D593" s="1" t="s">
        <v>842</v>
      </c>
      <c r="E593" s="146">
        <v>1.6</v>
      </c>
      <c r="F593" s="1" t="s">
        <v>174</v>
      </c>
      <c r="G593" s="5">
        <v>75</v>
      </c>
      <c r="H593" s="5">
        <f>Table3[[#This Row],[Qty]]*Table3[[#This Row],[Price]]</f>
        <v>120</v>
      </c>
      <c r="I593" s="5"/>
    </row>
    <row r="594" spans="1:9" x14ac:dyDescent="0.25">
      <c r="A594" s="144">
        <v>46028</v>
      </c>
      <c r="B594" s="145" t="s">
        <v>113</v>
      </c>
      <c r="C594" s="145" t="s">
        <v>838</v>
      </c>
      <c r="D594" s="1" t="s">
        <v>855</v>
      </c>
      <c r="E594" s="146">
        <v>0.25</v>
      </c>
      <c r="F594" s="1" t="s">
        <v>174</v>
      </c>
      <c r="G594" s="5">
        <v>40</v>
      </c>
      <c r="H594" s="5">
        <f>Table3[[#This Row],[Qty]]*Table3[[#This Row],[Price]]</f>
        <v>10</v>
      </c>
      <c r="I594" s="5"/>
    </row>
    <row r="595" spans="1:9" x14ac:dyDescent="0.25">
      <c r="A595" s="144">
        <v>46028</v>
      </c>
      <c r="B595" s="145" t="s">
        <v>113</v>
      </c>
      <c r="C595" s="145" t="s">
        <v>838</v>
      </c>
      <c r="D595" s="1" t="s">
        <v>801</v>
      </c>
      <c r="E595" s="146">
        <v>0.5</v>
      </c>
      <c r="F595" s="1" t="s">
        <v>174</v>
      </c>
      <c r="G595" s="5">
        <v>580</v>
      </c>
      <c r="H595" s="5">
        <f>Table3[[#This Row],[Qty]]*Table3[[#This Row],[Price]]</f>
        <v>290</v>
      </c>
      <c r="I595" s="5"/>
    </row>
    <row r="596" spans="1:9" x14ac:dyDescent="0.25">
      <c r="A596" s="144">
        <v>46028</v>
      </c>
      <c r="B596" s="145" t="s">
        <v>113</v>
      </c>
      <c r="C596" s="145" t="s">
        <v>310</v>
      </c>
      <c r="D596" s="1" t="s">
        <v>786</v>
      </c>
      <c r="E596" s="146">
        <v>4.75</v>
      </c>
      <c r="F596" s="1" t="s">
        <v>174</v>
      </c>
      <c r="G596" s="5">
        <v>1400</v>
      </c>
      <c r="H596" s="5">
        <f>Table3[[#This Row],[Qty]]*Table3[[#This Row],[Price]]</f>
        <v>6650</v>
      </c>
      <c r="I596" s="5"/>
    </row>
    <row r="597" spans="1:9" x14ac:dyDescent="0.25">
      <c r="A597" s="144">
        <v>46028</v>
      </c>
      <c r="B597" s="145" t="s">
        <v>113</v>
      </c>
      <c r="C597" s="145" t="s">
        <v>310</v>
      </c>
      <c r="D597" s="1" t="s">
        <v>862</v>
      </c>
      <c r="E597" s="146">
        <v>8</v>
      </c>
      <c r="F597" s="1" t="s">
        <v>174</v>
      </c>
      <c r="G597" s="5">
        <v>170</v>
      </c>
      <c r="H597" s="5">
        <f>Table3[[#This Row],[Qty]]*Table3[[#This Row],[Price]]</f>
        <v>1360</v>
      </c>
      <c r="I597" s="5"/>
    </row>
    <row r="598" spans="1:9" x14ac:dyDescent="0.25">
      <c r="A598" s="144">
        <v>46028</v>
      </c>
      <c r="B598" s="145" t="s">
        <v>113</v>
      </c>
      <c r="C598" s="145" t="s">
        <v>310</v>
      </c>
      <c r="D598" s="1" t="s">
        <v>854</v>
      </c>
      <c r="E598" s="146">
        <v>1</v>
      </c>
      <c r="F598" s="1" t="s">
        <v>174</v>
      </c>
      <c r="G598" s="5">
        <v>1600</v>
      </c>
      <c r="H598" s="5">
        <f>Table3[[#This Row],[Qty]]*Table3[[#This Row],[Price]]</f>
        <v>1600</v>
      </c>
      <c r="I598" s="5"/>
    </row>
    <row r="599" spans="1:9" x14ac:dyDescent="0.25">
      <c r="A599" s="144">
        <v>46028</v>
      </c>
      <c r="B599" s="145" t="s">
        <v>113</v>
      </c>
      <c r="C599" s="145" t="s">
        <v>310</v>
      </c>
      <c r="D599" s="1" t="s">
        <v>868</v>
      </c>
      <c r="E599" s="146">
        <v>12</v>
      </c>
      <c r="F599" s="1" t="s">
        <v>827</v>
      </c>
      <c r="G599" s="5">
        <v>220</v>
      </c>
      <c r="H599" s="5">
        <f>Table3[[#This Row],[Qty]]*Table3[[#This Row],[Price]]</f>
        <v>2640</v>
      </c>
      <c r="I599" s="5"/>
    </row>
    <row r="600" spans="1:9" x14ac:dyDescent="0.25">
      <c r="A600" s="144">
        <v>46028</v>
      </c>
      <c r="B600" s="145" t="s">
        <v>113</v>
      </c>
      <c r="C600" s="145" t="s">
        <v>12</v>
      </c>
      <c r="D600" s="1" t="s">
        <v>235</v>
      </c>
      <c r="E600" s="146">
        <v>2</v>
      </c>
      <c r="F600" s="1" t="s">
        <v>174</v>
      </c>
      <c r="G600" s="5">
        <v>183</v>
      </c>
      <c r="H600" s="5">
        <f>Table3[[#This Row],[Qty]]*Table3[[#This Row],[Price]]</f>
        <v>366</v>
      </c>
      <c r="I600" s="5"/>
    </row>
    <row r="601" spans="1:9" x14ac:dyDescent="0.25">
      <c r="A601" s="144">
        <v>46028</v>
      </c>
      <c r="B601" s="145" t="s">
        <v>113</v>
      </c>
      <c r="C601" s="145" t="s">
        <v>838</v>
      </c>
      <c r="D601" s="1" t="s">
        <v>876</v>
      </c>
      <c r="E601" s="146">
        <v>0.3</v>
      </c>
      <c r="F601" s="1" t="s">
        <v>174</v>
      </c>
      <c r="G601" s="5">
        <v>230</v>
      </c>
      <c r="H601" s="5">
        <f>Table3[[#This Row],[Qty]]*Table3[[#This Row],[Price]]</f>
        <v>69</v>
      </c>
      <c r="I601" s="5"/>
    </row>
    <row r="602" spans="1:9" x14ac:dyDescent="0.25">
      <c r="A602" s="144">
        <v>46028</v>
      </c>
      <c r="B602" s="145" t="s">
        <v>113</v>
      </c>
      <c r="C602" s="145" t="s">
        <v>310</v>
      </c>
      <c r="D602" s="1" t="s">
        <v>862</v>
      </c>
      <c r="E602" s="146">
        <v>2.2000000000000002</v>
      </c>
      <c r="F602" s="1" t="s">
        <v>174</v>
      </c>
      <c r="G602" s="5">
        <v>170</v>
      </c>
      <c r="H602" s="5">
        <f>Table3[[#This Row],[Qty]]*Table3[[#This Row],[Price]]</f>
        <v>374.00000000000006</v>
      </c>
      <c r="I602" s="5"/>
    </row>
    <row r="603" spans="1:9" x14ac:dyDescent="0.25">
      <c r="A603" s="144">
        <v>46028</v>
      </c>
      <c r="B603" s="145" t="s">
        <v>113</v>
      </c>
      <c r="C603" s="145" t="s">
        <v>310</v>
      </c>
      <c r="D603" s="1" t="s">
        <v>786</v>
      </c>
      <c r="E603" s="146">
        <v>1.2</v>
      </c>
      <c r="F603" s="1" t="s">
        <v>174</v>
      </c>
      <c r="G603" s="5">
        <v>1400</v>
      </c>
      <c r="H603" s="5">
        <f>Table3[[#This Row],[Qty]]*Table3[[#This Row],[Price]]</f>
        <v>1680</v>
      </c>
      <c r="I603" s="5"/>
    </row>
    <row r="604" spans="1:9" x14ac:dyDescent="0.25">
      <c r="A604" s="144">
        <v>46029</v>
      </c>
      <c r="B604" s="145" t="s">
        <v>114</v>
      </c>
      <c r="C604" s="145" t="s">
        <v>12</v>
      </c>
      <c r="D604" s="1" t="s">
        <v>793</v>
      </c>
      <c r="E604" s="146">
        <v>40</v>
      </c>
      <c r="F604" s="1" t="s">
        <v>174</v>
      </c>
      <c r="G604" s="5">
        <v>119</v>
      </c>
      <c r="H604" s="5">
        <f>Table3[[#This Row],[Qty]]*Table3[[#This Row],[Price]]</f>
        <v>4760</v>
      </c>
      <c r="I604" s="5"/>
    </row>
    <row r="605" spans="1:9" x14ac:dyDescent="0.25">
      <c r="A605" s="144">
        <v>46029</v>
      </c>
      <c r="B605" s="145" t="s">
        <v>114</v>
      </c>
      <c r="C605" s="145" t="s">
        <v>310</v>
      </c>
      <c r="D605" s="1" t="s">
        <v>862</v>
      </c>
      <c r="E605" s="146">
        <v>8</v>
      </c>
      <c r="F605" s="1" t="s">
        <v>174</v>
      </c>
      <c r="G605" s="5">
        <v>170</v>
      </c>
      <c r="H605" s="5">
        <f>Table3[[#This Row],[Qty]]*Table3[[#This Row],[Price]]</f>
        <v>1360</v>
      </c>
      <c r="I605" s="5"/>
    </row>
    <row r="606" spans="1:9" x14ac:dyDescent="0.25">
      <c r="A606" s="144">
        <v>46029</v>
      </c>
      <c r="B606" s="145" t="s">
        <v>114</v>
      </c>
      <c r="C606" s="145" t="s">
        <v>310</v>
      </c>
      <c r="D606" s="1" t="s">
        <v>786</v>
      </c>
      <c r="E606" s="146">
        <v>3</v>
      </c>
      <c r="F606" s="1" t="s">
        <v>174</v>
      </c>
      <c r="G606" s="5">
        <v>1400</v>
      </c>
      <c r="H606" s="5">
        <f>Table3[[#This Row],[Qty]]*Table3[[#This Row],[Price]]</f>
        <v>4200</v>
      </c>
      <c r="I606" s="5"/>
    </row>
    <row r="607" spans="1:9" x14ac:dyDescent="0.25">
      <c r="A607" s="144">
        <v>46029</v>
      </c>
      <c r="B607" s="145" t="s">
        <v>114</v>
      </c>
      <c r="C607" s="145" t="s">
        <v>12</v>
      </c>
      <c r="D607" s="1" t="s">
        <v>791</v>
      </c>
      <c r="E607" s="146">
        <v>6</v>
      </c>
      <c r="F607" s="1" t="s">
        <v>827</v>
      </c>
      <c r="G607" s="5">
        <v>443.33</v>
      </c>
      <c r="H607" s="5">
        <f>Table3[[#This Row],[Qty]]*Table3[[#This Row],[Price]]</f>
        <v>2659.98</v>
      </c>
      <c r="I607" s="5"/>
    </row>
    <row r="608" spans="1:9" x14ac:dyDescent="0.25">
      <c r="A608" s="144">
        <v>46029</v>
      </c>
      <c r="B608" s="145" t="s">
        <v>114</v>
      </c>
      <c r="C608" s="145" t="s">
        <v>12</v>
      </c>
      <c r="D608" s="1" t="s">
        <v>144</v>
      </c>
      <c r="E608" s="146">
        <v>9</v>
      </c>
      <c r="F608" s="58" t="s">
        <v>819</v>
      </c>
      <c r="G608" s="5">
        <v>30</v>
      </c>
      <c r="H608" s="5">
        <f>Table3[[#This Row],[Qty]]*Table3[[#This Row],[Price]]</f>
        <v>270</v>
      </c>
      <c r="I608" s="5"/>
    </row>
    <row r="609" spans="1:9" x14ac:dyDescent="0.25">
      <c r="A609" s="144">
        <v>46029</v>
      </c>
      <c r="B609" s="145" t="s">
        <v>114</v>
      </c>
      <c r="C609" s="145" t="s">
        <v>13</v>
      </c>
      <c r="D609" s="1" t="s">
        <v>794</v>
      </c>
      <c r="E609" s="146">
        <v>100</v>
      </c>
      <c r="F609" s="1" t="s">
        <v>174</v>
      </c>
      <c r="G609" s="5">
        <v>113</v>
      </c>
      <c r="H609" s="5">
        <f>Table3[[#This Row],[Qty]]*Table3[[#This Row],[Price]]</f>
        <v>11300</v>
      </c>
      <c r="I609" s="5"/>
    </row>
    <row r="610" spans="1:9" x14ac:dyDescent="0.25">
      <c r="A610" s="144">
        <v>46029</v>
      </c>
      <c r="B610" s="145" t="s">
        <v>114</v>
      </c>
      <c r="C610" s="145" t="s">
        <v>13</v>
      </c>
      <c r="D610" s="1" t="s">
        <v>791</v>
      </c>
      <c r="E610" s="146">
        <v>5</v>
      </c>
      <c r="F610" s="1" t="s">
        <v>827</v>
      </c>
      <c r="G610" s="5">
        <v>443.33</v>
      </c>
      <c r="H610" s="5">
        <f>Table3[[#This Row],[Qty]]*Table3[[#This Row],[Price]]</f>
        <v>2216.65</v>
      </c>
      <c r="I610" s="5"/>
    </row>
    <row r="611" spans="1:9" x14ac:dyDescent="0.25">
      <c r="A611" s="144">
        <v>46029</v>
      </c>
      <c r="B611" s="145" t="s">
        <v>114</v>
      </c>
      <c r="C611" s="145" t="s">
        <v>13</v>
      </c>
      <c r="D611" s="1" t="s">
        <v>864</v>
      </c>
      <c r="E611" s="146">
        <v>16</v>
      </c>
      <c r="F611" s="1" t="s">
        <v>174</v>
      </c>
      <c r="G611" s="5">
        <v>653</v>
      </c>
      <c r="H611" s="5">
        <f>Table3[[#This Row],[Qty]]*Table3[[#This Row],[Price]]</f>
        <v>10448</v>
      </c>
      <c r="I611" s="5"/>
    </row>
    <row r="612" spans="1:9" x14ac:dyDescent="0.25">
      <c r="A612" s="144">
        <v>46029</v>
      </c>
      <c r="B612" s="145" t="s">
        <v>114</v>
      </c>
      <c r="C612" s="145" t="s">
        <v>13</v>
      </c>
      <c r="D612" s="1" t="s">
        <v>886</v>
      </c>
      <c r="E612" s="146">
        <v>8</v>
      </c>
      <c r="F612" s="1" t="s">
        <v>174</v>
      </c>
      <c r="G612" s="5">
        <v>1600</v>
      </c>
      <c r="H612" s="5">
        <f>Table3[[#This Row],[Qty]]*Table3[[#This Row],[Price]]</f>
        <v>12800</v>
      </c>
      <c r="I612" s="5"/>
    </row>
    <row r="613" spans="1:9" x14ac:dyDescent="0.25">
      <c r="A613" s="153">
        <v>46029</v>
      </c>
      <c r="B613" s="154" t="s">
        <v>114</v>
      </c>
      <c r="C613" s="154" t="s">
        <v>13</v>
      </c>
      <c r="D613" s="155" t="s">
        <v>892</v>
      </c>
      <c r="E613" s="156">
        <v>2.2000000000000002</v>
      </c>
      <c r="F613" s="1" t="s">
        <v>174</v>
      </c>
      <c r="G613" s="151"/>
      <c r="H613" s="151">
        <f>Table3[[#This Row],[Qty]]*Table3[[#This Row],[Price]]</f>
        <v>0</v>
      </c>
      <c r="I613" s="151"/>
    </row>
    <row r="614" spans="1:9" x14ac:dyDescent="0.25">
      <c r="A614" s="144">
        <v>46029</v>
      </c>
      <c r="B614" s="145" t="s">
        <v>114</v>
      </c>
      <c r="C614" s="145" t="s">
        <v>13</v>
      </c>
      <c r="D614" s="1" t="s">
        <v>855</v>
      </c>
      <c r="E614" s="146">
        <v>11</v>
      </c>
      <c r="F614" s="1" t="s">
        <v>174</v>
      </c>
      <c r="G614" s="5">
        <v>40</v>
      </c>
      <c r="H614" s="5">
        <f>Table3[[#This Row],[Qty]]*Table3[[#This Row],[Price]]</f>
        <v>440</v>
      </c>
      <c r="I614" s="5"/>
    </row>
    <row r="615" spans="1:9" x14ac:dyDescent="0.25">
      <c r="A615" s="144">
        <v>46029</v>
      </c>
      <c r="B615" s="145" t="s">
        <v>114</v>
      </c>
      <c r="C615" s="145" t="s">
        <v>13</v>
      </c>
      <c r="D615" s="1" t="s">
        <v>844</v>
      </c>
      <c r="E615" s="146">
        <v>16</v>
      </c>
      <c r="F615" s="1" t="s">
        <v>174</v>
      </c>
      <c r="G615" s="5">
        <v>50</v>
      </c>
      <c r="H615" s="5">
        <f>Table3[[#This Row],[Qty]]*Table3[[#This Row],[Price]]</f>
        <v>800</v>
      </c>
      <c r="I615" s="5"/>
    </row>
    <row r="616" spans="1:9" x14ac:dyDescent="0.25">
      <c r="A616" s="144">
        <v>46029</v>
      </c>
      <c r="B616" s="145" t="s">
        <v>114</v>
      </c>
      <c r="C616" s="145" t="s">
        <v>13</v>
      </c>
      <c r="D616" s="1" t="s">
        <v>842</v>
      </c>
      <c r="E616" s="146">
        <v>3</v>
      </c>
      <c r="F616" s="1" t="s">
        <v>174</v>
      </c>
      <c r="G616" s="5">
        <v>75</v>
      </c>
      <c r="H616" s="5">
        <f>Table3[[#This Row],[Qty]]*Table3[[#This Row],[Price]]</f>
        <v>225</v>
      </c>
      <c r="I616" s="5"/>
    </row>
    <row r="617" spans="1:9" x14ac:dyDescent="0.25">
      <c r="A617" s="144">
        <v>46029</v>
      </c>
      <c r="B617" s="145" t="s">
        <v>114</v>
      </c>
      <c r="C617" s="145" t="s">
        <v>13</v>
      </c>
      <c r="D617" s="1" t="s">
        <v>846</v>
      </c>
      <c r="E617" s="146">
        <v>0.5</v>
      </c>
      <c r="F617" s="1" t="s">
        <v>174</v>
      </c>
      <c r="G617" s="5">
        <v>95</v>
      </c>
      <c r="H617" s="5">
        <f>Table3[[#This Row],[Qty]]*Table3[[#This Row],[Price]]</f>
        <v>47.5</v>
      </c>
      <c r="I617" s="5"/>
    </row>
    <row r="618" spans="1:9" x14ac:dyDescent="0.25">
      <c r="A618" s="144">
        <v>46029</v>
      </c>
      <c r="B618" s="145" t="s">
        <v>114</v>
      </c>
      <c r="C618" s="145" t="s">
        <v>13</v>
      </c>
      <c r="D618" s="1" t="s">
        <v>845</v>
      </c>
      <c r="E618" s="146">
        <v>0.5</v>
      </c>
      <c r="F618" s="1" t="s">
        <v>174</v>
      </c>
      <c r="G618" s="5">
        <v>90</v>
      </c>
      <c r="H618" s="5">
        <f>Table3[[#This Row],[Qty]]*Table3[[#This Row],[Price]]</f>
        <v>45</v>
      </c>
      <c r="I618" s="5"/>
    </row>
    <row r="619" spans="1:9" x14ac:dyDescent="0.25">
      <c r="A619" s="144">
        <v>46029</v>
      </c>
      <c r="B619" s="145" t="s">
        <v>114</v>
      </c>
      <c r="C619" s="145" t="s">
        <v>13</v>
      </c>
      <c r="D619" s="58" t="s">
        <v>873</v>
      </c>
      <c r="E619" s="146">
        <v>0.5</v>
      </c>
      <c r="F619" s="1" t="s">
        <v>174</v>
      </c>
      <c r="G619" s="5">
        <v>80</v>
      </c>
      <c r="H619" s="5">
        <f>Table3[[#This Row],[Qty]]*Table3[[#This Row],[Price]]</f>
        <v>40</v>
      </c>
      <c r="I619" s="5"/>
    </row>
    <row r="620" spans="1:9" x14ac:dyDescent="0.25">
      <c r="A620" s="144">
        <v>46029</v>
      </c>
      <c r="B620" s="145" t="s">
        <v>114</v>
      </c>
      <c r="C620" s="145" t="s">
        <v>13</v>
      </c>
      <c r="D620" s="1" t="s">
        <v>825</v>
      </c>
      <c r="E620" s="146">
        <v>1</v>
      </c>
      <c r="F620" s="1" t="s">
        <v>223</v>
      </c>
      <c r="G620" s="5">
        <v>65</v>
      </c>
      <c r="H620" s="5">
        <f>Table3[[#This Row],[Qty]]*Table3[[#This Row],[Price]]</f>
        <v>65</v>
      </c>
      <c r="I620" s="5"/>
    </row>
    <row r="621" spans="1:9" x14ac:dyDescent="0.25">
      <c r="A621" s="153">
        <v>46029</v>
      </c>
      <c r="B621" s="154" t="s">
        <v>114</v>
      </c>
      <c r="C621" s="154" t="s">
        <v>13</v>
      </c>
      <c r="D621" s="155" t="s">
        <v>887</v>
      </c>
      <c r="E621" s="156">
        <v>0.1</v>
      </c>
      <c r="F621" s="1" t="s">
        <v>174</v>
      </c>
      <c r="G621" s="151"/>
      <c r="H621" s="151">
        <f>Table3[[#This Row],[Qty]]*Table3[[#This Row],[Price]]</f>
        <v>0</v>
      </c>
      <c r="I621" s="151"/>
    </row>
    <row r="622" spans="1:9" x14ac:dyDescent="0.25">
      <c r="A622" s="144">
        <v>46029</v>
      </c>
      <c r="B622" s="145" t="s">
        <v>114</v>
      </c>
      <c r="C622" s="145" t="s">
        <v>13</v>
      </c>
      <c r="D622" s="1" t="s">
        <v>805</v>
      </c>
      <c r="E622" s="146">
        <v>1</v>
      </c>
      <c r="F622" s="1" t="s">
        <v>174</v>
      </c>
      <c r="G622" s="5">
        <v>580</v>
      </c>
      <c r="H622" s="5">
        <f>Table3[[#This Row],[Qty]]*Table3[[#This Row],[Price]]</f>
        <v>580</v>
      </c>
      <c r="I622" s="5"/>
    </row>
    <row r="623" spans="1:9" x14ac:dyDescent="0.25">
      <c r="A623" s="144">
        <v>46029</v>
      </c>
      <c r="B623" s="145" t="s">
        <v>114</v>
      </c>
      <c r="C623" s="145" t="s">
        <v>310</v>
      </c>
      <c r="D623" s="1" t="s">
        <v>866</v>
      </c>
      <c r="E623" s="146">
        <v>2</v>
      </c>
      <c r="F623" s="1" t="s">
        <v>174</v>
      </c>
      <c r="G623" s="5">
        <v>500</v>
      </c>
      <c r="H623" s="5">
        <f>Table3[[#This Row],[Qty]]*Table3[[#This Row],[Price]]</f>
        <v>1000</v>
      </c>
      <c r="I623" s="5"/>
    </row>
    <row r="624" spans="1:9" x14ac:dyDescent="0.25">
      <c r="A624" s="144">
        <v>46029</v>
      </c>
      <c r="B624" s="145" t="s">
        <v>114</v>
      </c>
      <c r="C624" s="145" t="s">
        <v>13</v>
      </c>
      <c r="D624" s="1" t="s">
        <v>865</v>
      </c>
      <c r="E624" s="146">
        <v>10</v>
      </c>
      <c r="F624" s="1" t="s">
        <v>174</v>
      </c>
      <c r="G624" s="5">
        <v>120</v>
      </c>
      <c r="H624" s="5">
        <f>Table3[[#This Row],[Qty]]*Table3[[#This Row],[Price]]</f>
        <v>1200</v>
      </c>
      <c r="I624" s="5"/>
    </row>
    <row r="625" spans="1:9" x14ac:dyDescent="0.25">
      <c r="A625" s="144">
        <v>46029</v>
      </c>
      <c r="B625" s="145" t="s">
        <v>114</v>
      </c>
      <c r="C625" s="145" t="s">
        <v>13</v>
      </c>
      <c r="D625" s="1" t="s">
        <v>797</v>
      </c>
      <c r="E625" s="146">
        <v>2</v>
      </c>
      <c r="F625" s="1" t="s">
        <v>174</v>
      </c>
      <c r="G625" s="5">
        <v>560</v>
      </c>
      <c r="H625" s="5">
        <f>Table3[[#This Row],[Qty]]*Table3[[#This Row],[Price]]</f>
        <v>1120</v>
      </c>
      <c r="I625" s="5"/>
    </row>
    <row r="626" spans="1:9" x14ac:dyDescent="0.25">
      <c r="A626" s="144">
        <v>46029</v>
      </c>
      <c r="B626" s="145" t="s">
        <v>114</v>
      </c>
      <c r="C626" s="145" t="s">
        <v>13</v>
      </c>
      <c r="D626" s="1" t="s">
        <v>852</v>
      </c>
      <c r="E626" s="146">
        <v>1</v>
      </c>
      <c r="F626" s="1" t="s">
        <v>174</v>
      </c>
      <c r="G626" s="5">
        <v>150</v>
      </c>
      <c r="H626" s="5">
        <f>Table3[[#This Row],[Qty]]*Table3[[#This Row],[Price]]</f>
        <v>150</v>
      </c>
      <c r="I626" s="5"/>
    </row>
    <row r="627" spans="1:9" x14ac:dyDescent="0.25">
      <c r="A627" s="144">
        <v>46029</v>
      </c>
      <c r="B627" s="145" t="s">
        <v>114</v>
      </c>
      <c r="C627" s="145" t="s">
        <v>13</v>
      </c>
      <c r="D627" s="1" t="s">
        <v>876</v>
      </c>
      <c r="E627" s="146">
        <v>0.7</v>
      </c>
      <c r="F627" s="1" t="s">
        <v>174</v>
      </c>
      <c r="G627" s="5">
        <v>230</v>
      </c>
      <c r="H627" s="5">
        <f>Table3[[#This Row],[Qty]]*Table3[[#This Row],[Price]]</f>
        <v>161</v>
      </c>
      <c r="I627" s="5"/>
    </row>
    <row r="628" spans="1:9" x14ac:dyDescent="0.25">
      <c r="A628" s="144">
        <v>46029</v>
      </c>
      <c r="B628" s="145" t="s">
        <v>114</v>
      </c>
      <c r="C628" s="145" t="s">
        <v>13</v>
      </c>
      <c r="D628" s="1" t="s">
        <v>860</v>
      </c>
      <c r="E628" s="146">
        <v>5</v>
      </c>
      <c r="F628" s="1" t="s">
        <v>174</v>
      </c>
      <c r="G628" s="5">
        <v>60</v>
      </c>
      <c r="H628" s="5">
        <f>Table3[[#This Row],[Qty]]*Table3[[#This Row],[Price]]</f>
        <v>300</v>
      </c>
      <c r="I628" s="5"/>
    </row>
    <row r="629" spans="1:9" x14ac:dyDescent="0.25">
      <c r="A629" s="144">
        <v>46029</v>
      </c>
      <c r="B629" s="145" t="s">
        <v>114</v>
      </c>
      <c r="C629" s="145" t="s">
        <v>310</v>
      </c>
      <c r="D629" s="1" t="s">
        <v>862</v>
      </c>
      <c r="E629" s="146">
        <v>6.35</v>
      </c>
      <c r="F629" s="1" t="s">
        <v>174</v>
      </c>
      <c r="G629" s="5">
        <v>170</v>
      </c>
      <c r="H629" s="5">
        <f>Table3[[#This Row],[Qty]]*Table3[[#This Row],[Price]]</f>
        <v>1079.5</v>
      </c>
      <c r="I629" s="5"/>
    </row>
    <row r="630" spans="1:9" x14ac:dyDescent="0.25">
      <c r="A630" s="144">
        <v>46029</v>
      </c>
      <c r="B630" s="145" t="s">
        <v>114</v>
      </c>
      <c r="C630" s="145" t="s">
        <v>310</v>
      </c>
      <c r="D630" s="1" t="s">
        <v>786</v>
      </c>
      <c r="E630" s="146">
        <v>4.2699999999999996</v>
      </c>
      <c r="F630" s="1" t="s">
        <v>174</v>
      </c>
      <c r="G630" s="5">
        <v>1400</v>
      </c>
      <c r="H630" s="5">
        <f>Table3[[#This Row],[Qty]]*Table3[[#This Row],[Price]]</f>
        <v>5977.9999999999991</v>
      </c>
      <c r="I630" s="5"/>
    </row>
    <row r="631" spans="1:9" x14ac:dyDescent="0.25">
      <c r="A631" s="144">
        <v>46029</v>
      </c>
      <c r="B631" s="145" t="s">
        <v>114</v>
      </c>
      <c r="C631" s="145" t="s">
        <v>310</v>
      </c>
      <c r="D631" s="1" t="s">
        <v>868</v>
      </c>
      <c r="E631" s="146">
        <v>10</v>
      </c>
      <c r="F631" s="1" t="s">
        <v>827</v>
      </c>
      <c r="G631" s="5">
        <v>220</v>
      </c>
      <c r="H631" s="5">
        <f>Table3[[#This Row],[Qty]]*Table3[[#This Row],[Price]]</f>
        <v>2200</v>
      </c>
      <c r="I631" s="5"/>
    </row>
    <row r="632" spans="1:9" x14ac:dyDescent="0.25">
      <c r="A632" s="144">
        <v>46029</v>
      </c>
      <c r="B632" s="145" t="s">
        <v>114</v>
      </c>
      <c r="C632" s="145" t="s">
        <v>310</v>
      </c>
      <c r="D632" s="1" t="s">
        <v>854</v>
      </c>
      <c r="E632" s="146">
        <v>1</v>
      </c>
      <c r="F632" s="1" t="s">
        <v>174</v>
      </c>
      <c r="G632" s="5">
        <v>1600</v>
      </c>
      <c r="H632" s="5">
        <f>Table3[[#This Row],[Qty]]*Table3[[#This Row],[Price]]</f>
        <v>1600</v>
      </c>
      <c r="I632" s="5"/>
    </row>
    <row r="633" spans="1:9" x14ac:dyDescent="0.25">
      <c r="A633" s="144">
        <v>46029</v>
      </c>
      <c r="B633" s="145" t="s">
        <v>114</v>
      </c>
      <c r="C633" s="145" t="s">
        <v>20</v>
      </c>
      <c r="D633" s="1" t="s">
        <v>791</v>
      </c>
      <c r="E633" s="146">
        <v>2</v>
      </c>
      <c r="F633" s="1" t="s">
        <v>827</v>
      </c>
      <c r="G633" s="5">
        <v>443.33</v>
      </c>
      <c r="H633" s="5">
        <f>Table3[[#This Row],[Qty]]*Table3[[#This Row],[Price]]</f>
        <v>886.66</v>
      </c>
      <c r="I633" s="5"/>
    </row>
    <row r="634" spans="1:9" x14ac:dyDescent="0.25">
      <c r="A634" s="144">
        <v>46029</v>
      </c>
      <c r="B634" s="145" t="s">
        <v>114</v>
      </c>
      <c r="C634" s="145" t="s">
        <v>20</v>
      </c>
      <c r="D634" s="1" t="s">
        <v>844</v>
      </c>
      <c r="E634" s="146">
        <v>5.6</v>
      </c>
      <c r="F634" s="1" t="s">
        <v>174</v>
      </c>
      <c r="G634" s="5">
        <v>50</v>
      </c>
      <c r="H634" s="5">
        <f>Table3[[#This Row],[Qty]]*Table3[[#This Row],[Price]]</f>
        <v>280</v>
      </c>
      <c r="I634" s="5"/>
    </row>
    <row r="635" spans="1:9" x14ac:dyDescent="0.25">
      <c r="A635" s="144">
        <v>46029</v>
      </c>
      <c r="B635" s="145" t="s">
        <v>114</v>
      </c>
      <c r="C635" s="145" t="s">
        <v>20</v>
      </c>
      <c r="D635" s="1" t="s">
        <v>855</v>
      </c>
      <c r="E635" s="146">
        <v>11</v>
      </c>
      <c r="F635" s="1" t="s">
        <v>174</v>
      </c>
      <c r="G635" s="5">
        <v>40</v>
      </c>
      <c r="H635" s="5">
        <f>Table3[[#This Row],[Qty]]*Table3[[#This Row],[Price]]</f>
        <v>440</v>
      </c>
      <c r="I635" s="5"/>
    </row>
    <row r="636" spans="1:9" x14ac:dyDescent="0.25">
      <c r="A636" s="144">
        <v>46029</v>
      </c>
      <c r="B636" s="145" t="s">
        <v>114</v>
      </c>
      <c r="C636" s="145" t="s">
        <v>20</v>
      </c>
      <c r="D636" s="1" t="s">
        <v>864</v>
      </c>
      <c r="E636" s="146">
        <v>1.5</v>
      </c>
      <c r="F636" s="1" t="s">
        <v>174</v>
      </c>
      <c r="G636" s="5">
        <v>653</v>
      </c>
      <c r="H636" s="5">
        <f>Table3[[#This Row],[Qty]]*Table3[[#This Row],[Price]]</f>
        <v>979.5</v>
      </c>
      <c r="I636" s="5"/>
    </row>
    <row r="637" spans="1:9" x14ac:dyDescent="0.25">
      <c r="A637" s="144">
        <v>46029</v>
      </c>
      <c r="B637" s="145" t="s">
        <v>114</v>
      </c>
      <c r="C637" s="145" t="s">
        <v>20</v>
      </c>
      <c r="D637" s="1" t="s">
        <v>222</v>
      </c>
      <c r="E637" s="146">
        <v>5</v>
      </c>
      <c r="F637" s="58" t="s">
        <v>819</v>
      </c>
      <c r="G637" s="5">
        <v>30</v>
      </c>
      <c r="H637" s="5">
        <f>Table3[[#This Row],[Qty]]*Table3[[#This Row],[Price]]</f>
        <v>150</v>
      </c>
      <c r="I637" s="5"/>
    </row>
    <row r="638" spans="1:9" x14ac:dyDescent="0.25">
      <c r="A638" s="144">
        <v>46029</v>
      </c>
      <c r="B638" s="145" t="s">
        <v>114</v>
      </c>
      <c r="C638" s="145" t="s">
        <v>20</v>
      </c>
      <c r="D638" s="1" t="s">
        <v>818</v>
      </c>
      <c r="E638" s="146">
        <v>0.2</v>
      </c>
      <c r="F638" s="1" t="s">
        <v>174</v>
      </c>
      <c r="G638" s="5">
        <v>580</v>
      </c>
      <c r="H638" s="5">
        <f>Table3[[#This Row],[Qty]]*Table3[[#This Row],[Price]]</f>
        <v>116</v>
      </c>
      <c r="I638" s="5"/>
    </row>
    <row r="639" spans="1:9" x14ac:dyDescent="0.25">
      <c r="A639" s="144">
        <v>46029</v>
      </c>
      <c r="B639" s="145" t="s">
        <v>114</v>
      </c>
      <c r="C639" s="145" t="s">
        <v>20</v>
      </c>
      <c r="D639" s="1" t="s">
        <v>879</v>
      </c>
      <c r="E639" s="146">
        <v>0.64</v>
      </c>
      <c r="F639" s="1" t="s">
        <v>174</v>
      </c>
      <c r="G639" s="5">
        <v>2100</v>
      </c>
      <c r="H639" s="5">
        <f>Table3[[#This Row],[Qty]]*Table3[[#This Row],[Price]]</f>
        <v>1344</v>
      </c>
      <c r="I639" s="5"/>
    </row>
    <row r="640" spans="1:9" x14ac:dyDescent="0.25">
      <c r="A640" s="144">
        <v>46029</v>
      </c>
      <c r="B640" s="145" t="s">
        <v>114</v>
      </c>
      <c r="C640" s="145" t="s">
        <v>20</v>
      </c>
      <c r="D640" s="1" t="s">
        <v>876</v>
      </c>
      <c r="E640" s="146">
        <v>0.1</v>
      </c>
      <c r="F640" s="1" t="s">
        <v>174</v>
      </c>
      <c r="G640" s="5">
        <v>230</v>
      </c>
      <c r="H640" s="5">
        <f>Table3[[#This Row],[Qty]]*Table3[[#This Row],[Price]]</f>
        <v>23</v>
      </c>
      <c r="I640" s="5"/>
    </row>
    <row r="641" spans="1:9" x14ac:dyDescent="0.25">
      <c r="A641" s="144">
        <v>46029</v>
      </c>
      <c r="B641" s="145" t="s">
        <v>114</v>
      </c>
      <c r="C641" s="145" t="s">
        <v>310</v>
      </c>
      <c r="D641" s="1" t="s">
        <v>828</v>
      </c>
      <c r="E641" s="146">
        <v>40</v>
      </c>
      <c r="F641" s="1" t="s">
        <v>829</v>
      </c>
      <c r="G641" s="5">
        <v>130</v>
      </c>
      <c r="H641" s="5">
        <f>Table3[[#This Row],[Qty]]*Table3[[#This Row],[Price]]</f>
        <v>5200</v>
      </c>
      <c r="I641" s="5"/>
    </row>
    <row r="642" spans="1:9" x14ac:dyDescent="0.25">
      <c r="A642" s="144">
        <v>46029</v>
      </c>
      <c r="B642" s="145" t="s">
        <v>114</v>
      </c>
      <c r="C642" s="145" t="s">
        <v>12</v>
      </c>
      <c r="D642" s="1" t="s">
        <v>235</v>
      </c>
      <c r="E642" s="146">
        <v>2</v>
      </c>
      <c r="F642" s="1" t="s">
        <v>174</v>
      </c>
      <c r="G642" s="5">
        <v>183</v>
      </c>
      <c r="H642" s="5">
        <f>Table3[[#This Row],[Qty]]*Table3[[#This Row],[Price]]</f>
        <v>366</v>
      </c>
      <c r="I642" s="5"/>
    </row>
    <row r="643" spans="1:9" x14ac:dyDescent="0.25">
      <c r="A643" s="144">
        <v>46029</v>
      </c>
      <c r="B643" s="145" t="s">
        <v>114</v>
      </c>
      <c r="C643" s="145" t="s">
        <v>310</v>
      </c>
      <c r="D643" s="1" t="s">
        <v>862</v>
      </c>
      <c r="E643" s="146">
        <v>6.35</v>
      </c>
      <c r="F643" s="1" t="s">
        <v>174</v>
      </c>
      <c r="G643" s="5">
        <v>170</v>
      </c>
      <c r="H643" s="5">
        <f>Table3[[#This Row],[Qty]]*Table3[[#This Row],[Price]]</f>
        <v>1079.5</v>
      </c>
      <c r="I643" s="5"/>
    </row>
    <row r="644" spans="1:9" x14ac:dyDescent="0.25">
      <c r="A644" s="144">
        <v>46029</v>
      </c>
      <c r="B644" s="145" t="s">
        <v>114</v>
      </c>
      <c r="C644" s="145" t="s">
        <v>310</v>
      </c>
      <c r="D644" s="1" t="s">
        <v>786</v>
      </c>
      <c r="E644" s="146">
        <v>4.2699999999999996</v>
      </c>
      <c r="F644" s="1" t="s">
        <v>174</v>
      </c>
      <c r="G644" s="5">
        <v>1400</v>
      </c>
      <c r="H644" s="5">
        <f>Table3[[#This Row],[Qty]]*Table3[[#This Row],[Price]]</f>
        <v>5977.9999999999991</v>
      </c>
      <c r="I644" s="5"/>
    </row>
    <row r="645" spans="1:9" x14ac:dyDescent="0.25">
      <c r="A645" s="144">
        <v>46029</v>
      </c>
      <c r="B645" s="145" t="s">
        <v>114</v>
      </c>
      <c r="C645" s="145" t="s">
        <v>310</v>
      </c>
      <c r="D645" s="1" t="s">
        <v>862</v>
      </c>
      <c r="E645" s="146">
        <v>4</v>
      </c>
      <c r="F645" s="1" t="s">
        <v>174</v>
      </c>
      <c r="G645" s="5">
        <v>170</v>
      </c>
      <c r="H645" s="5">
        <f>Table3[[#This Row],[Qty]]*Table3[[#This Row],[Price]]</f>
        <v>680</v>
      </c>
      <c r="I645" s="5"/>
    </row>
    <row r="646" spans="1:9" x14ac:dyDescent="0.25">
      <c r="A646" s="144">
        <v>46029</v>
      </c>
      <c r="B646" s="145" t="s">
        <v>114</v>
      </c>
      <c r="C646" s="145" t="s">
        <v>310</v>
      </c>
      <c r="D646" s="1" t="s">
        <v>786</v>
      </c>
      <c r="E646" s="146">
        <v>1.1000000000000001</v>
      </c>
      <c r="F646" s="1" t="s">
        <v>174</v>
      </c>
      <c r="G646" s="5">
        <v>1400</v>
      </c>
      <c r="H646" s="5">
        <f>Table3[[#This Row],[Qty]]*Table3[[#This Row],[Price]]</f>
        <v>1540.0000000000002</v>
      </c>
      <c r="I646" s="5"/>
    </row>
    <row r="647" spans="1:9" x14ac:dyDescent="0.25">
      <c r="A647" s="144">
        <v>46030</v>
      </c>
      <c r="B647" s="145" t="s">
        <v>115</v>
      </c>
      <c r="C647" s="145" t="s">
        <v>12</v>
      </c>
      <c r="D647" s="1" t="s">
        <v>793</v>
      </c>
      <c r="E647" s="146">
        <v>40</v>
      </c>
      <c r="F647" s="1" t="s">
        <v>174</v>
      </c>
      <c r="G647" s="5">
        <v>119</v>
      </c>
      <c r="H647" s="5">
        <f>Table3[[#This Row],[Qty]]*Table3[[#This Row],[Price]]</f>
        <v>4760</v>
      </c>
      <c r="I647" s="5"/>
    </row>
    <row r="648" spans="1:9" x14ac:dyDescent="0.25">
      <c r="A648" s="144">
        <v>46030</v>
      </c>
      <c r="B648" s="145" t="s">
        <v>115</v>
      </c>
      <c r="C648" s="145" t="s">
        <v>310</v>
      </c>
      <c r="D648" s="1" t="s">
        <v>862</v>
      </c>
      <c r="E648" s="146">
        <v>7</v>
      </c>
      <c r="F648" s="1" t="s">
        <v>174</v>
      </c>
      <c r="G648" s="5">
        <v>170</v>
      </c>
      <c r="H648" s="5">
        <f>Table3[[#This Row],[Qty]]*Table3[[#This Row],[Price]]</f>
        <v>1190</v>
      </c>
      <c r="I648" s="5"/>
    </row>
    <row r="649" spans="1:9" x14ac:dyDescent="0.25">
      <c r="A649" s="144">
        <v>46030</v>
      </c>
      <c r="B649" s="145" t="s">
        <v>115</v>
      </c>
      <c r="C649" s="145" t="s">
        <v>12</v>
      </c>
      <c r="D649" s="1" t="s">
        <v>791</v>
      </c>
      <c r="E649" s="146">
        <v>7</v>
      </c>
      <c r="F649" s="1" t="s">
        <v>827</v>
      </c>
      <c r="G649" s="5">
        <v>443.33</v>
      </c>
      <c r="H649" s="5">
        <f>Table3[[#This Row],[Qty]]*Table3[[#This Row],[Price]]</f>
        <v>3103.31</v>
      </c>
      <c r="I649" s="5"/>
    </row>
    <row r="650" spans="1:9" x14ac:dyDescent="0.25">
      <c r="A650" s="144">
        <v>46030</v>
      </c>
      <c r="B650" s="145" t="s">
        <v>115</v>
      </c>
      <c r="C650" s="145" t="s">
        <v>310</v>
      </c>
      <c r="D650" s="1" t="s">
        <v>786</v>
      </c>
      <c r="E650" s="146">
        <v>3</v>
      </c>
      <c r="F650" s="1" t="s">
        <v>174</v>
      </c>
      <c r="G650" s="5">
        <v>1400</v>
      </c>
      <c r="H650" s="5">
        <f>Table3[[#This Row],[Qty]]*Table3[[#This Row],[Price]]</f>
        <v>4200</v>
      </c>
      <c r="I650" s="5"/>
    </row>
    <row r="651" spans="1:9" x14ac:dyDescent="0.25">
      <c r="A651" s="144">
        <v>46030</v>
      </c>
      <c r="B651" s="145" t="s">
        <v>115</v>
      </c>
      <c r="C651" s="145" t="s">
        <v>12</v>
      </c>
      <c r="D651" s="1" t="s">
        <v>144</v>
      </c>
      <c r="E651" s="146">
        <v>5</v>
      </c>
      <c r="F651" s="58" t="s">
        <v>819</v>
      </c>
      <c r="G651" s="5">
        <v>30</v>
      </c>
      <c r="H651" s="5">
        <f>Table3[[#This Row],[Qty]]*Table3[[#This Row],[Price]]</f>
        <v>150</v>
      </c>
      <c r="I651" s="5"/>
    </row>
    <row r="652" spans="1:9" x14ac:dyDescent="0.25">
      <c r="A652" s="144">
        <v>46030</v>
      </c>
      <c r="B652" s="145" t="s">
        <v>115</v>
      </c>
      <c r="C652" s="145" t="s">
        <v>13</v>
      </c>
      <c r="D652" s="1" t="s">
        <v>794</v>
      </c>
      <c r="E652" s="146">
        <v>100</v>
      </c>
      <c r="F652" s="1" t="s">
        <v>174</v>
      </c>
      <c r="G652" s="5">
        <v>113</v>
      </c>
      <c r="H652" s="5">
        <f>Table3[[#This Row],[Qty]]*Table3[[#This Row],[Price]]</f>
        <v>11300</v>
      </c>
      <c r="I652" s="5"/>
    </row>
    <row r="653" spans="1:9" x14ac:dyDescent="0.25">
      <c r="A653" s="144">
        <v>46030</v>
      </c>
      <c r="B653" s="145" t="s">
        <v>115</v>
      </c>
      <c r="C653" s="145" t="s">
        <v>13</v>
      </c>
      <c r="D653" s="1" t="s">
        <v>791</v>
      </c>
      <c r="E653" s="146">
        <v>8</v>
      </c>
      <c r="F653" s="1" t="s">
        <v>827</v>
      </c>
      <c r="G653" s="5">
        <v>443.33</v>
      </c>
      <c r="H653" s="5">
        <f>Table3[[#This Row],[Qty]]*Table3[[#This Row],[Price]]</f>
        <v>3546.64</v>
      </c>
      <c r="I653" s="5"/>
    </row>
    <row r="654" spans="1:9" x14ac:dyDescent="0.25">
      <c r="A654" s="153">
        <v>46030</v>
      </c>
      <c r="B654" s="154" t="s">
        <v>115</v>
      </c>
      <c r="C654" s="154" t="s">
        <v>13</v>
      </c>
      <c r="D654" s="155" t="s">
        <v>864</v>
      </c>
      <c r="E654" s="156">
        <v>10</v>
      </c>
      <c r="F654" s="1" t="s">
        <v>174</v>
      </c>
      <c r="G654" s="151"/>
      <c r="H654" s="151">
        <f>Table3[[#This Row],[Qty]]*Table3[[#This Row],[Price]]</f>
        <v>0</v>
      </c>
      <c r="I654" s="151"/>
    </row>
    <row r="655" spans="1:9" x14ac:dyDescent="0.25">
      <c r="A655" s="144">
        <v>46030</v>
      </c>
      <c r="B655" s="145" t="s">
        <v>115</v>
      </c>
      <c r="C655" s="145" t="s">
        <v>13</v>
      </c>
      <c r="D655" s="1" t="s">
        <v>610</v>
      </c>
      <c r="E655" s="146">
        <v>2.5</v>
      </c>
      <c r="F655" s="1" t="s">
        <v>174</v>
      </c>
      <c r="G655" s="5"/>
      <c r="H655" s="5">
        <f>Table3[[#This Row],[Qty]]*Table3[[#This Row],[Price]]</f>
        <v>0</v>
      </c>
      <c r="I655" s="5"/>
    </row>
    <row r="656" spans="1:9" x14ac:dyDescent="0.25">
      <c r="A656" s="144">
        <v>46030</v>
      </c>
      <c r="B656" s="145" t="s">
        <v>115</v>
      </c>
      <c r="C656" s="145" t="s">
        <v>13</v>
      </c>
      <c r="D656" s="1" t="s">
        <v>798</v>
      </c>
      <c r="E656" s="146">
        <v>5</v>
      </c>
      <c r="F656" s="1" t="s">
        <v>174</v>
      </c>
      <c r="G656" s="5">
        <v>210</v>
      </c>
      <c r="H656" s="5">
        <f>Table3[[#This Row],[Qty]]*Table3[[#This Row],[Price]]</f>
        <v>1050</v>
      </c>
      <c r="I656" s="5"/>
    </row>
    <row r="657" spans="1:9" x14ac:dyDescent="0.25">
      <c r="A657" s="144">
        <v>46030</v>
      </c>
      <c r="B657" s="145" t="s">
        <v>115</v>
      </c>
      <c r="C657" s="145" t="s">
        <v>13</v>
      </c>
      <c r="D657" s="1" t="s">
        <v>842</v>
      </c>
      <c r="E657" s="146">
        <v>3</v>
      </c>
      <c r="F657" s="1" t="s">
        <v>174</v>
      </c>
      <c r="G657" s="5">
        <v>75</v>
      </c>
      <c r="H657" s="5">
        <f>Table3[[#This Row],[Qty]]*Table3[[#This Row],[Price]]</f>
        <v>225</v>
      </c>
      <c r="I657" s="5"/>
    </row>
    <row r="658" spans="1:9" x14ac:dyDescent="0.25">
      <c r="A658" s="144">
        <v>46030</v>
      </c>
      <c r="B658" s="145" t="s">
        <v>115</v>
      </c>
      <c r="C658" s="145" t="s">
        <v>13</v>
      </c>
      <c r="D658" s="1" t="s">
        <v>846</v>
      </c>
      <c r="E658" s="146">
        <v>0.9</v>
      </c>
      <c r="F658" s="1" t="s">
        <v>174</v>
      </c>
      <c r="G658" s="5">
        <v>95</v>
      </c>
      <c r="H658" s="5">
        <f>Table3[[#This Row],[Qty]]*Table3[[#This Row],[Price]]</f>
        <v>85.5</v>
      </c>
      <c r="I658" s="5"/>
    </row>
    <row r="659" spans="1:9" x14ac:dyDescent="0.25">
      <c r="A659" s="144">
        <v>46030</v>
      </c>
      <c r="B659" s="145" t="s">
        <v>115</v>
      </c>
      <c r="C659" s="145" t="s">
        <v>13</v>
      </c>
      <c r="D659" s="1" t="s">
        <v>845</v>
      </c>
      <c r="E659" s="146">
        <v>0.8</v>
      </c>
      <c r="F659" s="1" t="s">
        <v>174</v>
      </c>
      <c r="G659" s="5">
        <v>80</v>
      </c>
      <c r="H659" s="5">
        <f>Table3[[#This Row],[Qty]]*Table3[[#This Row],[Price]]</f>
        <v>64</v>
      </c>
      <c r="I659" s="5"/>
    </row>
    <row r="660" spans="1:9" x14ac:dyDescent="0.25">
      <c r="A660" s="144">
        <v>46030</v>
      </c>
      <c r="B660" s="145" t="s">
        <v>115</v>
      </c>
      <c r="C660" s="145" t="s">
        <v>13</v>
      </c>
      <c r="D660" s="1" t="s">
        <v>858</v>
      </c>
      <c r="E660" s="146">
        <v>1.5</v>
      </c>
      <c r="F660" s="1" t="s">
        <v>174</v>
      </c>
      <c r="G660" s="5">
        <v>530</v>
      </c>
      <c r="H660" s="5">
        <f>Table3[[#This Row],[Qty]]*Table3[[#This Row],[Price]]</f>
        <v>795</v>
      </c>
      <c r="I660" s="5"/>
    </row>
    <row r="661" spans="1:9" x14ac:dyDescent="0.25">
      <c r="A661" s="144">
        <v>46030</v>
      </c>
      <c r="B661" s="145" t="s">
        <v>115</v>
      </c>
      <c r="C661" s="145" t="s">
        <v>13</v>
      </c>
      <c r="D661" s="1" t="s">
        <v>797</v>
      </c>
      <c r="E661" s="146">
        <v>1</v>
      </c>
      <c r="F661" s="1" t="s">
        <v>174</v>
      </c>
      <c r="G661" s="5">
        <v>560</v>
      </c>
      <c r="H661" s="5">
        <f>Table3[[#This Row],[Qty]]*Table3[[#This Row],[Price]]</f>
        <v>560</v>
      </c>
      <c r="I661" s="5"/>
    </row>
    <row r="662" spans="1:9" x14ac:dyDescent="0.25">
      <c r="A662" s="144">
        <v>46030</v>
      </c>
      <c r="B662" s="145" t="s">
        <v>115</v>
      </c>
      <c r="C662" s="145" t="s">
        <v>13</v>
      </c>
      <c r="D662" s="1" t="s">
        <v>820</v>
      </c>
      <c r="E662" s="146">
        <v>0.5</v>
      </c>
      <c r="F662" s="1" t="s">
        <v>174</v>
      </c>
      <c r="G662" s="5">
        <v>580</v>
      </c>
      <c r="H662" s="5">
        <f>Table3[[#This Row],[Qty]]*Table3[[#This Row],[Price]]</f>
        <v>290</v>
      </c>
      <c r="I662" s="5"/>
    </row>
    <row r="663" spans="1:9" x14ac:dyDescent="0.25">
      <c r="A663" s="144">
        <v>46030</v>
      </c>
      <c r="B663" s="145" t="s">
        <v>115</v>
      </c>
      <c r="C663" s="145" t="s">
        <v>13</v>
      </c>
      <c r="D663" s="1" t="s">
        <v>893</v>
      </c>
      <c r="E663" s="146">
        <v>0.03</v>
      </c>
      <c r="F663" s="1" t="s">
        <v>174</v>
      </c>
      <c r="G663" s="5"/>
      <c r="H663" s="5">
        <f>Table3[[#This Row],[Qty]]*Table3[[#This Row],[Price]]</f>
        <v>0</v>
      </c>
      <c r="I663" s="5"/>
    </row>
    <row r="664" spans="1:9" x14ac:dyDescent="0.25">
      <c r="A664" s="144">
        <v>46030</v>
      </c>
      <c r="B664" s="145" t="s">
        <v>115</v>
      </c>
      <c r="C664" s="145" t="s">
        <v>13</v>
      </c>
      <c r="D664" s="1" t="s">
        <v>823</v>
      </c>
      <c r="E664" s="146">
        <v>0.05</v>
      </c>
      <c r="F664" s="1" t="s">
        <v>174</v>
      </c>
      <c r="G664" s="5">
        <v>2400</v>
      </c>
      <c r="H664" s="5">
        <f>Table3[[#This Row],[Qty]]*Table3[[#This Row],[Price]]</f>
        <v>120</v>
      </c>
      <c r="I664" s="5"/>
    </row>
    <row r="665" spans="1:9" x14ac:dyDescent="0.25">
      <c r="A665" s="144">
        <v>46030</v>
      </c>
      <c r="B665" s="145" t="s">
        <v>115</v>
      </c>
      <c r="C665" s="145" t="s">
        <v>13</v>
      </c>
      <c r="D665" s="1" t="s">
        <v>865</v>
      </c>
      <c r="E665" s="146">
        <v>10</v>
      </c>
      <c r="F665" s="1" t="s">
        <v>174</v>
      </c>
      <c r="G665" s="5">
        <v>120</v>
      </c>
      <c r="H665" s="5">
        <f>Table3[[#This Row],[Qty]]*Table3[[#This Row],[Price]]</f>
        <v>1200</v>
      </c>
      <c r="I665" s="5"/>
    </row>
    <row r="666" spans="1:9" x14ac:dyDescent="0.25">
      <c r="A666" s="144">
        <v>46030</v>
      </c>
      <c r="B666" s="145" t="s">
        <v>115</v>
      </c>
      <c r="C666" s="145" t="s">
        <v>310</v>
      </c>
      <c r="D666" s="1" t="s">
        <v>866</v>
      </c>
      <c r="E666" s="146">
        <v>2</v>
      </c>
      <c r="F666" s="1" t="s">
        <v>174</v>
      </c>
      <c r="G666" s="5">
        <v>500</v>
      </c>
      <c r="H666" s="5">
        <f>Table3[[#This Row],[Qty]]*Table3[[#This Row],[Price]]</f>
        <v>1000</v>
      </c>
      <c r="I666" s="5"/>
    </row>
    <row r="667" spans="1:9" x14ac:dyDescent="0.25">
      <c r="A667" s="144">
        <v>46030</v>
      </c>
      <c r="B667" s="145" t="s">
        <v>115</v>
      </c>
      <c r="C667" s="145" t="s">
        <v>13</v>
      </c>
      <c r="D667" s="1" t="s">
        <v>851</v>
      </c>
      <c r="E667" s="146">
        <v>0.2</v>
      </c>
      <c r="F667" s="1" t="s">
        <v>174</v>
      </c>
      <c r="G667" s="5">
        <v>230</v>
      </c>
      <c r="H667" s="5">
        <f>Table3[[#This Row],[Qty]]*Table3[[#This Row],[Price]]</f>
        <v>46</v>
      </c>
      <c r="I667" s="5"/>
    </row>
    <row r="668" spans="1:9" x14ac:dyDescent="0.25">
      <c r="A668" s="144">
        <v>46030</v>
      </c>
      <c r="B668" s="145" t="s">
        <v>115</v>
      </c>
      <c r="C668" s="145" t="s">
        <v>13</v>
      </c>
      <c r="D668" s="1" t="s">
        <v>852</v>
      </c>
      <c r="E668" s="146">
        <v>0.6</v>
      </c>
      <c r="F668" s="1" t="s">
        <v>174</v>
      </c>
      <c r="G668" s="5">
        <v>150</v>
      </c>
      <c r="H668" s="5">
        <f>Table3[[#This Row],[Qty]]*Table3[[#This Row],[Price]]</f>
        <v>90</v>
      </c>
      <c r="I668" s="5"/>
    </row>
    <row r="669" spans="1:9" x14ac:dyDescent="0.25">
      <c r="A669" s="144">
        <v>46030</v>
      </c>
      <c r="B669" s="145" t="s">
        <v>115</v>
      </c>
      <c r="C669" s="145" t="s">
        <v>13</v>
      </c>
      <c r="D669" s="1" t="s">
        <v>844</v>
      </c>
      <c r="E669" s="146">
        <v>15</v>
      </c>
      <c r="F669" s="1" t="s">
        <v>174</v>
      </c>
      <c r="G669" s="5">
        <v>40</v>
      </c>
      <c r="H669" s="5">
        <f>Table3[[#This Row],[Qty]]*Table3[[#This Row],[Price]]</f>
        <v>600</v>
      </c>
      <c r="I669" s="5"/>
    </row>
    <row r="670" spans="1:9" x14ac:dyDescent="0.25">
      <c r="A670" s="144">
        <v>46030</v>
      </c>
      <c r="B670" s="145" t="s">
        <v>115</v>
      </c>
      <c r="C670" s="145" t="s">
        <v>310</v>
      </c>
      <c r="D670" s="1" t="s">
        <v>868</v>
      </c>
      <c r="E670" s="146">
        <v>11</v>
      </c>
      <c r="F670" s="1" t="s">
        <v>827</v>
      </c>
      <c r="G670" s="5">
        <v>220</v>
      </c>
      <c r="H670" s="5">
        <f>Table3[[#This Row],[Qty]]*Table3[[#This Row],[Price]]</f>
        <v>2420</v>
      </c>
      <c r="I670" s="5"/>
    </row>
    <row r="671" spans="1:9" x14ac:dyDescent="0.25">
      <c r="A671" s="144">
        <v>46030</v>
      </c>
      <c r="B671" s="145" t="s">
        <v>115</v>
      </c>
      <c r="C671" s="145" t="s">
        <v>310</v>
      </c>
      <c r="D671" s="1" t="s">
        <v>854</v>
      </c>
      <c r="E671" s="146">
        <v>1</v>
      </c>
      <c r="F671" s="1" t="s">
        <v>174</v>
      </c>
      <c r="G671" s="5">
        <v>1600</v>
      </c>
      <c r="H671" s="5">
        <f>Table3[[#This Row],[Qty]]*Table3[[#This Row],[Price]]</f>
        <v>1600</v>
      </c>
      <c r="I671" s="5"/>
    </row>
    <row r="672" spans="1:9" x14ac:dyDescent="0.25">
      <c r="A672" s="144">
        <v>46030</v>
      </c>
      <c r="B672" s="145" t="s">
        <v>115</v>
      </c>
      <c r="C672" s="145" t="s">
        <v>310</v>
      </c>
      <c r="D672" s="1" t="s">
        <v>862</v>
      </c>
      <c r="E672" s="146">
        <v>8</v>
      </c>
      <c r="F672" s="1" t="s">
        <v>174</v>
      </c>
      <c r="G672" s="5">
        <v>170</v>
      </c>
      <c r="H672" s="5">
        <f>Table3[[#This Row],[Qty]]*Table3[[#This Row],[Price]]</f>
        <v>1360</v>
      </c>
      <c r="I672" s="5"/>
    </row>
    <row r="673" spans="1:9" x14ac:dyDescent="0.25">
      <c r="A673" s="144">
        <v>46030</v>
      </c>
      <c r="B673" s="145" t="s">
        <v>115</v>
      </c>
      <c r="C673" s="145" t="s">
        <v>310</v>
      </c>
      <c r="D673" s="1" t="s">
        <v>786</v>
      </c>
      <c r="E673" s="146">
        <v>1.5</v>
      </c>
      <c r="F673" s="1" t="s">
        <v>174</v>
      </c>
      <c r="G673" s="5">
        <v>1400</v>
      </c>
      <c r="H673" s="5">
        <f>Table3[[#This Row],[Qty]]*Table3[[#This Row],[Price]]</f>
        <v>2100</v>
      </c>
      <c r="I673" s="5"/>
    </row>
    <row r="674" spans="1:9" x14ac:dyDescent="0.25">
      <c r="A674" s="144">
        <v>46030</v>
      </c>
      <c r="B674" s="145" t="s">
        <v>115</v>
      </c>
      <c r="C674" s="145" t="s">
        <v>894</v>
      </c>
      <c r="D674" s="1" t="s">
        <v>728</v>
      </c>
      <c r="E674" s="146">
        <v>1</v>
      </c>
      <c r="F674" s="1" t="s">
        <v>174</v>
      </c>
      <c r="G674" s="5">
        <v>250</v>
      </c>
      <c r="H674" s="5">
        <f>Table3[[#This Row],[Qty]]*Table3[[#This Row],[Price]]</f>
        <v>250</v>
      </c>
      <c r="I674" s="5"/>
    </row>
    <row r="675" spans="1:9" x14ac:dyDescent="0.25">
      <c r="A675" s="144">
        <v>46030</v>
      </c>
      <c r="B675" s="145" t="s">
        <v>115</v>
      </c>
      <c r="C675" s="145" t="s">
        <v>13</v>
      </c>
      <c r="D675" s="1" t="s">
        <v>860</v>
      </c>
      <c r="E675" s="146">
        <v>2</v>
      </c>
      <c r="F675" s="1" t="s">
        <v>174</v>
      </c>
      <c r="G675" s="5">
        <v>60</v>
      </c>
      <c r="H675" s="5">
        <f>Table3[[#This Row],[Qty]]*Table3[[#This Row],[Price]]</f>
        <v>120</v>
      </c>
      <c r="I675" s="5"/>
    </row>
    <row r="676" spans="1:9" x14ac:dyDescent="0.25">
      <c r="A676" s="144">
        <v>46030</v>
      </c>
      <c r="B676" s="145" t="s">
        <v>115</v>
      </c>
      <c r="C676" s="145" t="s">
        <v>20</v>
      </c>
      <c r="D676" s="1" t="s">
        <v>794</v>
      </c>
      <c r="E676" s="146">
        <v>50</v>
      </c>
      <c r="F676" s="1" t="s">
        <v>174</v>
      </c>
      <c r="G676" s="5">
        <v>113</v>
      </c>
      <c r="H676" s="5">
        <f>Table3[[#This Row],[Qty]]*Table3[[#This Row],[Price]]</f>
        <v>5650</v>
      </c>
      <c r="I676" s="5"/>
    </row>
    <row r="677" spans="1:9" x14ac:dyDescent="0.25">
      <c r="A677" s="144">
        <v>46030</v>
      </c>
      <c r="B677" s="145" t="s">
        <v>115</v>
      </c>
      <c r="C677" s="145" t="s">
        <v>20</v>
      </c>
      <c r="D677" s="1" t="s">
        <v>791</v>
      </c>
      <c r="E677" s="146">
        <v>5</v>
      </c>
      <c r="F677" s="1" t="s">
        <v>827</v>
      </c>
      <c r="G677" s="5">
        <v>443.33</v>
      </c>
      <c r="H677" s="5">
        <f>Table3[[#This Row],[Qty]]*Table3[[#This Row],[Price]]</f>
        <v>2216.65</v>
      </c>
      <c r="I677" s="5"/>
    </row>
    <row r="678" spans="1:9" x14ac:dyDescent="0.25">
      <c r="A678" s="144">
        <v>46030</v>
      </c>
      <c r="B678" s="145" t="s">
        <v>115</v>
      </c>
      <c r="C678" s="145" t="s">
        <v>20</v>
      </c>
      <c r="D678" s="1" t="s">
        <v>802</v>
      </c>
      <c r="E678" s="146">
        <v>1</v>
      </c>
      <c r="F678" s="1" t="s">
        <v>174</v>
      </c>
      <c r="G678" s="5">
        <v>480</v>
      </c>
      <c r="H678" s="5">
        <f>Table3[[#This Row],[Qty]]*Table3[[#This Row],[Price]]</f>
        <v>480</v>
      </c>
      <c r="I678" s="5"/>
    </row>
    <row r="679" spans="1:9" x14ac:dyDescent="0.25">
      <c r="A679" s="144">
        <v>46030</v>
      </c>
      <c r="B679" s="145" t="s">
        <v>115</v>
      </c>
      <c r="C679" s="145" t="s">
        <v>20</v>
      </c>
      <c r="D679" s="1" t="s">
        <v>852</v>
      </c>
      <c r="E679" s="146">
        <v>0.1</v>
      </c>
      <c r="F679" s="1" t="s">
        <v>174</v>
      </c>
      <c r="G679" s="5">
        <v>150</v>
      </c>
      <c r="H679" s="5">
        <f>Table3[[#This Row],[Qty]]*Table3[[#This Row],[Price]]</f>
        <v>15</v>
      </c>
      <c r="I679" s="5"/>
    </row>
    <row r="680" spans="1:9" x14ac:dyDescent="0.25">
      <c r="A680" s="144">
        <v>46030</v>
      </c>
      <c r="B680" s="145" t="s">
        <v>115</v>
      </c>
      <c r="C680" s="145" t="s">
        <v>20</v>
      </c>
      <c r="D680" s="1" t="s">
        <v>876</v>
      </c>
      <c r="E680" s="146">
        <v>0.5</v>
      </c>
      <c r="F680" s="1" t="s">
        <v>174</v>
      </c>
      <c r="G680" s="5">
        <v>230</v>
      </c>
      <c r="H680" s="5">
        <f>Table3[[#This Row],[Qty]]*Table3[[#This Row],[Price]]</f>
        <v>115</v>
      </c>
      <c r="I680" s="5"/>
    </row>
    <row r="681" spans="1:9" x14ac:dyDescent="0.25">
      <c r="A681" s="144">
        <v>46030</v>
      </c>
      <c r="B681" s="145" t="s">
        <v>115</v>
      </c>
      <c r="C681" s="145" t="s">
        <v>12</v>
      </c>
      <c r="D681" s="1" t="s">
        <v>235</v>
      </c>
      <c r="E681" s="146">
        <v>2</v>
      </c>
      <c r="F681" s="1" t="s">
        <v>174</v>
      </c>
      <c r="G681" s="5">
        <v>183</v>
      </c>
      <c r="H681" s="5">
        <f>Table3[[#This Row],[Qty]]*Table3[[#This Row],[Price]]</f>
        <v>366</v>
      </c>
      <c r="I681" s="5"/>
    </row>
    <row r="682" spans="1:9" x14ac:dyDescent="0.25">
      <c r="A682" s="144">
        <v>46030</v>
      </c>
      <c r="B682" s="145" t="s">
        <v>115</v>
      </c>
      <c r="C682" s="145" t="s">
        <v>838</v>
      </c>
      <c r="D682" s="1" t="s">
        <v>855</v>
      </c>
      <c r="E682" s="146">
        <v>13.5</v>
      </c>
      <c r="F682" s="1" t="s">
        <v>174</v>
      </c>
      <c r="G682" s="5">
        <v>40</v>
      </c>
      <c r="H682" s="5">
        <f>Table3[[#This Row],[Qty]]*Table3[[#This Row],[Price]]</f>
        <v>540</v>
      </c>
      <c r="I682" s="5"/>
    </row>
    <row r="683" spans="1:9" x14ac:dyDescent="0.25">
      <c r="A683" s="144">
        <v>46030</v>
      </c>
      <c r="B683" s="145" t="s">
        <v>115</v>
      </c>
      <c r="C683" s="145" t="s">
        <v>838</v>
      </c>
      <c r="D683" s="1" t="s">
        <v>875</v>
      </c>
      <c r="E683" s="146">
        <v>0.15</v>
      </c>
      <c r="F683" s="1" t="s">
        <v>174</v>
      </c>
      <c r="G683" s="5">
        <v>580</v>
      </c>
      <c r="H683" s="5">
        <f>Table3[[#This Row],[Qty]]*Table3[[#This Row],[Price]]</f>
        <v>87</v>
      </c>
      <c r="I683" s="5"/>
    </row>
    <row r="684" spans="1:9" x14ac:dyDescent="0.25">
      <c r="A684" s="144">
        <v>46030</v>
      </c>
      <c r="B684" s="145" t="s">
        <v>115</v>
      </c>
      <c r="C684" s="145" t="s">
        <v>838</v>
      </c>
      <c r="D684" s="1" t="s">
        <v>849</v>
      </c>
      <c r="E684" s="146">
        <v>0.1</v>
      </c>
      <c r="F684" s="1" t="s">
        <v>174</v>
      </c>
      <c r="G684" s="5">
        <v>400</v>
      </c>
      <c r="H684" s="5">
        <f>Table3[[#This Row],[Qty]]*Table3[[#This Row],[Price]]</f>
        <v>40</v>
      </c>
      <c r="I684" s="5"/>
    </row>
    <row r="685" spans="1:9" x14ac:dyDescent="0.25">
      <c r="A685" s="144">
        <v>46030</v>
      </c>
      <c r="B685" s="145" t="s">
        <v>115</v>
      </c>
      <c r="C685" s="145" t="s">
        <v>838</v>
      </c>
      <c r="D685" s="1" t="s">
        <v>797</v>
      </c>
      <c r="E685" s="146">
        <v>0.5</v>
      </c>
      <c r="F685" s="1" t="s">
        <v>174</v>
      </c>
      <c r="G685" s="5">
        <v>560</v>
      </c>
      <c r="H685" s="5">
        <f>Table3[[#This Row],[Qty]]*Table3[[#This Row],[Price]]</f>
        <v>280</v>
      </c>
      <c r="I685" s="5"/>
    </row>
    <row r="686" spans="1:9" x14ac:dyDescent="0.25">
      <c r="A686" s="144">
        <v>46030</v>
      </c>
      <c r="B686" s="145" t="s">
        <v>115</v>
      </c>
      <c r="C686" s="145" t="s">
        <v>838</v>
      </c>
      <c r="D686" s="1" t="s">
        <v>844</v>
      </c>
      <c r="E686" s="146">
        <v>8</v>
      </c>
      <c r="F686" s="1" t="s">
        <v>174</v>
      </c>
      <c r="G686" s="5">
        <v>40</v>
      </c>
      <c r="H686" s="5">
        <f>Table3[[#This Row],[Qty]]*Table3[[#This Row],[Price]]</f>
        <v>320</v>
      </c>
      <c r="I686" s="5"/>
    </row>
    <row r="687" spans="1:9" x14ac:dyDescent="0.25">
      <c r="A687" s="144">
        <v>46030</v>
      </c>
      <c r="B687" s="145" t="s">
        <v>115</v>
      </c>
      <c r="C687" s="145" t="s">
        <v>310</v>
      </c>
      <c r="D687" s="1" t="s">
        <v>806</v>
      </c>
      <c r="E687" s="146">
        <v>45</v>
      </c>
      <c r="F687" s="1" t="s">
        <v>807</v>
      </c>
      <c r="G687" s="5">
        <v>120</v>
      </c>
      <c r="H687" s="5">
        <f>Table3[[#This Row],[Qty]]*Table3[[#This Row],[Price]]</f>
        <v>5400</v>
      </c>
      <c r="I687" s="5"/>
    </row>
    <row r="688" spans="1:9" x14ac:dyDescent="0.25">
      <c r="A688" s="144">
        <v>46030</v>
      </c>
      <c r="B688" s="145" t="s">
        <v>115</v>
      </c>
      <c r="C688" s="145" t="s">
        <v>838</v>
      </c>
      <c r="D688" s="1" t="s">
        <v>842</v>
      </c>
      <c r="E688" s="146">
        <v>1</v>
      </c>
      <c r="F688" s="1" t="s">
        <v>174</v>
      </c>
      <c r="G688" s="5">
        <v>75</v>
      </c>
      <c r="H688" s="5">
        <f>Table3[[#This Row],[Qty]]*Table3[[#This Row],[Price]]</f>
        <v>75</v>
      </c>
      <c r="I688" s="5"/>
    </row>
    <row r="689" spans="1:9" x14ac:dyDescent="0.25">
      <c r="A689" s="144">
        <v>46030</v>
      </c>
      <c r="B689" s="145" t="s">
        <v>115</v>
      </c>
      <c r="C689" s="145" t="s">
        <v>310</v>
      </c>
      <c r="D689" s="1" t="s">
        <v>862</v>
      </c>
      <c r="E689" s="146">
        <v>5</v>
      </c>
      <c r="F689" s="1" t="s">
        <v>174</v>
      </c>
      <c r="G689" s="5">
        <v>170</v>
      </c>
      <c r="H689" s="5">
        <f>Table3[[#This Row],[Qty]]*Table3[[#This Row],[Price]]</f>
        <v>850</v>
      </c>
      <c r="I689" s="5"/>
    </row>
    <row r="690" spans="1:9" x14ac:dyDescent="0.25">
      <c r="A690" s="144">
        <v>46030</v>
      </c>
      <c r="B690" s="145" t="s">
        <v>115</v>
      </c>
      <c r="C690" s="145" t="s">
        <v>310</v>
      </c>
      <c r="D690" s="1" t="s">
        <v>786</v>
      </c>
      <c r="E690" s="146">
        <v>4.72</v>
      </c>
      <c r="F690" s="1" t="s">
        <v>174</v>
      </c>
      <c r="G690" s="5">
        <v>1400</v>
      </c>
      <c r="H690" s="5">
        <f>Table3[[#This Row],[Qty]]*Table3[[#This Row],[Price]]</f>
        <v>6608</v>
      </c>
      <c r="I690" s="5"/>
    </row>
    <row r="691" spans="1:9" x14ac:dyDescent="0.25">
      <c r="A691" s="144">
        <v>46030</v>
      </c>
      <c r="B691" s="145" t="s">
        <v>115</v>
      </c>
      <c r="C691" s="145" t="s">
        <v>310</v>
      </c>
      <c r="D691" s="1" t="s">
        <v>862</v>
      </c>
      <c r="E691" s="146">
        <v>4</v>
      </c>
      <c r="F691" s="1" t="s">
        <v>174</v>
      </c>
      <c r="G691" s="5">
        <v>170</v>
      </c>
      <c r="H691" s="5">
        <f>Table3[[#This Row],[Qty]]*Table3[[#This Row],[Price]]</f>
        <v>680</v>
      </c>
      <c r="I691" s="5"/>
    </row>
    <row r="692" spans="1:9" x14ac:dyDescent="0.25">
      <c r="A692" s="144">
        <v>46030</v>
      </c>
      <c r="B692" s="145" t="s">
        <v>115</v>
      </c>
      <c r="C692" s="145" t="s">
        <v>310</v>
      </c>
      <c r="D692" s="1" t="s">
        <v>872</v>
      </c>
      <c r="E692" s="146">
        <v>1.2</v>
      </c>
      <c r="F692" s="1" t="s">
        <v>174</v>
      </c>
      <c r="G692" s="5">
        <v>1400</v>
      </c>
      <c r="H692" s="5">
        <f>Table3[[#This Row],[Qty]]*Table3[[#This Row],[Price]]</f>
        <v>1680</v>
      </c>
      <c r="I692" s="5"/>
    </row>
    <row r="693" spans="1:9" x14ac:dyDescent="0.25">
      <c r="A693" s="144">
        <v>46031</v>
      </c>
      <c r="B693" s="145" t="s">
        <v>116</v>
      </c>
      <c r="C693" s="145" t="s">
        <v>12</v>
      </c>
      <c r="D693" s="1" t="s">
        <v>793</v>
      </c>
      <c r="E693" s="146">
        <v>45</v>
      </c>
      <c r="F693" s="1" t="s">
        <v>174</v>
      </c>
      <c r="G693" s="5">
        <v>119</v>
      </c>
      <c r="H693" s="5">
        <f>Table3[[#This Row],[Qty]]*Table3[[#This Row],[Price]]</f>
        <v>5355</v>
      </c>
      <c r="I693" s="5"/>
    </row>
    <row r="694" spans="1:9" x14ac:dyDescent="0.25">
      <c r="A694" s="144">
        <v>46031</v>
      </c>
      <c r="B694" s="145" t="s">
        <v>116</v>
      </c>
      <c r="C694" s="145" t="s">
        <v>310</v>
      </c>
      <c r="D694" s="1" t="s">
        <v>862</v>
      </c>
      <c r="E694" s="146">
        <v>8.1999999999999993</v>
      </c>
      <c r="F694" s="1" t="s">
        <v>174</v>
      </c>
      <c r="G694" s="5">
        <v>170</v>
      </c>
      <c r="H694" s="5">
        <f>Table3[[#This Row],[Qty]]*Table3[[#This Row],[Price]]</f>
        <v>1393.9999999999998</v>
      </c>
      <c r="I694" s="5"/>
    </row>
    <row r="695" spans="1:9" x14ac:dyDescent="0.25">
      <c r="A695" s="144">
        <v>46031</v>
      </c>
      <c r="B695" s="145" t="s">
        <v>116</v>
      </c>
      <c r="C695" s="145" t="s">
        <v>12</v>
      </c>
      <c r="D695" s="1" t="s">
        <v>791</v>
      </c>
      <c r="E695" s="146">
        <v>7</v>
      </c>
      <c r="F695" s="1" t="s">
        <v>827</v>
      </c>
      <c r="G695" s="5">
        <v>443.33</v>
      </c>
      <c r="H695" s="5">
        <f>Table3[[#This Row],[Qty]]*Table3[[#This Row],[Price]]</f>
        <v>3103.31</v>
      </c>
      <c r="I695" s="5"/>
    </row>
    <row r="696" spans="1:9" x14ac:dyDescent="0.25">
      <c r="A696" s="144">
        <v>46031</v>
      </c>
      <c r="B696" s="145" t="s">
        <v>116</v>
      </c>
      <c r="C696" s="145" t="s">
        <v>310</v>
      </c>
      <c r="D696" s="1" t="s">
        <v>786</v>
      </c>
      <c r="E696" s="146">
        <v>3</v>
      </c>
      <c r="F696" s="1" t="s">
        <v>174</v>
      </c>
      <c r="G696" s="5">
        <v>1400</v>
      </c>
      <c r="H696" s="5">
        <f>Table3[[#This Row],[Qty]]*Table3[[#This Row],[Price]]</f>
        <v>4200</v>
      </c>
      <c r="I696" s="5"/>
    </row>
    <row r="697" spans="1:9" x14ac:dyDescent="0.25">
      <c r="A697" s="144">
        <v>46031</v>
      </c>
      <c r="B697" s="145" t="s">
        <v>116</v>
      </c>
      <c r="C697" s="145" t="s">
        <v>310</v>
      </c>
      <c r="D697" s="1" t="s">
        <v>854</v>
      </c>
      <c r="E697" s="146">
        <v>1</v>
      </c>
      <c r="F697" s="1" t="s">
        <v>174</v>
      </c>
      <c r="G697" s="5">
        <v>1600</v>
      </c>
      <c r="H697" s="5">
        <f>Table3[[#This Row],[Qty]]*Table3[[#This Row],[Price]]</f>
        <v>1600</v>
      </c>
      <c r="I697" s="5"/>
    </row>
    <row r="698" spans="1:9" x14ac:dyDescent="0.25">
      <c r="A698" s="144">
        <v>46031</v>
      </c>
      <c r="B698" s="145" t="s">
        <v>116</v>
      </c>
      <c r="C698" s="145" t="s">
        <v>12</v>
      </c>
      <c r="D698" s="1" t="s">
        <v>222</v>
      </c>
      <c r="E698" s="146">
        <v>8</v>
      </c>
      <c r="F698" s="58" t="s">
        <v>819</v>
      </c>
      <c r="G698" s="5">
        <v>30</v>
      </c>
      <c r="H698" s="5">
        <f>Table3[[#This Row],[Qty]]*Table3[[#This Row],[Price]]</f>
        <v>240</v>
      </c>
      <c r="I698" s="5"/>
    </row>
    <row r="699" spans="1:9" x14ac:dyDescent="0.25">
      <c r="A699" s="153">
        <v>46031</v>
      </c>
      <c r="B699" s="154" t="s">
        <v>116</v>
      </c>
      <c r="C699" s="154" t="s">
        <v>13</v>
      </c>
      <c r="D699" s="155" t="s">
        <v>864</v>
      </c>
      <c r="E699" s="156">
        <v>62</v>
      </c>
      <c r="F699" s="1" t="s">
        <v>174</v>
      </c>
      <c r="G699" s="151"/>
      <c r="H699" s="151">
        <f>Table3[[#This Row],[Qty]]*Table3[[#This Row],[Price]]</f>
        <v>0</v>
      </c>
      <c r="I699" s="151"/>
    </row>
    <row r="700" spans="1:9" x14ac:dyDescent="0.25">
      <c r="A700" s="144">
        <v>46031</v>
      </c>
      <c r="B700" s="145" t="s">
        <v>116</v>
      </c>
      <c r="C700" s="145" t="s">
        <v>13</v>
      </c>
      <c r="D700" s="1" t="s">
        <v>135</v>
      </c>
      <c r="E700" s="146">
        <v>82</v>
      </c>
      <c r="F700" s="1" t="s">
        <v>174</v>
      </c>
      <c r="G700" s="5">
        <v>300</v>
      </c>
      <c r="H700" s="5">
        <f>Table3[[#This Row],[Qty]]*Table3[[#This Row],[Price]]</f>
        <v>24600</v>
      </c>
      <c r="I700" s="5"/>
    </row>
    <row r="701" spans="1:9" x14ac:dyDescent="0.25">
      <c r="A701" s="144">
        <v>46031</v>
      </c>
      <c r="B701" s="145" t="s">
        <v>116</v>
      </c>
      <c r="C701" s="145" t="s">
        <v>13</v>
      </c>
      <c r="D701" s="1" t="s">
        <v>794</v>
      </c>
      <c r="E701" s="146">
        <v>50</v>
      </c>
      <c r="F701" s="1" t="s">
        <v>174</v>
      </c>
      <c r="G701" s="5">
        <v>113</v>
      </c>
      <c r="H701" s="5">
        <f>Table3[[#This Row],[Qty]]*Table3[[#This Row],[Price]]</f>
        <v>5650</v>
      </c>
      <c r="I701" s="5"/>
    </row>
    <row r="702" spans="1:9" x14ac:dyDescent="0.25">
      <c r="A702" s="144">
        <v>46031</v>
      </c>
      <c r="B702" s="145" t="s">
        <v>116</v>
      </c>
      <c r="C702" s="145" t="s">
        <v>13</v>
      </c>
      <c r="D702" s="1" t="s">
        <v>860</v>
      </c>
      <c r="E702" s="146">
        <v>6.6</v>
      </c>
      <c r="F702" s="1" t="s">
        <v>174</v>
      </c>
      <c r="G702" s="5">
        <v>60</v>
      </c>
      <c r="H702" s="5">
        <f>Table3[[#This Row],[Qty]]*Table3[[#This Row],[Price]]</f>
        <v>396</v>
      </c>
      <c r="I702" s="5"/>
    </row>
    <row r="703" spans="1:9" x14ac:dyDescent="0.25">
      <c r="A703" s="144">
        <v>46031</v>
      </c>
      <c r="B703" s="145" t="s">
        <v>116</v>
      </c>
      <c r="C703" s="145" t="s">
        <v>13</v>
      </c>
      <c r="D703" s="1" t="s">
        <v>844</v>
      </c>
      <c r="E703" s="146">
        <v>16</v>
      </c>
      <c r="F703" s="1" t="s">
        <v>174</v>
      </c>
      <c r="G703" s="5">
        <v>40</v>
      </c>
      <c r="H703" s="5">
        <f>Table3[[#This Row],[Qty]]*Table3[[#This Row],[Price]]</f>
        <v>640</v>
      </c>
      <c r="I703" s="5"/>
    </row>
    <row r="704" spans="1:9" x14ac:dyDescent="0.25">
      <c r="A704" s="144">
        <v>46031</v>
      </c>
      <c r="B704" s="145" t="s">
        <v>116</v>
      </c>
      <c r="C704" s="145" t="s">
        <v>13</v>
      </c>
      <c r="D704" s="1" t="s">
        <v>855</v>
      </c>
      <c r="E704" s="146">
        <v>6</v>
      </c>
      <c r="F704" s="1" t="s">
        <v>174</v>
      </c>
      <c r="G704" s="5">
        <v>40</v>
      </c>
      <c r="H704" s="5">
        <f>Table3[[#This Row],[Qty]]*Table3[[#This Row],[Price]]</f>
        <v>240</v>
      </c>
      <c r="I704" s="5"/>
    </row>
    <row r="705" spans="1:9" x14ac:dyDescent="0.25">
      <c r="A705" s="144">
        <v>46031</v>
      </c>
      <c r="B705" s="145" t="s">
        <v>116</v>
      </c>
      <c r="C705" s="145" t="s">
        <v>13</v>
      </c>
      <c r="D705" s="1" t="s">
        <v>842</v>
      </c>
      <c r="E705" s="146">
        <v>3.4</v>
      </c>
      <c r="F705" s="1" t="s">
        <v>174</v>
      </c>
      <c r="G705" s="5">
        <v>75</v>
      </c>
      <c r="H705" s="5">
        <f>Table3[[#This Row],[Qty]]*Table3[[#This Row],[Price]]</f>
        <v>255</v>
      </c>
      <c r="I705" s="5"/>
    </row>
    <row r="706" spans="1:9" x14ac:dyDescent="0.25">
      <c r="A706" s="144">
        <v>46031</v>
      </c>
      <c r="B706" s="145" t="s">
        <v>116</v>
      </c>
      <c r="C706" s="145" t="s">
        <v>13</v>
      </c>
      <c r="D706" s="1" t="s">
        <v>865</v>
      </c>
      <c r="E706" s="146">
        <v>10</v>
      </c>
      <c r="F706" s="1" t="s">
        <v>174</v>
      </c>
      <c r="G706" s="5">
        <v>120</v>
      </c>
      <c r="H706" s="5">
        <f>Table3[[#This Row],[Qty]]*Table3[[#This Row],[Price]]</f>
        <v>1200</v>
      </c>
      <c r="I706" s="5"/>
    </row>
    <row r="707" spans="1:9" x14ac:dyDescent="0.25">
      <c r="A707" s="144">
        <v>46031</v>
      </c>
      <c r="B707" s="145" t="s">
        <v>116</v>
      </c>
      <c r="C707" s="145" t="s">
        <v>310</v>
      </c>
      <c r="D707" s="1" t="s">
        <v>866</v>
      </c>
      <c r="E707" s="146">
        <v>2</v>
      </c>
      <c r="F707" s="1" t="s">
        <v>174</v>
      </c>
      <c r="G707" s="5">
        <v>480</v>
      </c>
      <c r="H707" s="5">
        <f>Table3[[#This Row],[Qty]]*Table3[[#This Row],[Price]]</f>
        <v>960</v>
      </c>
      <c r="I707" s="5"/>
    </row>
    <row r="708" spans="1:9" x14ac:dyDescent="0.25">
      <c r="A708" s="144">
        <v>46031</v>
      </c>
      <c r="B708" s="145" t="s">
        <v>116</v>
      </c>
      <c r="C708" s="145" t="s">
        <v>13</v>
      </c>
      <c r="D708" s="1" t="s">
        <v>791</v>
      </c>
      <c r="E708" s="146">
        <v>20</v>
      </c>
      <c r="F708" s="1" t="s">
        <v>827</v>
      </c>
      <c r="G708" s="5">
        <v>443.33</v>
      </c>
      <c r="H708" s="5">
        <f>Table3[[#This Row],[Qty]]*Table3[[#This Row],[Price]]</f>
        <v>8866.6</v>
      </c>
      <c r="I708" s="5"/>
    </row>
    <row r="709" spans="1:9" x14ac:dyDescent="0.25">
      <c r="A709" s="144">
        <v>46031</v>
      </c>
      <c r="B709" s="145" t="s">
        <v>116</v>
      </c>
      <c r="C709" s="145" t="s">
        <v>13</v>
      </c>
      <c r="D709" s="1" t="s">
        <v>852</v>
      </c>
      <c r="E709" s="146">
        <v>0.5</v>
      </c>
      <c r="F709" s="1" t="s">
        <v>174</v>
      </c>
      <c r="G709" s="5">
        <v>150</v>
      </c>
      <c r="H709" s="5">
        <f>Table3[[#This Row],[Qty]]*Table3[[#This Row],[Price]]</f>
        <v>75</v>
      </c>
      <c r="I709" s="5"/>
    </row>
    <row r="710" spans="1:9" x14ac:dyDescent="0.25">
      <c r="A710" s="144">
        <v>46031</v>
      </c>
      <c r="B710" s="145" t="s">
        <v>116</v>
      </c>
      <c r="C710" s="145" t="s">
        <v>13</v>
      </c>
      <c r="D710" s="1" t="s">
        <v>822</v>
      </c>
      <c r="E710" s="146">
        <v>0.5</v>
      </c>
      <c r="F710" s="1" t="s">
        <v>174</v>
      </c>
      <c r="G710" s="5">
        <v>2000</v>
      </c>
      <c r="H710" s="5">
        <f>Table3[[#This Row],[Qty]]*Table3[[#This Row],[Price]]</f>
        <v>1000</v>
      </c>
      <c r="I710" s="5"/>
    </row>
    <row r="711" spans="1:9" x14ac:dyDescent="0.25">
      <c r="A711" s="144">
        <v>46031</v>
      </c>
      <c r="B711" s="145" t="s">
        <v>116</v>
      </c>
      <c r="C711" s="145" t="s">
        <v>13</v>
      </c>
      <c r="D711" s="1" t="s">
        <v>825</v>
      </c>
      <c r="E711" s="146">
        <v>2</v>
      </c>
      <c r="F711" s="1" t="s">
        <v>223</v>
      </c>
      <c r="G711" s="5">
        <v>65</v>
      </c>
      <c r="H711" s="5">
        <f>Table3[[#This Row],[Qty]]*Table3[[#This Row],[Price]]</f>
        <v>130</v>
      </c>
      <c r="I711" s="5"/>
    </row>
    <row r="712" spans="1:9" x14ac:dyDescent="0.25">
      <c r="A712" s="144">
        <v>46031</v>
      </c>
      <c r="B712" s="145" t="s">
        <v>116</v>
      </c>
      <c r="C712" s="145" t="s">
        <v>13</v>
      </c>
      <c r="D712" s="1" t="s">
        <v>845</v>
      </c>
      <c r="E712" s="146">
        <v>0.75</v>
      </c>
      <c r="F712" s="1" t="s">
        <v>174</v>
      </c>
      <c r="G712" s="5">
        <v>80</v>
      </c>
      <c r="H712" s="5">
        <f>Table3[[#This Row],[Qty]]*Table3[[#This Row],[Price]]</f>
        <v>60</v>
      </c>
      <c r="I712" s="5"/>
    </row>
    <row r="713" spans="1:9" x14ac:dyDescent="0.25">
      <c r="A713" s="144">
        <v>46031</v>
      </c>
      <c r="B713" s="145" t="s">
        <v>116</v>
      </c>
      <c r="C713" s="145" t="s">
        <v>13</v>
      </c>
      <c r="D713" s="1" t="s">
        <v>846</v>
      </c>
      <c r="E713" s="146">
        <v>0.7</v>
      </c>
      <c r="F713" s="1" t="s">
        <v>174</v>
      </c>
      <c r="G713" s="5">
        <v>130</v>
      </c>
      <c r="H713" s="5">
        <f>Table3[[#This Row],[Qty]]*Table3[[#This Row],[Price]]</f>
        <v>91</v>
      </c>
      <c r="I713" s="5"/>
    </row>
    <row r="714" spans="1:9" x14ac:dyDescent="0.25">
      <c r="A714" s="144">
        <v>46031</v>
      </c>
      <c r="B714" s="145" t="s">
        <v>116</v>
      </c>
      <c r="C714" s="145" t="s">
        <v>13</v>
      </c>
      <c r="D714" s="1" t="s">
        <v>880</v>
      </c>
      <c r="E714" s="146">
        <v>0.75</v>
      </c>
      <c r="F714" s="1" t="s">
        <v>174</v>
      </c>
      <c r="G714" s="5">
        <v>50</v>
      </c>
      <c r="H714" s="5">
        <f>Table3[[#This Row],[Qty]]*Table3[[#This Row],[Price]]</f>
        <v>37.5</v>
      </c>
      <c r="I714" s="5"/>
    </row>
    <row r="715" spans="1:9" x14ac:dyDescent="0.25">
      <c r="A715" s="144">
        <v>46031</v>
      </c>
      <c r="B715" s="145" t="s">
        <v>116</v>
      </c>
      <c r="C715" s="145" t="s">
        <v>13</v>
      </c>
      <c r="D715" s="1" t="s">
        <v>867</v>
      </c>
      <c r="E715" s="146">
        <v>1</v>
      </c>
      <c r="F715" s="1" t="s">
        <v>174</v>
      </c>
      <c r="G715" s="5">
        <v>1200</v>
      </c>
      <c r="H715" s="5">
        <f>Table3[[#This Row],[Qty]]*Table3[[#This Row],[Price]]</f>
        <v>1200</v>
      </c>
      <c r="I715" s="5"/>
    </row>
    <row r="716" spans="1:9" x14ac:dyDescent="0.25">
      <c r="A716" s="144">
        <v>46031</v>
      </c>
      <c r="B716" s="145" t="s">
        <v>116</v>
      </c>
      <c r="C716" s="145" t="s">
        <v>310</v>
      </c>
      <c r="D716" s="1" t="s">
        <v>862</v>
      </c>
      <c r="E716" s="146">
        <v>5.2</v>
      </c>
      <c r="F716" s="1" t="s">
        <v>174</v>
      </c>
      <c r="G716" s="5">
        <v>170</v>
      </c>
      <c r="H716" s="5">
        <f>Table3[[#This Row],[Qty]]*Table3[[#This Row],[Price]]</f>
        <v>884</v>
      </c>
      <c r="I716" s="5"/>
    </row>
    <row r="717" spans="1:9" x14ac:dyDescent="0.25">
      <c r="A717" s="144">
        <v>46031</v>
      </c>
      <c r="B717" s="145" t="s">
        <v>116</v>
      </c>
      <c r="C717" s="145" t="s">
        <v>310</v>
      </c>
      <c r="D717" s="1" t="s">
        <v>786</v>
      </c>
      <c r="E717" s="146">
        <v>3.25</v>
      </c>
      <c r="F717" s="1" t="s">
        <v>174</v>
      </c>
      <c r="G717" s="5">
        <v>1400</v>
      </c>
      <c r="H717" s="5">
        <f>Table3[[#This Row],[Qty]]*Table3[[#This Row],[Price]]</f>
        <v>4550</v>
      </c>
      <c r="I717" s="5"/>
    </row>
    <row r="718" spans="1:9" x14ac:dyDescent="0.25">
      <c r="A718" s="144">
        <v>46031</v>
      </c>
      <c r="B718" s="145" t="s">
        <v>116</v>
      </c>
      <c r="C718" s="145" t="s">
        <v>20</v>
      </c>
      <c r="D718" s="1" t="s">
        <v>885</v>
      </c>
      <c r="E718" s="146">
        <v>12</v>
      </c>
      <c r="F718" s="1" t="s">
        <v>174</v>
      </c>
      <c r="G718" s="5">
        <v>31</v>
      </c>
      <c r="H718" s="5">
        <f>Table3[[#This Row],[Qty]]*Table3[[#This Row],[Price]]</f>
        <v>372</v>
      </c>
      <c r="I718" s="5"/>
    </row>
    <row r="719" spans="1:9" x14ac:dyDescent="0.25">
      <c r="A719" s="144">
        <v>46031</v>
      </c>
      <c r="B719" s="145" t="s">
        <v>116</v>
      </c>
      <c r="C719" s="145" t="s">
        <v>20</v>
      </c>
      <c r="D719" s="1" t="s">
        <v>844</v>
      </c>
      <c r="E719" s="146">
        <v>9</v>
      </c>
      <c r="F719" s="1" t="s">
        <v>174</v>
      </c>
      <c r="G719" s="5">
        <v>40</v>
      </c>
      <c r="H719" s="5">
        <f>Table3[[#This Row],[Qty]]*Table3[[#This Row],[Price]]</f>
        <v>360</v>
      </c>
      <c r="I719" s="5"/>
    </row>
    <row r="720" spans="1:9" x14ac:dyDescent="0.25">
      <c r="A720" s="144">
        <v>46031</v>
      </c>
      <c r="B720" s="145" t="s">
        <v>116</v>
      </c>
      <c r="C720" s="145" t="s">
        <v>20</v>
      </c>
      <c r="D720" s="1" t="s">
        <v>855</v>
      </c>
      <c r="E720" s="146">
        <v>1</v>
      </c>
      <c r="F720" s="1" t="s">
        <v>174</v>
      </c>
      <c r="G720" s="5">
        <v>40</v>
      </c>
      <c r="H720" s="5">
        <f>Table3[[#This Row],[Qty]]*Table3[[#This Row],[Price]]</f>
        <v>40</v>
      </c>
      <c r="I720" s="5"/>
    </row>
    <row r="721" spans="1:9" x14ac:dyDescent="0.25">
      <c r="A721" s="144">
        <v>46031</v>
      </c>
      <c r="B721" s="145" t="s">
        <v>116</v>
      </c>
      <c r="C721" s="145" t="s">
        <v>20</v>
      </c>
      <c r="D721" s="1" t="s">
        <v>842</v>
      </c>
      <c r="E721" s="146">
        <v>2</v>
      </c>
      <c r="F721" s="1" t="s">
        <v>174</v>
      </c>
      <c r="G721" s="5">
        <v>75</v>
      </c>
      <c r="H721" s="5">
        <f>Table3[[#This Row],[Qty]]*Table3[[#This Row],[Price]]</f>
        <v>150</v>
      </c>
      <c r="I721" s="5"/>
    </row>
    <row r="722" spans="1:9" x14ac:dyDescent="0.25">
      <c r="A722" s="144">
        <v>46031</v>
      </c>
      <c r="B722" s="145" t="s">
        <v>116</v>
      </c>
      <c r="C722" s="145" t="s">
        <v>12</v>
      </c>
      <c r="D722" s="1" t="s">
        <v>235</v>
      </c>
      <c r="E722" s="146">
        <v>4</v>
      </c>
      <c r="F722" s="1" t="s">
        <v>174</v>
      </c>
      <c r="G722" s="5">
        <v>183</v>
      </c>
      <c r="H722" s="5">
        <f>Table3[[#This Row],[Qty]]*Table3[[#This Row],[Price]]</f>
        <v>732</v>
      </c>
      <c r="I722" s="5"/>
    </row>
    <row r="723" spans="1:9" x14ac:dyDescent="0.25">
      <c r="A723" s="144">
        <v>46031</v>
      </c>
      <c r="B723" s="145" t="s">
        <v>116</v>
      </c>
      <c r="C723" s="145" t="s">
        <v>20</v>
      </c>
      <c r="D723" s="1" t="s">
        <v>852</v>
      </c>
      <c r="E723" s="146">
        <v>0.7</v>
      </c>
      <c r="F723" s="1" t="s">
        <v>174</v>
      </c>
      <c r="G723" s="5">
        <v>300</v>
      </c>
      <c r="H723" s="5">
        <f>Table3[[#This Row],[Qty]]*Table3[[#This Row],[Price]]</f>
        <v>210</v>
      </c>
      <c r="I723" s="5"/>
    </row>
    <row r="724" spans="1:9" x14ac:dyDescent="0.25">
      <c r="A724" s="144">
        <v>46031</v>
      </c>
      <c r="B724" s="145" t="s">
        <v>116</v>
      </c>
      <c r="C724" s="145" t="s">
        <v>20</v>
      </c>
      <c r="D724" s="1" t="s">
        <v>876</v>
      </c>
      <c r="E724" s="146">
        <v>0.5</v>
      </c>
      <c r="F724" s="1" t="s">
        <v>174</v>
      </c>
      <c r="G724" s="5">
        <v>200</v>
      </c>
      <c r="H724" s="5">
        <f>Table3[[#This Row],[Qty]]*Table3[[#This Row],[Price]]</f>
        <v>100</v>
      </c>
      <c r="I724" s="5"/>
    </row>
    <row r="725" spans="1:9" x14ac:dyDescent="0.25">
      <c r="A725" s="144">
        <v>46031</v>
      </c>
      <c r="B725" s="145" t="s">
        <v>116</v>
      </c>
      <c r="C725" s="145" t="s">
        <v>20</v>
      </c>
      <c r="D725" s="1" t="s">
        <v>821</v>
      </c>
      <c r="E725" s="146">
        <v>1</v>
      </c>
      <c r="F725" s="1" t="s">
        <v>174</v>
      </c>
      <c r="G725" s="5">
        <v>700</v>
      </c>
      <c r="H725" s="5">
        <f>Table3[[#This Row],[Qty]]*Table3[[#This Row],[Price]]</f>
        <v>700</v>
      </c>
      <c r="I725" s="5"/>
    </row>
    <row r="726" spans="1:9" x14ac:dyDescent="0.25">
      <c r="A726" s="144">
        <v>46031</v>
      </c>
      <c r="B726" s="145" t="s">
        <v>116</v>
      </c>
      <c r="C726" s="145" t="s">
        <v>20</v>
      </c>
      <c r="D726" s="1" t="s">
        <v>135</v>
      </c>
      <c r="E726" s="146">
        <v>10</v>
      </c>
      <c r="F726" s="1" t="s">
        <v>174</v>
      </c>
      <c r="G726" s="5">
        <v>300</v>
      </c>
      <c r="H726" s="5">
        <f>Table3[[#This Row],[Qty]]*Table3[[#This Row],[Price]]</f>
        <v>3000</v>
      </c>
      <c r="I726" s="5"/>
    </row>
    <row r="727" spans="1:9" x14ac:dyDescent="0.25">
      <c r="A727" s="144">
        <v>46031</v>
      </c>
      <c r="B727" s="145" t="s">
        <v>116</v>
      </c>
      <c r="C727" s="145" t="s">
        <v>20</v>
      </c>
      <c r="D727" s="1" t="s">
        <v>222</v>
      </c>
      <c r="E727" s="146">
        <v>4</v>
      </c>
      <c r="F727" s="58" t="s">
        <v>819</v>
      </c>
      <c r="G727" s="5">
        <v>28</v>
      </c>
      <c r="H727" s="5">
        <f>Table3[[#This Row],[Qty]]*Table3[[#This Row],[Price]]</f>
        <v>112</v>
      </c>
      <c r="I727" s="5"/>
    </row>
    <row r="728" spans="1:9" x14ac:dyDescent="0.25">
      <c r="A728" s="144">
        <v>46031</v>
      </c>
      <c r="B728" s="145" t="s">
        <v>116</v>
      </c>
      <c r="C728" s="145" t="s">
        <v>20</v>
      </c>
      <c r="D728" s="1" t="s">
        <v>791</v>
      </c>
      <c r="E728" s="146">
        <v>3</v>
      </c>
      <c r="F728" s="1" t="s">
        <v>827</v>
      </c>
      <c r="G728" s="5">
        <v>443.33</v>
      </c>
      <c r="H728" s="5">
        <f>Table3[[#This Row],[Qty]]*Table3[[#This Row],[Price]]</f>
        <v>1329.99</v>
      </c>
      <c r="I728" s="5"/>
    </row>
    <row r="729" spans="1:9" x14ac:dyDescent="0.25">
      <c r="A729" s="144">
        <v>46031</v>
      </c>
      <c r="B729" s="145" t="s">
        <v>116</v>
      </c>
      <c r="C729" s="145" t="s">
        <v>20</v>
      </c>
      <c r="D729" s="1" t="s">
        <v>805</v>
      </c>
      <c r="E729" s="146">
        <v>0.5</v>
      </c>
      <c r="F729" s="1" t="s">
        <v>174</v>
      </c>
      <c r="G729" s="5">
        <v>580</v>
      </c>
      <c r="H729" s="5">
        <f>Table3[[#This Row],[Qty]]*Table3[[#This Row],[Price]]</f>
        <v>290</v>
      </c>
      <c r="I729" s="5"/>
    </row>
    <row r="730" spans="1:9" x14ac:dyDescent="0.25">
      <c r="A730" s="144">
        <v>46031</v>
      </c>
      <c r="B730" s="145" t="s">
        <v>116</v>
      </c>
      <c r="C730" s="145" t="s">
        <v>310</v>
      </c>
      <c r="D730" s="1" t="s">
        <v>808</v>
      </c>
      <c r="E730" s="146">
        <v>1</v>
      </c>
      <c r="F730" s="1" t="s">
        <v>809</v>
      </c>
      <c r="G730" s="5">
        <v>896</v>
      </c>
      <c r="H730" s="5">
        <f>Table3[[#This Row],[Qty]]*Table3[[#This Row],[Price]]</f>
        <v>896</v>
      </c>
      <c r="I730" s="5"/>
    </row>
    <row r="731" spans="1:9" x14ac:dyDescent="0.25">
      <c r="A731" s="144">
        <v>46031</v>
      </c>
      <c r="B731" s="145" t="s">
        <v>116</v>
      </c>
      <c r="C731" s="145" t="s">
        <v>310</v>
      </c>
      <c r="D731" s="1" t="s">
        <v>862</v>
      </c>
      <c r="E731" s="146">
        <v>5.2</v>
      </c>
      <c r="F731" s="1" t="s">
        <v>174</v>
      </c>
      <c r="G731" s="5">
        <v>170</v>
      </c>
      <c r="H731" s="5">
        <f>Table3[[#This Row],[Qty]]*Table3[[#This Row],[Price]]</f>
        <v>884</v>
      </c>
      <c r="I731" s="5"/>
    </row>
    <row r="732" spans="1:9" x14ac:dyDescent="0.25">
      <c r="A732" s="144">
        <v>46031</v>
      </c>
      <c r="B732" s="145" t="s">
        <v>116</v>
      </c>
      <c r="C732" s="145" t="s">
        <v>310</v>
      </c>
      <c r="D732" s="1" t="s">
        <v>786</v>
      </c>
      <c r="E732" s="146">
        <v>3.25</v>
      </c>
      <c r="F732" s="1" t="s">
        <v>174</v>
      </c>
      <c r="G732" s="5">
        <v>1400</v>
      </c>
      <c r="H732" s="5">
        <f>Table3[[#This Row],[Qty]]*Table3[[#This Row],[Price]]</f>
        <v>4550</v>
      </c>
      <c r="I732" s="5"/>
    </row>
    <row r="733" spans="1:9" x14ac:dyDescent="0.25">
      <c r="A733" s="144">
        <v>46031</v>
      </c>
      <c r="B733" s="145" t="s">
        <v>116</v>
      </c>
      <c r="C733" s="145" t="s">
        <v>310</v>
      </c>
      <c r="D733" s="1" t="s">
        <v>868</v>
      </c>
      <c r="E733" s="146">
        <v>10</v>
      </c>
      <c r="F733" s="1" t="s">
        <v>827</v>
      </c>
      <c r="G733" s="5">
        <v>220</v>
      </c>
      <c r="H733" s="5">
        <f>Table3[[#This Row],[Qty]]*Table3[[#This Row],[Price]]</f>
        <v>2200</v>
      </c>
      <c r="I733" s="5"/>
    </row>
    <row r="734" spans="1:9" x14ac:dyDescent="0.25">
      <c r="A734" s="144">
        <v>46031</v>
      </c>
      <c r="B734" s="145" t="s">
        <v>116</v>
      </c>
      <c r="C734" s="145" t="s">
        <v>310</v>
      </c>
      <c r="D734" s="1" t="s">
        <v>854</v>
      </c>
      <c r="E734" s="146">
        <v>1</v>
      </c>
      <c r="F734" s="1" t="s">
        <v>174</v>
      </c>
      <c r="G734" s="5">
        <v>1600</v>
      </c>
      <c r="H734" s="5">
        <f>Table3[[#This Row],[Qty]]*Table3[[#This Row],[Price]]</f>
        <v>1600</v>
      </c>
      <c r="I734" s="5"/>
    </row>
    <row r="735" spans="1:9" x14ac:dyDescent="0.25">
      <c r="A735" s="144">
        <v>46031</v>
      </c>
      <c r="B735" s="145" t="s">
        <v>116</v>
      </c>
      <c r="C735" s="145" t="s">
        <v>310</v>
      </c>
      <c r="D735" s="1" t="s">
        <v>862</v>
      </c>
      <c r="E735" s="146">
        <v>4</v>
      </c>
      <c r="F735" s="1" t="s">
        <v>174</v>
      </c>
      <c r="G735" s="5">
        <v>170</v>
      </c>
      <c r="H735" s="5">
        <f>Table3[[#This Row],[Qty]]*Table3[[#This Row],[Price]]</f>
        <v>680</v>
      </c>
      <c r="I735" s="5"/>
    </row>
    <row r="736" spans="1:9" x14ac:dyDescent="0.25">
      <c r="A736" s="144">
        <v>46031</v>
      </c>
      <c r="B736" s="145" t="s">
        <v>116</v>
      </c>
      <c r="C736" s="145" t="s">
        <v>310</v>
      </c>
      <c r="D736" s="1" t="s">
        <v>786</v>
      </c>
      <c r="E736" s="146">
        <v>1.2</v>
      </c>
      <c r="F736" s="1" t="s">
        <v>174</v>
      </c>
      <c r="G736" s="5">
        <v>1400</v>
      </c>
      <c r="H736" s="5">
        <f>Table3[[#This Row],[Qty]]*Table3[[#This Row],[Price]]</f>
        <v>1680</v>
      </c>
      <c r="I736" s="5"/>
    </row>
    <row r="737" spans="1:9" x14ac:dyDescent="0.25">
      <c r="A737" s="144">
        <v>46032</v>
      </c>
      <c r="B737" s="145" t="s">
        <v>117</v>
      </c>
      <c r="C737" s="145" t="s">
        <v>12</v>
      </c>
      <c r="D737" s="1" t="s">
        <v>793</v>
      </c>
      <c r="E737" s="146">
        <v>40</v>
      </c>
      <c r="F737" s="1" t="s">
        <v>174</v>
      </c>
      <c r="G737" s="5">
        <v>119</v>
      </c>
      <c r="H737" s="5">
        <f>Table3[[#This Row],[Qty]]*Table3[[#This Row],[Price]]</f>
        <v>4760</v>
      </c>
      <c r="I737" s="5"/>
    </row>
    <row r="738" spans="1:9" x14ac:dyDescent="0.25">
      <c r="A738" s="144">
        <v>46032</v>
      </c>
      <c r="B738" s="145" t="s">
        <v>117</v>
      </c>
      <c r="C738" s="145" t="s">
        <v>310</v>
      </c>
      <c r="D738" s="1" t="s">
        <v>862</v>
      </c>
      <c r="E738" s="146">
        <v>8</v>
      </c>
      <c r="F738" s="1" t="s">
        <v>174</v>
      </c>
      <c r="G738" s="5">
        <v>170</v>
      </c>
      <c r="H738" s="5">
        <f>Table3[[#This Row],[Qty]]*Table3[[#This Row],[Price]]</f>
        <v>1360</v>
      </c>
      <c r="I738" s="5"/>
    </row>
    <row r="739" spans="1:9" x14ac:dyDescent="0.25">
      <c r="A739" s="144">
        <v>46032</v>
      </c>
      <c r="B739" s="145" t="s">
        <v>117</v>
      </c>
      <c r="C739" s="145" t="s">
        <v>310</v>
      </c>
      <c r="D739" s="1" t="s">
        <v>866</v>
      </c>
      <c r="E739" s="146">
        <v>1</v>
      </c>
      <c r="F739" s="1" t="s">
        <v>174</v>
      </c>
      <c r="G739" s="5">
        <v>480</v>
      </c>
      <c r="H739" s="5">
        <f>Table3[[#This Row],[Qty]]*Table3[[#This Row],[Price]]</f>
        <v>480</v>
      </c>
      <c r="I739" s="5"/>
    </row>
    <row r="740" spans="1:9" x14ac:dyDescent="0.25">
      <c r="A740" s="144">
        <v>46032</v>
      </c>
      <c r="B740" s="145" t="s">
        <v>117</v>
      </c>
      <c r="C740" s="145" t="s">
        <v>12</v>
      </c>
      <c r="D740" s="1" t="s">
        <v>791</v>
      </c>
      <c r="E740" s="146">
        <v>7</v>
      </c>
      <c r="F740" s="1" t="s">
        <v>827</v>
      </c>
      <c r="G740" s="5">
        <v>443.33</v>
      </c>
      <c r="H740" s="5">
        <f>Table3[[#This Row],[Qty]]*Table3[[#This Row],[Price]]</f>
        <v>3103.31</v>
      </c>
      <c r="I740" s="5"/>
    </row>
    <row r="741" spans="1:9" x14ac:dyDescent="0.25">
      <c r="A741" s="144">
        <v>46032</v>
      </c>
      <c r="B741" s="145" t="s">
        <v>117</v>
      </c>
      <c r="C741" s="145" t="s">
        <v>12</v>
      </c>
      <c r="D741" s="1" t="s">
        <v>786</v>
      </c>
      <c r="E741" s="146">
        <v>3</v>
      </c>
      <c r="F741" s="1" t="s">
        <v>174</v>
      </c>
      <c r="G741" s="5">
        <v>1400</v>
      </c>
      <c r="H741" s="5">
        <f>Table3[[#This Row],[Qty]]*Table3[[#This Row],[Price]]</f>
        <v>4200</v>
      </c>
      <c r="I741" s="5"/>
    </row>
    <row r="742" spans="1:9" x14ac:dyDescent="0.25">
      <c r="A742" s="144">
        <v>46032</v>
      </c>
      <c r="B742" s="145" t="s">
        <v>117</v>
      </c>
      <c r="C742" s="145" t="s">
        <v>12</v>
      </c>
      <c r="D742" s="1" t="s">
        <v>222</v>
      </c>
      <c r="E742" s="146">
        <v>12</v>
      </c>
      <c r="F742" s="58" t="s">
        <v>819</v>
      </c>
      <c r="G742" s="5">
        <v>28</v>
      </c>
      <c r="H742" s="5">
        <f>Table3[[#This Row],[Qty]]*Table3[[#This Row],[Price]]</f>
        <v>336</v>
      </c>
      <c r="I742" s="5"/>
    </row>
    <row r="743" spans="1:9" x14ac:dyDescent="0.25">
      <c r="A743" s="144">
        <v>46032</v>
      </c>
      <c r="B743" s="145" t="s">
        <v>117</v>
      </c>
      <c r="C743" s="145" t="s">
        <v>12</v>
      </c>
      <c r="D743" s="1" t="s">
        <v>895</v>
      </c>
      <c r="E743" s="146">
        <v>1</v>
      </c>
      <c r="F743" s="1" t="s">
        <v>174</v>
      </c>
      <c r="G743" s="5"/>
      <c r="H743" s="5">
        <f>Table3[[#This Row],[Qty]]*Table3[[#This Row],[Price]]</f>
        <v>0</v>
      </c>
      <c r="I743" s="5"/>
    </row>
    <row r="744" spans="1:9" x14ac:dyDescent="0.25">
      <c r="A744" s="144">
        <v>46032</v>
      </c>
      <c r="B744" s="145" t="s">
        <v>117</v>
      </c>
      <c r="C744" s="145" t="s">
        <v>13</v>
      </c>
      <c r="D744" s="1" t="s">
        <v>794</v>
      </c>
      <c r="E744" s="146">
        <v>100</v>
      </c>
      <c r="F744" s="1" t="s">
        <v>174</v>
      </c>
      <c r="G744" s="5">
        <v>113</v>
      </c>
      <c r="H744" s="5">
        <f>Table3[[#This Row],[Qty]]*Table3[[#This Row],[Price]]</f>
        <v>11300</v>
      </c>
      <c r="I744" s="5"/>
    </row>
    <row r="745" spans="1:9" x14ac:dyDescent="0.25">
      <c r="A745" s="144">
        <v>46032</v>
      </c>
      <c r="B745" s="145" t="s">
        <v>117</v>
      </c>
      <c r="C745" s="145" t="s">
        <v>13</v>
      </c>
      <c r="D745" s="1" t="s">
        <v>791</v>
      </c>
      <c r="E745" s="146">
        <v>6</v>
      </c>
      <c r="F745" s="1" t="s">
        <v>827</v>
      </c>
      <c r="G745" s="5">
        <v>443.33</v>
      </c>
      <c r="H745" s="5">
        <f>Table3[[#This Row],[Qty]]*Table3[[#This Row],[Price]]</f>
        <v>2659.98</v>
      </c>
      <c r="I745" s="5"/>
    </row>
    <row r="746" spans="1:9" x14ac:dyDescent="0.25">
      <c r="A746" s="144">
        <v>46032</v>
      </c>
      <c r="B746" s="145" t="s">
        <v>117</v>
      </c>
      <c r="C746" s="145" t="s">
        <v>13</v>
      </c>
      <c r="D746" s="1" t="s">
        <v>855</v>
      </c>
      <c r="E746" s="146">
        <v>15</v>
      </c>
      <c r="F746" s="1" t="s">
        <v>174</v>
      </c>
      <c r="G746" s="5">
        <v>40</v>
      </c>
      <c r="H746" s="5">
        <f>Table3[[#This Row],[Qty]]*Table3[[#This Row],[Price]]</f>
        <v>600</v>
      </c>
      <c r="I746" s="5"/>
    </row>
    <row r="747" spans="1:9" x14ac:dyDescent="0.25">
      <c r="A747" s="144">
        <v>46032</v>
      </c>
      <c r="B747" s="145" t="s">
        <v>117</v>
      </c>
      <c r="C747" s="145" t="s">
        <v>13</v>
      </c>
      <c r="D747" s="1" t="s">
        <v>842</v>
      </c>
      <c r="E747" s="146">
        <v>2.5</v>
      </c>
      <c r="F747" s="1" t="s">
        <v>174</v>
      </c>
      <c r="G747" s="5">
        <v>75</v>
      </c>
      <c r="H747" s="5">
        <f>Table3[[#This Row],[Qty]]*Table3[[#This Row],[Price]]</f>
        <v>187.5</v>
      </c>
      <c r="I747" s="5"/>
    </row>
    <row r="748" spans="1:9" x14ac:dyDescent="0.25">
      <c r="A748" s="144">
        <v>46032</v>
      </c>
      <c r="B748" s="145" t="s">
        <v>117</v>
      </c>
      <c r="C748" s="145" t="s">
        <v>13</v>
      </c>
      <c r="D748" s="1" t="s">
        <v>865</v>
      </c>
      <c r="E748" s="146">
        <v>20</v>
      </c>
      <c r="F748" s="1" t="s">
        <v>174</v>
      </c>
      <c r="G748" s="5">
        <v>120</v>
      </c>
      <c r="H748" s="5">
        <f>Table3[[#This Row],[Qty]]*Table3[[#This Row],[Price]]</f>
        <v>2400</v>
      </c>
      <c r="I748" s="5"/>
    </row>
    <row r="749" spans="1:9" x14ac:dyDescent="0.25">
      <c r="A749" s="144">
        <v>46032</v>
      </c>
      <c r="B749" s="145" t="s">
        <v>117</v>
      </c>
      <c r="C749" s="145" t="s">
        <v>13</v>
      </c>
      <c r="D749" s="1" t="s">
        <v>844</v>
      </c>
      <c r="E749" s="146">
        <v>21</v>
      </c>
      <c r="F749" s="1" t="s">
        <v>174</v>
      </c>
      <c r="G749" s="5">
        <v>40</v>
      </c>
      <c r="H749" s="5">
        <f>Table3[[#This Row],[Qty]]*Table3[[#This Row],[Price]]</f>
        <v>840</v>
      </c>
      <c r="I749" s="5"/>
    </row>
    <row r="750" spans="1:9" x14ac:dyDescent="0.25">
      <c r="A750" s="144">
        <v>46032</v>
      </c>
      <c r="B750" s="145" t="s">
        <v>117</v>
      </c>
      <c r="C750" s="145" t="s">
        <v>13</v>
      </c>
      <c r="D750" s="1" t="s">
        <v>845</v>
      </c>
      <c r="E750" s="146">
        <v>0.75</v>
      </c>
      <c r="F750" s="1" t="s">
        <v>174</v>
      </c>
      <c r="G750" s="5">
        <v>80</v>
      </c>
      <c r="H750" s="5">
        <f>Table3[[#This Row],[Qty]]*Table3[[#This Row],[Price]]</f>
        <v>60</v>
      </c>
      <c r="I750" s="5"/>
    </row>
    <row r="751" spans="1:9" x14ac:dyDescent="0.25">
      <c r="A751" s="144">
        <v>46032</v>
      </c>
      <c r="B751" s="145" t="s">
        <v>117</v>
      </c>
      <c r="C751" s="145" t="s">
        <v>13</v>
      </c>
      <c r="D751" s="1" t="s">
        <v>846</v>
      </c>
      <c r="E751" s="146">
        <v>0.75</v>
      </c>
      <c r="F751" s="1" t="s">
        <v>174</v>
      </c>
      <c r="G751" s="5">
        <v>130</v>
      </c>
      <c r="H751" s="5">
        <f>Table3[[#This Row],[Qty]]*Table3[[#This Row],[Price]]</f>
        <v>97.5</v>
      </c>
      <c r="I751" s="5"/>
    </row>
    <row r="752" spans="1:9" x14ac:dyDescent="0.25">
      <c r="A752" s="144">
        <v>46032</v>
      </c>
      <c r="B752" s="145" t="s">
        <v>117</v>
      </c>
      <c r="C752" s="145" t="s">
        <v>13</v>
      </c>
      <c r="D752" s="1" t="s">
        <v>880</v>
      </c>
      <c r="E752" s="146">
        <v>0.5</v>
      </c>
      <c r="F752" s="1" t="s">
        <v>174</v>
      </c>
      <c r="G752" s="5">
        <v>50</v>
      </c>
      <c r="H752" s="5">
        <f>Table3[[#This Row],[Qty]]*Table3[[#This Row],[Price]]</f>
        <v>25</v>
      </c>
      <c r="I752" s="5"/>
    </row>
    <row r="753" spans="1:9" x14ac:dyDescent="0.25">
      <c r="A753" s="144">
        <v>46032</v>
      </c>
      <c r="B753" s="145" t="s">
        <v>117</v>
      </c>
      <c r="C753" s="145" t="s">
        <v>13</v>
      </c>
      <c r="D753" s="1" t="s">
        <v>235</v>
      </c>
      <c r="E753" s="146">
        <v>8</v>
      </c>
      <c r="F753" s="1" t="s">
        <v>174</v>
      </c>
      <c r="G753" s="5">
        <v>183</v>
      </c>
      <c r="H753" s="5">
        <f>Table3[[#This Row],[Qty]]*Table3[[#This Row],[Price]]</f>
        <v>1464</v>
      </c>
      <c r="I753" s="5"/>
    </row>
    <row r="754" spans="1:9" x14ac:dyDescent="0.25">
      <c r="A754" s="144">
        <v>46032</v>
      </c>
      <c r="B754" s="145" t="s">
        <v>117</v>
      </c>
      <c r="C754" s="145" t="s">
        <v>13</v>
      </c>
      <c r="D754" s="1" t="s">
        <v>876</v>
      </c>
      <c r="E754" s="146">
        <v>0.3</v>
      </c>
      <c r="F754" s="1" t="s">
        <v>174</v>
      </c>
      <c r="G754" s="5">
        <v>200</v>
      </c>
      <c r="H754" s="5">
        <f>Table3[[#This Row],[Qty]]*Table3[[#This Row],[Price]]</f>
        <v>60</v>
      </c>
      <c r="I754" s="5"/>
    </row>
    <row r="755" spans="1:9" x14ac:dyDescent="0.25">
      <c r="A755" s="144">
        <v>46032</v>
      </c>
      <c r="B755" s="145" t="s">
        <v>117</v>
      </c>
      <c r="C755" s="145" t="s">
        <v>13</v>
      </c>
      <c r="D755" s="1" t="s">
        <v>852</v>
      </c>
      <c r="E755" s="146">
        <v>0.3</v>
      </c>
      <c r="F755" s="1" t="s">
        <v>174</v>
      </c>
      <c r="G755" s="5">
        <v>300</v>
      </c>
      <c r="H755" s="5">
        <f>Table3[[#This Row],[Qty]]*Table3[[#This Row],[Price]]</f>
        <v>90</v>
      </c>
      <c r="I755" s="5"/>
    </row>
    <row r="756" spans="1:9" x14ac:dyDescent="0.25">
      <c r="A756" s="144">
        <v>46032</v>
      </c>
      <c r="B756" s="145" t="s">
        <v>117</v>
      </c>
      <c r="C756" s="145" t="s">
        <v>310</v>
      </c>
      <c r="D756" s="1" t="s">
        <v>741</v>
      </c>
      <c r="E756" s="146">
        <v>14</v>
      </c>
      <c r="F756" s="1" t="s">
        <v>174</v>
      </c>
      <c r="G756" s="5">
        <v>143</v>
      </c>
      <c r="H756" s="5">
        <f>Table3[[#This Row],[Qty]]*Table3[[#This Row],[Price]]</f>
        <v>2002</v>
      </c>
      <c r="I756" s="5"/>
    </row>
    <row r="757" spans="1:9" x14ac:dyDescent="0.25">
      <c r="A757" s="144">
        <v>46032</v>
      </c>
      <c r="B757" s="145" t="s">
        <v>117</v>
      </c>
      <c r="C757" s="145" t="s">
        <v>310</v>
      </c>
      <c r="D757" s="1" t="s">
        <v>828</v>
      </c>
      <c r="E757" s="146">
        <v>40</v>
      </c>
      <c r="F757" s="1" t="s">
        <v>829</v>
      </c>
      <c r="G757" s="5">
        <v>130</v>
      </c>
      <c r="H757" s="5">
        <f>Table3[[#This Row],[Qty]]*Table3[[#This Row],[Price]]</f>
        <v>5200</v>
      </c>
      <c r="I757" s="5"/>
    </row>
    <row r="758" spans="1:9" x14ac:dyDescent="0.25">
      <c r="A758" s="144">
        <v>46032</v>
      </c>
      <c r="B758" s="145" t="s">
        <v>117</v>
      </c>
      <c r="C758" s="145" t="s">
        <v>310</v>
      </c>
      <c r="D758" s="1" t="s">
        <v>835</v>
      </c>
      <c r="E758" s="146">
        <v>14</v>
      </c>
      <c r="F758" s="1" t="s">
        <v>174</v>
      </c>
      <c r="G758" s="5">
        <v>214.3</v>
      </c>
      <c r="H758" s="5">
        <f>Table3[[#This Row],[Qty]]*Table3[[#This Row],[Price]]</f>
        <v>3000.2000000000003</v>
      </c>
      <c r="I758" s="5"/>
    </row>
    <row r="759" spans="1:9" x14ac:dyDescent="0.25">
      <c r="A759" s="144">
        <v>46032</v>
      </c>
      <c r="B759" s="145" t="s">
        <v>117</v>
      </c>
      <c r="C759" s="145" t="s">
        <v>13</v>
      </c>
      <c r="D759" s="1" t="s">
        <v>222</v>
      </c>
      <c r="E759" s="146">
        <v>1</v>
      </c>
      <c r="F759" s="58" t="s">
        <v>819</v>
      </c>
      <c r="G759" s="5">
        <v>28</v>
      </c>
      <c r="H759" s="5">
        <f>Table3[[#This Row],[Qty]]*Table3[[#This Row],[Price]]</f>
        <v>28</v>
      </c>
      <c r="I759" s="5"/>
    </row>
    <row r="760" spans="1:9" x14ac:dyDescent="0.25">
      <c r="A760" s="153">
        <v>46032</v>
      </c>
      <c r="B760" s="154" t="s">
        <v>117</v>
      </c>
      <c r="C760" s="154" t="s">
        <v>13</v>
      </c>
      <c r="D760" s="155" t="s">
        <v>864</v>
      </c>
      <c r="E760" s="156">
        <v>10</v>
      </c>
      <c r="F760" s="1" t="s">
        <v>174</v>
      </c>
      <c r="G760" s="151"/>
      <c r="H760" s="151">
        <f>Table3[[#This Row],[Qty]]*Table3[[#This Row],[Price]]</f>
        <v>0</v>
      </c>
      <c r="I760" s="151"/>
    </row>
    <row r="761" spans="1:9" x14ac:dyDescent="0.25">
      <c r="A761" s="144">
        <v>46032</v>
      </c>
      <c r="B761" s="145" t="s">
        <v>117</v>
      </c>
      <c r="C761" s="145" t="s">
        <v>310</v>
      </c>
      <c r="D761" s="1" t="s">
        <v>866</v>
      </c>
      <c r="E761" s="146">
        <v>1</v>
      </c>
      <c r="F761" s="1" t="s">
        <v>174</v>
      </c>
      <c r="G761" s="5">
        <v>480</v>
      </c>
      <c r="H761" s="5">
        <f>Table3[[#This Row],[Qty]]*Table3[[#This Row],[Price]]</f>
        <v>480</v>
      </c>
      <c r="I761" s="5"/>
    </row>
    <row r="762" spans="1:9" x14ac:dyDescent="0.25">
      <c r="A762" s="144">
        <v>46032</v>
      </c>
      <c r="B762" s="145" t="s">
        <v>117</v>
      </c>
      <c r="C762" s="145" t="s">
        <v>310</v>
      </c>
      <c r="D762" s="1" t="s">
        <v>862</v>
      </c>
      <c r="E762" s="146">
        <v>7.8</v>
      </c>
      <c r="F762" s="1" t="s">
        <v>174</v>
      </c>
      <c r="G762" s="5">
        <v>170</v>
      </c>
      <c r="H762" s="5">
        <f>Table3[[#This Row],[Qty]]*Table3[[#This Row],[Price]]</f>
        <v>1326</v>
      </c>
      <c r="I762" s="5"/>
    </row>
    <row r="763" spans="1:9" x14ac:dyDescent="0.25">
      <c r="A763" s="144">
        <v>46032</v>
      </c>
      <c r="B763" s="145" t="s">
        <v>117</v>
      </c>
      <c r="C763" s="145" t="s">
        <v>310</v>
      </c>
      <c r="D763" s="1" t="s">
        <v>786</v>
      </c>
      <c r="E763" s="146">
        <v>3.7</v>
      </c>
      <c r="F763" s="1" t="s">
        <v>174</v>
      </c>
      <c r="G763" s="5">
        <v>1400</v>
      </c>
      <c r="H763" s="5">
        <f>Table3[[#This Row],[Qty]]*Table3[[#This Row],[Price]]</f>
        <v>5180</v>
      </c>
      <c r="I763" s="5"/>
    </row>
    <row r="764" spans="1:9" x14ac:dyDescent="0.25">
      <c r="A764" s="144">
        <v>46032</v>
      </c>
      <c r="B764" s="145" t="s">
        <v>117</v>
      </c>
      <c r="C764" s="145" t="s">
        <v>310</v>
      </c>
      <c r="D764" s="1" t="s">
        <v>854</v>
      </c>
      <c r="E764" s="146">
        <v>1</v>
      </c>
      <c r="F764" s="1" t="s">
        <v>174</v>
      </c>
      <c r="G764" s="5">
        <v>1600</v>
      </c>
      <c r="H764" s="5">
        <f>Table3[[#This Row],[Qty]]*Table3[[#This Row],[Price]]</f>
        <v>1600</v>
      </c>
      <c r="I764" s="5"/>
    </row>
    <row r="765" spans="1:9" x14ac:dyDescent="0.25">
      <c r="A765" s="144">
        <v>46032</v>
      </c>
      <c r="B765" s="145" t="s">
        <v>117</v>
      </c>
      <c r="C765" s="145" t="s">
        <v>894</v>
      </c>
      <c r="D765" s="1" t="s">
        <v>896</v>
      </c>
      <c r="E765" s="146">
        <v>0.5</v>
      </c>
      <c r="F765" s="1" t="s">
        <v>827</v>
      </c>
      <c r="G765" s="5"/>
      <c r="H765" s="5">
        <f>Table3[[#This Row],[Qty]]*Table3[[#This Row],[Price]]</f>
        <v>0</v>
      </c>
      <c r="I765" s="5"/>
    </row>
    <row r="766" spans="1:9" x14ac:dyDescent="0.25">
      <c r="A766" s="144">
        <v>46032</v>
      </c>
      <c r="B766" s="145" t="s">
        <v>117</v>
      </c>
      <c r="C766" s="145" t="s">
        <v>20</v>
      </c>
      <c r="D766" s="1" t="s">
        <v>844</v>
      </c>
      <c r="E766" s="146">
        <v>7</v>
      </c>
      <c r="F766" s="1" t="s">
        <v>174</v>
      </c>
      <c r="G766" s="5">
        <v>40</v>
      </c>
      <c r="H766" s="5">
        <f>Table3[[#This Row],[Qty]]*Table3[[#This Row],[Price]]</f>
        <v>280</v>
      </c>
      <c r="I766" s="5"/>
    </row>
    <row r="767" spans="1:9" x14ac:dyDescent="0.25">
      <c r="A767" s="144">
        <v>46032</v>
      </c>
      <c r="B767" s="145" t="s">
        <v>117</v>
      </c>
      <c r="C767" s="145" t="s">
        <v>20</v>
      </c>
      <c r="D767" s="1" t="s">
        <v>869</v>
      </c>
      <c r="E767" s="146">
        <v>8</v>
      </c>
      <c r="F767" s="1" t="s">
        <v>174</v>
      </c>
      <c r="G767" s="5">
        <v>80</v>
      </c>
      <c r="H767" s="5">
        <f>Table3[[#This Row],[Qty]]*Table3[[#This Row],[Price]]</f>
        <v>640</v>
      </c>
      <c r="I767" s="5"/>
    </row>
    <row r="768" spans="1:9" x14ac:dyDescent="0.25">
      <c r="A768" s="144">
        <v>46032</v>
      </c>
      <c r="B768" s="145" t="s">
        <v>117</v>
      </c>
      <c r="C768" s="145" t="s">
        <v>20</v>
      </c>
      <c r="D768" s="1" t="s">
        <v>873</v>
      </c>
      <c r="E768" s="146">
        <v>5</v>
      </c>
      <c r="F768" s="1" t="s">
        <v>174</v>
      </c>
      <c r="G768" s="5">
        <v>80</v>
      </c>
      <c r="H768" s="5">
        <f>Table3[[#This Row],[Qty]]*Table3[[#This Row],[Price]]</f>
        <v>400</v>
      </c>
      <c r="I768" s="5"/>
    </row>
    <row r="769" spans="1:9" x14ac:dyDescent="0.25">
      <c r="A769" s="144">
        <v>46032</v>
      </c>
      <c r="B769" s="145" t="s">
        <v>117</v>
      </c>
      <c r="C769" s="145" t="s">
        <v>20</v>
      </c>
      <c r="D769" s="1" t="s">
        <v>863</v>
      </c>
      <c r="E769" s="146">
        <v>2</v>
      </c>
      <c r="F769" s="1" t="s">
        <v>174</v>
      </c>
      <c r="G769" s="5">
        <v>150</v>
      </c>
      <c r="H769" s="5">
        <f>Table3[[#This Row],[Qty]]*Table3[[#This Row],[Price]]</f>
        <v>300</v>
      </c>
      <c r="I769" s="5"/>
    </row>
    <row r="770" spans="1:9" x14ac:dyDescent="0.25">
      <c r="A770" s="144">
        <v>46032</v>
      </c>
      <c r="B770" s="145" t="s">
        <v>117</v>
      </c>
      <c r="C770" s="145" t="s">
        <v>20</v>
      </c>
      <c r="D770" s="1" t="s">
        <v>791</v>
      </c>
      <c r="E770" s="146">
        <v>4</v>
      </c>
      <c r="F770" s="1" t="s">
        <v>827</v>
      </c>
      <c r="G770" s="5">
        <v>443.33</v>
      </c>
      <c r="H770" s="5">
        <f>Table3[[#This Row],[Qty]]*Table3[[#This Row],[Price]]</f>
        <v>1773.32</v>
      </c>
      <c r="I770" s="5"/>
    </row>
    <row r="771" spans="1:9" x14ac:dyDescent="0.25">
      <c r="A771" s="144">
        <v>46032</v>
      </c>
      <c r="B771" s="145" t="s">
        <v>117</v>
      </c>
      <c r="C771" s="145" t="s">
        <v>20</v>
      </c>
      <c r="D771" s="1" t="s">
        <v>818</v>
      </c>
      <c r="E771" s="146">
        <v>0.5</v>
      </c>
      <c r="F771" s="1" t="s">
        <v>174</v>
      </c>
      <c r="G771" s="5">
        <v>580</v>
      </c>
      <c r="H771" s="5">
        <f>Table3[[#This Row],[Qty]]*Table3[[#This Row],[Price]]</f>
        <v>290</v>
      </c>
      <c r="I771" s="5"/>
    </row>
    <row r="772" spans="1:9" x14ac:dyDescent="0.25">
      <c r="A772" s="144">
        <v>46032</v>
      </c>
      <c r="B772" s="145" t="s">
        <v>117</v>
      </c>
      <c r="C772" s="145" t="s">
        <v>20</v>
      </c>
      <c r="D772" s="1" t="s">
        <v>802</v>
      </c>
      <c r="E772" s="146">
        <v>1</v>
      </c>
      <c r="F772" s="1" t="s">
        <v>174</v>
      </c>
      <c r="G772" s="5">
        <v>480</v>
      </c>
      <c r="H772" s="5">
        <f>Table3[[#This Row],[Qty]]*Table3[[#This Row],[Price]]</f>
        <v>480</v>
      </c>
      <c r="I772" s="5"/>
    </row>
    <row r="773" spans="1:9" x14ac:dyDescent="0.25">
      <c r="A773" s="144">
        <v>46032</v>
      </c>
      <c r="B773" s="145" t="s">
        <v>117</v>
      </c>
      <c r="C773" s="145" t="s">
        <v>20</v>
      </c>
      <c r="D773" s="1" t="s">
        <v>135</v>
      </c>
      <c r="E773" s="146">
        <v>1.2</v>
      </c>
      <c r="F773" s="1" t="s">
        <v>174</v>
      </c>
      <c r="G773" s="5">
        <v>300</v>
      </c>
      <c r="H773" s="5">
        <f>Table3[[#This Row],[Qty]]*Table3[[#This Row],[Price]]</f>
        <v>360</v>
      </c>
      <c r="I773" s="5"/>
    </row>
    <row r="774" spans="1:9" x14ac:dyDescent="0.25">
      <c r="A774" s="144">
        <v>46032</v>
      </c>
      <c r="B774" s="145" t="s">
        <v>117</v>
      </c>
      <c r="C774" s="145" t="s">
        <v>20</v>
      </c>
      <c r="D774" s="1" t="s">
        <v>144</v>
      </c>
      <c r="E774" s="146">
        <v>8</v>
      </c>
      <c r="F774" s="58" t="s">
        <v>819</v>
      </c>
      <c r="G774" s="5">
        <v>28</v>
      </c>
      <c r="H774" s="5">
        <f>Table3[[#This Row],[Qty]]*Table3[[#This Row],[Price]]</f>
        <v>224</v>
      </c>
      <c r="I774" s="5"/>
    </row>
    <row r="775" spans="1:9" x14ac:dyDescent="0.25">
      <c r="A775" s="144">
        <v>46032</v>
      </c>
      <c r="B775" s="145" t="s">
        <v>117</v>
      </c>
      <c r="C775" s="145" t="s">
        <v>20</v>
      </c>
      <c r="D775" s="1" t="s">
        <v>876</v>
      </c>
      <c r="E775" s="146">
        <v>0.1</v>
      </c>
      <c r="F775" s="1" t="s">
        <v>174</v>
      </c>
      <c r="G775" s="5">
        <v>200</v>
      </c>
      <c r="H775" s="5">
        <f>Table3[[#This Row],[Qty]]*Table3[[#This Row],[Price]]</f>
        <v>20</v>
      </c>
      <c r="I775" s="5"/>
    </row>
    <row r="776" spans="1:9" x14ac:dyDescent="0.25">
      <c r="A776" s="144">
        <v>46032</v>
      </c>
      <c r="B776" s="145" t="s">
        <v>117</v>
      </c>
      <c r="C776" s="145" t="s">
        <v>20</v>
      </c>
      <c r="D776" s="1" t="s">
        <v>820</v>
      </c>
      <c r="E776" s="146">
        <v>0.25</v>
      </c>
      <c r="F776" s="1" t="s">
        <v>174</v>
      </c>
      <c r="G776" s="5">
        <v>580</v>
      </c>
      <c r="H776" s="5">
        <f>Table3[[#This Row],[Qty]]*Table3[[#This Row],[Price]]</f>
        <v>145</v>
      </c>
      <c r="I776" s="5"/>
    </row>
    <row r="777" spans="1:9" x14ac:dyDescent="0.25">
      <c r="A777" s="153">
        <v>46032</v>
      </c>
      <c r="B777" s="154" t="s">
        <v>117</v>
      </c>
      <c r="C777" s="154" t="s">
        <v>894</v>
      </c>
      <c r="D777" s="155" t="s">
        <v>728</v>
      </c>
      <c r="E777" s="156">
        <v>1</v>
      </c>
      <c r="F777" s="1" t="s">
        <v>174</v>
      </c>
      <c r="G777" s="151"/>
      <c r="H777" s="151">
        <f>Table3[[#This Row],[Qty]]*Table3[[#This Row],[Price]]</f>
        <v>0</v>
      </c>
      <c r="I777" s="151"/>
    </row>
    <row r="778" spans="1:9" x14ac:dyDescent="0.25">
      <c r="A778" s="144">
        <v>46032</v>
      </c>
      <c r="B778" s="145" t="s">
        <v>117</v>
      </c>
      <c r="C778" s="145" t="s">
        <v>310</v>
      </c>
      <c r="D778" s="1" t="s">
        <v>836</v>
      </c>
      <c r="E778" s="161">
        <v>5</v>
      </c>
      <c r="F778" s="1" t="s">
        <v>174</v>
      </c>
      <c r="G778" s="5">
        <v>600</v>
      </c>
      <c r="H778" s="5">
        <f>Table3[[#This Row],[Qty]]*Table3[[#This Row],[Price]]</f>
        <v>3000</v>
      </c>
      <c r="I778" s="5"/>
    </row>
    <row r="779" spans="1:9" x14ac:dyDescent="0.25">
      <c r="A779" s="153">
        <v>46032</v>
      </c>
      <c r="B779" s="154" t="s">
        <v>117</v>
      </c>
      <c r="C779" s="154" t="s">
        <v>310</v>
      </c>
      <c r="D779" s="155" t="s">
        <v>811</v>
      </c>
      <c r="E779" s="156">
        <v>10</v>
      </c>
      <c r="F779" s="1" t="s">
        <v>174</v>
      </c>
      <c r="G779" s="151"/>
      <c r="H779" s="151">
        <f>Table3[[#This Row],[Qty]]*Table3[[#This Row],[Price]]</f>
        <v>0</v>
      </c>
      <c r="I779" s="151"/>
    </row>
    <row r="780" spans="1:9" x14ac:dyDescent="0.25">
      <c r="A780" s="153">
        <v>46032</v>
      </c>
      <c r="B780" s="154" t="s">
        <v>117</v>
      </c>
      <c r="C780" s="154" t="s">
        <v>310</v>
      </c>
      <c r="D780" s="155" t="s">
        <v>810</v>
      </c>
      <c r="E780" s="156">
        <v>15</v>
      </c>
      <c r="F780" s="1" t="s">
        <v>174</v>
      </c>
      <c r="G780" s="151"/>
      <c r="H780" s="151">
        <f>Table3[[#This Row],[Qty]]*Table3[[#This Row],[Price]]</f>
        <v>0</v>
      </c>
      <c r="I780" s="151"/>
    </row>
    <row r="781" spans="1:9" x14ac:dyDescent="0.25">
      <c r="A781" s="144">
        <v>46032</v>
      </c>
      <c r="B781" s="145" t="s">
        <v>117</v>
      </c>
      <c r="C781" s="145" t="s">
        <v>310</v>
      </c>
      <c r="D781" s="1" t="s">
        <v>812</v>
      </c>
      <c r="E781" s="161">
        <v>10</v>
      </c>
      <c r="F781" s="1" t="s">
        <v>174</v>
      </c>
      <c r="G781" s="5">
        <v>680</v>
      </c>
      <c r="H781" s="5">
        <f>Table3[[#This Row],[Qty]]*Table3[[#This Row],[Price]]</f>
        <v>6800</v>
      </c>
      <c r="I781" s="5"/>
    </row>
    <row r="782" spans="1:9" x14ac:dyDescent="0.25">
      <c r="A782" s="144">
        <v>46032</v>
      </c>
      <c r="B782" s="145" t="s">
        <v>117</v>
      </c>
      <c r="C782" s="145" t="s">
        <v>310</v>
      </c>
      <c r="D782" s="1" t="s">
        <v>786</v>
      </c>
      <c r="E782" s="161">
        <v>3.7</v>
      </c>
      <c r="F782" s="1" t="s">
        <v>174</v>
      </c>
      <c r="G782" s="5">
        <v>1400</v>
      </c>
      <c r="H782" s="5">
        <f>Table3[[#This Row],[Qty]]*Table3[[#This Row],[Price]]</f>
        <v>5180</v>
      </c>
      <c r="I782" s="5"/>
    </row>
    <row r="783" spans="1:9" x14ac:dyDescent="0.25">
      <c r="A783" s="144">
        <v>46032</v>
      </c>
      <c r="B783" s="145" t="s">
        <v>117</v>
      </c>
      <c r="C783" s="145" t="s">
        <v>310</v>
      </c>
      <c r="D783" s="1" t="s">
        <v>862</v>
      </c>
      <c r="E783" s="161">
        <v>7.8</v>
      </c>
      <c r="F783" s="1" t="s">
        <v>174</v>
      </c>
      <c r="G783" s="5">
        <v>170</v>
      </c>
      <c r="H783" s="5">
        <f>Table3[[#This Row],[Qty]]*Table3[[#This Row],[Price]]</f>
        <v>1326</v>
      </c>
      <c r="I783" s="5"/>
    </row>
    <row r="784" spans="1:9" x14ac:dyDescent="0.25">
      <c r="A784" s="144">
        <v>46032</v>
      </c>
      <c r="B784" s="145" t="s">
        <v>117</v>
      </c>
      <c r="C784" s="145" t="s">
        <v>310</v>
      </c>
      <c r="D784" s="1" t="s">
        <v>862</v>
      </c>
      <c r="E784" s="161">
        <v>4</v>
      </c>
      <c r="F784" s="1" t="s">
        <v>174</v>
      </c>
      <c r="G784" s="5">
        <v>170</v>
      </c>
      <c r="H784" s="5">
        <f>Table3[[#This Row],[Qty]]*Table3[[#This Row],[Price]]</f>
        <v>680</v>
      </c>
      <c r="I784" s="5"/>
    </row>
    <row r="785" spans="1:9" x14ac:dyDescent="0.25">
      <c r="A785" s="144">
        <v>46032</v>
      </c>
      <c r="B785" s="145" t="s">
        <v>117</v>
      </c>
      <c r="C785" s="145" t="s">
        <v>310</v>
      </c>
      <c r="D785" s="1" t="s">
        <v>786</v>
      </c>
      <c r="E785" s="161">
        <v>1.5</v>
      </c>
      <c r="F785" s="1" t="s">
        <v>174</v>
      </c>
      <c r="G785" s="5">
        <v>1400</v>
      </c>
      <c r="H785" s="5">
        <f>Table3[[#This Row],[Qty]]*Table3[[#This Row],[Price]]</f>
        <v>2100</v>
      </c>
      <c r="I785" s="5"/>
    </row>
    <row r="786" spans="1:9" x14ac:dyDescent="0.25">
      <c r="A786" s="144">
        <v>46032</v>
      </c>
      <c r="B786" s="145" t="s">
        <v>117</v>
      </c>
      <c r="C786" s="145" t="s">
        <v>310</v>
      </c>
      <c r="D786" s="1" t="s">
        <v>868</v>
      </c>
      <c r="E786" s="161">
        <v>10</v>
      </c>
      <c r="F786" s="1" t="s">
        <v>827</v>
      </c>
      <c r="G786" s="5">
        <v>220</v>
      </c>
      <c r="H786" s="5">
        <f>Table3[[#This Row],[Qty]]*Table3[[#This Row],[Price]]</f>
        <v>2200</v>
      </c>
      <c r="I786" s="5"/>
    </row>
    <row r="787" spans="1:9" x14ac:dyDescent="0.25">
      <c r="A787" s="144">
        <v>46033</v>
      </c>
      <c r="B787" s="145" t="s">
        <v>118</v>
      </c>
      <c r="C787" s="145" t="s">
        <v>12</v>
      </c>
      <c r="D787" s="1" t="s">
        <v>793</v>
      </c>
      <c r="E787" s="161">
        <v>40</v>
      </c>
      <c r="F787" s="1" t="s">
        <v>174</v>
      </c>
      <c r="G787" s="5">
        <v>119</v>
      </c>
      <c r="H787" s="5">
        <f>Table3[[#This Row],[Qty]]*Table3[[#This Row],[Price]]</f>
        <v>4760</v>
      </c>
      <c r="I787" s="5"/>
    </row>
    <row r="788" spans="1:9" x14ac:dyDescent="0.25">
      <c r="A788" s="144">
        <v>46033</v>
      </c>
      <c r="B788" s="145" t="s">
        <v>118</v>
      </c>
      <c r="C788" s="145" t="s">
        <v>310</v>
      </c>
      <c r="D788" s="1" t="s">
        <v>862</v>
      </c>
      <c r="E788" s="161">
        <v>8.1</v>
      </c>
      <c r="F788" s="1" t="s">
        <v>174</v>
      </c>
      <c r="G788" s="5">
        <v>170</v>
      </c>
      <c r="H788" s="5">
        <f>Table3[[#This Row],[Qty]]*Table3[[#This Row],[Price]]</f>
        <v>1377</v>
      </c>
      <c r="I788" s="5"/>
    </row>
    <row r="789" spans="1:9" x14ac:dyDescent="0.25">
      <c r="A789" s="144">
        <v>46033</v>
      </c>
      <c r="B789" s="145" t="s">
        <v>118</v>
      </c>
      <c r="C789" s="145" t="s">
        <v>310</v>
      </c>
      <c r="D789" s="1" t="s">
        <v>786</v>
      </c>
      <c r="E789" s="161">
        <v>3</v>
      </c>
      <c r="F789" s="1" t="s">
        <v>174</v>
      </c>
      <c r="G789" s="5">
        <v>1400</v>
      </c>
      <c r="H789" s="5">
        <f>Table3[[#This Row],[Qty]]*Table3[[#This Row],[Price]]</f>
        <v>4200</v>
      </c>
      <c r="I789" s="5"/>
    </row>
    <row r="790" spans="1:9" x14ac:dyDescent="0.25">
      <c r="A790" s="144">
        <v>46033</v>
      </c>
      <c r="B790" s="145" t="s">
        <v>118</v>
      </c>
      <c r="C790" s="145" t="s">
        <v>12</v>
      </c>
      <c r="D790" s="1" t="s">
        <v>791</v>
      </c>
      <c r="E790" s="161">
        <v>7</v>
      </c>
      <c r="F790" s="1" t="s">
        <v>827</v>
      </c>
      <c r="G790" s="5">
        <v>443.33</v>
      </c>
      <c r="H790" s="5">
        <f>Table3[[#This Row],[Qty]]*Table3[[#This Row],[Price]]</f>
        <v>3103.31</v>
      </c>
      <c r="I790" s="5"/>
    </row>
    <row r="791" spans="1:9" x14ac:dyDescent="0.25">
      <c r="A791" s="144">
        <v>46033</v>
      </c>
      <c r="B791" s="145" t="s">
        <v>118</v>
      </c>
      <c r="C791" s="145" t="s">
        <v>310</v>
      </c>
      <c r="D791" s="1" t="s">
        <v>866</v>
      </c>
      <c r="E791" s="161">
        <v>2</v>
      </c>
      <c r="F791" s="1" t="s">
        <v>174</v>
      </c>
      <c r="G791" s="5">
        <v>480</v>
      </c>
      <c r="H791" s="5">
        <f>Table3[[#This Row],[Qty]]*Table3[[#This Row],[Price]]</f>
        <v>960</v>
      </c>
      <c r="I791" s="5"/>
    </row>
    <row r="792" spans="1:9" x14ac:dyDescent="0.25">
      <c r="A792" s="144">
        <v>46033</v>
      </c>
      <c r="B792" s="145" t="s">
        <v>118</v>
      </c>
      <c r="C792" s="145" t="s">
        <v>12</v>
      </c>
      <c r="D792" s="1" t="s">
        <v>222</v>
      </c>
      <c r="E792" s="161">
        <v>2</v>
      </c>
      <c r="F792" s="58" t="s">
        <v>819</v>
      </c>
      <c r="G792" s="5">
        <v>28</v>
      </c>
      <c r="H792" s="5">
        <f>Table3[[#This Row],[Qty]]*Table3[[#This Row],[Price]]</f>
        <v>56</v>
      </c>
      <c r="I792" s="5"/>
    </row>
    <row r="793" spans="1:9" x14ac:dyDescent="0.25">
      <c r="A793" s="144">
        <v>46033</v>
      </c>
      <c r="B793" s="145" t="s">
        <v>118</v>
      </c>
      <c r="C793" s="145" t="s">
        <v>12</v>
      </c>
      <c r="D793" s="1" t="s">
        <v>895</v>
      </c>
      <c r="E793" s="161">
        <v>1</v>
      </c>
      <c r="F793" s="1" t="s">
        <v>174</v>
      </c>
      <c r="G793" s="5"/>
      <c r="H793" s="5">
        <f>Table3[[#This Row],[Qty]]*Table3[[#This Row],[Price]]</f>
        <v>0</v>
      </c>
      <c r="I793" s="5"/>
    </row>
    <row r="794" spans="1:9" x14ac:dyDescent="0.25">
      <c r="A794" s="144">
        <v>46033</v>
      </c>
      <c r="B794" s="145" t="s">
        <v>118</v>
      </c>
      <c r="C794" s="145" t="s">
        <v>12</v>
      </c>
      <c r="D794" s="1" t="s">
        <v>897</v>
      </c>
      <c r="E794" s="161">
        <v>7.4999999999999997E-2</v>
      </c>
      <c r="F794" s="1" t="s">
        <v>174</v>
      </c>
      <c r="G794" s="5"/>
      <c r="H794" s="5">
        <f>Table3[[#This Row],[Qty]]*Table3[[#This Row],[Price]]</f>
        <v>0</v>
      </c>
      <c r="I794" s="5"/>
    </row>
    <row r="795" spans="1:9" x14ac:dyDescent="0.25">
      <c r="A795" s="144">
        <v>46033</v>
      </c>
      <c r="B795" s="145" t="s">
        <v>118</v>
      </c>
      <c r="C795" s="145" t="s">
        <v>13</v>
      </c>
      <c r="D795" s="1" t="s">
        <v>794</v>
      </c>
      <c r="E795" s="161">
        <v>100</v>
      </c>
      <c r="F795" s="1" t="s">
        <v>174</v>
      </c>
      <c r="G795" s="5">
        <v>113</v>
      </c>
      <c r="H795" s="5">
        <f>Table3[[#This Row],[Qty]]*Table3[[#This Row],[Price]]</f>
        <v>11300</v>
      </c>
      <c r="I795" s="5"/>
    </row>
    <row r="796" spans="1:9" x14ac:dyDescent="0.25">
      <c r="A796" s="144">
        <v>46033</v>
      </c>
      <c r="B796" s="145" t="s">
        <v>118</v>
      </c>
      <c r="C796" s="145" t="s">
        <v>13</v>
      </c>
      <c r="D796" s="1" t="s">
        <v>874</v>
      </c>
      <c r="E796" s="161">
        <v>8</v>
      </c>
      <c r="F796" s="1" t="s">
        <v>174</v>
      </c>
      <c r="G796" s="5">
        <v>1600</v>
      </c>
      <c r="H796" s="5">
        <f>Table3[[#This Row],[Qty]]*Table3[[#This Row],[Price]]</f>
        <v>12800</v>
      </c>
      <c r="I796" s="5"/>
    </row>
    <row r="797" spans="1:9" x14ac:dyDescent="0.25">
      <c r="A797" s="144">
        <v>46033</v>
      </c>
      <c r="B797" s="145" t="s">
        <v>118</v>
      </c>
      <c r="C797" s="145" t="s">
        <v>13</v>
      </c>
      <c r="D797" s="1" t="s">
        <v>860</v>
      </c>
      <c r="E797" s="161">
        <v>4</v>
      </c>
      <c r="F797" s="1" t="s">
        <v>174</v>
      </c>
      <c r="G797" s="5">
        <v>12</v>
      </c>
      <c r="H797" s="5">
        <f>Table3[[#This Row],[Qty]]*Table3[[#This Row],[Price]]</f>
        <v>48</v>
      </c>
      <c r="I797" s="5"/>
    </row>
    <row r="798" spans="1:9" x14ac:dyDescent="0.25">
      <c r="A798" s="144">
        <v>46033</v>
      </c>
      <c r="B798" s="145" t="s">
        <v>118</v>
      </c>
      <c r="C798" s="145" t="s">
        <v>13</v>
      </c>
      <c r="D798" s="1" t="s">
        <v>844</v>
      </c>
      <c r="E798" s="161">
        <v>12.5</v>
      </c>
      <c r="F798" s="1" t="s">
        <v>174</v>
      </c>
      <c r="G798" s="5">
        <v>40</v>
      </c>
      <c r="H798" s="5">
        <f>Table3[[#This Row],[Qty]]*Table3[[#This Row],[Price]]</f>
        <v>500</v>
      </c>
      <c r="I798" s="5"/>
    </row>
    <row r="799" spans="1:9" x14ac:dyDescent="0.25">
      <c r="A799" s="144">
        <v>46033</v>
      </c>
      <c r="B799" s="145" t="s">
        <v>118</v>
      </c>
      <c r="C799" s="145" t="s">
        <v>13</v>
      </c>
      <c r="D799" s="1" t="s">
        <v>803</v>
      </c>
      <c r="E799" s="161">
        <v>0.25</v>
      </c>
      <c r="F799" s="1" t="s">
        <v>174</v>
      </c>
      <c r="G799" s="5">
        <v>580</v>
      </c>
      <c r="H799" s="5">
        <f>Table3[[#This Row],[Qty]]*Table3[[#This Row],[Price]]</f>
        <v>145</v>
      </c>
      <c r="I799" s="5"/>
    </row>
    <row r="800" spans="1:9" x14ac:dyDescent="0.25">
      <c r="A800" s="144">
        <v>46033</v>
      </c>
      <c r="B800" s="145" t="s">
        <v>118</v>
      </c>
      <c r="C800" s="145" t="s">
        <v>13</v>
      </c>
      <c r="D800" s="1" t="s">
        <v>876</v>
      </c>
      <c r="E800" s="161">
        <v>0.2</v>
      </c>
      <c r="F800" s="1" t="s">
        <v>174</v>
      </c>
      <c r="G800" s="5">
        <v>200</v>
      </c>
      <c r="H800" s="5">
        <f>Table3[[#This Row],[Qty]]*Table3[[#This Row],[Price]]</f>
        <v>40</v>
      </c>
      <c r="I800" s="5"/>
    </row>
    <row r="801" spans="1:9" x14ac:dyDescent="0.25">
      <c r="A801" s="144">
        <v>46033</v>
      </c>
      <c r="B801" s="145" t="s">
        <v>118</v>
      </c>
      <c r="C801" s="145" t="s">
        <v>13</v>
      </c>
      <c r="D801" s="1" t="s">
        <v>852</v>
      </c>
      <c r="E801" s="161">
        <v>0.5</v>
      </c>
      <c r="F801" s="1" t="s">
        <v>174</v>
      </c>
      <c r="G801" s="5">
        <v>300</v>
      </c>
      <c r="H801" s="5">
        <f>Table3[[#This Row],[Qty]]*Table3[[#This Row],[Price]]</f>
        <v>150</v>
      </c>
      <c r="I801" s="5"/>
    </row>
    <row r="802" spans="1:9" x14ac:dyDescent="0.25">
      <c r="A802" s="144">
        <v>46033</v>
      </c>
      <c r="B802" s="145" t="s">
        <v>118</v>
      </c>
      <c r="C802" s="145" t="s">
        <v>13</v>
      </c>
      <c r="D802" s="1" t="s">
        <v>797</v>
      </c>
      <c r="E802" s="161">
        <v>0.5</v>
      </c>
      <c r="F802" s="1" t="s">
        <v>174</v>
      </c>
      <c r="G802" s="5">
        <v>560</v>
      </c>
      <c r="H802" s="5">
        <f>Table3[[#This Row],[Qty]]*Table3[[#This Row],[Price]]</f>
        <v>280</v>
      </c>
      <c r="I802" s="5"/>
    </row>
    <row r="803" spans="1:9" x14ac:dyDescent="0.25">
      <c r="A803" s="144">
        <v>46033</v>
      </c>
      <c r="B803" s="145" t="s">
        <v>118</v>
      </c>
      <c r="C803" s="145" t="s">
        <v>13</v>
      </c>
      <c r="D803" s="1" t="s">
        <v>846</v>
      </c>
      <c r="E803" s="161">
        <v>0.4</v>
      </c>
      <c r="F803" s="1" t="s">
        <v>174</v>
      </c>
      <c r="G803" s="5">
        <v>130</v>
      </c>
      <c r="H803" s="5">
        <f>Table3[[#This Row],[Qty]]*Table3[[#This Row],[Price]]</f>
        <v>52</v>
      </c>
      <c r="I803" s="5"/>
    </row>
    <row r="804" spans="1:9" x14ac:dyDescent="0.25">
      <c r="A804" s="144">
        <v>46033</v>
      </c>
      <c r="B804" s="145" t="s">
        <v>118</v>
      </c>
      <c r="C804" s="145" t="s">
        <v>13</v>
      </c>
      <c r="D804" s="1" t="s">
        <v>880</v>
      </c>
      <c r="E804" s="161">
        <v>0.4</v>
      </c>
      <c r="F804" s="1" t="s">
        <v>174</v>
      </c>
      <c r="G804" s="5">
        <v>50</v>
      </c>
      <c r="H804" s="5">
        <f>Table3[[#This Row],[Qty]]*Table3[[#This Row],[Price]]</f>
        <v>20</v>
      </c>
      <c r="I804" s="5"/>
    </row>
    <row r="805" spans="1:9" x14ac:dyDescent="0.25">
      <c r="A805" s="144">
        <v>46033</v>
      </c>
      <c r="B805" s="145" t="s">
        <v>118</v>
      </c>
      <c r="C805" s="145" t="s">
        <v>13</v>
      </c>
      <c r="D805" s="1" t="s">
        <v>842</v>
      </c>
      <c r="E805" s="161">
        <v>0.4</v>
      </c>
      <c r="F805" s="1" t="s">
        <v>174</v>
      </c>
      <c r="G805" s="5">
        <v>75</v>
      </c>
      <c r="H805" s="5">
        <f>Table3[[#This Row],[Qty]]*Table3[[#This Row],[Price]]</f>
        <v>30</v>
      </c>
      <c r="I805" s="5"/>
    </row>
    <row r="806" spans="1:9" x14ac:dyDescent="0.25">
      <c r="A806" s="144">
        <v>46033</v>
      </c>
      <c r="B806" s="145" t="s">
        <v>118</v>
      </c>
      <c r="C806" s="145" t="s">
        <v>13</v>
      </c>
      <c r="D806" s="1" t="s">
        <v>791</v>
      </c>
      <c r="E806" s="161">
        <v>0.3</v>
      </c>
      <c r="F806" s="1" t="s">
        <v>827</v>
      </c>
      <c r="G806" s="5">
        <v>443.33</v>
      </c>
      <c r="H806" s="5">
        <f>Table3[[#This Row],[Qty]]*Table3[[#This Row],[Price]]</f>
        <v>132.999</v>
      </c>
      <c r="I806" s="5"/>
    </row>
    <row r="807" spans="1:9" x14ac:dyDescent="0.25">
      <c r="A807" s="144">
        <v>46033</v>
      </c>
      <c r="B807" s="145" t="s">
        <v>118</v>
      </c>
      <c r="C807" s="145" t="s">
        <v>13</v>
      </c>
      <c r="D807" s="1" t="s">
        <v>875</v>
      </c>
      <c r="E807" s="161">
        <v>0.2</v>
      </c>
      <c r="F807" s="1" t="s">
        <v>174</v>
      </c>
      <c r="G807" s="5">
        <v>580</v>
      </c>
      <c r="H807" s="5">
        <f>Table3[[#This Row],[Qty]]*Table3[[#This Row],[Price]]</f>
        <v>116</v>
      </c>
      <c r="I807" s="5"/>
    </row>
    <row r="808" spans="1:9" x14ac:dyDescent="0.25">
      <c r="A808" s="153">
        <v>46033</v>
      </c>
      <c r="B808" s="154" t="s">
        <v>118</v>
      </c>
      <c r="C808" s="154" t="s">
        <v>13</v>
      </c>
      <c r="D808" s="155" t="s">
        <v>864</v>
      </c>
      <c r="E808" s="156">
        <v>2</v>
      </c>
      <c r="F808" s="1" t="s">
        <v>174</v>
      </c>
      <c r="G808" s="151"/>
      <c r="H808" s="151">
        <f>Table3[[#This Row],[Qty]]*Table3[[#This Row],[Price]]</f>
        <v>0</v>
      </c>
      <c r="I808" s="151"/>
    </row>
    <row r="809" spans="1:9" x14ac:dyDescent="0.25">
      <c r="A809" s="144">
        <v>46033</v>
      </c>
      <c r="B809" s="145" t="s">
        <v>118</v>
      </c>
      <c r="C809" s="145" t="s">
        <v>13</v>
      </c>
      <c r="D809" s="1" t="s">
        <v>858</v>
      </c>
      <c r="E809" s="161">
        <v>1.2</v>
      </c>
      <c r="F809" s="1" t="s">
        <v>174</v>
      </c>
      <c r="G809" s="5">
        <v>530</v>
      </c>
      <c r="H809" s="5">
        <f>Table3[[#This Row],[Qty]]*Table3[[#This Row],[Price]]</f>
        <v>636</v>
      </c>
      <c r="I809" s="5"/>
    </row>
    <row r="810" spans="1:9" x14ac:dyDescent="0.25">
      <c r="A810" s="144">
        <v>46033</v>
      </c>
      <c r="B810" s="145" t="s">
        <v>118</v>
      </c>
      <c r="C810" s="145" t="s">
        <v>310</v>
      </c>
      <c r="D810" s="1" t="s">
        <v>854</v>
      </c>
      <c r="E810" s="161">
        <v>1</v>
      </c>
      <c r="F810" s="1" t="s">
        <v>174</v>
      </c>
      <c r="G810" s="5">
        <v>1600</v>
      </c>
      <c r="H810" s="5">
        <f>Table3[[#This Row],[Qty]]*Table3[[#This Row],[Price]]</f>
        <v>1600</v>
      </c>
      <c r="I810" s="5"/>
    </row>
    <row r="811" spans="1:9" x14ac:dyDescent="0.25">
      <c r="A811" s="144">
        <v>46033</v>
      </c>
      <c r="B811" s="145" t="s">
        <v>118</v>
      </c>
      <c r="C811" s="145" t="s">
        <v>310</v>
      </c>
      <c r="D811" s="1" t="s">
        <v>862</v>
      </c>
      <c r="E811" s="161">
        <v>6.5</v>
      </c>
      <c r="F811" s="1" t="s">
        <v>174</v>
      </c>
      <c r="G811" s="5">
        <v>170</v>
      </c>
      <c r="H811" s="5">
        <f>Table3[[#This Row],[Qty]]*Table3[[#This Row],[Price]]</f>
        <v>1105</v>
      </c>
      <c r="I811" s="5"/>
    </row>
    <row r="812" spans="1:9" x14ac:dyDescent="0.25">
      <c r="A812" s="144">
        <v>46033</v>
      </c>
      <c r="B812" s="145" t="s">
        <v>118</v>
      </c>
      <c r="C812" s="145" t="s">
        <v>310</v>
      </c>
      <c r="D812" s="1" t="s">
        <v>786</v>
      </c>
      <c r="E812" s="161">
        <v>3.5</v>
      </c>
      <c r="F812" s="1" t="s">
        <v>174</v>
      </c>
      <c r="G812" s="5">
        <v>1400</v>
      </c>
      <c r="H812" s="5">
        <f>Table3[[#This Row],[Qty]]*Table3[[#This Row],[Price]]</f>
        <v>4900</v>
      </c>
      <c r="I812" s="5"/>
    </row>
    <row r="813" spans="1:9" x14ac:dyDescent="0.25">
      <c r="A813" s="144">
        <v>46033</v>
      </c>
      <c r="B813" s="145" t="s">
        <v>118</v>
      </c>
      <c r="C813" s="145" t="s">
        <v>20</v>
      </c>
      <c r="D813" s="1" t="s">
        <v>855</v>
      </c>
      <c r="E813" s="161">
        <v>11.5</v>
      </c>
      <c r="F813" s="1" t="s">
        <v>174</v>
      </c>
      <c r="G813" s="5">
        <v>40</v>
      </c>
      <c r="H813" s="5">
        <f>Table3[[#This Row],[Qty]]*Table3[[#This Row],[Price]]</f>
        <v>460</v>
      </c>
      <c r="I813" s="5"/>
    </row>
    <row r="814" spans="1:9" x14ac:dyDescent="0.25">
      <c r="A814" s="144">
        <v>46033</v>
      </c>
      <c r="B814" s="145" t="s">
        <v>118</v>
      </c>
      <c r="C814" s="145" t="s">
        <v>20</v>
      </c>
      <c r="D814" s="1" t="s">
        <v>135</v>
      </c>
      <c r="E814" s="161">
        <v>1</v>
      </c>
      <c r="F814" s="1" t="s">
        <v>174</v>
      </c>
      <c r="G814" s="5">
        <v>300</v>
      </c>
      <c r="H814" s="5">
        <f>Table3[[#This Row],[Qty]]*Table3[[#This Row],[Price]]</f>
        <v>300</v>
      </c>
      <c r="I814" s="5"/>
    </row>
    <row r="815" spans="1:9" x14ac:dyDescent="0.25">
      <c r="A815" s="153">
        <v>46033</v>
      </c>
      <c r="B815" s="154" t="s">
        <v>118</v>
      </c>
      <c r="C815" s="154" t="s">
        <v>20</v>
      </c>
      <c r="D815" s="155" t="s">
        <v>864</v>
      </c>
      <c r="E815" s="156">
        <v>1</v>
      </c>
      <c r="F815" s="1" t="s">
        <v>174</v>
      </c>
      <c r="G815" s="151"/>
      <c r="H815" s="151">
        <f>Table3[[#This Row],[Qty]]*Table3[[#This Row],[Price]]</f>
        <v>0</v>
      </c>
      <c r="I815" s="151"/>
    </row>
    <row r="816" spans="1:9" x14ac:dyDescent="0.25">
      <c r="A816" s="144">
        <v>46033</v>
      </c>
      <c r="B816" s="145" t="s">
        <v>118</v>
      </c>
      <c r="C816" s="145" t="s">
        <v>20</v>
      </c>
      <c r="D816" s="1" t="s">
        <v>791</v>
      </c>
      <c r="E816" s="161">
        <v>3</v>
      </c>
      <c r="F816" s="1" t="s">
        <v>827</v>
      </c>
      <c r="G816" s="5">
        <v>443.33</v>
      </c>
      <c r="H816" s="5">
        <f>Table3[[#This Row],[Qty]]*Table3[[#This Row],[Price]]</f>
        <v>1329.99</v>
      </c>
      <c r="I816" s="5"/>
    </row>
    <row r="817" spans="1:9" x14ac:dyDescent="0.25">
      <c r="A817" s="144">
        <v>46033</v>
      </c>
      <c r="B817" s="145" t="s">
        <v>118</v>
      </c>
      <c r="C817" s="145" t="s">
        <v>20</v>
      </c>
      <c r="D817" s="1" t="s">
        <v>806</v>
      </c>
      <c r="E817" s="161">
        <v>2</v>
      </c>
      <c r="F817" s="1" t="s">
        <v>807</v>
      </c>
      <c r="G817" s="5">
        <v>120</v>
      </c>
      <c r="H817" s="5">
        <f>Table3[[#This Row],[Qty]]*Table3[[#This Row],[Price]]</f>
        <v>240</v>
      </c>
      <c r="I817" s="5"/>
    </row>
    <row r="818" spans="1:9" x14ac:dyDescent="0.25">
      <c r="A818" s="144">
        <v>46033</v>
      </c>
      <c r="B818" s="145" t="s">
        <v>118</v>
      </c>
      <c r="C818" s="145" t="s">
        <v>20</v>
      </c>
      <c r="D818" s="1" t="s">
        <v>852</v>
      </c>
      <c r="E818" s="161">
        <v>0.05</v>
      </c>
      <c r="F818" s="1" t="s">
        <v>174</v>
      </c>
      <c r="G818" s="5">
        <v>300</v>
      </c>
      <c r="H818" s="5">
        <f>Table3[[#This Row],[Qty]]*Table3[[#This Row],[Price]]</f>
        <v>15</v>
      </c>
      <c r="I818" s="5"/>
    </row>
    <row r="819" spans="1:9" x14ac:dyDescent="0.25">
      <c r="A819" s="144">
        <v>46033</v>
      </c>
      <c r="B819" s="145" t="s">
        <v>118</v>
      </c>
      <c r="C819" s="145" t="s">
        <v>20</v>
      </c>
      <c r="D819" s="1" t="s">
        <v>803</v>
      </c>
      <c r="E819" s="161">
        <v>0.2</v>
      </c>
      <c r="F819" s="1" t="s">
        <v>174</v>
      </c>
      <c r="G819" s="5">
        <v>580</v>
      </c>
      <c r="H819" s="5">
        <f>Table3[[#This Row],[Qty]]*Table3[[#This Row],[Price]]</f>
        <v>116</v>
      </c>
      <c r="I819" s="5"/>
    </row>
    <row r="820" spans="1:9" x14ac:dyDescent="0.25">
      <c r="A820" s="144">
        <v>46033</v>
      </c>
      <c r="B820" s="145" t="s">
        <v>118</v>
      </c>
      <c r="C820" s="145" t="s">
        <v>20</v>
      </c>
      <c r="D820" s="1" t="s">
        <v>805</v>
      </c>
      <c r="E820" s="161">
        <v>0.11</v>
      </c>
      <c r="F820" s="1" t="s">
        <v>174</v>
      </c>
      <c r="G820" s="5">
        <v>580</v>
      </c>
      <c r="H820" s="5">
        <f>Table3[[#This Row],[Qty]]*Table3[[#This Row],[Price]]</f>
        <v>63.8</v>
      </c>
      <c r="I820" s="5"/>
    </row>
    <row r="821" spans="1:9" x14ac:dyDescent="0.25">
      <c r="A821" s="144">
        <v>46033</v>
      </c>
      <c r="B821" s="145" t="s">
        <v>118</v>
      </c>
      <c r="C821" s="145" t="s">
        <v>20</v>
      </c>
      <c r="D821" s="1" t="s">
        <v>842</v>
      </c>
      <c r="E821" s="161">
        <v>1</v>
      </c>
      <c r="F821" s="1" t="s">
        <v>174</v>
      </c>
      <c r="G821" s="5">
        <v>75</v>
      </c>
      <c r="H821" s="5">
        <f>Table3[[#This Row],[Qty]]*Table3[[#This Row],[Price]]</f>
        <v>75</v>
      </c>
      <c r="I821" s="5"/>
    </row>
    <row r="822" spans="1:9" x14ac:dyDescent="0.25">
      <c r="A822" s="144">
        <v>46033</v>
      </c>
      <c r="B822" s="145" t="s">
        <v>118</v>
      </c>
      <c r="C822" s="145" t="s">
        <v>20</v>
      </c>
      <c r="D822" s="1" t="s">
        <v>852</v>
      </c>
      <c r="E822" s="161">
        <v>0.1</v>
      </c>
      <c r="F822" s="1" t="s">
        <v>174</v>
      </c>
      <c r="G822" s="5">
        <v>300</v>
      </c>
      <c r="H822" s="5">
        <f>Table3[[#This Row],[Qty]]*Table3[[#This Row],[Price]]</f>
        <v>30</v>
      </c>
      <c r="I822" s="5"/>
    </row>
    <row r="823" spans="1:9" x14ac:dyDescent="0.25">
      <c r="A823" s="144">
        <v>46033</v>
      </c>
      <c r="B823" s="145" t="s">
        <v>118</v>
      </c>
      <c r="C823" s="145" t="s">
        <v>20</v>
      </c>
      <c r="D823" s="1" t="s">
        <v>876</v>
      </c>
      <c r="E823" s="161">
        <v>0.15</v>
      </c>
      <c r="F823" s="1" t="s">
        <v>174</v>
      </c>
      <c r="G823" s="5">
        <v>200</v>
      </c>
      <c r="H823" s="5">
        <f>Table3[[#This Row],[Qty]]*Table3[[#This Row],[Price]]</f>
        <v>30</v>
      </c>
      <c r="I823" s="5"/>
    </row>
    <row r="824" spans="1:9" x14ac:dyDescent="0.25">
      <c r="A824" s="144">
        <v>46033</v>
      </c>
      <c r="B824" s="145" t="s">
        <v>118</v>
      </c>
      <c r="C824" s="145" t="s">
        <v>310</v>
      </c>
      <c r="D824" s="1" t="s">
        <v>862</v>
      </c>
      <c r="E824" s="161">
        <v>3</v>
      </c>
      <c r="F824" s="1" t="s">
        <v>174</v>
      </c>
      <c r="G824" s="5">
        <v>170</v>
      </c>
      <c r="H824" s="5">
        <f>Table3[[#This Row],[Qty]]*Table3[[#This Row],[Price]]</f>
        <v>510</v>
      </c>
      <c r="I824" s="5"/>
    </row>
    <row r="825" spans="1:9" x14ac:dyDescent="0.25">
      <c r="A825" s="144">
        <v>46033</v>
      </c>
      <c r="B825" s="145" t="s">
        <v>118</v>
      </c>
      <c r="C825" s="145" t="s">
        <v>310</v>
      </c>
      <c r="D825" s="1" t="s">
        <v>786</v>
      </c>
      <c r="E825" s="161">
        <v>3.5</v>
      </c>
      <c r="F825" s="1" t="s">
        <v>174</v>
      </c>
      <c r="G825" s="5">
        <v>1400</v>
      </c>
      <c r="H825" s="5">
        <f>Table3[[#This Row],[Qty]]*Table3[[#This Row],[Price]]</f>
        <v>4900</v>
      </c>
      <c r="I825" s="5"/>
    </row>
    <row r="826" spans="1:9" x14ac:dyDescent="0.25">
      <c r="A826" s="144">
        <v>46033</v>
      </c>
      <c r="B826" s="145" t="s">
        <v>118</v>
      </c>
      <c r="C826" s="145" t="s">
        <v>310</v>
      </c>
      <c r="D826" s="1" t="s">
        <v>862</v>
      </c>
      <c r="E826" s="161">
        <v>4</v>
      </c>
      <c r="F826" s="1" t="s">
        <v>174</v>
      </c>
      <c r="G826" s="5">
        <v>170</v>
      </c>
      <c r="H826" s="5">
        <f>Table3[[#This Row],[Qty]]*Table3[[#This Row],[Price]]</f>
        <v>680</v>
      </c>
      <c r="I826" s="5"/>
    </row>
    <row r="827" spans="1:9" x14ac:dyDescent="0.25">
      <c r="A827" s="144">
        <v>46033</v>
      </c>
      <c r="B827" s="145" t="s">
        <v>118</v>
      </c>
      <c r="C827" s="145" t="s">
        <v>310</v>
      </c>
      <c r="D827" s="1" t="s">
        <v>786</v>
      </c>
      <c r="E827" s="161">
        <v>1.3</v>
      </c>
      <c r="F827" s="1" t="s">
        <v>174</v>
      </c>
      <c r="G827" s="5">
        <v>1400</v>
      </c>
      <c r="H827" s="5">
        <f>Table3[[#This Row],[Qty]]*Table3[[#This Row],[Price]]</f>
        <v>1820</v>
      </c>
      <c r="I827" s="5"/>
    </row>
    <row r="828" spans="1:9" x14ac:dyDescent="0.25">
      <c r="A828" s="144">
        <v>46034</v>
      </c>
      <c r="B828" s="145" t="s">
        <v>429</v>
      </c>
      <c r="C828" s="145" t="s">
        <v>12</v>
      </c>
      <c r="D828" s="1" t="s">
        <v>793</v>
      </c>
      <c r="E828" s="161">
        <v>62</v>
      </c>
      <c r="F828" s="1" t="s">
        <v>174</v>
      </c>
      <c r="G828" s="5">
        <v>119</v>
      </c>
      <c r="H828" s="5">
        <f>Table3[[#This Row],[Qty]]*Table3[[#This Row],[Price]]</f>
        <v>7378</v>
      </c>
      <c r="I828" s="5"/>
    </row>
    <row r="829" spans="1:9" x14ac:dyDescent="0.25">
      <c r="A829" s="144">
        <v>46034</v>
      </c>
      <c r="B829" s="145" t="s">
        <v>429</v>
      </c>
      <c r="C829" s="145" t="s">
        <v>310</v>
      </c>
      <c r="D829" s="1" t="s">
        <v>862</v>
      </c>
      <c r="E829" s="161">
        <v>10.199999999999999</v>
      </c>
      <c r="F829" s="1" t="s">
        <v>174</v>
      </c>
      <c r="G829" s="5">
        <v>170</v>
      </c>
      <c r="H829" s="5">
        <f>Table3[[#This Row],[Qty]]*Table3[[#This Row],[Price]]</f>
        <v>1733.9999999999998</v>
      </c>
      <c r="I829" s="5"/>
    </row>
    <row r="830" spans="1:9" x14ac:dyDescent="0.25">
      <c r="A830" s="144">
        <v>46034</v>
      </c>
      <c r="B830" s="145" t="s">
        <v>429</v>
      </c>
      <c r="C830" s="145" t="s">
        <v>310</v>
      </c>
      <c r="D830" s="1" t="s">
        <v>786</v>
      </c>
      <c r="E830" s="161">
        <v>3</v>
      </c>
      <c r="F830" s="1" t="s">
        <v>174</v>
      </c>
      <c r="G830" s="5">
        <v>1400</v>
      </c>
      <c r="H830" s="5">
        <f>Table3[[#This Row],[Qty]]*Table3[[#This Row],[Price]]</f>
        <v>4200</v>
      </c>
      <c r="I830" s="5"/>
    </row>
    <row r="831" spans="1:9" x14ac:dyDescent="0.25">
      <c r="A831" s="144">
        <v>46034</v>
      </c>
      <c r="B831" s="145" t="s">
        <v>429</v>
      </c>
      <c r="C831" s="145" t="s">
        <v>12</v>
      </c>
      <c r="D831" s="1" t="s">
        <v>791</v>
      </c>
      <c r="E831" s="161">
        <v>9</v>
      </c>
      <c r="F831" s="1" t="s">
        <v>827</v>
      </c>
      <c r="G831" s="5">
        <v>443.33</v>
      </c>
      <c r="H831" s="5">
        <f>Table3[[#This Row],[Qty]]*Table3[[#This Row],[Price]]</f>
        <v>3989.97</v>
      </c>
      <c r="I831" s="5"/>
    </row>
    <row r="832" spans="1:9" x14ac:dyDescent="0.25">
      <c r="A832" s="144">
        <v>46034</v>
      </c>
      <c r="B832" s="145" t="s">
        <v>429</v>
      </c>
      <c r="C832" s="145" t="s">
        <v>310</v>
      </c>
      <c r="D832" s="1" t="s">
        <v>866</v>
      </c>
      <c r="E832" s="161">
        <v>2</v>
      </c>
      <c r="F832" s="1" t="s">
        <v>174</v>
      </c>
      <c r="G832" s="5">
        <v>480</v>
      </c>
      <c r="H832" s="5">
        <f>Table3[[#This Row],[Qty]]*Table3[[#This Row],[Price]]</f>
        <v>960</v>
      </c>
      <c r="I832" s="5"/>
    </row>
    <row r="833" spans="1:9" x14ac:dyDescent="0.25">
      <c r="A833" s="144">
        <v>46034</v>
      </c>
      <c r="B833" s="145" t="s">
        <v>429</v>
      </c>
      <c r="C833" s="145" t="s">
        <v>12</v>
      </c>
      <c r="D833" s="1" t="s">
        <v>895</v>
      </c>
      <c r="E833" s="161">
        <v>1</v>
      </c>
      <c r="F833" s="1" t="s">
        <v>174</v>
      </c>
      <c r="G833" s="5"/>
      <c r="H833" s="5">
        <f>Table3[[#This Row],[Qty]]*Table3[[#This Row],[Price]]</f>
        <v>0</v>
      </c>
      <c r="I833" s="5"/>
    </row>
    <row r="834" spans="1:9" x14ac:dyDescent="0.25">
      <c r="A834" s="144">
        <v>46034</v>
      </c>
      <c r="B834" s="145" t="s">
        <v>429</v>
      </c>
      <c r="C834" s="145" t="s">
        <v>12</v>
      </c>
      <c r="D834" s="1" t="s">
        <v>897</v>
      </c>
      <c r="E834" s="161">
        <v>7.0000000000000007E-2</v>
      </c>
      <c r="F834" s="1" t="s">
        <v>174</v>
      </c>
      <c r="G834" s="5"/>
      <c r="H834" s="5">
        <f>Table3[[#This Row],[Qty]]*Table3[[#This Row],[Price]]</f>
        <v>0</v>
      </c>
      <c r="I834" s="5"/>
    </row>
    <row r="835" spans="1:9" x14ac:dyDescent="0.25">
      <c r="A835" s="144">
        <v>46034</v>
      </c>
      <c r="B835" s="145" t="s">
        <v>429</v>
      </c>
      <c r="C835" s="145" t="s">
        <v>12</v>
      </c>
      <c r="D835" s="1" t="s">
        <v>222</v>
      </c>
      <c r="E835" s="161">
        <v>7</v>
      </c>
      <c r="F835" s="58" t="s">
        <v>819</v>
      </c>
      <c r="G835" s="5">
        <v>28</v>
      </c>
      <c r="H835" s="5">
        <f>Table3[[#This Row],[Qty]]*Table3[[#This Row],[Price]]</f>
        <v>196</v>
      </c>
      <c r="I835" s="5"/>
    </row>
    <row r="836" spans="1:9" x14ac:dyDescent="0.25">
      <c r="A836" s="144">
        <v>46034</v>
      </c>
      <c r="B836" s="145" t="s">
        <v>429</v>
      </c>
      <c r="C836" s="145" t="s">
        <v>13</v>
      </c>
      <c r="D836" s="1" t="s">
        <v>794</v>
      </c>
      <c r="E836" s="161">
        <v>100</v>
      </c>
      <c r="F836" s="1" t="s">
        <v>174</v>
      </c>
      <c r="G836" s="5">
        <v>113</v>
      </c>
      <c r="H836" s="5">
        <f>Table3[[#This Row],[Qty]]*Table3[[#This Row],[Price]]</f>
        <v>11300</v>
      </c>
      <c r="I836" s="5"/>
    </row>
    <row r="837" spans="1:9" x14ac:dyDescent="0.25">
      <c r="A837" s="144">
        <v>46034</v>
      </c>
      <c r="B837" s="145" t="s">
        <v>429</v>
      </c>
      <c r="C837" s="145" t="s">
        <v>13</v>
      </c>
      <c r="D837" s="1" t="s">
        <v>860</v>
      </c>
      <c r="E837" s="161">
        <v>10</v>
      </c>
      <c r="F837" s="1" t="s">
        <v>174</v>
      </c>
      <c r="G837" s="5">
        <v>12</v>
      </c>
      <c r="H837" s="5">
        <f>Table3[[#This Row],[Qty]]*Table3[[#This Row],[Price]]</f>
        <v>120</v>
      </c>
      <c r="I837" s="5"/>
    </row>
    <row r="838" spans="1:9" x14ac:dyDescent="0.25">
      <c r="A838" s="144">
        <v>46034</v>
      </c>
      <c r="B838" s="145" t="s">
        <v>429</v>
      </c>
      <c r="C838" s="145" t="s">
        <v>13</v>
      </c>
      <c r="D838" s="1" t="s">
        <v>866</v>
      </c>
      <c r="E838" s="161">
        <v>2</v>
      </c>
      <c r="F838" s="1" t="s">
        <v>174</v>
      </c>
      <c r="G838" s="5">
        <v>480</v>
      </c>
      <c r="H838" s="5">
        <f>Table3[[#This Row],[Qty]]*Table3[[#This Row],[Price]]</f>
        <v>960</v>
      </c>
      <c r="I838" s="5"/>
    </row>
    <row r="839" spans="1:9" x14ac:dyDescent="0.25">
      <c r="A839" s="144">
        <v>46034</v>
      </c>
      <c r="B839" s="145" t="s">
        <v>429</v>
      </c>
      <c r="C839" s="145" t="s">
        <v>13</v>
      </c>
      <c r="D839" s="1" t="s">
        <v>791</v>
      </c>
      <c r="E839" s="161">
        <v>8</v>
      </c>
      <c r="F839" s="1" t="s">
        <v>827</v>
      </c>
      <c r="G839" s="5">
        <v>443.33</v>
      </c>
      <c r="H839" s="5">
        <f>Table3[[#This Row],[Qty]]*Table3[[#This Row],[Price]]</f>
        <v>3546.64</v>
      </c>
      <c r="I839" s="5"/>
    </row>
    <row r="840" spans="1:9" x14ac:dyDescent="0.25">
      <c r="A840" s="144">
        <v>46034</v>
      </c>
      <c r="B840" s="145" t="s">
        <v>429</v>
      </c>
      <c r="C840" s="145" t="s">
        <v>13</v>
      </c>
      <c r="D840" s="1" t="s">
        <v>844</v>
      </c>
      <c r="E840" s="161">
        <v>28</v>
      </c>
      <c r="F840" s="1" t="s">
        <v>174</v>
      </c>
      <c r="G840" s="5">
        <v>40</v>
      </c>
      <c r="H840" s="5">
        <f>Table3[[#This Row],[Qty]]*Table3[[#This Row],[Price]]</f>
        <v>1120</v>
      </c>
      <c r="I840" s="5"/>
    </row>
    <row r="841" spans="1:9" x14ac:dyDescent="0.25">
      <c r="A841" s="144">
        <v>46034</v>
      </c>
      <c r="B841" s="145" t="s">
        <v>429</v>
      </c>
      <c r="C841" s="145" t="s">
        <v>13</v>
      </c>
      <c r="D841" s="1" t="s">
        <v>849</v>
      </c>
      <c r="E841" s="161">
        <v>2</v>
      </c>
      <c r="F841" s="1" t="s">
        <v>174</v>
      </c>
      <c r="G841" s="5">
        <v>400</v>
      </c>
      <c r="H841" s="5">
        <f>Table3[[#This Row],[Qty]]*Table3[[#This Row],[Price]]</f>
        <v>800</v>
      </c>
      <c r="I841" s="5"/>
    </row>
    <row r="842" spans="1:9" x14ac:dyDescent="0.25">
      <c r="A842" s="144">
        <v>46034</v>
      </c>
      <c r="B842" s="145" t="s">
        <v>429</v>
      </c>
      <c r="C842" s="145" t="s">
        <v>13</v>
      </c>
      <c r="D842" s="1" t="s">
        <v>855</v>
      </c>
      <c r="E842" s="161">
        <v>22</v>
      </c>
      <c r="F842" s="1" t="s">
        <v>174</v>
      </c>
      <c r="G842" s="5">
        <v>40</v>
      </c>
      <c r="H842" s="5">
        <f>Table3[[#This Row],[Qty]]*Table3[[#This Row],[Price]]</f>
        <v>880</v>
      </c>
      <c r="I842" s="5"/>
    </row>
    <row r="843" spans="1:9" x14ac:dyDescent="0.25">
      <c r="A843" s="144">
        <v>46034</v>
      </c>
      <c r="B843" s="145" t="s">
        <v>429</v>
      </c>
      <c r="C843" s="145" t="s">
        <v>13</v>
      </c>
      <c r="D843" s="1" t="s">
        <v>842</v>
      </c>
      <c r="E843" s="161">
        <v>3.25</v>
      </c>
      <c r="F843" s="1" t="s">
        <v>174</v>
      </c>
      <c r="G843" s="5">
        <v>75</v>
      </c>
      <c r="H843" s="5">
        <f>Table3[[#This Row],[Qty]]*Table3[[#This Row],[Price]]</f>
        <v>243.75</v>
      </c>
      <c r="I843" s="5"/>
    </row>
    <row r="844" spans="1:9" x14ac:dyDescent="0.25">
      <c r="A844" s="144">
        <v>46034</v>
      </c>
      <c r="B844" s="145" t="s">
        <v>429</v>
      </c>
      <c r="C844" s="145" t="s">
        <v>13</v>
      </c>
      <c r="D844" s="1" t="s">
        <v>846</v>
      </c>
      <c r="E844" s="161">
        <v>0.75</v>
      </c>
      <c r="F844" s="1" t="s">
        <v>174</v>
      </c>
      <c r="G844" s="5">
        <v>130</v>
      </c>
      <c r="H844" s="5">
        <f>Table3[[#This Row],[Qty]]*Table3[[#This Row],[Price]]</f>
        <v>97.5</v>
      </c>
      <c r="I844" s="5"/>
    </row>
    <row r="845" spans="1:9" x14ac:dyDescent="0.25">
      <c r="A845" s="144">
        <v>46034</v>
      </c>
      <c r="B845" s="145" t="s">
        <v>429</v>
      </c>
      <c r="C845" s="145" t="s">
        <v>13</v>
      </c>
      <c r="D845" s="1" t="s">
        <v>880</v>
      </c>
      <c r="E845" s="161">
        <v>0.5</v>
      </c>
      <c r="F845" s="1" t="s">
        <v>174</v>
      </c>
      <c r="G845" s="5">
        <v>50</v>
      </c>
      <c r="H845" s="5">
        <f>Table3[[#This Row],[Qty]]*Table3[[#This Row],[Price]]</f>
        <v>25</v>
      </c>
      <c r="I845" s="5"/>
    </row>
    <row r="846" spans="1:9" x14ac:dyDescent="0.25">
      <c r="A846" s="144">
        <v>46034</v>
      </c>
      <c r="B846" s="145" t="s">
        <v>429</v>
      </c>
      <c r="C846" s="145" t="s">
        <v>13</v>
      </c>
      <c r="D846" s="1" t="s">
        <v>822</v>
      </c>
      <c r="E846" s="161">
        <v>1</v>
      </c>
      <c r="F846" s="1" t="s">
        <v>174</v>
      </c>
      <c r="G846" s="5">
        <v>2000</v>
      </c>
      <c r="H846" s="5">
        <f>Table3[[#This Row],[Qty]]*Table3[[#This Row],[Price]]</f>
        <v>2000</v>
      </c>
      <c r="I846" s="5"/>
    </row>
    <row r="847" spans="1:9" x14ac:dyDescent="0.25">
      <c r="A847" s="144">
        <v>46034</v>
      </c>
      <c r="B847" s="145" t="s">
        <v>429</v>
      </c>
      <c r="C847" s="145" t="s">
        <v>13</v>
      </c>
      <c r="D847" s="1" t="s">
        <v>797</v>
      </c>
      <c r="E847" s="161">
        <v>2</v>
      </c>
      <c r="F847" s="1" t="s">
        <v>174</v>
      </c>
      <c r="G847" s="5">
        <v>560</v>
      </c>
      <c r="H847" s="5">
        <f>Table3[[#This Row],[Qty]]*Table3[[#This Row],[Price]]</f>
        <v>1120</v>
      </c>
      <c r="I847" s="5"/>
    </row>
    <row r="848" spans="1:9" x14ac:dyDescent="0.25">
      <c r="A848" s="144">
        <v>46034</v>
      </c>
      <c r="B848" s="145" t="s">
        <v>429</v>
      </c>
      <c r="C848" s="145" t="s">
        <v>13</v>
      </c>
      <c r="D848" s="1" t="s">
        <v>821</v>
      </c>
      <c r="E848" s="161">
        <v>1.7</v>
      </c>
      <c r="F848" s="1" t="s">
        <v>174</v>
      </c>
      <c r="G848" s="5">
        <v>700</v>
      </c>
      <c r="H848" s="5">
        <f>Table3[[#This Row],[Qty]]*Table3[[#This Row],[Price]]</f>
        <v>1190</v>
      </c>
      <c r="I848" s="5"/>
    </row>
    <row r="849" spans="1:9" x14ac:dyDescent="0.25">
      <c r="A849" s="153">
        <v>46034</v>
      </c>
      <c r="B849" s="154" t="s">
        <v>429</v>
      </c>
      <c r="C849" s="154" t="s">
        <v>13</v>
      </c>
      <c r="D849" s="155" t="s">
        <v>887</v>
      </c>
      <c r="E849" s="156">
        <v>0.5</v>
      </c>
      <c r="F849" s="1" t="s">
        <v>174</v>
      </c>
      <c r="G849" s="151"/>
      <c r="H849" s="151">
        <f>Table3[[#This Row],[Qty]]*Table3[[#This Row],[Price]]</f>
        <v>0</v>
      </c>
      <c r="I849" s="151"/>
    </row>
    <row r="850" spans="1:9" x14ac:dyDescent="0.25">
      <c r="A850" s="144">
        <v>46034</v>
      </c>
      <c r="B850" s="145" t="s">
        <v>429</v>
      </c>
      <c r="C850" s="145" t="s">
        <v>13</v>
      </c>
      <c r="D850" s="1" t="s">
        <v>888</v>
      </c>
      <c r="E850" s="161">
        <v>1</v>
      </c>
      <c r="F850" s="1" t="s">
        <v>174</v>
      </c>
      <c r="G850" s="5">
        <v>650</v>
      </c>
      <c r="H850" s="5">
        <f>Table3[[#This Row],[Qty]]*Table3[[#This Row],[Price]]</f>
        <v>650</v>
      </c>
      <c r="I850" s="5"/>
    </row>
    <row r="851" spans="1:9" x14ac:dyDescent="0.25">
      <c r="A851" s="144">
        <v>46034</v>
      </c>
      <c r="B851" s="145" t="s">
        <v>429</v>
      </c>
      <c r="C851" s="145" t="s">
        <v>13</v>
      </c>
      <c r="D851" s="1" t="s">
        <v>876</v>
      </c>
      <c r="E851" s="161">
        <v>0.2</v>
      </c>
      <c r="F851" s="1" t="s">
        <v>174</v>
      </c>
      <c r="G851" s="5">
        <v>200</v>
      </c>
      <c r="H851" s="5">
        <f>Table3[[#This Row],[Qty]]*Table3[[#This Row],[Price]]</f>
        <v>40</v>
      </c>
      <c r="I851" s="5"/>
    </row>
    <row r="852" spans="1:9" x14ac:dyDescent="0.25">
      <c r="A852" s="144">
        <v>46034</v>
      </c>
      <c r="B852" s="145" t="s">
        <v>429</v>
      </c>
      <c r="C852" s="145" t="s">
        <v>13</v>
      </c>
      <c r="D852" s="1" t="s">
        <v>875</v>
      </c>
      <c r="E852" s="161">
        <v>1.2</v>
      </c>
      <c r="F852" s="1" t="s">
        <v>174</v>
      </c>
      <c r="G852" s="5">
        <v>580</v>
      </c>
      <c r="H852" s="5">
        <f>Table3[[#This Row],[Qty]]*Table3[[#This Row],[Price]]</f>
        <v>696</v>
      </c>
      <c r="I852" s="5"/>
    </row>
    <row r="853" spans="1:9" x14ac:dyDescent="0.25">
      <c r="A853" s="144">
        <v>46034</v>
      </c>
      <c r="B853" s="145" t="s">
        <v>429</v>
      </c>
      <c r="C853" s="145" t="s">
        <v>13</v>
      </c>
      <c r="D853" s="1" t="s">
        <v>852</v>
      </c>
      <c r="E853" s="161">
        <v>0.5</v>
      </c>
      <c r="F853" s="1" t="s">
        <v>174</v>
      </c>
      <c r="G853" s="5">
        <v>300</v>
      </c>
      <c r="H853" s="5">
        <f>Table3[[#This Row],[Qty]]*Table3[[#This Row],[Price]]</f>
        <v>150</v>
      </c>
      <c r="I853" s="5"/>
    </row>
    <row r="854" spans="1:9" x14ac:dyDescent="0.25">
      <c r="A854" s="144">
        <v>46034</v>
      </c>
      <c r="B854" s="145" t="s">
        <v>429</v>
      </c>
      <c r="C854" s="145" t="s">
        <v>13</v>
      </c>
      <c r="D854" s="1" t="s">
        <v>222</v>
      </c>
      <c r="E854" s="161">
        <v>3</v>
      </c>
      <c r="F854" s="58" t="s">
        <v>819</v>
      </c>
      <c r="G854" s="5">
        <v>28</v>
      </c>
      <c r="H854" s="5">
        <f>Table3[[#This Row],[Qty]]*Table3[[#This Row],[Price]]</f>
        <v>84</v>
      </c>
      <c r="I854" s="5"/>
    </row>
    <row r="855" spans="1:9" x14ac:dyDescent="0.25">
      <c r="A855" s="144">
        <v>46034</v>
      </c>
      <c r="B855" s="145" t="s">
        <v>429</v>
      </c>
      <c r="C855" s="145" t="s">
        <v>13</v>
      </c>
      <c r="D855" s="1" t="s">
        <v>235</v>
      </c>
      <c r="E855" s="161">
        <v>6</v>
      </c>
      <c r="F855" s="1" t="s">
        <v>174</v>
      </c>
      <c r="G855" s="5">
        <v>183</v>
      </c>
      <c r="H855" s="5">
        <f>Table3[[#This Row],[Qty]]*Table3[[#This Row],[Price]]</f>
        <v>1098</v>
      </c>
      <c r="I855" s="5"/>
    </row>
    <row r="856" spans="1:9" x14ac:dyDescent="0.25">
      <c r="A856" s="144">
        <v>46034</v>
      </c>
      <c r="B856" s="145" t="s">
        <v>429</v>
      </c>
      <c r="C856" s="145" t="s">
        <v>13</v>
      </c>
      <c r="D856" s="1" t="s">
        <v>802</v>
      </c>
      <c r="E856" s="161">
        <v>1</v>
      </c>
      <c r="F856" s="1" t="s">
        <v>174</v>
      </c>
      <c r="G856" s="5">
        <v>480</v>
      </c>
      <c r="H856" s="5">
        <f>Table3[[#This Row],[Qty]]*Table3[[#This Row],[Price]]</f>
        <v>480</v>
      </c>
      <c r="I856" s="5"/>
    </row>
    <row r="857" spans="1:9" x14ac:dyDescent="0.25">
      <c r="A857" s="144">
        <v>46034</v>
      </c>
      <c r="B857" s="145" t="s">
        <v>429</v>
      </c>
      <c r="C857" s="145" t="s">
        <v>894</v>
      </c>
      <c r="D857" s="1" t="s">
        <v>896</v>
      </c>
      <c r="E857" s="161">
        <v>5</v>
      </c>
      <c r="F857" s="1" t="s">
        <v>827</v>
      </c>
      <c r="G857" s="5"/>
      <c r="H857" s="5">
        <f>Table3[[#This Row],[Qty]]*Table3[[#This Row],[Price]]</f>
        <v>0</v>
      </c>
      <c r="I857" s="5"/>
    </row>
    <row r="858" spans="1:9" x14ac:dyDescent="0.25">
      <c r="A858" s="144">
        <v>46034</v>
      </c>
      <c r="B858" s="145" t="s">
        <v>429</v>
      </c>
      <c r="C858" s="145" t="s">
        <v>310</v>
      </c>
      <c r="D858" s="1" t="s">
        <v>862</v>
      </c>
      <c r="E858" s="161">
        <v>6.25</v>
      </c>
      <c r="F858" s="1" t="s">
        <v>174</v>
      </c>
      <c r="G858" s="5">
        <v>170</v>
      </c>
      <c r="H858" s="5">
        <f>Table3[[#This Row],[Qty]]*Table3[[#This Row],[Price]]</f>
        <v>1062.5</v>
      </c>
      <c r="I858" s="5"/>
    </row>
    <row r="859" spans="1:9" x14ac:dyDescent="0.25">
      <c r="A859" s="144">
        <v>46034</v>
      </c>
      <c r="B859" s="145" t="s">
        <v>429</v>
      </c>
      <c r="C859" s="145" t="s">
        <v>310</v>
      </c>
      <c r="D859" s="1" t="s">
        <v>786</v>
      </c>
      <c r="E859" s="161">
        <v>3.3</v>
      </c>
      <c r="F859" s="1" t="s">
        <v>174</v>
      </c>
      <c r="G859" s="5">
        <v>1400</v>
      </c>
      <c r="H859" s="5">
        <f>Table3[[#This Row],[Qty]]*Table3[[#This Row],[Price]]</f>
        <v>4620</v>
      </c>
      <c r="I859" s="5"/>
    </row>
    <row r="860" spans="1:9" x14ac:dyDescent="0.25">
      <c r="A860" s="144">
        <v>46034</v>
      </c>
      <c r="B860" s="145" t="s">
        <v>429</v>
      </c>
      <c r="C860" s="145" t="s">
        <v>310</v>
      </c>
      <c r="D860" s="1" t="s">
        <v>854</v>
      </c>
      <c r="E860" s="161">
        <v>1</v>
      </c>
      <c r="F860" s="1" t="s">
        <v>174</v>
      </c>
      <c r="G860" s="5">
        <v>1600</v>
      </c>
      <c r="H860" s="5">
        <f>Table3[[#This Row],[Qty]]*Table3[[#This Row],[Price]]</f>
        <v>1600</v>
      </c>
      <c r="I860" s="5"/>
    </row>
    <row r="861" spans="1:9" x14ac:dyDescent="0.25">
      <c r="A861" s="144">
        <v>46034</v>
      </c>
      <c r="B861" s="145" t="s">
        <v>429</v>
      </c>
      <c r="C861" s="145" t="s">
        <v>20</v>
      </c>
      <c r="D861" s="1" t="s">
        <v>794</v>
      </c>
      <c r="E861" s="161">
        <v>50</v>
      </c>
      <c r="F861" s="1" t="s">
        <v>174</v>
      </c>
      <c r="G861" s="5">
        <v>113</v>
      </c>
      <c r="H861" s="5">
        <f>Table3[[#This Row],[Qty]]*Table3[[#This Row],[Price]]</f>
        <v>5650</v>
      </c>
      <c r="I861" s="5"/>
    </row>
    <row r="862" spans="1:9" x14ac:dyDescent="0.25">
      <c r="A862" s="144">
        <v>46034</v>
      </c>
      <c r="B862" s="145" t="s">
        <v>429</v>
      </c>
      <c r="C862" s="145" t="s">
        <v>20</v>
      </c>
      <c r="D862" s="1" t="s">
        <v>798</v>
      </c>
      <c r="E862" s="161">
        <v>5</v>
      </c>
      <c r="F862" s="1" t="s">
        <v>174</v>
      </c>
      <c r="G862" s="5">
        <v>210</v>
      </c>
      <c r="H862" s="5">
        <f>Table3[[#This Row],[Qty]]*Table3[[#This Row],[Price]]</f>
        <v>1050</v>
      </c>
      <c r="I862" s="5"/>
    </row>
    <row r="863" spans="1:9" x14ac:dyDescent="0.25">
      <c r="A863" s="144">
        <v>46034</v>
      </c>
      <c r="B863" s="145" t="s">
        <v>429</v>
      </c>
      <c r="C863" s="145" t="s">
        <v>20</v>
      </c>
      <c r="D863" s="1" t="s">
        <v>135</v>
      </c>
      <c r="E863" s="161">
        <v>7</v>
      </c>
      <c r="F863" s="1" t="s">
        <v>174</v>
      </c>
      <c r="G863" s="5">
        <v>300</v>
      </c>
      <c r="H863" s="5">
        <f>Table3[[#This Row],[Qty]]*Table3[[#This Row],[Price]]</f>
        <v>2100</v>
      </c>
      <c r="I863" s="5"/>
    </row>
    <row r="864" spans="1:9" x14ac:dyDescent="0.25">
      <c r="A864" s="144">
        <v>46034</v>
      </c>
      <c r="B864" s="145" t="s">
        <v>429</v>
      </c>
      <c r="C864" s="145" t="s">
        <v>20</v>
      </c>
      <c r="D864" s="1" t="s">
        <v>863</v>
      </c>
      <c r="E864" s="161">
        <v>1.5</v>
      </c>
      <c r="F864" s="1" t="s">
        <v>174</v>
      </c>
      <c r="G864" s="5">
        <v>150</v>
      </c>
      <c r="H864" s="5">
        <f>Table3[[#This Row],[Qty]]*Table3[[#This Row],[Price]]</f>
        <v>225</v>
      </c>
      <c r="I864" s="5"/>
    </row>
    <row r="865" spans="1:9" x14ac:dyDescent="0.25">
      <c r="A865" s="144">
        <v>46034</v>
      </c>
      <c r="B865" s="145" t="s">
        <v>429</v>
      </c>
      <c r="C865" s="145" t="s">
        <v>20</v>
      </c>
      <c r="D865" s="1" t="s">
        <v>791</v>
      </c>
      <c r="E865" s="161">
        <v>8</v>
      </c>
      <c r="F865" s="1" t="s">
        <v>827</v>
      </c>
      <c r="G865" s="5">
        <v>443.33</v>
      </c>
      <c r="H865" s="5">
        <f>Table3[[#This Row],[Qty]]*Table3[[#This Row],[Price]]</f>
        <v>3546.64</v>
      </c>
      <c r="I865" s="5"/>
    </row>
    <row r="866" spans="1:9" x14ac:dyDescent="0.25">
      <c r="A866" s="144">
        <v>46034</v>
      </c>
      <c r="B866" s="145" t="s">
        <v>429</v>
      </c>
      <c r="C866" s="145" t="s">
        <v>20</v>
      </c>
      <c r="D866" s="1" t="s">
        <v>842</v>
      </c>
      <c r="E866" s="161">
        <v>3</v>
      </c>
      <c r="F866" s="1" t="s">
        <v>174</v>
      </c>
      <c r="G866" s="5">
        <v>75</v>
      </c>
      <c r="H866" s="5">
        <f>Table3[[#This Row],[Qty]]*Table3[[#This Row],[Price]]</f>
        <v>225</v>
      </c>
      <c r="I866" s="5"/>
    </row>
    <row r="867" spans="1:9" x14ac:dyDescent="0.25">
      <c r="A867" s="144">
        <v>46034</v>
      </c>
      <c r="B867" s="145" t="s">
        <v>429</v>
      </c>
      <c r="C867" s="145" t="s">
        <v>20</v>
      </c>
      <c r="D867" s="1" t="s">
        <v>855</v>
      </c>
      <c r="E867" s="161">
        <v>1</v>
      </c>
      <c r="F867" s="1" t="s">
        <v>174</v>
      </c>
      <c r="G867" s="5">
        <v>40</v>
      </c>
      <c r="H867" s="5">
        <f>Table3[[#This Row],[Qty]]*Table3[[#This Row],[Price]]</f>
        <v>40</v>
      </c>
      <c r="I867" s="5"/>
    </row>
    <row r="868" spans="1:9" x14ac:dyDescent="0.25">
      <c r="A868" s="144">
        <v>46034</v>
      </c>
      <c r="B868" s="145" t="s">
        <v>429</v>
      </c>
      <c r="C868" s="145" t="s">
        <v>20</v>
      </c>
      <c r="D868" s="1" t="s">
        <v>844</v>
      </c>
      <c r="E868" s="161">
        <v>13</v>
      </c>
      <c r="F868" s="1" t="s">
        <v>174</v>
      </c>
      <c r="G868" s="5">
        <v>40</v>
      </c>
      <c r="H868" s="5">
        <f>Table3[[#This Row],[Qty]]*Table3[[#This Row],[Price]]</f>
        <v>520</v>
      </c>
      <c r="I868" s="5"/>
    </row>
    <row r="869" spans="1:9" x14ac:dyDescent="0.25">
      <c r="A869" s="144">
        <v>46034</v>
      </c>
      <c r="B869" s="145" t="s">
        <v>429</v>
      </c>
      <c r="C869" s="145" t="s">
        <v>20</v>
      </c>
      <c r="D869" s="1" t="s">
        <v>840</v>
      </c>
      <c r="E869" s="161">
        <v>0.15</v>
      </c>
      <c r="F869" s="1" t="s">
        <v>174</v>
      </c>
      <c r="G869" s="5">
        <v>250</v>
      </c>
      <c r="H869" s="5">
        <f>Table3[[#This Row],[Qty]]*Table3[[#This Row],[Price]]</f>
        <v>37.5</v>
      </c>
      <c r="I869" s="5"/>
    </row>
    <row r="870" spans="1:9" x14ac:dyDescent="0.25">
      <c r="A870" s="144">
        <v>46034</v>
      </c>
      <c r="B870" s="145" t="s">
        <v>429</v>
      </c>
      <c r="C870" s="145" t="s">
        <v>20</v>
      </c>
      <c r="D870" s="1" t="s">
        <v>876</v>
      </c>
      <c r="E870" s="161">
        <v>0.7</v>
      </c>
      <c r="F870" s="1" t="s">
        <v>174</v>
      </c>
      <c r="G870" s="5">
        <v>200</v>
      </c>
      <c r="H870" s="5">
        <f>Table3[[#This Row],[Qty]]*Table3[[#This Row],[Price]]</f>
        <v>140</v>
      </c>
      <c r="I870" s="5"/>
    </row>
    <row r="871" spans="1:9" x14ac:dyDescent="0.25">
      <c r="A871" s="144">
        <v>46034</v>
      </c>
      <c r="B871" s="145" t="s">
        <v>429</v>
      </c>
      <c r="C871" s="145" t="s">
        <v>20</v>
      </c>
      <c r="D871" s="1" t="s">
        <v>802</v>
      </c>
      <c r="E871" s="161">
        <v>0.25</v>
      </c>
      <c r="F871" s="1" t="s">
        <v>174</v>
      </c>
      <c r="G871" s="5">
        <v>480</v>
      </c>
      <c r="H871" s="5">
        <f>Table3[[#This Row],[Qty]]*Table3[[#This Row],[Price]]</f>
        <v>120</v>
      </c>
      <c r="I871" s="5"/>
    </row>
    <row r="872" spans="1:9" x14ac:dyDescent="0.25">
      <c r="A872" s="144">
        <v>46034</v>
      </c>
      <c r="B872" s="145" t="s">
        <v>429</v>
      </c>
      <c r="C872" s="145" t="s">
        <v>20</v>
      </c>
      <c r="D872" s="1" t="s">
        <v>805</v>
      </c>
      <c r="E872" s="161">
        <v>0.25</v>
      </c>
      <c r="F872" s="1" t="s">
        <v>174</v>
      </c>
      <c r="G872" s="5">
        <v>580</v>
      </c>
      <c r="H872" s="5">
        <f>Table3[[#This Row],[Qty]]*Table3[[#This Row],[Price]]</f>
        <v>145</v>
      </c>
      <c r="I872" s="5"/>
    </row>
    <row r="873" spans="1:9" x14ac:dyDescent="0.25">
      <c r="A873" s="144">
        <v>46034</v>
      </c>
      <c r="B873" s="145" t="s">
        <v>429</v>
      </c>
      <c r="C873" s="145" t="s">
        <v>20</v>
      </c>
      <c r="D873" s="1" t="s">
        <v>797</v>
      </c>
      <c r="E873" s="161">
        <v>0.3</v>
      </c>
      <c r="F873" s="1" t="s">
        <v>174</v>
      </c>
      <c r="G873" s="5">
        <v>560</v>
      </c>
      <c r="H873" s="5">
        <f>Table3[[#This Row],[Qty]]*Table3[[#This Row],[Price]]</f>
        <v>168</v>
      </c>
      <c r="I873" s="5"/>
    </row>
    <row r="874" spans="1:9" x14ac:dyDescent="0.25">
      <c r="A874" s="144">
        <v>46034</v>
      </c>
      <c r="B874" s="145" t="s">
        <v>429</v>
      </c>
      <c r="C874" s="145" t="s">
        <v>310</v>
      </c>
      <c r="D874" s="1" t="s">
        <v>868</v>
      </c>
      <c r="E874" s="161">
        <v>10</v>
      </c>
      <c r="F874" s="1" t="s">
        <v>827</v>
      </c>
      <c r="G874" s="5">
        <v>220</v>
      </c>
      <c r="H874" s="5">
        <f>Table3[[#This Row],[Qty]]*Table3[[#This Row],[Price]]</f>
        <v>2200</v>
      </c>
      <c r="I874" s="5"/>
    </row>
    <row r="875" spans="1:9" x14ac:dyDescent="0.25">
      <c r="A875" s="144">
        <v>46034</v>
      </c>
      <c r="B875" s="145" t="s">
        <v>429</v>
      </c>
      <c r="C875" s="145" t="s">
        <v>310</v>
      </c>
      <c r="D875" s="1" t="s">
        <v>808</v>
      </c>
      <c r="E875" s="161">
        <v>1</v>
      </c>
      <c r="F875" s="1" t="s">
        <v>809</v>
      </c>
      <c r="G875" s="5">
        <v>896</v>
      </c>
      <c r="H875" s="5">
        <f>Table3[[#This Row],[Qty]]*Table3[[#This Row],[Price]]</f>
        <v>896</v>
      </c>
      <c r="I875" s="5"/>
    </row>
    <row r="876" spans="1:9" x14ac:dyDescent="0.25">
      <c r="A876" s="144">
        <v>46034</v>
      </c>
      <c r="B876" s="145" t="s">
        <v>429</v>
      </c>
      <c r="C876" s="145" t="s">
        <v>20</v>
      </c>
      <c r="D876" s="1" t="s">
        <v>860</v>
      </c>
      <c r="E876" s="161">
        <v>1</v>
      </c>
      <c r="F876" s="1" t="s">
        <v>174</v>
      </c>
      <c r="G876" s="5">
        <v>12</v>
      </c>
      <c r="H876" s="5">
        <f>Table3[[#This Row],[Qty]]*Table3[[#This Row],[Price]]</f>
        <v>12</v>
      </c>
      <c r="I876" s="5"/>
    </row>
    <row r="877" spans="1:9" x14ac:dyDescent="0.25">
      <c r="A877" s="144">
        <v>46034</v>
      </c>
      <c r="B877" s="145" t="s">
        <v>429</v>
      </c>
      <c r="C877" s="145" t="s">
        <v>310</v>
      </c>
      <c r="D877" s="1" t="s">
        <v>862</v>
      </c>
      <c r="E877" s="161">
        <v>6.25</v>
      </c>
      <c r="F877" s="1" t="s">
        <v>174</v>
      </c>
      <c r="G877" s="5">
        <v>170</v>
      </c>
      <c r="H877" s="5">
        <f>Table3[[#This Row],[Qty]]*Table3[[#This Row],[Price]]</f>
        <v>1062.5</v>
      </c>
      <c r="I877" s="5"/>
    </row>
    <row r="878" spans="1:9" x14ac:dyDescent="0.25">
      <c r="A878" s="144">
        <v>46034</v>
      </c>
      <c r="B878" s="145" t="s">
        <v>429</v>
      </c>
      <c r="C878" s="145" t="s">
        <v>310</v>
      </c>
      <c r="D878" s="1" t="s">
        <v>786</v>
      </c>
      <c r="E878" s="161">
        <v>3.3</v>
      </c>
      <c r="F878" s="1" t="s">
        <v>174</v>
      </c>
      <c r="G878" s="5">
        <v>1400</v>
      </c>
      <c r="H878" s="5">
        <f>Table3[[#This Row],[Qty]]*Table3[[#This Row],[Price]]</f>
        <v>4620</v>
      </c>
      <c r="I878" s="5"/>
    </row>
    <row r="879" spans="1:9" x14ac:dyDescent="0.25">
      <c r="A879" s="144">
        <v>46034</v>
      </c>
      <c r="B879" s="145" t="s">
        <v>429</v>
      </c>
      <c r="C879" s="145" t="s">
        <v>310</v>
      </c>
      <c r="D879" s="1" t="s">
        <v>854</v>
      </c>
      <c r="E879" s="146">
        <v>1</v>
      </c>
      <c r="F879" s="1" t="s">
        <v>174</v>
      </c>
      <c r="G879" s="5">
        <v>1600</v>
      </c>
      <c r="H879" s="5">
        <f>Table3[[#This Row],[Qty]]*Table3[[#This Row],[Price]]</f>
        <v>1600</v>
      </c>
      <c r="I879" s="5"/>
    </row>
    <row r="880" spans="1:9" x14ac:dyDescent="0.25">
      <c r="A880" s="144">
        <v>46034</v>
      </c>
      <c r="B880" s="145" t="s">
        <v>429</v>
      </c>
      <c r="C880" s="145" t="s">
        <v>20</v>
      </c>
      <c r="D880" s="1" t="s">
        <v>222</v>
      </c>
      <c r="E880" s="161">
        <v>2</v>
      </c>
      <c r="F880" s="58" t="s">
        <v>819</v>
      </c>
      <c r="G880" s="5">
        <v>28</v>
      </c>
      <c r="H880" s="5">
        <f>Table3[[#This Row],[Qty]]*Table3[[#This Row],[Price]]</f>
        <v>56</v>
      </c>
      <c r="I880" s="5"/>
    </row>
    <row r="881" spans="1:9" x14ac:dyDescent="0.25">
      <c r="A881" s="144">
        <v>46034</v>
      </c>
      <c r="B881" s="145" t="s">
        <v>429</v>
      </c>
      <c r="C881" s="145" t="s">
        <v>310</v>
      </c>
      <c r="D881" s="1" t="s">
        <v>862</v>
      </c>
      <c r="E881" s="161">
        <v>4</v>
      </c>
      <c r="F881" s="1" t="s">
        <v>174</v>
      </c>
      <c r="G881" s="5">
        <v>170</v>
      </c>
      <c r="H881" s="5">
        <f>Table3[[#This Row],[Qty]]*Table3[[#This Row],[Price]]</f>
        <v>680</v>
      </c>
      <c r="I881" s="5"/>
    </row>
    <row r="882" spans="1:9" x14ac:dyDescent="0.25">
      <c r="A882" s="144">
        <v>46034</v>
      </c>
      <c r="B882" s="145" t="s">
        <v>429</v>
      </c>
      <c r="C882" s="145" t="s">
        <v>310</v>
      </c>
      <c r="D882" s="1" t="s">
        <v>786</v>
      </c>
      <c r="E882" s="161">
        <v>1.2</v>
      </c>
      <c r="F882" s="1" t="s">
        <v>174</v>
      </c>
      <c r="G882" s="5">
        <v>1400</v>
      </c>
      <c r="H882" s="5">
        <f>Table3[[#This Row],[Qty]]*Table3[[#This Row],[Price]]</f>
        <v>1680</v>
      </c>
      <c r="I882" s="5"/>
    </row>
    <row r="883" spans="1:9" x14ac:dyDescent="0.25">
      <c r="A883" s="144">
        <v>46035</v>
      </c>
      <c r="B883" s="145" t="s">
        <v>113</v>
      </c>
      <c r="C883" s="145" t="s">
        <v>12</v>
      </c>
      <c r="D883" s="1" t="s">
        <v>793</v>
      </c>
      <c r="E883" s="161">
        <v>40</v>
      </c>
      <c r="F883" s="1" t="s">
        <v>174</v>
      </c>
      <c r="G883" s="5">
        <v>119</v>
      </c>
      <c r="H883" s="5">
        <f>Table3[[#This Row],[Qty]]*Table3[[#This Row],[Price]]</f>
        <v>4760</v>
      </c>
      <c r="I883" s="5"/>
    </row>
    <row r="884" spans="1:9" x14ac:dyDescent="0.25">
      <c r="A884" s="144">
        <v>46035</v>
      </c>
      <c r="B884" s="145" t="s">
        <v>113</v>
      </c>
      <c r="C884" s="145" t="s">
        <v>310</v>
      </c>
      <c r="D884" s="1" t="s">
        <v>862</v>
      </c>
      <c r="E884" s="161">
        <v>8</v>
      </c>
      <c r="F884" s="1" t="s">
        <v>174</v>
      </c>
      <c r="G884" s="5">
        <v>170</v>
      </c>
      <c r="H884" s="5">
        <f>Table3[[#This Row],[Qty]]*Table3[[#This Row],[Price]]</f>
        <v>1360</v>
      </c>
      <c r="I884" s="5"/>
    </row>
    <row r="885" spans="1:9" x14ac:dyDescent="0.25">
      <c r="A885" s="144">
        <v>46035</v>
      </c>
      <c r="B885" s="145" t="s">
        <v>113</v>
      </c>
      <c r="C885" s="145" t="s">
        <v>310</v>
      </c>
      <c r="D885" s="1" t="s">
        <v>786</v>
      </c>
      <c r="E885" s="161">
        <v>3</v>
      </c>
      <c r="F885" s="1" t="s">
        <v>174</v>
      </c>
      <c r="G885" s="5"/>
      <c r="H885" s="5">
        <f>Table3[[#This Row],[Qty]]*Table3[[#This Row],[Price]]</f>
        <v>0</v>
      </c>
      <c r="I885" s="5"/>
    </row>
    <row r="886" spans="1:9" x14ac:dyDescent="0.25">
      <c r="A886" s="144">
        <v>46035</v>
      </c>
      <c r="B886" s="145" t="s">
        <v>113</v>
      </c>
      <c r="C886" s="145" t="s">
        <v>310</v>
      </c>
      <c r="D886" s="1" t="s">
        <v>866</v>
      </c>
      <c r="E886" s="161">
        <v>1</v>
      </c>
      <c r="F886" s="1" t="s">
        <v>174</v>
      </c>
      <c r="G886" s="5"/>
      <c r="H886" s="5">
        <f>Table3[[#This Row],[Qty]]*Table3[[#This Row],[Price]]</f>
        <v>0</v>
      </c>
      <c r="I886" s="5"/>
    </row>
    <row r="887" spans="1:9" x14ac:dyDescent="0.25">
      <c r="A887" s="144">
        <v>46035</v>
      </c>
      <c r="B887" s="145" t="s">
        <v>113</v>
      </c>
      <c r="C887" s="145" t="s">
        <v>12</v>
      </c>
      <c r="D887" s="1" t="s">
        <v>791</v>
      </c>
      <c r="E887" s="161">
        <v>5</v>
      </c>
      <c r="F887" s="1" t="s">
        <v>827</v>
      </c>
      <c r="G887" s="5"/>
      <c r="H887" s="5">
        <f>Table3[[#This Row],[Qty]]*Table3[[#This Row],[Price]]</f>
        <v>0</v>
      </c>
      <c r="I887" s="5"/>
    </row>
    <row r="888" spans="1:9" x14ac:dyDescent="0.25">
      <c r="A888" s="144">
        <v>46035</v>
      </c>
      <c r="B888" s="145" t="s">
        <v>113</v>
      </c>
      <c r="C888" s="145" t="s">
        <v>12</v>
      </c>
      <c r="D888" s="1" t="s">
        <v>222</v>
      </c>
      <c r="E888" s="161">
        <v>7</v>
      </c>
      <c r="F888" s="58" t="s">
        <v>819</v>
      </c>
      <c r="G888" s="5">
        <v>28</v>
      </c>
      <c r="H888" s="5">
        <f>Table3[[#This Row],[Qty]]*Table3[[#This Row],[Price]]</f>
        <v>196</v>
      </c>
      <c r="I888" s="5"/>
    </row>
    <row r="889" spans="1:9" x14ac:dyDescent="0.25">
      <c r="A889" s="144">
        <v>46035</v>
      </c>
      <c r="B889" s="145" t="s">
        <v>113</v>
      </c>
      <c r="C889" s="145" t="s">
        <v>13</v>
      </c>
      <c r="D889" s="1" t="s">
        <v>794</v>
      </c>
      <c r="E889" s="161">
        <v>100</v>
      </c>
      <c r="F889" s="1" t="s">
        <v>174</v>
      </c>
      <c r="G889" s="5">
        <v>113</v>
      </c>
      <c r="H889" s="5">
        <f>Table3[[#This Row],[Qty]]*Table3[[#This Row],[Price]]</f>
        <v>11300</v>
      </c>
      <c r="I889" s="5"/>
    </row>
    <row r="890" spans="1:9" x14ac:dyDescent="0.25">
      <c r="A890" s="144">
        <v>46035</v>
      </c>
      <c r="B890" s="145" t="s">
        <v>113</v>
      </c>
      <c r="C890" s="145" t="s">
        <v>13</v>
      </c>
      <c r="D890" s="1" t="s">
        <v>860</v>
      </c>
      <c r="E890" s="161">
        <v>4</v>
      </c>
      <c r="F890" s="1" t="s">
        <v>174</v>
      </c>
      <c r="G890" s="5">
        <v>12</v>
      </c>
      <c r="H890" s="5">
        <f>Table3[[#This Row],[Qty]]*Table3[[#This Row],[Price]]</f>
        <v>48</v>
      </c>
      <c r="I890" s="5"/>
    </row>
    <row r="891" spans="1:9" x14ac:dyDescent="0.25">
      <c r="A891" s="144">
        <v>46035</v>
      </c>
      <c r="B891" s="145" t="s">
        <v>113</v>
      </c>
      <c r="C891" s="145" t="s">
        <v>13</v>
      </c>
      <c r="D891" s="1" t="s">
        <v>235</v>
      </c>
      <c r="E891" s="161">
        <v>4</v>
      </c>
      <c r="F891" s="1" t="s">
        <v>174</v>
      </c>
      <c r="G891" s="5">
        <v>183</v>
      </c>
      <c r="H891" s="5">
        <f>Table3[[#This Row],[Qty]]*Table3[[#This Row],[Price]]</f>
        <v>732</v>
      </c>
      <c r="I891" s="5"/>
    </row>
    <row r="892" spans="1:9" x14ac:dyDescent="0.25">
      <c r="A892" s="144">
        <v>46035</v>
      </c>
      <c r="B892" s="145" t="s">
        <v>113</v>
      </c>
      <c r="C892" s="145" t="s">
        <v>13</v>
      </c>
      <c r="D892" s="1" t="s">
        <v>842</v>
      </c>
      <c r="E892" s="161">
        <v>1</v>
      </c>
      <c r="F892" s="1" t="s">
        <v>174</v>
      </c>
      <c r="G892" s="5">
        <v>75</v>
      </c>
      <c r="H892" s="5">
        <f>Table3[[#This Row],[Qty]]*Table3[[#This Row],[Price]]</f>
        <v>75</v>
      </c>
      <c r="I892" s="5"/>
    </row>
    <row r="893" spans="1:9" x14ac:dyDescent="0.25">
      <c r="A893" s="144">
        <v>46035</v>
      </c>
      <c r="B893" s="145" t="s">
        <v>113</v>
      </c>
      <c r="C893" s="145" t="s">
        <v>13</v>
      </c>
      <c r="D893" s="1" t="s">
        <v>844</v>
      </c>
      <c r="E893" s="161">
        <v>31.5</v>
      </c>
      <c r="F893" s="1" t="s">
        <v>174</v>
      </c>
      <c r="G893" s="5">
        <v>40</v>
      </c>
      <c r="H893" s="5">
        <f>Table3[[#This Row],[Qty]]*Table3[[#This Row],[Price]]</f>
        <v>1260</v>
      </c>
      <c r="I893" s="5"/>
    </row>
    <row r="894" spans="1:9" x14ac:dyDescent="0.25">
      <c r="A894" s="144">
        <v>46035</v>
      </c>
      <c r="B894" s="145" t="s">
        <v>113</v>
      </c>
      <c r="C894" s="145" t="s">
        <v>13</v>
      </c>
      <c r="D894" s="1" t="s">
        <v>855</v>
      </c>
      <c r="E894" s="161">
        <v>4.5</v>
      </c>
      <c r="F894" s="1" t="s">
        <v>174</v>
      </c>
      <c r="G894" s="5">
        <v>40</v>
      </c>
      <c r="H894" s="5">
        <f>Table3[[#This Row],[Qty]]*Table3[[#This Row],[Price]]</f>
        <v>180</v>
      </c>
      <c r="I894" s="5"/>
    </row>
    <row r="895" spans="1:9" x14ac:dyDescent="0.25">
      <c r="A895" s="144">
        <v>46035</v>
      </c>
      <c r="B895" s="145" t="s">
        <v>113</v>
      </c>
      <c r="C895" s="145" t="s">
        <v>13</v>
      </c>
      <c r="D895" s="1" t="s">
        <v>791</v>
      </c>
      <c r="E895" s="161">
        <v>9</v>
      </c>
      <c r="F895" s="1" t="s">
        <v>827</v>
      </c>
      <c r="G895" s="5"/>
      <c r="H895" s="5">
        <f>Table3[[#This Row],[Qty]]*Table3[[#This Row],[Price]]</f>
        <v>0</v>
      </c>
      <c r="I895" s="5"/>
    </row>
    <row r="896" spans="1:9" x14ac:dyDescent="0.25">
      <c r="A896" s="144">
        <v>46035</v>
      </c>
      <c r="B896" s="145" t="s">
        <v>113</v>
      </c>
      <c r="C896" s="145" t="s">
        <v>13</v>
      </c>
      <c r="D896" s="1" t="s">
        <v>135</v>
      </c>
      <c r="E896" s="161">
        <v>14</v>
      </c>
      <c r="F896" s="1" t="s">
        <v>174</v>
      </c>
      <c r="G896" s="5">
        <v>300</v>
      </c>
      <c r="H896" s="5">
        <f>Table3[[#This Row],[Qty]]*Table3[[#This Row],[Price]]</f>
        <v>4200</v>
      </c>
      <c r="I896" s="5"/>
    </row>
    <row r="897" spans="1:9" x14ac:dyDescent="0.25">
      <c r="A897" s="144">
        <v>46035</v>
      </c>
      <c r="B897" s="145" t="s">
        <v>113</v>
      </c>
      <c r="C897" s="145" t="s">
        <v>13</v>
      </c>
      <c r="D897" s="1" t="s">
        <v>222</v>
      </c>
      <c r="E897" s="161">
        <v>5</v>
      </c>
      <c r="F897" s="58" t="s">
        <v>819</v>
      </c>
      <c r="G897" s="5">
        <v>28</v>
      </c>
      <c r="H897" s="5">
        <f>Table3[[#This Row],[Qty]]*Table3[[#This Row],[Price]]</f>
        <v>140</v>
      </c>
      <c r="I897" s="5"/>
    </row>
    <row r="898" spans="1:9" x14ac:dyDescent="0.25">
      <c r="A898" s="144">
        <v>46035</v>
      </c>
      <c r="B898" s="145" t="s">
        <v>113</v>
      </c>
      <c r="C898" s="145" t="s">
        <v>310</v>
      </c>
      <c r="D898" s="1" t="s">
        <v>866</v>
      </c>
      <c r="E898" s="161">
        <v>2</v>
      </c>
      <c r="F898" s="1" t="s">
        <v>174</v>
      </c>
      <c r="G898" s="5"/>
      <c r="H898" s="5">
        <f>Table3[[#This Row],[Qty]]*Table3[[#This Row],[Price]]</f>
        <v>0</v>
      </c>
      <c r="I898" s="5"/>
    </row>
    <row r="899" spans="1:9" x14ac:dyDescent="0.25">
      <c r="A899" s="144">
        <v>46035</v>
      </c>
      <c r="B899" s="145" t="s">
        <v>113</v>
      </c>
      <c r="C899" s="145" t="s">
        <v>13</v>
      </c>
      <c r="D899" s="1" t="s">
        <v>865</v>
      </c>
      <c r="E899" s="161">
        <v>11</v>
      </c>
      <c r="F899" s="1" t="s">
        <v>174</v>
      </c>
      <c r="G899" s="5">
        <v>120</v>
      </c>
      <c r="H899" s="5">
        <f>Table3[[#This Row],[Qty]]*Table3[[#This Row],[Price]]</f>
        <v>1320</v>
      </c>
      <c r="I899" s="5"/>
    </row>
    <row r="900" spans="1:9" x14ac:dyDescent="0.25">
      <c r="A900" s="144">
        <v>46035</v>
      </c>
      <c r="B900" s="145" t="s">
        <v>113</v>
      </c>
      <c r="C900" s="145" t="s">
        <v>13</v>
      </c>
      <c r="D900" s="1" t="s">
        <v>852</v>
      </c>
      <c r="E900" s="161">
        <v>0.5</v>
      </c>
      <c r="F900" s="1" t="s">
        <v>174</v>
      </c>
      <c r="G900" s="5">
        <v>300</v>
      </c>
      <c r="H900" s="5">
        <f>Table3[[#This Row],[Qty]]*Table3[[#This Row],[Price]]</f>
        <v>150</v>
      </c>
      <c r="I900" s="5"/>
    </row>
    <row r="901" spans="1:9" x14ac:dyDescent="0.25">
      <c r="A901" s="144">
        <v>46035</v>
      </c>
      <c r="B901" s="145" t="s">
        <v>113</v>
      </c>
      <c r="C901" s="145" t="s">
        <v>13</v>
      </c>
      <c r="D901" s="1" t="s">
        <v>876</v>
      </c>
      <c r="E901" s="161">
        <v>0.25</v>
      </c>
      <c r="F901" s="1" t="s">
        <v>174</v>
      </c>
      <c r="G901" s="5">
        <v>200</v>
      </c>
      <c r="H901" s="5">
        <f>Table3[[#This Row],[Qty]]*Table3[[#This Row],[Price]]</f>
        <v>50</v>
      </c>
      <c r="I901" s="5"/>
    </row>
    <row r="902" spans="1:9" x14ac:dyDescent="0.25">
      <c r="A902" s="144">
        <v>46035</v>
      </c>
      <c r="B902" s="145" t="s">
        <v>113</v>
      </c>
      <c r="C902" s="145" t="s">
        <v>13</v>
      </c>
      <c r="D902" s="1" t="s">
        <v>889</v>
      </c>
      <c r="E902" s="161">
        <v>0.32500000000000001</v>
      </c>
      <c r="F902" s="1" t="s">
        <v>174</v>
      </c>
      <c r="G902" s="5"/>
      <c r="H902" s="5">
        <f>Table3[[#This Row],[Qty]]*Table3[[#This Row],[Price]]</f>
        <v>0</v>
      </c>
      <c r="I902" s="5"/>
    </row>
    <row r="903" spans="1:9" x14ac:dyDescent="0.25">
      <c r="A903" s="144">
        <v>46035</v>
      </c>
      <c r="B903" s="145" t="s">
        <v>113</v>
      </c>
      <c r="C903" s="145" t="s">
        <v>310</v>
      </c>
      <c r="D903" s="1" t="s">
        <v>868</v>
      </c>
      <c r="E903" s="161">
        <v>10</v>
      </c>
      <c r="F903" s="1" t="s">
        <v>827</v>
      </c>
      <c r="G903" s="5">
        <v>220</v>
      </c>
      <c r="H903" s="5">
        <f>Table3[[#This Row],[Qty]]*Table3[[#This Row],[Price]]</f>
        <v>2200</v>
      </c>
      <c r="I903" s="5"/>
    </row>
    <row r="904" spans="1:9" x14ac:dyDescent="0.25">
      <c r="A904" s="144">
        <v>46035</v>
      </c>
      <c r="B904" s="145" t="s">
        <v>113</v>
      </c>
      <c r="C904" s="145" t="s">
        <v>310</v>
      </c>
      <c r="D904" s="1" t="s">
        <v>862</v>
      </c>
      <c r="E904" s="161">
        <v>7.75</v>
      </c>
      <c r="F904" s="1" t="s">
        <v>174</v>
      </c>
      <c r="G904" s="5">
        <v>170</v>
      </c>
      <c r="H904" s="5">
        <f>Table3[[#This Row],[Qty]]*Table3[[#This Row],[Price]]</f>
        <v>1317.5</v>
      </c>
      <c r="I904" s="5"/>
    </row>
    <row r="905" spans="1:9" x14ac:dyDescent="0.25">
      <c r="A905" s="144">
        <v>46035</v>
      </c>
      <c r="B905" s="145" t="s">
        <v>113</v>
      </c>
      <c r="C905" s="145" t="s">
        <v>13</v>
      </c>
      <c r="D905" s="1" t="s">
        <v>786</v>
      </c>
      <c r="E905" s="161">
        <v>3.1</v>
      </c>
      <c r="F905" s="1" t="s">
        <v>174</v>
      </c>
      <c r="G905" s="5"/>
      <c r="H905" s="5">
        <f>Table3[[#This Row],[Qty]]*Table3[[#This Row],[Price]]</f>
        <v>0</v>
      </c>
      <c r="I905" s="5"/>
    </row>
    <row r="906" spans="1:9" x14ac:dyDescent="0.25">
      <c r="A906" s="144">
        <v>46035</v>
      </c>
      <c r="B906" s="145" t="s">
        <v>113</v>
      </c>
      <c r="C906" s="145" t="s">
        <v>838</v>
      </c>
      <c r="D906" s="1" t="s">
        <v>791</v>
      </c>
      <c r="E906" s="161">
        <v>8</v>
      </c>
      <c r="F906" s="1" t="s">
        <v>827</v>
      </c>
      <c r="G906" s="5"/>
      <c r="H906" s="5">
        <f>Table3[[#This Row],[Qty]]*Table3[[#This Row],[Price]]</f>
        <v>0</v>
      </c>
      <c r="I906" s="5"/>
    </row>
    <row r="907" spans="1:9" x14ac:dyDescent="0.25">
      <c r="A907" s="144">
        <v>46035</v>
      </c>
      <c r="B907" s="145" t="s">
        <v>113</v>
      </c>
      <c r="C907" s="145" t="s">
        <v>20</v>
      </c>
      <c r="D907" s="1" t="s">
        <v>863</v>
      </c>
      <c r="E907" s="161">
        <v>1</v>
      </c>
      <c r="F907" s="1" t="s">
        <v>174</v>
      </c>
      <c r="G907" s="5">
        <v>150</v>
      </c>
      <c r="H907" s="5">
        <f>Table3[[#This Row],[Qty]]*Table3[[#This Row],[Price]]</f>
        <v>150</v>
      </c>
      <c r="I907" s="5"/>
    </row>
    <row r="908" spans="1:9" x14ac:dyDescent="0.25">
      <c r="A908" s="144">
        <v>46035</v>
      </c>
      <c r="B908" s="145" t="s">
        <v>113</v>
      </c>
      <c r="C908" s="145" t="s">
        <v>20</v>
      </c>
      <c r="D908" s="1" t="s">
        <v>842</v>
      </c>
      <c r="E908" s="161">
        <v>4</v>
      </c>
      <c r="F908" s="1" t="s">
        <v>174</v>
      </c>
      <c r="G908" s="5">
        <v>75</v>
      </c>
      <c r="H908" s="5">
        <f>Table3[[#This Row],[Qty]]*Table3[[#This Row],[Price]]</f>
        <v>300</v>
      </c>
      <c r="I908" s="5"/>
    </row>
    <row r="909" spans="1:9" x14ac:dyDescent="0.25">
      <c r="A909" s="144">
        <v>46035</v>
      </c>
      <c r="B909" s="145" t="s">
        <v>113</v>
      </c>
      <c r="C909" s="145" t="s">
        <v>20</v>
      </c>
      <c r="D909" s="1" t="s">
        <v>880</v>
      </c>
      <c r="E909" s="161">
        <v>5</v>
      </c>
      <c r="F909" s="1" t="s">
        <v>174</v>
      </c>
      <c r="G909" s="5">
        <v>50</v>
      </c>
      <c r="H909" s="5">
        <f>Table3[[#This Row],[Qty]]*Table3[[#This Row],[Price]]</f>
        <v>250</v>
      </c>
      <c r="I909" s="5"/>
    </row>
    <row r="910" spans="1:9" x14ac:dyDescent="0.25">
      <c r="A910" s="144">
        <v>46035</v>
      </c>
      <c r="B910" s="145" t="s">
        <v>113</v>
      </c>
      <c r="C910" s="145" t="s">
        <v>20</v>
      </c>
      <c r="D910" s="1" t="s">
        <v>876</v>
      </c>
      <c r="E910" s="161">
        <v>0.15</v>
      </c>
      <c r="F910" s="1" t="s">
        <v>174</v>
      </c>
      <c r="G910" s="5">
        <v>200</v>
      </c>
      <c r="H910" s="5">
        <f>Table3[[#This Row],[Qty]]*Table3[[#This Row],[Price]]</f>
        <v>30</v>
      </c>
      <c r="I910" s="5"/>
    </row>
    <row r="911" spans="1:9" x14ac:dyDescent="0.25">
      <c r="A911" s="144">
        <v>46035</v>
      </c>
      <c r="B911" s="145" t="s">
        <v>113</v>
      </c>
      <c r="C911" s="145" t="s">
        <v>20</v>
      </c>
      <c r="D911" s="1" t="s">
        <v>873</v>
      </c>
      <c r="E911" s="161">
        <v>3</v>
      </c>
      <c r="F911" s="1" t="s">
        <v>174</v>
      </c>
      <c r="G911" s="5">
        <v>80</v>
      </c>
      <c r="H911" s="5">
        <f>Table3[[#This Row],[Qty]]*Table3[[#This Row],[Price]]</f>
        <v>240</v>
      </c>
      <c r="I911" s="5"/>
    </row>
    <row r="912" spans="1:9" x14ac:dyDescent="0.25">
      <c r="A912" s="144">
        <v>46035</v>
      </c>
      <c r="B912" s="145" t="s">
        <v>113</v>
      </c>
      <c r="C912" s="145" t="s">
        <v>20</v>
      </c>
      <c r="D912" s="1" t="s">
        <v>855</v>
      </c>
      <c r="E912" s="161">
        <v>22.5</v>
      </c>
      <c r="F912" s="1" t="s">
        <v>174</v>
      </c>
      <c r="G912" s="5">
        <v>40</v>
      </c>
      <c r="H912" s="5">
        <f>Table3[[#This Row],[Qty]]*Table3[[#This Row],[Price]]</f>
        <v>900</v>
      </c>
      <c r="I912" s="5"/>
    </row>
    <row r="913" spans="1:9" x14ac:dyDescent="0.25">
      <c r="A913" s="144">
        <v>46035</v>
      </c>
      <c r="B913" s="145" t="s">
        <v>113</v>
      </c>
      <c r="C913" s="145" t="s">
        <v>20</v>
      </c>
      <c r="D913" s="1" t="s">
        <v>844</v>
      </c>
      <c r="E913" s="161">
        <v>10</v>
      </c>
      <c r="F913" s="1" t="s">
        <v>174</v>
      </c>
      <c r="G913" s="5">
        <v>40</v>
      </c>
      <c r="H913" s="5">
        <f>Table3[[#This Row],[Qty]]*Table3[[#This Row],[Price]]</f>
        <v>400</v>
      </c>
      <c r="I913" s="5"/>
    </row>
    <row r="914" spans="1:9" x14ac:dyDescent="0.25">
      <c r="A914" s="144">
        <v>46035</v>
      </c>
      <c r="B914" s="145" t="s">
        <v>113</v>
      </c>
      <c r="C914" s="145" t="s">
        <v>20</v>
      </c>
      <c r="D914" s="1" t="s">
        <v>852</v>
      </c>
      <c r="E914" s="161">
        <v>0.13400000000000001</v>
      </c>
      <c r="F914" s="1" t="s">
        <v>174</v>
      </c>
      <c r="G914" s="5">
        <v>300</v>
      </c>
      <c r="H914" s="5">
        <f>Table3[[#This Row],[Qty]]*Table3[[#This Row],[Price]]</f>
        <v>40.200000000000003</v>
      </c>
      <c r="I914" s="5"/>
    </row>
    <row r="915" spans="1:9" x14ac:dyDescent="0.25">
      <c r="A915" s="144">
        <v>46035</v>
      </c>
      <c r="B915" s="145" t="s">
        <v>113</v>
      </c>
      <c r="C915" s="145" t="s">
        <v>20</v>
      </c>
      <c r="D915" s="1" t="s">
        <v>860</v>
      </c>
      <c r="E915" s="161">
        <v>1</v>
      </c>
      <c r="F915" s="1" t="s">
        <v>174</v>
      </c>
      <c r="G915" s="5">
        <v>12</v>
      </c>
      <c r="H915" s="5">
        <f>Table3[[#This Row],[Qty]]*Table3[[#This Row],[Price]]</f>
        <v>12</v>
      </c>
      <c r="I915" s="5"/>
    </row>
    <row r="916" spans="1:9" x14ac:dyDescent="0.25">
      <c r="A916" s="144">
        <v>46035</v>
      </c>
      <c r="B916" s="145" t="s">
        <v>113</v>
      </c>
      <c r="C916" s="145" t="s">
        <v>20</v>
      </c>
      <c r="D916" s="1" t="s">
        <v>135</v>
      </c>
      <c r="E916" s="161">
        <v>12</v>
      </c>
      <c r="F916" s="1" t="s">
        <v>174</v>
      </c>
      <c r="G916" s="5">
        <v>300</v>
      </c>
      <c r="H916" s="5">
        <f>Table3[[#This Row],[Qty]]*Table3[[#This Row],[Price]]</f>
        <v>3600</v>
      </c>
      <c r="I916" s="5"/>
    </row>
    <row r="917" spans="1:9" x14ac:dyDescent="0.25">
      <c r="A917" s="144">
        <v>46035</v>
      </c>
      <c r="B917" s="145" t="s">
        <v>113</v>
      </c>
      <c r="C917" s="145" t="s">
        <v>20</v>
      </c>
      <c r="D917" s="1" t="s">
        <v>874</v>
      </c>
      <c r="E917" s="161">
        <v>2</v>
      </c>
      <c r="F917" s="1" t="s">
        <v>174</v>
      </c>
      <c r="G917" s="5">
        <v>1600</v>
      </c>
      <c r="H917" s="5">
        <f>Table3[[#This Row],[Qty]]*Table3[[#This Row],[Price]]</f>
        <v>3200</v>
      </c>
      <c r="I917" s="5"/>
    </row>
    <row r="918" spans="1:9" x14ac:dyDescent="0.25">
      <c r="A918" s="144">
        <v>46035</v>
      </c>
      <c r="B918" s="145" t="s">
        <v>113</v>
      </c>
      <c r="C918" s="145" t="s">
        <v>894</v>
      </c>
      <c r="D918" s="1" t="s">
        <v>896</v>
      </c>
      <c r="E918" s="161">
        <v>5</v>
      </c>
      <c r="F918" s="1" t="s">
        <v>827</v>
      </c>
      <c r="G918" s="5"/>
      <c r="H918" s="5">
        <f>Table3[[#This Row],[Qty]]*Table3[[#This Row],[Price]]</f>
        <v>0</v>
      </c>
      <c r="I918" s="5"/>
    </row>
    <row r="919" spans="1:9" x14ac:dyDescent="0.25">
      <c r="A919" s="144">
        <v>46035</v>
      </c>
      <c r="B919" s="145" t="s">
        <v>113</v>
      </c>
      <c r="C919" s="145" t="s">
        <v>310</v>
      </c>
      <c r="D919" s="1" t="s">
        <v>862</v>
      </c>
      <c r="E919" s="161">
        <v>7.75</v>
      </c>
      <c r="F919" s="1" t="s">
        <v>174</v>
      </c>
      <c r="G919" s="5">
        <v>170</v>
      </c>
      <c r="H919" s="5">
        <f>Table3[[#This Row],[Qty]]*Table3[[#This Row],[Price]]</f>
        <v>1317.5</v>
      </c>
      <c r="I919" s="5"/>
    </row>
    <row r="920" spans="1:9" x14ac:dyDescent="0.25">
      <c r="A920" s="144">
        <v>46035</v>
      </c>
      <c r="B920" s="145" t="s">
        <v>113</v>
      </c>
      <c r="C920" s="145" t="s">
        <v>310</v>
      </c>
      <c r="D920" s="1" t="s">
        <v>786</v>
      </c>
      <c r="E920" s="161">
        <v>3.1</v>
      </c>
      <c r="F920" s="1" t="s">
        <v>174</v>
      </c>
      <c r="G920" s="5"/>
      <c r="H920" s="5">
        <f>Table3[[#This Row],[Qty]]*Table3[[#This Row],[Price]]</f>
        <v>0</v>
      </c>
      <c r="I920" s="5"/>
    </row>
    <row r="921" spans="1:9" x14ac:dyDescent="0.25">
      <c r="A921" s="144">
        <v>46035</v>
      </c>
      <c r="B921" s="145" t="s">
        <v>113</v>
      </c>
      <c r="C921" s="145" t="s">
        <v>310</v>
      </c>
      <c r="D921" s="1" t="s">
        <v>862</v>
      </c>
      <c r="E921" s="161">
        <v>4</v>
      </c>
      <c r="F921" s="1" t="s">
        <v>174</v>
      </c>
      <c r="G921" s="5">
        <v>170</v>
      </c>
      <c r="H921" s="5">
        <f>Table3[[#This Row],[Qty]]*Table3[[#This Row],[Price]]</f>
        <v>680</v>
      </c>
      <c r="I921" s="5"/>
    </row>
    <row r="922" spans="1:9" x14ac:dyDescent="0.25">
      <c r="A922" s="144">
        <v>46035</v>
      </c>
      <c r="B922" s="145" t="s">
        <v>113</v>
      </c>
      <c r="C922" s="145" t="s">
        <v>310</v>
      </c>
      <c r="D922" s="1" t="s">
        <v>786</v>
      </c>
      <c r="E922" s="161">
        <v>1.2</v>
      </c>
      <c r="F922" s="1" t="s">
        <v>174</v>
      </c>
      <c r="G922" s="5"/>
      <c r="H922" s="5">
        <f>Table3[[#This Row],[Qty]]*Table3[[#This Row],[Price]]</f>
        <v>0</v>
      </c>
      <c r="I922" s="5"/>
    </row>
    <row r="923" spans="1:9" x14ac:dyDescent="0.25">
      <c r="A923" s="144">
        <v>46035</v>
      </c>
      <c r="B923" s="145" t="s">
        <v>113</v>
      </c>
      <c r="C923" s="145" t="s">
        <v>310</v>
      </c>
      <c r="D923" s="1" t="s">
        <v>854</v>
      </c>
      <c r="E923" s="161">
        <v>1</v>
      </c>
      <c r="F923" s="1" t="s">
        <v>174</v>
      </c>
      <c r="G923" s="5">
        <v>1600</v>
      </c>
      <c r="H923" s="5">
        <f>Table3[[#This Row],[Qty]]*Table3[[#This Row],[Price]]</f>
        <v>1600</v>
      </c>
      <c r="I923" s="5"/>
    </row>
    <row r="924" spans="1:9" x14ac:dyDescent="0.25">
      <c r="A924" s="144">
        <v>46036</v>
      </c>
      <c r="B924" s="145" t="s">
        <v>114</v>
      </c>
      <c r="C924" s="145" t="s">
        <v>12</v>
      </c>
      <c r="D924" s="1" t="s">
        <v>793</v>
      </c>
      <c r="E924" s="161">
        <v>62</v>
      </c>
      <c r="F924" s="1" t="s">
        <v>174</v>
      </c>
      <c r="G924" s="5">
        <v>119</v>
      </c>
      <c r="H924" s="5">
        <f>Table3[[#This Row],[Qty]]*Table3[[#This Row],[Price]]</f>
        <v>7378</v>
      </c>
      <c r="I924" s="5"/>
    </row>
    <row r="925" spans="1:9" x14ac:dyDescent="0.25">
      <c r="A925" s="144">
        <v>46036</v>
      </c>
      <c r="B925" s="145" t="s">
        <v>114</v>
      </c>
      <c r="C925" s="145" t="s">
        <v>310</v>
      </c>
      <c r="D925" s="1" t="s">
        <v>862</v>
      </c>
      <c r="E925" s="161">
        <v>7</v>
      </c>
      <c r="F925" s="1" t="s">
        <v>174</v>
      </c>
      <c r="G925" s="5">
        <v>170</v>
      </c>
      <c r="H925" s="5">
        <f>Table3[[#This Row],[Qty]]*Table3[[#This Row],[Price]]</f>
        <v>1190</v>
      </c>
      <c r="I925" s="5"/>
    </row>
    <row r="926" spans="1:9" x14ac:dyDescent="0.25">
      <c r="A926" s="144">
        <v>46036</v>
      </c>
      <c r="B926" s="145" t="s">
        <v>114</v>
      </c>
      <c r="C926" s="145" t="s">
        <v>12</v>
      </c>
      <c r="D926" s="1" t="s">
        <v>791</v>
      </c>
      <c r="E926" s="161">
        <v>8</v>
      </c>
      <c r="F926" s="1" t="s">
        <v>827</v>
      </c>
      <c r="G926" s="5"/>
      <c r="H926" s="5">
        <f>Table3[[#This Row],[Qty]]*Table3[[#This Row],[Price]]</f>
        <v>0</v>
      </c>
      <c r="I926" s="5"/>
    </row>
    <row r="927" spans="1:9" x14ac:dyDescent="0.25">
      <c r="A927" s="144">
        <v>46036</v>
      </c>
      <c r="B927" s="145" t="s">
        <v>114</v>
      </c>
      <c r="C927" s="145" t="s">
        <v>12</v>
      </c>
      <c r="D927" s="1" t="s">
        <v>866</v>
      </c>
      <c r="E927" s="161">
        <v>1</v>
      </c>
      <c r="F927" s="1" t="s">
        <v>174</v>
      </c>
      <c r="G927" s="5"/>
      <c r="H927" s="5">
        <f>Table3[[#This Row],[Qty]]*Table3[[#This Row],[Price]]</f>
        <v>0</v>
      </c>
      <c r="I927" s="5"/>
    </row>
    <row r="928" spans="1:9" x14ac:dyDescent="0.25">
      <c r="A928" s="144">
        <v>46036</v>
      </c>
      <c r="B928" s="145" t="s">
        <v>114</v>
      </c>
      <c r="C928" s="145" t="s">
        <v>310</v>
      </c>
      <c r="D928" s="1" t="s">
        <v>786</v>
      </c>
      <c r="E928" s="161">
        <v>3</v>
      </c>
      <c r="F928" s="1" t="s">
        <v>174</v>
      </c>
      <c r="G928" s="5"/>
      <c r="H928" s="5">
        <f>Table3[[#This Row],[Qty]]*Table3[[#This Row],[Price]]</f>
        <v>0</v>
      </c>
      <c r="I928" s="5"/>
    </row>
    <row r="929" spans="1:9" x14ac:dyDescent="0.25">
      <c r="A929" s="144">
        <v>46036</v>
      </c>
      <c r="B929" s="145" t="s">
        <v>114</v>
      </c>
      <c r="C929" s="145" t="s">
        <v>310</v>
      </c>
      <c r="D929" s="1" t="s">
        <v>895</v>
      </c>
      <c r="E929" s="161">
        <v>1</v>
      </c>
      <c r="F929" s="1" t="s">
        <v>174</v>
      </c>
      <c r="G929" s="5"/>
      <c r="H929" s="5">
        <f>Table3[[#This Row],[Qty]]*Table3[[#This Row],[Price]]</f>
        <v>0</v>
      </c>
      <c r="I929" s="5"/>
    </row>
    <row r="930" spans="1:9" x14ac:dyDescent="0.25">
      <c r="A930" s="144">
        <v>46036</v>
      </c>
      <c r="B930" s="145" t="s">
        <v>114</v>
      </c>
      <c r="C930" s="145" t="s">
        <v>12</v>
      </c>
      <c r="D930" s="1" t="s">
        <v>897</v>
      </c>
      <c r="E930" s="161">
        <v>0.08</v>
      </c>
      <c r="F930" s="1" t="s">
        <v>174</v>
      </c>
      <c r="G930" s="5"/>
      <c r="H930" s="5">
        <f>Table3[[#This Row],[Qty]]*Table3[[#This Row],[Price]]</f>
        <v>0</v>
      </c>
      <c r="I930" s="5"/>
    </row>
    <row r="931" spans="1:9" x14ac:dyDescent="0.25">
      <c r="A931" s="144">
        <v>46036</v>
      </c>
      <c r="B931" s="145" t="s">
        <v>114</v>
      </c>
      <c r="C931" s="145" t="s">
        <v>12</v>
      </c>
      <c r="D931" s="1" t="s">
        <v>222</v>
      </c>
      <c r="E931" s="161">
        <v>5</v>
      </c>
      <c r="F931" s="58" t="s">
        <v>819</v>
      </c>
      <c r="G931" s="5">
        <v>28</v>
      </c>
      <c r="H931" s="5">
        <f>Table3[[#This Row],[Qty]]*Table3[[#This Row],[Price]]</f>
        <v>140</v>
      </c>
      <c r="I931" s="5"/>
    </row>
    <row r="932" spans="1:9" x14ac:dyDescent="0.25">
      <c r="A932" s="144">
        <v>46036</v>
      </c>
      <c r="B932" s="145" t="s">
        <v>114</v>
      </c>
      <c r="C932" s="145" t="s">
        <v>13</v>
      </c>
      <c r="D932" s="1" t="s">
        <v>135</v>
      </c>
      <c r="E932" s="161">
        <v>50</v>
      </c>
      <c r="F932" s="1" t="s">
        <v>174</v>
      </c>
      <c r="G932" s="5">
        <v>300</v>
      </c>
      <c r="H932" s="5">
        <f>Table3[[#This Row],[Qty]]*Table3[[#This Row],[Price]]</f>
        <v>15000</v>
      </c>
      <c r="I932" s="5"/>
    </row>
    <row r="933" spans="1:9" x14ac:dyDescent="0.25">
      <c r="A933" s="144">
        <v>46036</v>
      </c>
      <c r="B933" s="145" t="s">
        <v>114</v>
      </c>
      <c r="C933" s="145" t="s">
        <v>13</v>
      </c>
      <c r="D933" s="1" t="s">
        <v>864</v>
      </c>
      <c r="E933" s="161">
        <v>30</v>
      </c>
      <c r="F933" s="1" t="s">
        <v>174</v>
      </c>
      <c r="G933" s="5"/>
      <c r="H933" s="5">
        <f>Table3[[#This Row],[Qty]]*Table3[[#This Row],[Price]]</f>
        <v>0</v>
      </c>
      <c r="I933" s="5"/>
    </row>
    <row r="934" spans="1:9" x14ac:dyDescent="0.25">
      <c r="A934" s="144">
        <v>46036</v>
      </c>
      <c r="B934" s="145" t="s">
        <v>114</v>
      </c>
      <c r="C934" s="145" t="s">
        <v>13</v>
      </c>
      <c r="D934" s="1" t="s">
        <v>844</v>
      </c>
      <c r="E934" s="161">
        <v>21.5</v>
      </c>
      <c r="F934" s="1" t="s">
        <v>174</v>
      </c>
      <c r="G934" s="5">
        <v>40</v>
      </c>
      <c r="H934" s="5">
        <f>Table3[[#This Row],[Qty]]*Table3[[#This Row],[Price]]</f>
        <v>860</v>
      </c>
      <c r="I934" s="5"/>
    </row>
    <row r="935" spans="1:9" x14ac:dyDescent="0.25">
      <c r="A935" s="144">
        <v>46036</v>
      </c>
      <c r="B935" s="145" t="s">
        <v>114</v>
      </c>
      <c r="C935" s="145" t="s">
        <v>13</v>
      </c>
      <c r="D935" s="1" t="s">
        <v>842</v>
      </c>
      <c r="E935" s="161">
        <v>7</v>
      </c>
      <c r="F935" s="1" t="s">
        <v>174</v>
      </c>
      <c r="G935" s="5">
        <v>75</v>
      </c>
      <c r="H935" s="5">
        <f>Table3[[#This Row],[Qty]]*Table3[[#This Row],[Price]]</f>
        <v>525</v>
      </c>
      <c r="I935" s="5"/>
    </row>
    <row r="936" spans="1:9" x14ac:dyDescent="0.25">
      <c r="A936" s="144">
        <v>46036</v>
      </c>
      <c r="B936" s="145" t="s">
        <v>114</v>
      </c>
      <c r="C936" s="145" t="s">
        <v>13</v>
      </c>
      <c r="D936" s="1" t="s">
        <v>855</v>
      </c>
      <c r="E936" s="161">
        <v>6.3</v>
      </c>
      <c r="F936" s="1" t="s">
        <v>174</v>
      </c>
      <c r="G936" s="5">
        <v>40</v>
      </c>
      <c r="H936" s="5">
        <f>Table3[[#This Row],[Qty]]*Table3[[#This Row],[Price]]</f>
        <v>252</v>
      </c>
      <c r="I936" s="5"/>
    </row>
    <row r="937" spans="1:9" x14ac:dyDescent="0.25">
      <c r="A937" s="144">
        <v>46036</v>
      </c>
      <c r="B937" s="145" t="s">
        <v>114</v>
      </c>
      <c r="C937" s="145" t="s">
        <v>13</v>
      </c>
      <c r="D937" s="1" t="s">
        <v>813</v>
      </c>
      <c r="E937" s="161">
        <v>1</v>
      </c>
      <c r="F937" s="1" t="s">
        <v>174</v>
      </c>
      <c r="G937" s="5">
        <v>700</v>
      </c>
      <c r="H937" s="5">
        <f>Table3[[#This Row],[Qty]]*Table3[[#This Row],[Price]]</f>
        <v>700</v>
      </c>
      <c r="I937" s="5"/>
    </row>
    <row r="938" spans="1:9" x14ac:dyDescent="0.25">
      <c r="A938" s="144">
        <v>46036</v>
      </c>
      <c r="B938" s="145" t="s">
        <v>114</v>
      </c>
      <c r="C938" s="145" t="s">
        <v>310</v>
      </c>
      <c r="D938" s="1" t="s">
        <v>808</v>
      </c>
      <c r="E938" s="161">
        <v>1</v>
      </c>
      <c r="F938" s="1" t="s">
        <v>809</v>
      </c>
      <c r="G938" s="5">
        <v>896</v>
      </c>
      <c r="H938" s="5">
        <f>Table3[[#This Row],[Qty]]*Table3[[#This Row],[Price]]</f>
        <v>896</v>
      </c>
      <c r="I938" s="5"/>
    </row>
    <row r="939" spans="1:9" x14ac:dyDescent="0.25">
      <c r="A939" s="144">
        <v>46036</v>
      </c>
      <c r="B939" s="145" t="s">
        <v>114</v>
      </c>
      <c r="C939" s="145" t="s">
        <v>13</v>
      </c>
      <c r="D939" s="1" t="s">
        <v>798</v>
      </c>
      <c r="E939" s="161">
        <v>8</v>
      </c>
      <c r="F939" s="1" t="s">
        <v>174</v>
      </c>
      <c r="G939" s="5">
        <v>210</v>
      </c>
      <c r="H939" s="5">
        <f>Table3[[#This Row],[Qty]]*Table3[[#This Row],[Price]]</f>
        <v>1680</v>
      </c>
      <c r="I939" s="5"/>
    </row>
    <row r="940" spans="1:9" x14ac:dyDescent="0.25">
      <c r="A940" s="144">
        <v>46036</v>
      </c>
      <c r="B940" s="145" t="s">
        <v>114</v>
      </c>
      <c r="C940" s="145" t="s">
        <v>13</v>
      </c>
      <c r="D940" s="1" t="s">
        <v>865</v>
      </c>
      <c r="E940" s="161">
        <v>11</v>
      </c>
      <c r="F940" s="1" t="s">
        <v>174</v>
      </c>
      <c r="G940" s="5">
        <v>120</v>
      </c>
      <c r="H940" s="5">
        <f>Table3[[#This Row],[Qty]]*Table3[[#This Row],[Price]]</f>
        <v>1320</v>
      </c>
      <c r="I940" s="5"/>
    </row>
    <row r="941" spans="1:9" x14ac:dyDescent="0.25">
      <c r="A941" s="144">
        <v>46036</v>
      </c>
      <c r="B941" s="145" t="s">
        <v>114</v>
      </c>
      <c r="C941" s="145" t="s">
        <v>310</v>
      </c>
      <c r="D941" s="1" t="s">
        <v>866</v>
      </c>
      <c r="E941" s="161">
        <v>2</v>
      </c>
      <c r="F941" s="1" t="s">
        <v>174</v>
      </c>
      <c r="G941" s="5"/>
      <c r="H941" s="5">
        <f>Table3[[#This Row],[Qty]]*Table3[[#This Row],[Price]]</f>
        <v>0</v>
      </c>
      <c r="I941" s="5"/>
    </row>
    <row r="942" spans="1:9" x14ac:dyDescent="0.25">
      <c r="A942" s="144">
        <v>46036</v>
      </c>
      <c r="B942" s="145" t="s">
        <v>114</v>
      </c>
      <c r="C942" s="145" t="s">
        <v>13</v>
      </c>
      <c r="D942" s="1" t="s">
        <v>852</v>
      </c>
      <c r="E942" s="161">
        <v>0.3</v>
      </c>
      <c r="F942" s="1" t="s">
        <v>174</v>
      </c>
      <c r="G942" s="5">
        <v>300</v>
      </c>
      <c r="H942" s="5">
        <f>Table3[[#This Row],[Qty]]*Table3[[#This Row],[Price]]</f>
        <v>90</v>
      </c>
      <c r="I942" s="5"/>
    </row>
    <row r="943" spans="1:9" x14ac:dyDescent="0.25">
      <c r="A943" s="144">
        <v>46036</v>
      </c>
      <c r="B943" s="145" t="s">
        <v>114</v>
      </c>
      <c r="C943" s="145" t="s">
        <v>13</v>
      </c>
      <c r="D943" s="1" t="s">
        <v>849</v>
      </c>
      <c r="E943" s="161">
        <v>0.3</v>
      </c>
      <c r="F943" s="1" t="s">
        <v>174</v>
      </c>
      <c r="G943" s="5">
        <v>400</v>
      </c>
      <c r="H943" s="5">
        <f>Table3[[#This Row],[Qty]]*Table3[[#This Row],[Price]]</f>
        <v>120</v>
      </c>
      <c r="I943" s="5"/>
    </row>
    <row r="944" spans="1:9" x14ac:dyDescent="0.25">
      <c r="A944" s="144">
        <v>46036</v>
      </c>
      <c r="B944" s="145" t="s">
        <v>114</v>
      </c>
      <c r="C944" s="145" t="s">
        <v>13</v>
      </c>
      <c r="D944" s="1" t="s">
        <v>880</v>
      </c>
      <c r="E944" s="161">
        <v>1</v>
      </c>
      <c r="F944" s="1" t="s">
        <v>174</v>
      </c>
      <c r="G944" s="5">
        <v>50</v>
      </c>
      <c r="H944" s="5">
        <f>Table3[[#This Row],[Qty]]*Table3[[#This Row],[Price]]</f>
        <v>50</v>
      </c>
      <c r="I944" s="5"/>
    </row>
    <row r="945" spans="1:9" x14ac:dyDescent="0.25">
      <c r="A945" s="144">
        <v>46036</v>
      </c>
      <c r="B945" s="145" t="s">
        <v>114</v>
      </c>
      <c r="C945" s="145" t="s">
        <v>13</v>
      </c>
      <c r="D945" s="1" t="s">
        <v>791</v>
      </c>
      <c r="E945" s="161">
        <v>24</v>
      </c>
      <c r="F945" s="1" t="s">
        <v>827</v>
      </c>
      <c r="G945" s="5"/>
      <c r="H945" s="5">
        <f>Table3[[#This Row],[Qty]]*Table3[[#This Row],[Price]]</f>
        <v>0</v>
      </c>
      <c r="I945" s="5"/>
    </row>
    <row r="946" spans="1:9" x14ac:dyDescent="0.25">
      <c r="A946" s="144">
        <v>46036</v>
      </c>
      <c r="B946" s="145" t="s">
        <v>114</v>
      </c>
      <c r="C946" s="145" t="s">
        <v>13</v>
      </c>
      <c r="D946" s="1" t="s">
        <v>860</v>
      </c>
      <c r="E946" s="161">
        <v>2</v>
      </c>
      <c r="F946" s="1" t="s">
        <v>174</v>
      </c>
      <c r="G946" s="5">
        <v>12</v>
      </c>
      <c r="H946" s="5">
        <f>Table3[[#This Row],[Qty]]*Table3[[#This Row],[Price]]</f>
        <v>24</v>
      </c>
      <c r="I946" s="5"/>
    </row>
    <row r="947" spans="1:9" x14ac:dyDescent="0.25">
      <c r="A947" s="144">
        <v>46036</v>
      </c>
      <c r="B947" s="145" t="s">
        <v>114</v>
      </c>
      <c r="C947" s="145" t="s">
        <v>310</v>
      </c>
      <c r="D947" s="1" t="s">
        <v>868</v>
      </c>
      <c r="E947" s="161">
        <v>10</v>
      </c>
      <c r="F947" s="1" t="s">
        <v>827</v>
      </c>
      <c r="G947" s="5">
        <v>220</v>
      </c>
      <c r="H947" s="5">
        <f>Table3[[#This Row],[Qty]]*Table3[[#This Row],[Price]]</f>
        <v>2200</v>
      </c>
      <c r="I947" s="5"/>
    </row>
    <row r="948" spans="1:9" x14ac:dyDescent="0.25">
      <c r="A948" s="144">
        <v>46036</v>
      </c>
      <c r="B948" s="145" t="s">
        <v>114</v>
      </c>
      <c r="C948" s="145" t="s">
        <v>310</v>
      </c>
      <c r="D948" s="1" t="s">
        <v>862</v>
      </c>
      <c r="E948" s="161">
        <v>6.25</v>
      </c>
      <c r="F948" s="1" t="s">
        <v>174</v>
      </c>
      <c r="G948" s="5">
        <v>170</v>
      </c>
      <c r="H948" s="5">
        <f>Table3[[#This Row],[Qty]]*Table3[[#This Row],[Price]]</f>
        <v>1062.5</v>
      </c>
      <c r="I948" s="5"/>
    </row>
    <row r="949" spans="1:9" x14ac:dyDescent="0.25">
      <c r="A949" s="144">
        <v>46036</v>
      </c>
      <c r="B949" s="145" t="s">
        <v>114</v>
      </c>
      <c r="C949" s="145" t="s">
        <v>310</v>
      </c>
      <c r="D949" s="1" t="s">
        <v>786</v>
      </c>
      <c r="E949" s="161">
        <v>3.15</v>
      </c>
      <c r="F949" s="1" t="s">
        <v>174</v>
      </c>
      <c r="G949" s="5"/>
      <c r="H949" s="5">
        <f>Table3[[#This Row],[Qty]]*Table3[[#This Row],[Price]]</f>
        <v>0</v>
      </c>
      <c r="I949" s="5"/>
    </row>
    <row r="950" spans="1:9" x14ac:dyDescent="0.25">
      <c r="A950" s="144">
        <v>46036</v>
      </c>
      <c r="B950" s="145" t="s">
        <v>114</v>
      </c>
      <c r="C950" s="145" t="s">
        <v>310</v>
      </c>
      <c r="D950" s="1" t="s">
        <v>828</v>
      </c>
      <c r="E950" s="161">
        <v>80</v>
      </c>
      <c r="F950" s="1" t="s">
        <v>829</v>
      </c>
      <c r="G950" s="5">
        <v>130</v>
      </c>
      <c r="H950" s="5">
        <f>Table3[[#This Row],[Qty]]*Table3[[#This Row],[Price]]</f>
        <v>10400</v>
      </c>
      <c r="I950" s="5"/>
    </row>
    <row r="951" spans="1:9" x14ac:dyDescent="0.25">
      <c r="A951" s="144">
        <v>46036</v>
      </c>
      <c r="B951" s="145" t="s">
        <v>114</v>
      </c>
      <c r="C951" s="145" t="s">
        <v>310</v>
      </c>
      <c r="D951" s="1" t="s">
        <v>835</v>
      </c>
      <c r="E951" s="161">
        <v>14</v>
      </c>
      <c r="F951" s="1" t="s">
        <v>174</v>
      </c>
      <c r="G951" s="5">
        <v>214.3</v>
      </c>
      <c r="H951" s="5">
        <f>Table3[[#This Row],[Qty]]*Table3[[#This Row],[Price]]</f>
        <v>3000.2000000000003</v>
      </c>
      <c r="I951" s="5"/>
    </row>
    <row r="952" spans="1:9" x14ac:dyDescent="0.25">
      <c r="A952" s="144">
        <v>46036</v>
      </c>
      <c r="B952" s="145" t="s">
        <v>114</v>
      </c>
      <c r="C952" s="145" t="s">
        <v>310</v>
      </c>
      <c r="D952" s="1" t="s">
        <v>741</v>
      </c>
      <c r="E952" s="161">
        <v>14</v>
      </c>
      <c r="F952" s="1" t="s">
        <v>174</v>
      </c>
      <c r="G952" s="5">
        <v>143</v>
      </c>
      <c r="H952" s="5">
        <f>Table3[[#This Row],[Qty]]*Table3[[#This Row],[Price]]</f>
        <v>2002</v>
      </c>
      <c r="I952" s="5"/>
    </row>
    <row r="953" spans="1:9" x14ac:dyDescent="0.25">
      <c r="A953" s="144">
        <v>46036</v>
      </c>
      <c r="B953" s="145" t="s">
        <v>114</v>
      </c>
      <c r="C953" s="145" t="s">
        <v>20</v>
      </c>
      <c r="D953" s="1" t="s">
        <v>222</v>
      </c>
      <c r="E953" s="161">
        <v>3</v>
      </c>
      <c r="F953" s="58" t="s">
        <v>819</v>
      </c>
      <c r="G953" s="5">
        <v>28</v>
      </c>
      <c r="H953" s="5">
        <f>Table3[[#This Row],[Qty]]*Table3[[#This Row],[Price]]</f>
        <v>84</v>
      </c>
      <c r="I953" s="5"/>
    </row>
    <row r="954" spans="1:9" x14ac:dyDescent="0.25">
      <c r="A954" s="144">
        <v>46036</v>
      </c>
      <c r="B954" s="145" t="s">
        <v>114</v>
      </c>
      <c r="C954" s="145" t="s">
        <v>20</v>
      </c>
      <c r="D954" s="1" t="s">
        <v>794</v>
      </c>
      <c r="E954" s="161">
        <v>50</v>
      </c>
      <c r="F954" s="1" t="s">
        <v>174</v>
      </c>
      <c r="G954" s="5">
        <v>113</v>
      </c>
      <c r="H954" s="5">
        <f>Table3[[#This Row],[Qty]]*Table3[[#This Row],[Price]]</f>
        <v>5650</v>
      </c>
      <c r="I954" s="5"/>
    </row>
    <row r="955" spans="1:9" x14ac:dyDescent="0.25">
      <c r="A955" s="144">
        <v>46036</v>
      </c>
      <c r="B955" s="145" t="s">
        <v>114</v>
      </c>
      <c r="C955" s="145" t="s">
        <v>20</v>
      </c>
      <c r="D955" s="1" t="s">
        <v>844</v>
      </c>
      <c r="E955" s="161">
        <v>9.8000000000000007</v>
      </c>
      <c r="F955" s="1" t="s">
        <v>174</v>
      </c>
      <c r="G955" s="5">
        <v>40</v>
      </c>
      <c r="H955" s="5">
        <f>Table3[[#This Row],[Qty]]*Table3[[#This Row],[Price]]</f>
        <v>392</v>
      </c>
      <c r="I955" s="5"/>
    </row>
    <row r="956" spans="1:9" x14ac:dyDescent="0.25">
      <c r="A956" s="144">
        <v>46036</v>
      </c>
      <c r="B956" s="145" t="s">
        <v>114</v>
      </c>
      <c r="C956" s="145" t="s">
        <v>20</v>
      </c>
      <c r="D956" s="1" t="s">
        <v>235</v>
      </c>
      <c r="E956" s="161">
        <v>4</v>
      </c>
      <c r="F956" s="1" t="s">
        <v>174</v>
      </c>
      <c r="G956" s="5">
        <v>183</v>
      </c>
      <c r="H956" s="5">
        <f>Table3[[#This Row],[Qty]]*Table3[[#This Row],[Price]]</f>
        <v>732</v>
      </c>
      <c r="I956" s="5"/>
    </row>
    <row r="957" spans="1:9" x14ac:dyDescent="0.25">
      <c r="A957" s="144">
        <v>46036</v>
      </c>
      <c r="B957" s="145" t="s">
        <v>114</v>
      </c>
      <c r="C957" s="145" t="s">
        <v>20</v>
      </c>
      <c r="D957" s="1" t="s">
        <v>791</v>
      </c>
      <c r="E957" s="161">
        <v>11</v>
      </c>
      <c r="F957" s="1" t="s">
        <v>827</v>
      </c>
      <c r="G957" s="5"/>
      <c r="H957" s="5">
        <f>Table3[[#This Row],[Qty]]*Table3[[#This Row],[Price]]</f>
        <v>0</v>
      </c>
      <c r="I957" s="5"/>
    </row>
    <row r="958" spans="1:9" x14ac:dyDescent="0.25">
      <c r="A958" s="144">
        <v>46036</v>
      </c>
      <c r="B958" s="145" t="s">
        <v>114</v>
      </c>
      <c r="C958" s="145" t="s">
        <v>20</v>
      </c>
      <c r="D958" s="1" t="s">
        <v>796</v>
      </c>
      <c r="E958" s="161">
        <v>1</v>
      </c>
      <c r="F958" s="1" t="s">
        <v>174</v>
      </c>
      <c r="G958" s="5">
        <v>1150</v>
      </c>
      <c r="H958" s="5">
        <f>Table3[[#This Row],[Qty]]*Table3[[#This Row],[Price]]</f>
        <v>1150</v>
      </c>
      <c r="I958" s="5"/>
    </row>
    <row r="959" spans="1:9" x14ac:dyDescent="0.25">
      <c r="A959" s="144">
        <v>46036</v>
      </c>
      <c r="B959" s="145" t="s">
        <v>114</v>
      </c>
      <c r="C959" s="145" t="s">
        <v>20</v>
      </c>
      <c r="D959" s="1" t="s">
        <v>858</v>
      </c>
      <c r="E959" s="161">
        <v>1</v>
      </c>
      <c r="F959" s="1" t="s">
        <v>174</v>
      </c>
      <c r="G959" s="5">
        <v>530</v>
      </c>
      <c r="H959" s="5">
        <f>Table3[[#This Row],[Qty]]*Table3[[#This Row],[Price]]</f>
        <v>530</v>
      </c>
      <c r="I959" s="5"/>
    </row>
    <row r="960" spans="1:9" x14ac:dyDescent="0.25">
      <c r="A960" s="144">
        <v>46036</v>
      </c>
      <c r="B960" s="145" t="s">
        <v>114</v>
      </c>
      <c r="C960" s="145" t="s">
        <v>20</v>
      </c>
      <c r="D960" s="1" t="s">
        <v>898</v>
      </c>
      <c r="E960" s="161">
        <v>0.15</v>
      </c>
      <c r="F960" s="1" t="s">
        <v>174</v>
      </c>
      <c r="G960" s="5"/>
      <c r="H960" s="5">
        <f>Table3[[#This Row],[Qty]]*Table3[[#This Row],[Price]]</f>
        <v>0</v>
      </c>
      <c r="I960" s="5"/>
    </row>
    <row r="961" spans="1:9" x14ac:dyDescent="0.25">
      <c r="A961" s="144">
        <v>46036</v>
      </c>
      <c r="B961" s="145" t="s">
        <v>114</v>
      </c>
      <c r="C961" s="145" t="s">
        <v>20</v>
      </c>
      <c r="D961" s="1" t="s">
        <v>855</v>
      </c>
      <c r="E961" s="161">
        <v>0.5</v>
      </c>
      <c r="F961" s="1" t="s">
        <v>174</v>
      </c>
      <c r="G961" s="5">
        <v>40</v>
      </c>
      <c r="H961" s="5">
        <f>Table3[[#This Row],[Qty]]*Table3[[#This Row],[Price]]</f>
        <v>20</v>
      </c>
      <c r="I961" s="5"/>
    </row>
    <row r="962" spans="1:9" x14ac:dyDescent="0.25">
      <c r="A962" s="144">
        <v>46036</v>
      </c>
      <c r="B962" s="145" t="s">
        <v>114</v>
      </c>
      <c r="C962" s="145" t="s">
        <v>20</v>
      </c>
      <c r="D962" s="1" t="s">
        <v>849</v>
      </c>
      <c r="E962" s="161">
        <v>0.6</v>
      </c>
      <c r="F962" s="1" t="s">
        <v>174</v>
      </c>
      <c r="G962" s="5">
        <v>400</v>
      </c>
      <c r="H962" s="5">
        <f>Table3[[#This Row],[Qty]]*Table3[[#This Row],[Price]]</f>
        <v>240</v>
      </c>
      <c r="I962" s="5"/>
    </row>
    <row r="963" spans="1:9" x14ac:dyDescent="0.25">
      <c r="A963" s="144">
        <v>46036</v>
      </c>
      <c r="B963" s="145" t="s">
        <v>114</v>
      </c>
      <c r="C963" s="145" t="s">
        <v>20</v>
      </c>
      <c r="D963" s="1" t="s">
        <v>876</v>
      </c>
      <c r="E963" s="161">
        <v>0.05</v>
      </c>
      <c r="F963" s="1" t="s">
        <v>174</v>
      </c>
      <c r="G963" s="5">
        <v>200</v>
      </c>
      <c r="H963" s="5">
        <f>Table3[[#This Row],[Qty]]*Table3[[#This Row],[Price]]</f>
        <v>10</v>
      </c>
      <c r="I963" s="5"/>
    </row>
    <row r="964" spans="1:9" x14ac:dyDescent="0.25">
      <c r="A964" s="144">
        <v>46036</v>
      </c>
      <c r="B964" s="145" t="s">
        <v>114</v>
      </c>
      <c r="C964" s="145" t="s">
        <v>20</v>
      </c>
      <c r="D964" s="1" t="s">
        <v>135</v>
      </c>
      <c r="E964" s="161">
        <v>14</v>
      </c>
      <c r="F964" s="1" t="s">
        <v>174</v>
      </c>
      <c r="G964" s="5">
        <v>300</v>
      </c>
      <c r="H964" s="5">
        <f>Table3[[#This Row],[Qty]]*Table3[[#This Row],[Price]]</f>
        <v>4200</v>
      </c>
      <c r="I964" s="5"/>
    </row>
    <row r="965" spans="1:9" x14ac:dyDescent="0.25">
      <c r="A965" s="144">
        <v>46036</v>
      </c>
      <c r="B965" s="145" t="s">
        <v>114</v>
      </c>
      <c r="C965" s="145" t="s">
        <v>310</v>
      </c>
      <c r="D965" s="1" t="s">
        <v>862</v>
      </c>
      <c r="E965" s="161">
        <v>6.25</v>
      </c>
      <c r="F965" s="1" t="s">
        <v>174</v>
      </c>
      <c r="G965" s="5">
        <v>170</v>
      </c>
      <c r="H965" s="5">
        <f>Table3[[#This Row],[Qty]]*Table3[[#This Row],[Price]]</f>
        <v>1062.5</v>
      </c>
      <c r="I965" s="5"/>
    </row>
    <row r="966" spans="1:9" x14ac:dyDescent="0.25">
      <c r="A966" s="144">
        <v>46036</v>
      </c>
      <c r="B966" s="145" t="s">
        <v>114</v>
      </c>
      <c r="C966" s="145" t="s">
        <v>310</v>
      </c>
      <c r="D966" s="1" t="s">
        <v>786</v>
      </c>
      <c r="E966" s="161">
        <v>3.15</v>
      </c>
      <c r="F966" s="1" t="s">
        <v>174</v>
      </c>
      <c r="G966" s="5"/>
      <c r="H966" s="5">
        <f>Table3[[#This Row],[Qty]]*Table3[[#This Row],[Price]]</f>
        <v>0</v>
      </c>
      <c r="I966" s="5"/>
    </row>
    <row r="967" spans="1:9" x14ac:dyDescent="0.25">
      <c r="A967" s="144">
        <v>46036</v>
      </c>
      <c r="B967" s="145" t="s">
        <v>114</v>
      </c>
      <c r="C967" s="145" t="s">
        <v>20</v>
      </c>
      <c r="D967" s="1" t="s">
        <v>825</v>
      </c>
      <c r="E967" s="161">
        <v>1</v>
      </c>
      <c r="F967" s="1" t="s">
        <v>223</v>
      </c>
      <c r="G967" s="5">
        <v>65</v>
      </c>
      <c r="H967" s="5">
        <f>Table3[[#This Row],[Qty]]*Table3[[#This Row],[Price]]</f>
        <v>65</v>
      </c>
      <c r="I967" s="5"/>
    </row>
    <row r="968" spans="1:9" x14ac:dyDescent="0.25">
      <c r="A968" s="144">
        <v>46036</v>
      </c>
      <c r="B968" s="145" t="s">
        <v>114</v>
      </c>
      <c r="C968" s="145" t="s">
        <v>310</v>
      </c>
      <c r="D968" s="1" t="s">
        <v>862</v>
      </c>
      <c r="E968" s="161">
        <v>3.5</v>
      </c>
      <c r="F968" s="1" t="s">
        <v>174</v>
      </c>
      <c r="G968" s="5">
        <v>170</v>
      </c>
      <c r="H968" s="5">
        <f>Table3[[#This Row],[Qty]]*Table3[[#This Row],[Price]]</f>
        <v>595</v>
      </c>
      <c r="I968" s="5"/>
    </row>
    <row r="969" spans="1:9" x14ac:dyDescent="0.25">
      <c r="A969" s="144">
        <v>46036</v>
      </c>
      <c r="B969" s="145" t="s">
        <v>114</v>
      </c>
      <c r="C969" s="145" t="s">
        <v>310</v>
      </c>
      <c r="D969" s="1" t="s">
        <v>786</v>
      </c>
      <c r="E969" s="161">
        <v>1.8</v>
      </c>
      <c r="F969" s="1" t="s">
        <v>174</v>
      </c>
      <c r="G969" s="5"/>
      <c r="H969" s="5">
        <f>Table3[[#This Row],[Qty]]*Table3[[#This Row],[Price]]</f>
        <v>0</v>
      </c>
      <c r="I969" s="5"/>
    </row>
    <row r="970" spans="1:9" x14ac:dyDescent="0.25">
      <c r="A970" s="144">
        <v>46036</v>
      </c>
      <c r="B970" s="145" t="s">
        <v>114</v>
      </c>
      <c r="C970" s="145" t="s">
        <v>310</v>
      </c>
      <c r="D970" s="1" t="s">
        <v>854</v>
      </c>
      <c r="E970" s="161">
        <v>1</v>
      </c>
      <c r="F970" s="1" t="s">
        <v>174</v>
      </c>
      <c r="G970" s="5">
        <v>1600</v>
      </c>
      <c r="H970" s="5">
        <f>Table3[[#This Row],[Qty]]*Table3[[#This Row],[Price]]</f>
        <v>1600</v>
      </c>
      <c r="I970" s="5"/>
    </row>
    <row r="971" spans="1:9" x14ac:dyDescent="0.25">
      <c r="A971" s="144">
        <v>46037</v>
      </c>
      <c r="B971" s="145" t="s">
        <v>115</v>
      </c>
      <c r="C971" s="145" t="s">
        <v>12</v>
      </c>
      <c r="D971" s="1" t="s">
        <v>793</v>
      </c>
      <c r="E971" s="161">
        <v>60</v>
      </c>
      <c r="F971" s="1" t="s">
        <v>174</v>
      </c>
      <c r="G971" s="5">
        <v>119</v>
      </c>
      <c r="H971" s="5">
        <f>Table3[[#This Row],[Qty]]*Table3[[#This Row],[Price]]</f>
        <v>7140</v>
      </c>
      <c r="I971" s="5"/>
    </row>
    <row r="972" spans="1:9" x14ac:dyDescent="0.25">
      <c r="A972" s="144">
        <v>46037</v>
      </c>
      <c r="B972" s="145" t="s">
        <v>115</v>
      </c>
      <c r="C972" s="145" t="s">
        <v>310</v>
      </c>
      <c r="D972" s="1" t="s">
        <v>862</v>
      </c>
      <c r="E972" s="161">
        <v>9</v>
      </c>
      <c r="F972" s="1" t="s">
        <v>174</v>
      </c>
      <c r="G972" s="5">
        <v>170</v>
      </c>
      <c r="H972" s="5">
        <f>Table3[[#This Row],[Qty]]*Table3[[#This Row],[Price]]</f>
        <v>1530</v>
      </c>
      <c r="I972" s="5"/>
    </row>
    <row r="973" spans="1:9" x14ac:dyDescent="0.25">
      <c r="A973" s="144">
        <v>46037</v>
      </c>
      <c r="B973" s="145" t="s">
        <v>115</v>
      </c>
      <c r="C973" s="145" t="s">
        <v>12</v>
      </c>
      <c r="D973" s="1" t="s">
        <v>866</v>
      </c>
      <c r="E973" s="161">
        <v>1</v>
      </c>
      <c r="F973" s="1" t="s">
        <v>174</v>
      </c>
      <c r="G973" s="5"/>
      <c r="H973" s="5">
        <f>Table3[[#This Row],[Qty]]*Table3[[#This Row],[Price]]</f>
        <v>0</v>
      </c>
      <c r="I973" s="5"/>
    </row>
    <row r="974" spans="1:9" x14ac:dyDescent="0.25">
      <c r="A974" s="144">
        <v>46037</v>
      </c>
      <c r="B974" s="145" t="s">
        <v>115</v>
      </c>
      <c r="C974" s="145" t="s">
        <v>12</v>
      </c>
      <c r="D974" s="1" t="s">
        <v>791</v>
      </c>
      <c r="E974" s="161">
        <v>7</v>
      </c>
      <c r="F974" s="1" t="s">
        <v>827</v>
      </c>
      <c r="G974" s="5"/>
      <c r="H974" s="5">
        <f>Table3[[#This Row],[Qty]]*Table3[[#This Row],[Price]]</f>
        <v>0</v>
      </c>
      <c r="I974" s="5"/>
    </row>
    <row r="975" spans="1:9" x14ac:dyDescent="0.25">
      <c r="A975" s="144">
        <v>46037</v>
      </c>
      <c r="B975" s="145" t="s">
        <v>115</v>
      </c>
      <c r="C975" s="145" t="s">
        <v>310</v>
      </c>
      <c r="D975" s="1" t="s">
        <v>786</v>
      </c>
      <c r="E975" s="161">
        <v>3.1</v>
      </c>
      <c r="F975" s="1" t="s">
        <v>174</v>
      </c>
      <c r="G975" s="5"/>
      <c r="H975" s="5">
        <f>Table3[[#This Row],[Qty]]*Table3[[#This Row],[Price]]</f>
        <v>0</v>
      </c>
      <c r="I975" s="5"/>
    </row>
    <row r="976" spans="1:9" x14ac:dyDescent="0.25">
      <c r="A976" s="144">
        <v>46037</v>
      </c>
      <c r="B976" s="145" t="s">
        <v>115</v>
      </c>
      <c r="C976" s="145" t="s">
        <v>12</v>
      </c>
      <c r="D976" s="1" t="s">
        <v>222</v>
      </c>
      <c r="E976" s="161">
        <v>10</v>
      </c>
      <c r="F976" s="58" t="s">
        <v>819</v>
      </c>
      <c r="G976" s="5">
        <v>28</v>
      </c>
      <c r="H976" s="5">
        <f>Table3[[#This Row],[Qty]]*Table3[[#This Row],[Price]]</f>
        <v>280</v>
      </c>
      <c r="I976" s="5"/>
    </row>
    <row r="977" spans="1:9" x14ac:dyDescent="0.25">
      <c r="A977" s="144">
        <v>46037</v>
      </c>
      <c r="B977" s="145" t="s">
        <v>115</v>
      </c>
      <c r="C977" s="145" t="s">
        <v>13</v>
      </c>
      <c r="D977" s="1" t="s">
        <v>794</v>
      </c>
      <c r="E977" s="161">
        <v>70</v>
      </c>
      <c r="F977" s="1" t="s">
        <v>174</v>
      </c>
      <c r="G977" s="5">
        <v>113</v>
      </c>
      <c r="H977" s="5">
        <f>Table3[[#This Row],[Qty]]*Table3[[#This Row],[Price]]</f>
        <v>7910</v>
      </c>
      <c r="I977" s="5"/>
    </row>
    <row r="978" spans="1:9" x14ac:dyDescent="0.25">
      <c r="A978" s="144">
        <v>46037</v>
      </c>
      <c r="B978" s="145" t="s">
        <v>115</v>
      </c>
      <c r="C978" s="145" t="s">
        <v>13</v>
      </c>
      <c r="D978" s="1" t="s">
        <v>791</v>
      </c>
      <c r="E978" s="161">
        <v>13</v>
      </c>
      <c r="F978" s="1" t="s">
        <v>827</v>
      </c>
      <c r="G978" s="5"/>
      <c r="H978" s="5">
        <f>Table3[[#This Row],[Qty]]*Table3[[#This Row],[Price]]</f>
        <v>0</v>
      </c>
      <c r="I978" s="5"/>
    </row>
    <row r="979" spans="1:9" x14ac:dyDescent="0.25">
      <c r="A979" s="144">
        <v>46037</v>
      </c>
      <c r="B979" s="145" t="s">
        <v>115</v>
      </c>
      <c r="C979" s="145" t="s">
        <v>13</v>
      </c>
      <c r="D979" s="1" t="s">
        <v>844</v>
      </c>
      <c r="E979" s="161">
        <v>40</v>
      </c>
      <c r="F979" s="1" t="s">
        <v>174</v>
      </c>
      <c r="G979" s="5">
        <v>40</v>
      </c>
      <c r="H979" s="5">
        <f>Table3[[#This Row],[Qty]]*Table3[[#This Row],[Price]]</f>
        <v>1600</v>
      </c>
      <c r="I979" s="5"/>
    </row>
    <row r="980" spans="1:9" x14ac:dyDescent="0.25">
      <c r="A980" s="144">
        <v>46037</v>
      </c>
      <c r="B980" s="145" t="s">
        <v>115</v>
      </c>
      <c r="C980" s="145" t="s">
        <v>13</v>
      </c>
      <c r="D980" s="1" t="s">
        <v>855</v>
      </c>
      <c r="E980" s="161">
        <v>30</v>
      </c>
      <c r="F980" s="1" t="s">
        <v>174</v>
      </c>
      <c r="G980" s="5">
        <v>40</v>
      </c>
      <c r="H980" s="5">
        <f>Table3[[#This Row],[Qty]]*Table3[[#This Row],[Price]]</f>
        <v>1200</v>
      </c>
      <c r="I980" s="5"/>
    </row>
    <row r="981" spans="1:9" x14ac:dyDescent="0.25">
      <c r="A981" s="144">
        <v>46037</v>
      </c>
      <c r="B981" s="145" t="s">
        <v>115</v>
      </c>
      <c r="C981" s="145" t="s">
        <v>13</v>
      </c>
      <c r="D981" s="1" t="s">
        <v>845</v>
      </c>
      <c r="E981" s="161">
        <v>5.7</v>
      </c>
      <c r="F981" s="1" t="s">
        <v>174</v>
      </c>
      <c r="G981" s="5">
        <v>80</v>
      </c>
      <c r="H981" s="5">
        <f>Table3[[#This Row],[Qty]]*Table3[[#This Row],[Price]]</f>
        <v>456</v>
      </c>
      <c r="I981" s="5"/>
    </row>
    <row r="982" spans="1:9" x14ac:dyDescent="0.25">
      <c r="A982" s="144">
        <v>46037</v>
      </c>
      <c r="B982" s="145" t="s">
        <v>115</v>
      </c>
      <c r="C982" s="145" t="s">
        <v>13</v>
      </c>
      <c r="D982" s="1" t="s">
        <v>842</v>
      </c>
      <c r="E982" s="161">
        <v>0.1</v>
      </c>
      <c r="F982" s="1" t="s">
        <v>174</v>
      </c>
      <c r="G982" s="5">
        <v>75</v>
      </c>
      <c r="H982" s="5">
        <f>Table3[[#This Row],[Qty]]*Table3[[#This Row],[Price]]</f>
        <v>7.5</v>
      </c>
      <c r="I982" s="5"/>
    </row>
    <row r="983" spans="1:9" x14ac:dyDescent="0.25">
      <c r="A983" s="144">
        <v>46037</v>
      </c>
      <c r="B983" s="145" t="s">
        <v>115</v>
      </c>
      <c r="C983" s="145" t="s">
        <v>13</v>
      </c>
      <c r="D983" s="1" t="s">
        <v>846</v>
      </c>
      <c r="E983" s="161">
        <v>0.7</v>
      </c>
      <c r="F983" s="1" t="s">
        <v>174</v>
      </c>
      <c r="G983" s="5">
        <v>130</v>
      </c>
      <c r="H983" s="5">
        <f>Table3[[#This Row],[Qty]]*Table3[[#This Row],[Price]]</f>
        <v>91</v>
      </c>
      <c r="I983" s="5"/>
    </row>
    <row r="984" spans="1:9" x14ac:dyDescent="0.25">
      <c r="A984" s="144">
        <v>46037</v>
      </c>
      <c r="B984" s="145" t="s">
        <v>115</v>
      </c>
      <c r="C984" s="145" t="s">
        <v>13</v>
      </c>
      <c r="D984" s="1" t="s">
        <v>866</v>
      </c>
      <c r="E984" s="161">
        <v>2</v>
      </c>
      <c r="F984" s="1" t="s">
        <v>174</v>
      </c>
      <c r="G984" s="5"/>
      <c r="H984" s="5">
        <f>Table3[[#This Row],[Qty]]*Table3[[#This Row],[Price]]</f>
        <v>0</v>
      </c>
      <c r="I984" s="5"/>
    </row>
    <row r="985" spans="1:9" x14ac:dyDescent="0.25">
      <c r="A985" s="144">
        <v>46037</v>
      </c>
      <c r="B985" s="145" t="s">
        <v>115</v>
      </c>
      <c r="C985" s="145" t="s">
        <v>13</v>
      </c>
      <c r="D985" s="1" t="s">
        <v>821</v>
      </c>
      <c r="E985" s="161">
        <v>1.5</v>
      </c>
      <c r="F985" s="1" t="s">
        <v>174</v>
      </c>
      <c r="G985" s="5">
        <v>700</v>
      </c>
      <c r="H985" s="5">
        <f>Table3[[#This Row],[Qty]]*Table3[[#This Row],[Price]]</f>
        <v>1050</v>
      </c>
      <c r="I985" s="5"/>
    </row>
    <row r="986" spans="1:9" x14ac:dyDescent="0.25">
      <c r="A986" s="144">
        <v>46037</v>
      </c>
      <c r="B986" s="145" t="s">
        <v>115</v>
      </c>
      <c r="C986" s="145" t="s">
        <v>13</v>
      </c>
      <c r="D986" s="1" t="s">
        <v>865</v>
      </c>
      <c r="E986" s="161">
        <v>12</v>
      </c>
      <c r="F986" s="1" t="s">
        <v>174</v>
      </c>
      <c r="G986" s="5">
        <v>120</v>
      </c>
      <c r="H986" s="5">
        <f>Table3[[#This Row],[Qty]]*Table3[[#This Row],[Price]]</f>
        <v>1440</v>
      </c>
      <c r="I986" s="5"/>
    </row>
    <row r="987" spans="1:9" x14ac:dyDescent="0.25">
      <c r="A987" s="144">
        <v>46037</v>
      </c>
      <c r="B987" s="145" t="s">
        <v>115</v>
      </c>
      <c r="C987" s="145" t="s">
        <v>13</v>
      </c>
      <c r="D987" s="1" t="s">
        <v>849</v>
      </c>
      <c r="E987" s="161">
        <v>2</v>
      </c>
      <c r="F987" s="1" t="s">
        <v>174</v>
      </c>
      <c r="G987" s="5">
        <v>400</v>
      </c>
      <c r="H987" s="5">
        <f>Table3[[#This Row],[Qty]]*Table3[[#This Row],[Price]]</f>
        <v>800</v>
      </c>
      <c r="I987" s="5"/>
    </row>
    <row r="988" spans="1:9" x14ac:dyDescent="0.25">
      <c r="A988" s="144">
        <v>46037</v>
      </c>
      <c r="B988" s="145" t="s">
        <v>115</v>
      </c>
      <c r="C988" s="145" t="s">
        <v>13</v>
      </c>
      <c r="D988" s="1" t="s">
        <v>884</v>
      </c>
      <c r="E988" s="161">
        <v>5</v>
      </c>
      <c r="F988" s="1" t="s">
        <v>174</v>
      </c>
      <c r="G988" s="5">
        <v>340</v>
      </c>
      <c r="H988" s="5">
        <f>Table3[[#This Row],[Qty]]*Table3[[#This Row],[Price]]</f>
        <v>1700</v>
      </c>
      <c r="I988" s="5"/>
    </row>
    <row r="989" spans="1:9" x14ac:dyDescent="0.25">
      <c r="A989" s="144">
        <v>46037</v>
      </c>
      <c r="B989" s="145" t="s">
        <v>115</v>
      </c>
      <c r="C989" s="145" t="s">
        <v>13</v>
      </c>
      <c r="D989" s="1" t="s">
        <v>796</v>
      </c>
      <c r="E989" s="161">
        <v>1.5</v>
      </c>
      <c r="F989" s="1" t="s">
        <v>174</v>
      </c>
      <c r="G989" s="5">
        <v>1150</v>
      </c>
      <c r="H989" s="5">
        <f>Table3[[#This Row],[Qty]]*Table3[[#This Row],[Price]]</f>
        <v>1725</v>
      </c>
      <c r="I989" s="5"/>
    </row>
    <row r="990" spans="1:9" x14ac:dyDescent="0.25">
      <c r="A990" s="144">
        <v>46037</v>
      </c>
      <c r="B990" s="145" t="s">
        <v>115</v>
      </c>
      <c r="C990" s="145" t="s">
        <v>13</v>
      </c>
      <c r="D990" s="1" t="s">
        <v>797</v>
      </c>
      <c r="E990" s="161">
        <v>2</v>
      </c>
      <c r="F990" s="1" t="s">
        <v>174</v>
      </c>
      <c r="G990" s="5">
        <v>560</v>
      </c>
      <c r="H990" s="5">
        <f>Table3[[#This Row],[Qty]]*Table3[[#This Row],[Price]]</f>
        <v>1120</v>
      </c>
      <c r="I990" s="5"/>
    </row>
    <row r="991" spans="1:9" x14ac:dyDescent="0.25">
      <c r="A991" s="144">
        <v>46037</v>
      </c>
      <c r="B991" s="145" t="s">
        <v>115</v>
      </c>
      <c r="C991" s="145" t="s">
        <v>13</v>
      </c>
      <c r="D991" s="1" t="s">
        <v>222</v>
      </c>
      <c r="E991" s="161">
        <v>2</v>
      </c>
      <c r="F991" s="58" t="s">
        <v>819</v>
      </c>
      <c r="G991" s="5">
        <v>28</v>
      </c>
      <c r="H991" s="5">
        <f>Table3[[#This Row],[Qty]]*Table3[[#This Row],[Price]]</f>
        <v>56</v>
      </c>
      <c r="I991" s="5"/>
    </row>
    <row r="992" spans="1:9" x14ac:dyDescent="0.25">
      <c r="A992" s="144">
        <v>46037</v>
      </c>
      <c r="B992" s="145" t="s">
        <v>115</v>
      </c>
      <c r="C992" s="145" t="s">
        <v>13</v>
      </c>
      <c r="D992" s="1" t="s">
        <v>868</v>
      </c>
      <c r="E992" s="161">
        <v>16</v>
      </c>
      <c r="F992" s="1" t="s">
        <v>827</v>
      </c>
      <c r="G992" s="5">
        <v>220</v>
      </c>
      <c r="H992" s="5">
        <f>Table3[[#This Row],[Qty]]*Table3[[#This Row],[Price]]</f>
        <v>3520</v>
      </c>
      <c r="I992" s="5"/>
    </row>
    <row r="993" spans="1:9" x14ac:dyDescent="0.25">
      <c r="A993" s="144">
        <v>46037</v>
      </c>
      <c r="B993" s="145" t="s">
        <v>115</v>
      </c>
      <c r="C993" s="145" t="s">
        <v>13</v>
      </c>
      <c r="D993" s="1" t="s">
        <v>876</v>
      </c>
      <c r="E993" s="161">
        <v>0.4</v>
      </c>
      <c r="F993" s="1" t="s">
        <v>174</v>
      </c>
      <c r="G993" s="5">
        <v>200</v>
      </c>
      <c r="H993" s="5">
        <f>Table3[[#This Row],[Qty]]*Table3[[#This Row],[Price]]</f>
        <v>80</v>
      </c>
      <c r="I993" s="5"/>
    </row>
    <row r="994" spans="1:9" x14ac:dyDescent="0.25">
      <c r="A994" s="144">
        <v>46037</v>
      </c>
      <c r="B994" s="145" t="s">
        <v>115</v>
      </c>
      <c r="C994" s="145" t="s">
        <v>13</v>
      </c>
      <c r="D994" s="1" t="s">
        <v>852</v>
      </c>
      <c r="E994" s="161">
        <v>0.3</v>
      </c>
      <c r="F994" s="1" t="s">
        <v>174</v>
      </c>
      <c r="G994" s="5">
        <v>300</v>
      </c>
      <c r="H994" s="5">
        <f>Table3[[#This Row],[Qty]]*Table3[[#This Row],[Price]]</f>
        <v>90</v>
      </c>
      <c r="I994" s="5"/>
    </row>
    <row r="995" spans="1:9" x14ac:dyDescent="0.25">
      <c r="A995" s="144">
        <v>46037</v>
      </c>
      <c r="B995" s="145" t="s">
        <v>115</v>
      </c>
      <c r="C995" s="145" t="s">
        <v>310</v>
      </c>
      <c r="D995" s="1" t="s">
        <v>862</v>
      </c>
      <c r="E995" s="161">
        <v>5.77</v>
      </c>
      <c r="F995" s="1" t="s">
        <v>174</v>
      </c>
      <c r="G995" s="5">
        <v>170</v>
      </c>
      <c r="H995" s="5">
        <f>Table3[[#This Row],[Qty]]*Table3[[#This Row],[Price]]</f>
        <v>980.9</v>
      </c>
      <c r="I995" s="5"/>
    </row>
    <row r="996" spans="1:9" x14ac:dyDescent="0.25">
      <c r="A996" s="144">
        <v>46037</v>
      </c>
      <c r="B996" s="145" t="s">
        <v>115</v>
      </c>
      <c r="C996" s="145" t="s">
        <v>310</v>
      </c>
      <c r="D996" s="1" t="s">
        <v>786</v>
      </c>
      <c r="E996" s="161">
        <v>3.45</v>
      </c>
      <c r="F996" s="1" t="s">
        <v>174</v>
      </c>
      <c r="G996" s="5"/>
      <c r="H996" s="5">
        <f>Table3[[#This Row],[Qty]]*Table3[[#This Row],[Price]]</f>
        <v>0</v>
      </c>
      <c r="I996" s="5"/>
    </row>
    <row r="997" spans="1:9" x14ac:dyDescent="0.25">
      <c r="A997" s="144">
        <v>46037</v>
      </c>
      <c r="B997" s="145" t="s">
        <v>115</v>
      </c>
      <c r="C997" s="145" t="s">
        <v>20</v>
      </c>
      <c r="D997" s="1" t="s">
        <v>794</v>
      </c>
      <c r="E997" s="161">
        <v>30</v>
      </c>
      <c r="F997" s="1" t="s">
        <v>174</v>
      </c>
      <c r="G997" s="5">
        <v>113</v>
      </c>
      <c r="H997" s="5">
        <f>Table3[[#This Row],[Qty]]*Table3[[#This Row],[Price]]</f>
        <v>3390</v>
      </c>
      <c r="I997" s="5"/>
    </row>
    <row r="998" spans="1:9" x14ac:dyDescent="0.25">
      <c r="A998" s="144">
        <v>46037</v>
      </c>
      <c r="B998" s="145" t="s">
        <v>115</v>
      </c>
      <c r="C998" s="145" t="s">
        <v>20</v>
      </c>
      <c r="D998" s="1" t="s">
        <v>135</v>
      </c>
      <c r="E998" s="161">
        <v>1</v>
      </c>
      <c r="F998" s="1" t="s">
        <v>174</v>
      </c>
      <c r="G998" s="5">
        <v>300</v>
      </c>
      <c r="H998" s="5">
        <f>Table3[[#This Row],[Qty]]*Table3[[#This Row],[Price]]</f>
        <v>300</v>
      </c>
      <c r="I998" s="5"/>
    </row>
    <row r="999" spans="1:9" x14ac:dyDescent="0.25">
      <c r="A999" s="144">
        <v>46037</v>
      </c>
      <c r="B999" s="145" t="s">
        <v>115</v>
      </c>
      <c r="C999" s="145" t="s">
        <v>20</v>
      </c>
      <c r="D999" s="1" t="s">
        <v>875</v>
      </c>
      <c r="E999" s="161">
        <v>0.35</v>
      </c>
      <c r="F999" s="1" t="s">
        <v>174</v>
      </c>
      <c r="G999" s="5">
        <v>580</v>
      </c>
      <c r="H999" s="5">
        <f>Table3[[#This Row],[Qty]]*Table3[[#This Row],[Price]]</f>
        <v>203</v>
      </c>
      <c r="I999" s="5"/>
    </row>
    <row r="1000" spans="1:9" x14ac:dyDescent="0.25">
      <c r="A1000" s="144">
        <v>46037</v>
      </c>
      <c r="B1000" s="145" t="s">
        <v>115</v>
      </c>
      <c r="C1000" s="145" t="s">
        <v>20</v>
      </c>
      <c r="D1000" s="1" t="s">
        <v>876</v>
      </c>
      <c r="E1000" s="161">
        <v>0.23</v>
      </c>
      <c r="F1000" s="1" t="s">
        <v>174</v>
      </c>
      <c r="G1000" s="5">
        <v>200</v>
      </c>
      <c r="H1000" s="5">
        <f>Table3[[#This Row],[Qty]]*Table3[[#This Row],[Price]]</f>
        <v>46</v>
      </c>
      <c r="I1000" s="5"/>
    </row>
    <row r="1001" spans="1:9" x14ac:dyDescent="0.25">
      <c r="A1001" s="144">
        <v>46037</v>
      </c>
      <c r="B1001" s="145" t="s">
        <v>115</v>
      </c>
      <c r="C1001" s="145" t="s">
        <v>20</v>
      </c>
      <c r="D1001" s="1" t="s">
        <v>864</v>
      </c>
      <c r="E1001" s="161">
        <v>8</v>
      </c>
      <c r="F1001" s="1" t="s">
        <v>174</v>
      </c>
      <c r="G1001" s="5"/>
      <c r="H1001" s="5">
        <f>Table3[[#This Row],[Qty]]*Table3[[#This Row],[Price]]</f>
        <v>0</v>
      </c>
      <c r="I1001" s="5"/>
    </row>
    <row r="1002" spans="1:9" x14ac:dyDescent="0.25">
      <c r="A1002" s="144">
        <v>46037</v>
      </c>
      <c r="B1002" s="145" t="s">
        <v>115</v>
      </c>
      <c r="C1002" s="145" t="s">
        <v>20</v>
      </c>
      <c r="D1002" s="1" t="s">
        <v>791</v>
      </c>
      <c r="E1002" s="161">
        <v>10</v>
      </c>
      <c r="F1002" s="1" t="s">
        <v>827</v>
      </c>
      <c r="G1002" s="5"/>
      <c r="H1002" s="5">
        <f>Table3[[#This Row],[Qty]]*Table3[[#This Row],[Price]]</f>
        <v>0</v>
      </c>
      <c r="I1002" s="5"/>
    </row>
    <row r="1003" spans="1:9" x14ac:dyDescent="0.25">
      <c r="A1003" s="144">
        <v>46037</v>
      </c>
      <c r="B1003" s="145" t="s">
        <v>115</v>
      </c>
      <c r="C1003" s="145" t="s">
        <v>20</v>
      </c>
      <c r="D1003" s="1" t="s">
        <v>844</v>
      </c>
      <c r="E1003" s="161">
        <v>6</v>
      </c>
      <c r="F1003" s="1" t="s">
        <v>174</v>
      </c>
      <c r="G1003" s="5">
        <v>40</v>
      </c>
      <c r="H1003" s="5">
        <f>Table3[[#This Row],[Qty]]*Table3[[#This Row],[Price]]</f>
        <v>240</v>
      </c>
      <c r="I1003" s="5"/>
    </row>
    <row r="1004" spans="1:9" x14ac:dyDescent="0.25">
      <c r="A1004" s="144">
        <v>46037</v>
      </c>
      <c r="B1004" s="145" t="s">
        <v>115</v>
      </c>
      <c r="C1004" s="145" t="s">
        <v>20</v>
      </c>
      <c r="D1004" s="1" t="s">
        <v>803</v>
      </c>
      <c r="E1004" s="161">
        <v>0.82199999999999995</v>
      </c>
      <c r="F1004" s="1" t="s">
        <v>174</v>
      </c>
      <c r="G1004" s="5">
        <v>580</v>
      </c>
      <c r="H1004" s="5">
        <f>Table3[[#This Row],[Qty]]*Table3[[#This Row],[Price]]</f>
        <v>476.76</v>
      </c>
      <c r="I1004" s="5"/>
    </row>
    <row r="1005" spans="1:9" x14ac:dyDescent="0.25">
      <c r="A1005" s="144">
        <v>46037</v>
      </c>
      <c r="B1005" s="145" t="s">
        <v>115</v>
      </c>
      <c r="C1005" s="145" t="s">
        <v>20</v>
      </c>
      <c r="D1005" s="1" t="s">
        <v>860</v>
      </c>
      <c r="E1005" s="161">
        <v>8</v>
      </c>
      <c r="F1005" s="1" t="s">
        <v>174</v>
      </c>
      <c r="G1005" s="5">
        <v>12</v>
      </c>
      <c r="H1005" s="5">
        <f>Table3[[#This Row],[Qty]]*Table3[[#This Row],[Price]]</f>
        <v>96</v>
      </c>
      <c r="I1005" s="5"/>
    </row>
    <row r="1006" spans="1:9" x14ac:dyDescent="0.25">
      <c r="A1006" s="144">
        <v>46037</v>
      </c>
      <c r="B1006" s="145" t="s">
        <v>115</v>
      </c>
      <c r="C1006" s="145" t="s">
        <v>20</v>
      </c>
      <c r="D1006" s="1" t="s">
        <v>855</v>
      </c>
      <c r="E1006" s="161">
        <v>10</v>
      </c>
      <c r="F1006" s="1" t="s">
        <v>174</v>
      </c>
      <c r="G1006" s="5">
        <v>40</v>
      </c>
      <c r="H1006" s="5">
        <f>Table3[[#This Row],[Qty]]*Table3[[#This Row],[Price]]</f>
        <v>400</v>
      </c>
      <c r="I1006" s="5"/>
    </row>
    <row r="1007" spans="1:9" x14ac:dyDescent="0.25">
      <c r="A1007" s="144">
        <v>46037</v>
      </c>
      <c r="B1007" s="145" t="s">
        <v>115</v>
      </c>
      <c r="C1007" s="145" t="s">
        <v>20</v>
      </c>
      <c r="D1007" s="1" t="s">
        <v>222</v>
      </c>
      <c r="E1007" s="161">
        <v>2</v>
      </c>
      <c r="F1007" s="58" t="s">
        <v>819</v>
      </c>
      <c r="G1007" s="5">
        <v>28</v>
      </c>
      <c r="H1007" s="5">
        <f>Table3[[#This Row],[Qty]]*Table3[[#This Row],[Price]]</f>
        <v>56</v>
      </c>
      <c r="I1007" s="5"/>
    </row>
    <row r="1008" spans="1:9" x14ac:dyDescent="0.25">
      <c r="A1008" s="144">
        <v>46037</v>
      </c>
      <c r="B1008" s="145" t="s">
        <v>115</v>
      </c>
      <c r="C1008" s="145" t="s">
        <v>310</v>
      </c>
      <c r="D1008" s="1" t="s">
        <v>862</v>
      </c>
      <c r="E1008" s="161">
        <v>7.7750000000000004</v>
      </c>
      <c r="F1008" s="1" t="s">
        <v>174</v>
      </c>
      <c r="G1008" s="5">
        <v>170</v>
      </c>
      <c r="H1008" s="5">
        <f>Table3[[#This Row],[Qty]]*Table3[[#This Row],[Price]]</f>
        <v>1321.75</v>
      </c>
      <c r="I1008" s="5"/>
    </row>
    <row r="1009" spans="1:9" x14ac:dyDescent="0.25">
      <c r="A1009" s="144">
        <v>46037</v>
      </c>
      <c r="B1009" s="145" t="s">
        <v>115</v>
      </c>
      <c r="C1009" s="145" t="s">
        <v>310</v>
      </c>
      <c r="D1009" s="1" t="s">
        <v>786</v>
      </c>
      <c r="E1009" s="161">
        <v>3.45</v>
      </c>
      <c r="F1009" s="1" t="s">
        <v>174</v>
      </c>
      <c r="G1009" s="5"/>
      <c r="H1009" s="5">
        <f>Table3[[#This Row],[Qty]]*Table3[[#This Row],[Price]]</f>
        <v>0</v>
      </c>
      <c r="I1009" s="5"/>
    </row>
    <row r="1010" spans="1:9" x14ac:dyDescent="0.25">
      <c r="A1010" s="144">
        <v>46037</v>
      </c>
      <c r="B1010" s="145" t="s">
        <v>115</v>
      </c>
      <c r="C1010" s="145" t="s">
        <v>310</v>
      </c>
      <c r="D1010" s="1" t="s">
        <v>854</v>
      </c>
      <c r="E1010" s="161">
        <v>1</v>
      </c>
      <c r="F1010" s="1" t="s">
        <v>174</v>
      </c>
      <c r="G1010" s="5">
        <v>1600</v>
      </c>
      <c r="H1010" s="5">
        <f>Table3[[#This Row],[Qty]]*Table3[[#This Row],[Price]]</f>
        <v>1600</v>
      </c>
      <c r="I1010" s="5"/>
    </row>
    <row r="1011" spans="1:9" x14ac:dyDescent="0.25">
      <c r="A1011" s="144">
        <v>46037</v>
      </c>
      <c r="B1011" s="145" t="s">
        <v>115</v>
      </c>
      <c r="C1011" s="145" t="s">
        <v>310</v>
      </c>
      <c r="D1011" s="1" t="s">
        <v>862</v>
      </c>
      <c r="E1011" s="161">
        <v>3</v>
      </c>
      <c r="F1011" s="1" t="s">
        <v>174</v>
      </c>
      <c r="G1011" s="5">
        <v>170</v>
      </c>
      <c r="H1011" s="5">
        <f>Table3[[#This Row],[Qty]]*Table3[[#This Row],[Price]]</f>
        <v>510</v>
      </c>
      <c r="I1011" s="5"/>
    </row>
    <row r="1012" spans="1:9" x14ac:dyDescent="0.25">
      <c r="A1012" s="144">
        <v>46037</v>
      </c>
      <c r="B1012" s="145" t="s">
        <v>115</v>
      </c>
      <c r="C1012" s="145" t="s">
        <v>310</v>
      </c>
      <c r="D1012" s="1" t="s">
        <v>786</v>
      </c>
      <c r="E1012" s="161">
        <v>1.5</v>
      </c>
      <c r="F1012" s="1" t="s">
        <v>174</v>
      </c>
      <c r="G1012" s="5"/>
      <c r="H1012" s="5">
        <f>Table3[[#This Row],[Qty]]*Table3[[#This Row],[Price]]</f>
        <v>0</v>
      </c>
      <c r="I1012" s="5"/>
    </row>
    <row r="1013" spans="1:9" x14ac:dyDescent="0.25">
      <c r="A1013" s="144">
        <v>46038</v>
      </c>
      <c r="B1013" s="145" t="s">
        <v>116</v>
      </c>
      <c r="C1013" s="145" t="s">
        <v>12</v>
      </c>
      <c r="D1013" s="1" t="s">
        <v>793</v>
      </c>
      <c r="E1013" s="161">
        <v>50</v>
      </c>
      <c r="F1013" s="1" t="s">
        <v>174</v>
      </c>
      <c r="G1013" s="5">
        <v>119</v>
      </c>
      <c r="H1013" s="5">
        <f>Table3[[#This Row],[Qty]]*Table3[[#This Row],[Price]]</f>
        <v>5950</v>
      </c>
      <c r="I1013" s="5"/>
    </row>
    <row r="1014" spans="1:9" x14ac:dyDescent="0.25">
      <c r="A1014" s="144">
        <v>46038</v>
      </c>
      <c r="B1014" s="145" t="s">
        <v>116</v>
      </c>
      <c r="C1014" s="145" t="s">
        <v>12</v>
      </c>
      <c r="D1014" s="1" t="s">
        <v>791</v>
      </c>
      <c r="E1014" s="146">
        <v>9</v>
      </c>
      <c r="F1014" s="1" t="s">
        <v>827</v>
      </c>
      <c r="G1014" s="5"/>
      <c r="H1014" s="5">
        <f>Table3[[#This Row],[Qty]]*Table3[[#This Row],[Price]]</f>
        <v>0</v>
      </c>
      <c r="I1014" s="5"/>
    </row>
    <row r="1015" spans="1:9" x14ac:dyDescent="0.25">
      <c r="A1015" s="144">
        <v>46038</v>
      </c>
      <c r="B1015" s="145" t="s">
        <v>116</v>
      </c>
      <c r="C1015" s="145" t="s">
        <v>310</v>
      </c>
      <c r="D1015" s="1" t="s">
        <v>866</v>
      </c>
      <c r="E1015" s="146">
        <v>1</v>
      </c>
      <c r="F1015" s="1" t="s">
        <v>174</v>
      </c>
      <c r="G1015" s="5"/>
      <c r="H1015" s="5">
        <f>Table3[[#This Row],[Qty]]*Table3[[#This Row],[Price]]</f>
        <v>0</v>
      </c>
      <c r="I1015" s="5"/>
    </row>
    <row r="1016" spans="1:9" x14ac:dyDescent="0.25">
      <c r="A1016" s="144">
        <v>46038</v>
      </c>
      <c r="B1016" s="145" t="s">
        <v>116</v>
      </c>
      <c r="C1016" s="145" t="s">
        <v>310</v>
      </c>
      <c r="D1016" s="1" t="s">
        <v>862</v>
      </c>
      <c r="E1016" s="146">
        <v>8</v>
      </c>
      <c r="F1016" s="1" t="s">
        <v>174</v>
      </c>
      <c r="G1016" s="5">
        <v>170</v>
      </c>
      <c r="H1016" s="5">
        <f>Table3[[#This Row],[Qty]]*Table3[[#This Row],[Price]]</f>
        <v>1360</v>
      </c>
      <c r="I1016" s="5"/>
    </row>
    <row r="1017" spans="1:9" x14ac:dyDescent="0.25">
      <c r="A1017" s="144">
        <v>46038</v>
      </c>
      <c r="B1017" s="145" t="s">
        <v>116</v>
      </c>
      <c r="C1017" s="145" t="s">
        <v>310</v>
      </c>
      <c r="D1017" s="1" t="s">
        <v>786</v>
      </c>
      <c r="E1017" s="146">
        <v>3</v>
      </c>
      <c r="F1017" s="1" t="s">
        <v>174</v>
      </c>
      <c r="G1017" s="5"/>
      <c r="H1017" s="5">
        <f>Table3[[#This Row],[Qty]]*Table3[[#This Row],[Price]]</f>
        <v>0</v>
      </c>
      <c r="I1017" s="5"/>
    </row>
    <row r="1018" spans="1:9" x14ac:dyDescent="0.25">
      <c r="A1018" s="144">
        <v>46038</v>
      </c>
      <c r="B1018" s="145" t="s">
        <v>116</v>
      </c>
      <c r="C1018" s="145" t="s">
        <v>310</v>
      </c>
      <c r="D1018" s="1" t="s">
        <v>895</v>
      </c>
      <c r="E1018" s="146">
        <v>1</v>
      </c>
      <c r="F1018" s="1" t="s">
        <v>174</v>
      </c>
      <c r="G1018" s="5"/>
      <c r="H1018" s="5">
        <f>Table3[[#This Row],[Qty]]*Table3[[#This Row],[Price]]</f>
        <v>0</v>
      </c>
      <c r="I1018" s="5"/>
    </row>
    <row r="1019" spans="1:9" x14ac:dyDescent="0.25">
      <c r="A1019" s="144">
        <v>46038</v>
      </c>
      <c r="B1019" s="145" t="s">
        <v>116</v>
      </c>
      <c r="C1019" s="145" t="s">
        <v>310</v>
      </c>
      <c r="D1019" s="1" t="s">
        <v>897</v>
      </c>
      <c r="E1019" s="146">
        <v>8.5000000000000006E-2</v>
      </c>
      <c r="F1019" s="1" t="s">
        <v>174</v>
      </c>
      <c r="G1019" s="5"/>
      <c r="H1019" s="5">
        <f>Table3[[#This Row],[Qty]]*Table3[[#This Row],[Price]]</f>
        <v>0</v>
      </c>
      <c r="I1019" s="5"/>
    </row>
    <row r="1020" spans="1:9" x14ac:dyDescent="0.25">
      <c r="A1020" s="144">
        <v>46038</v>
      </c>
      <c r="B1020" s="145" t="s">
        <v>116</v>
      </c>
      <c r="C1020" s="145" t="s">
        <v>12</v>
      </c>
      <c r="D1020" s="1" t="s">
        <v>222</v>
      </c>
      <c r="E1020" s="146">
        <v>1</v>
      </c>
      <c r="F1020" s="58" t="s">
        <v>819</v>
      </c>
      <c r="G1020" s="5">
        <v>28</v>
      </c>
      <c r="H1020" s="5">
        <f>Table3[[#This Row],[Qty]]*Table3[[#This Row],[Price]]</f>
        <v>28</v>
      </c>
      <c r="I1020" s="5"/>
    </row>
    <row r="1021" spans="1:9" x14ac:dyDescent="0.25">
      <c r="A1021" s="144">
        <v>46038</v>
      </c>
      <c r="B1021" s="145" t="s">
        <v>116</v>
      </c>
      <c r="C1021" s="145" t="s">
        <v>13</v>
      </c>
      <c r="D1021" s="1" t="s">
        <v>135</v>
      </c>
      <c r="E1021" s="146">
        <v>75</v>
      </c>
      <c r="F1021" s="1" t="s">
        <v>174</v>
      </c>
      <c r="G1021" s="5">
        <v>300</v>
      </c>
      <c r="H1021" s="5">
        <f>Table3[[#This Row],[Qty]]*Table3[[#This Row],[Price]]</f>
        <v>22500</v>
      </c>
      <c r="I1021" s="5"/>
    </row>
    <row r="1022" spans="1:9" x14ac:dyDescent="0.25">
      <c r="A1022" s="144">
        <v>46038</v>
      </c>
      <c r="B1022" s="145" t="s">
        <v>116</v>
      </c>
      <c r="C1022" s="145" t="s">
        <v>13</v>
      </c>
      <c r="D1022" s="1" t="s">
        <v>864</v>
      </c>
      <c r="E1022" s="146">
        <v>40</v>
      </c>
      <c r="F1022" s="1" t="s">
        <v>174</v>
      </c>
      <c r="G1022" s="5"/>
      <c r="H1022" s="5">
        <f>Table3[[#This Row],[Qty]]*Table3[[#This Row],[Price]]</f>
        <v>0</v>
      </c>
      <c r="I1022" s="5"/>
    </row>
    <row r="1023" spans="1:9" x14ac:dyDescent="0.25">
      <c r="A1023" s="144">
        <v>46038</v>
      </c>
      <c r="B1023" s="145" t="s">
        <v>116</v>
      </c>
      <c r="C1023" s="145" t="s">
        <v>13</v>
      </c>
      <c r="D1023" s="1" t="s">
        <v>791</v>
      </c>
      <c r="E1023" s="146">
        <v>24</v>
      </c>
      <c r="F1023" s="1" t="s">
        <v>827</v>
      </c>
      <c r="G1023" s="5"/>
      <c r="H1023" s="5">
        <f>Table3[[#This Row],[Qty]]*Table3[[#This Row],[Price]]</f>
        <v>0</v>
      </c>
      <c r="I1023" s="5"/>
    </row>
    <row r="1024" spans="1:9" x14ac:dyDescent="0.25">
      <c r="A1024" s="144">
        <v>46038</v>
      </c>
      <c r="B1024" s="145" t="s">
        <v>116</v>
      </c>
      <c r="C1024" s="145" t="s">
        <v>13</v>
      </c>
      <c r="D1024" s="1" t="s">
        <v>865</v>
      </c>
      <c r="E1024" s="146">
        <v>15</v>
      </c>
      <c r="F1024" s="1" t="s">
        <v>174</v>
      </c>
      <c r="G1024" s="5">
        <v>120</v>
      </c>
      <c r="H1024" s="5">
        <f>Table3[[#This Row],[Qty]]*Table3[[#This Row],[Price]]</f>
        <v>1800</v>
      </c>
      <c r="I1024" s="5"/>
    </row>
    <row r="1025" spans="1:9" x14ac:dyDescent="0.25">
      <c r="A1025" s="144">
        <v>46038</v>
      </c>
      <c r="B1025" s="145" t="s">
        <v>116</v>
      </c>
      <c r="C1025" s="145" t="s">
        <v>13</v>
      </c>
      <c r="D1025" s="1" t="s">
        <v>844</v>
      </c>
      <c r="E1025" s="146">
        <v>28</v>
      </c>
      <c r="F1025" s="1" t="s">
        <v>174</v>
      </c>
      <c r="G1025" s="5">
        <v>40</v>
      </c>
      <c r="H1025" s="5">
        <f>Table3[[#This Row],[Qty]]*Table3[[#This Row],[Price]]</f>
        <v>1120</v>
      </c>
      <c r="I1025" s="5"/>
    </row>
    <row r="1026" spans="1:9" x14ac:dyDescent="0.25">
      <c r="A1026" s="144">
        <v>46038</v>
      </c>
      <c r="B1026" s="145" t="s">
        <v>116</v>
      </c>
      <c r="C1026" s="145" t="s">
        <v>13</v>
      </c>
      <c r="D1026" s="1" t="s">
        <v>796</v>
      </c>
      <c r="E1026" s="146">
        <v>1.6</v>
      </c>
      <c r="F1026" s="1" t="s">
        <v>174</v>
      </c>
      <c r="G1026" s="5">
        <v>1150</v>
      </c>
      <c r="H1026" s="5">
        <f>Table3[[#This Row],[Qty]]*Table3[[#This Row],[Price]]</f>
        <v>1840</v>
      </c>
      <c r="I1026" s="5"/>
    </row>
    <row r="1027" spans="1:9" x14ac:dyDescent="0.25">
      <c r="A1027" s="144">
        <v>46038</v>
      </c>
      <c r="B1027" s="145" t="s">
        <v>116</v>
      </c>
      <c r="C1027" s="145" t="s">
        <v>13</v>
      </c>
      <c r="D1027" s="1" t="s">
        <v>888</v>
      </c>
      <c r="E1027" s="146">
        <v>1</v>
      </c>
      <c r="F1027" s="1" t="s">
        <v>174</v>
      </c>
      <c r="G1027" s="5">
        <v>650</v>
      </c>
      <c r="H1027" s="5">
        <f>Table3[[#This Row],[Qty]]*Table3[[#This Row],[Price]]</f>
        <v>650</v>
      </c>
      <c r="I1027" s="5"/>
    </row>
    <row r="1028" spans="1:9" x14ac:dyDescent="0.25">
      <c r="A1028" s="144">
        <v>46038</v>
      </c>
      <c r="B1028" s="145" t="s">
        <v>116</v>
      </c>
      <c r="C1028" s="145" t="s">
        <v>13</v>
      </c>
      <c r="D1028" s="1" t="s">
        <v>813</v>
      </c>
      <c r="E1028" s="146">
        <v>1</v>
      </c>
      <c r="F1028" s="1" t="s">
        <v>174</v>
      </c>
      <c r="G1028" s="5">
        <v>700</v>
      </c>
      <c r="H1028" s="5">
        <f>Table3[[#This Row],[Qty]]*Table3[[#This Row],[Price]]</f>
        <v>700</v>
      </c>
      <c r="I1028" s="5"/>
    </row>
    <row r="1029" spans="1:9" x14ac:dyDescent="0.25">
      <c r="A1029" s="144">
        <v>46038</v>
      </c>
      <c r="B1029" s="145" t="s">
        <v>116</v>
      </c>
      <c r="C1029" s="145" t="s">
        <v>13</v>
      </c>
      <c r="D1029" s="1" t="s">
        <v>867</v>
      </c>
      <c r="E1029" s="146">
        <v>0.5</v>
      </c>
      <c r="F1029" s="1" t="s">
        <v>174</v>
      </c>
      <c r="G1029" s="5">
        <v>1200</v>
      </c>
      <c r="H1029" s="5">
        <f>Table3[[#This Row],[Qty]]*Table3[[#This Row],[Price]]</f>
        <v>600</v>
      </c>
      <c r="I1029" s="5"/>
    </row>
    <row r="1030" spans="1:9" x14ac:dyDescent="0.25">
      <c r="A1030" s="144">
        <v>46038</v>
      </c>
      <c r="B1030" s="145" t="s">
        <v>116</v>
      </c>
      <c r="C1030" s="145" t="s">
        <v>13</v>
      </c>
      <c r="D1030" s="1" t="s">
        <v>235</v>
      </c>
      <c r="E1030" s="146">
        <v>5</v>
      </c>
      <c r="F1030" s="1" t="s">
        <v>174</v>
      </c>
      <c r="G1030" s="5">
        <v>183</v>
      </c>
      <c r="H1030" s="5">
        <f>Table3[[#This Row],[Qty]]*Table3[[#This Row],[Price]]</f>
        <v>915</v>
      </c>
      <c r="I1030" s="5"/>
    </row>
    <row r="1031" spans="1:9" x14ac:dyDescent="0.25">
      <c r="A1031" s="144">
        <v>46038</v>
      </c>
      <c r="B1031" s="145" t="s">
        <v>116</v>
      </c>
      <c r="C1031" s="145" t="s">
        <v>13</v>
      </c>
      <c r="D1031" s="1" t="s">
        <v>802</v>
      </c>
      <c r="E1031" s="146">
        <v>1</v>
      </c>
      <c r="F1031" s="1" t="s">
        <v>174</v>
      </c>
      <c r="G1031" s="5">
        <v>480</v>
      </c>
      <c r="H1031" s="5">
        <f>Table3[[#This Row],[Qty]]*Table3[[#This Row],[Price]]</f>
        <v>480</v>
      </c>
      <c r="I1031" s="5"/>
    </row>
    <row r="1032" spans="1:9" x14ac:dyDescent="0.25">
      <c r="A1032" s="144">
        <v>46038</v>
      </c>
      <c r="B1032" s="145" t="s">
        <v>116</v>
      </c>
      <c r="C1032" s="145" t="s">
        <v>310</v>
      </c>
      <c r="D1032" s="1" t="s">
        <v>866</v>
      </c>
      <c r="E1032" s="146">
        <v>3</v>
      </c>
      <c r="F1032" s="1" t="s">
        <v>174</v>
      </c>
      <c r="G1032" s="5"/>
      <c r="H1032" s="5">
        <f>Table3[[#This Row],[Qty]]*Table3[[#This Row],[Price]]</f>
        <v>0</v>
      </c>
      <c r="I1032" s="5"/>
    </row>
    <row r="1033" spans="1:9" x14ac:dyDescent="0.25">
      <c r="A1033" s="144">
        <v>46038</v>
      </c>
      <c r="B1033" s="145" t="s">
        <v>116</v>
      </c>
      <c r="C1033" s="145" t="s">
        <v>13</v>
      </c>
      <c r="D1033" s="1" t="s">
        <v>845</v>
      </c>
      <c r="E1033" s="146">
        <v>0.6</v>
      </c>
      <c r="F1033" s="1" t="s">
        <v>174</v>
      </c>
      <c r="G1033" s="5">
        <v>80</v>
      </c>
      <c r="H1033" s="5">
        <f>Table3[[#This Row],[Qty]]*Table3[[#This Row],[Price]]</f>
        <v>48</v>
      </c>
      <c r="I1033" s="5"/>
    </row>
    <row r="1034" spans="1:9" x14ac:dyDescent="0.25">
      <c r="A1034" s="144">
        <v>46038</v>
      </c>
      <c r="B1034" s="145" t="s">
        <v>116</v>
      </c>
      <c r="C1034" s="145" t="s">
        <v>13</v>
      </c>
      <c r="D1034" s="1" t="s">
        <v>880</v>
      </c>
      <c r="E1034" s="146">
        <v>0.7</v>
      </c>
      <c r="F1034" s="1" t="s">
        <v>174</v>
      </c>
      <c r="G1034" s="5">
        <v>50</v>
      </c>
      <c r="H1034" s="5">
        <f>Table3[[#This Row],[Qty]]*Table3[[#This Row],[Price]]</f>
        <v>35</v>
      </c>
      <c r="I1034" s="5"/>
    </row>
    <row r="1035" spans="1:9" x14ac:dyDescent="0.25">
      <c r="A1035" s="144">
        <v>46038</v>
      </c>
      <c r="B1035" s="145" t="s">
        <v>116</v>
      </c>
      <c r="C1035" s="145" t="s">
        <v>13</v>
      </c>
      <c r="D1035" s="1" t="s">
        <v>846</v>
      </c>
      <c r="E1035" s="146">
        <v>0.4</v>
      </c>
      <c r="F1035" s="1" t="s">
        <v>174</v>
      </c>
      <c r="G1035" s="5">
        <v>130</v>
      </c>
      <c r="H1035" s="5">
        <f>Table3[[#This Row],[Qty]]*Table3[[#This Row],[Price]]</f>
        <v>52</v>
      </c>
      <c r="I1035" s="5"/>
    </row>
    <row r="1036" spans="1:9" x14ac:dyDescent="0.25">
      <c r="A1036" s="144">
        <v>46038</v>
      </c>
      <c r="B1036" s="145" t="s">
        <v>116</v>
      </c>
      <c r="C1036" s="145" t="s">
        <v>13</v>
      </c>
      <c r="D1036" s="1" t="s">
        <v>842</v>
      </c>
      <c r="E1036" s="146">
        <v>2.2000000000000002</v>
      </c>
      <c r="F1036" s="1" t="s">
        <v>174</v>
      </c>
      <c r="G1036" s="5">
        <v>75</v>
      </c>
      <c r="H1036" s="5">
        <f>Table3[[#This Row],[Qty]]*Table3[[#This Row],[Price]]</f>
        <v>165</v>
      </c>
      <c r="I1036" s="5"/>
    </row>
    <row r="1037" spans="1:9" x14ac:dyDescent="0.25">
      <c r="A1037" s="144">
        <v>46038</v>
      </c>
      <c r="B1037" s="145" t="s">
        <v>116</v>
      </c>
      <c r="C1037" s="145" t="s">
        <v>13</v>
      </c>
      <c r="D1037" s="1" t="s">
        <v>808</v>
      </c>
      <c r="E1037" s="146">
        <v>1</v>
      </c>
      <c r="F1037" s="1" t="s">
        <v>809</v>
      </c>
      <c r="G1037" s="5">
        <v>896</v>
      </c>
      <c r="H1037" s="5">
        <f>Table3[[#This Row],[Qty]]*Table3[[#This Row],[Price]]</f>
        <v>896</v>
      </c>
      <c r="I1037" s="5"/>
    </row>
    <row r="1038" spans="1:9" x14ac:dyDescent="0.25">
      <c r="A1038" s="144">
        <v>46038</v>
      </c>
      <c r="B1038" s="145" t="s">
        <v>116</v>
      </c>
      <c r="C1038" s="145" t="s">
        <v>13</v>
      </c>
      <c r="D1038" s="1" t="s">
        <v>852</v>
      </c>
      <c r="E1038" s="146">
        <v>2.75</v>
      </c>
      <c r="F1038" s="1" t="s">
        <v>174</v>
      </c>
      <c r="G1038" s="5">
        <v>300</v>
      </c>
      <c r="H1038" s="5">
        <f>Table3[[#This Row],[Qty]]*Table3[[#This Row],[Price]]</f>
        <v>825</v>
      </c>
      <c r="I1038" s="5"/>
    </row>
    <row r="1039" spans="1:9" x14ac:dyDescent="0.25">
      <c r="A1039" s="144">
        <v>46038</v>
      </c>
      <c r="B1039" s="145" t="s">
        <v>116</v>
      </c>
      <c r="C1039" s="145" t="s">
        <v>13</v>
      </c>
      <c r="D1039" s="1" t="s">
        <v>876</v>
      </c>
      <c r="E1039" s="146">
        <v>0.2</v>
      </c>
      <c r="F1039" s="1" t="s">
        <v>174</v>
      </c>
      <c r="G1039" s="5">
        <v>200</v>
      </c>
      <c r="H1039" s="5">
        <f>Table3[[#This Row],[Qty]]*Table3[[#This Row],[Price]]</f>
        <v>40</v>
      </c>
      <c r="I1039" s="5"/>
    </row>
    <row r="1040" spans="1:9" x14ac:dyDescent="0.25">
      <c r="A1040" s="144">
        <v>46038</v>
      </c>
      <c r="B1040" s="145" t="s">
        <v>116</v>
      </c>
      <c r="C1040" s="145"/>
      <c r="D1040" s="1" t="s">
        <v>967</v>
      </c>
      <c r="E1040" s="146">
        <v>60</v>
      </c>
      <c r="F1040" s="5" t="s">
        <v>819</v>
      </c>
      <c r="G1040" s="5"/>
      <c r="H1040" s="5">
        <f>Table3[[#This Row],[Qty]]*Table3[[#This Row],[Price]]</f>
        <v>0</v>
      </c>
      <c r="I1040" s="5"/>
    </row>
    <row r="1041" spans="1:9" x14ac:dyDescent="0.25">
      <c r="A1041" s="144">
        <v>46038</v>
      </c>
      <c r="B1041" s="145" t="s">
        <v>116</v>
      </c>
      <c r="C1041" s="145" t="s">
        <v>310</v>
      </c>
      <c r="D1041" s="1" t="s">
        <v>868</v>
      </c>
      <c r="E1041" s="146">
        <v>12</v>
      </c>
      <c r="F1041" s="1" t="s">
        <v>827</v>
      </c>
      <c r="G1041" s="5">
        <v>220</v>
      </c>
      <c r="H1041" s="5">
        <f>Table3[[#This Row],[Qty]]*Table3[[#This Row],[Price]]</f>
        <v>2640</v>
      </c>
      <c r="I1041" s="5"/>
    </row>
    <row r="1042" spans="1:9" x14ac:dyDescent="0.25">
      <c r="A1042" s="144">
        <v>46038</v>
      </c>
      <c r="B1042" s="145" t="s">
        <v>116</v>
      </c>
      <c r="C1042" s="145" t="s">
        <v>310</v>
      </c>
      <c r="D1042" s="1" t="s">
        <v>862</v>
      </c>
      <c r="E1042" s="146">
        <v>6.5</v>
      </c>
      <c r="F1042" s="1" t="s">
        <v>174</v>
      </c>
      <c r="G1042" s="5">
        <v>170</v>
      </c>
      <c r="H1042" s="5">
        <f>Table3[[#This Row],[Qty]]*Table3[[#This Row],[Price]]</f>
        <v>1105</v>
      </c>
      <c r="I1042" s="5"/>
    </row>
    <row r="1043" spans="1:9" x14ac:dyDescent="0.25">
      <c r="A1043" s="144">
        <v>46038</v>
      </c>
      <c r="B1043" s="145" t="s">
        <v>116</v>
      </c>
      <c r="C1043" s="145" t="s">
        <v>310</v>
      </c>
      <c r="D1043" s="1" t="s">
        <v>872</v>
      </c>
      <c r="E1043" s="146">
        <v>4.5</v>
      </c>
      <c r="F1043" s="1" t="s">
        <v>174</v>
      </c>
      <c r="G1043" s="5"/>
      <c r="H1043" s="5">
        <f>Table3[[#This Row],[Qty]]*Table3[[#This Row],[Price]]</f>
        <v>0</v>
      </c>
      <c r="I1043" s="5"/>
    </row>
    <row r="1044" spans="1:9" x14ac:dyDescent="0.25">
      <c r="A1044" s="144">
        <v>46038</v>
      </c>
      <c r="B1044" s="145" t="s">
        <v>116</v>
      </c>
      <c r="C1044" s="145" t="s">
        <v>20</v>
      </c>
      <c r="D1044" s="1" t="s">
        <v>885</v>
      </c>
      <c r="E1044" s="146">
        <v>12.5</v>
      </c>
      <c r="F1044" s="1" t="s">
        <v>174</v>
      </c>
      <c r="G1044" s="5">
        <v>31</v>
      </c>
      <c r="H1044" s="5">
        <f>Table3[[#This Row],[Qty]]*Table3[[#This Row],[Price]]</f>
        <v>387.5</v>
      </c>
      <c r="I1044" s="5"/>
    </row>
    <row r="1045" spans="1:9" x14ac:dyDescent="0.25">
      <c r="A1045" s="144">
        <v>46038</v>
      </c>
      <c r="B1045" s="145" t="s">
        <v>116</v>
      </c>
      <c r="C1045" s="145" t="s">
        <v>20</v>
      </c>
      <c r="D1045" s="1" t="s">
        <v>844</v>
      </c>
      <c r="E1045" s="146">
        <v>7.5</v>
      </c>
      <c r="F1045" s="1" t="s">
        <v>174</v>
      </c>
      <c r="G1045" s="5">
        <v>40</v>
      </c>
      <c r="H1045" s="5">
        <f>Table3[[#This Row],[Qty]]*Table3[[#This Row],[Price]]</f>
        <v>300</v>
      </c>
      <c r="I1045" s="5"/>
    </row>
    <row r="1046" spans="1:9" x14ac:dyDescent="0.25">
      <c r="A1046" s="144">
        <v>46038</v>
      </c>
      <c r="B1046" s="145" t="s">
        <v>116</v>
      </c>
      <c r="C1046" s="145" t="s">
        <v>20</v>
      </c>
      <c r="D1046" s="1" t="s">
        <v>852</v>
      </c>
      <c r="E1046" s="146">
        <v>0.35</v>
      </c>
      <c r="F1046" s="1" t="s">
        <v>174</v>
      </c>
      <c r="G1046" s="5">
        <v>300</v>
      </c>
      <c r="H1046" s="5">
        <f>Table3[[#This Row],[Qty]]*Table3[[#This Row],[Price]]</f>
        <v>105</v>
      </c>
      <c r="I1046" s="5"/>
    </row>
    <row r="1047" spans="1:9" x14ac:dyDescent="0.25">
      <c r="A1047" s="144">
        <v>46038</v>
      </c>
      <c r="B1047" s="145" t="s">
        <v>116</v>
      </c>
      <c r="C1047" s="145" t="s">
        <v>20</v>
      </c>
      <c r="D1047" s="1" t="s">
        <v>876</v>
      </c>
      <c r="E1047" s="146">
        <v>0.25</v>
      </c>
      <c r="F1047" s="1" t="s">
        <v>174</v>
      </c>
      <c r="G1047" s="5">
        <v>200</v>
      </c>
      <c r="H1047" s="5">
        <f>Table3[[#This Row],[Qty]]*Table3[[#This Row],[Price]]</f>
        <v>50</v>
      </c>
      <c r="I1047" s="5"/>
    </row>
    <row r="1048" spans="1:9" x14ac:dyDescent="0.25">
      <c r="A1048" s="144">
        <v>46038</v>
      </c>
      <c r="B1048" s="145" t="s">
        <v>116</v>
      </c>
      <c r="C1048" s="145" t="s">
        <v>20</v>
      </c>
      <c r="D1048" s="1" t="s">
        <v>791</v>
      </c>
      <c r="E1048" s="161">
        <v>5</v>
      </c>
      <c r="F1048" s="1" t="s">
        <v>827</v>
      </c>
      <c r="G1048" s="5"/>
      <c r="H1048" s="5">
        <f>Table3[[#This Row],[Qty]]*Table3[[#This Row],[Price]]</f>
        <v>0</v>
      </c>
      <c r="I1048" s="5"/>
    </row>
    <row r="1049" spans="1:9" x14ac:dyDescent="0.25">
      <c r="A1049" s="144">
        <v>46038</v>
      </c>
      <c r="B1049" s="145" t="s">
        <v>116</v>
      </c>
      <c r="C1049" s="145" t="s">
        <v>20</v>
      </c>
      <c r="D1049" s="1" t="s">
        <v>797</v>
      </c>
      <c r="E1049" s="161">
        <v>2</v>
      </c>
      <c r="F1049" s="1" t="s">
        <v>174</v>
      </c>
      <c r="G1049" s="5">
        <v>560</v>
      </c>
      <c r="H1049" s="5">
        <f>Table3[[#This Row],[Qty]]*Table3[[#This Row],[Price]]</f>
        <v>1120</v>
      </c>
      <c r="I1049" s="5"/>
    </row>
    <row r="1050" spans="1:9" x14ac:dyDescent="0.25">
      <c r="A1050" s="144">
        <v>46038</v>
      </c>
      <c r="B1050" s="145" t="s">
        <v>116</v>
      </c>
      <c r="C1050" s="145" t="s">
        <v>20</v>
      </c>
      <c r="D1050" s="1" t="s">
        <v>863</v>
      </c>
      <c r="E1050" s="161">
        <v>3.5</v>
      </c>
      <c r="F1050" s="1" t="s">
        <v>174</v>
      </c>
      <c r="G1050" s="5">
        <v>150</v>
      </c>
      <c r="H1050" s="5">
        <f>Table3[[#This Row],[Qty]]*Table3[[#This Row],[Price]]</f>
        <v>525</v>
      </c>
      <c r="I1050" s="5"/>
    </row>
    <row r="1051" spans="1:9" x14ac:dyDescent="0.25">
      <c r="A1051" s="144">
        <v>46038</v>
      </c>
      <c r="B1051" s="145" t="s">
        <v>116</v>
      </c>
      <c r="C1051" s="145" t="s">
        <v>20</v>
      </c>
      <c r="D1051" s="1" t="s">
        <v>844</v>
      </c>
      <c r="E1051" s="161">
        <v>3.1</v>
      </c>
      <c r="F1051" s="1" t="s">
        <v>174</v>
      </c>
      <c r="G1051" s="5">
        <v>40</v>
      </c>
      <c r="H1051" s="5">
        <f>Table3[[#This Row],[Qty]]*Table3[[#This Row],[Price]]</f>
        <v>124</v>
      </c>
      <c r="I1051" s="5"/>
    </row>
    <row r="1052" spans="1:9" x14ac:dyDescent="0.25">
      <c r="A1052" s="144">
        <v>46038</v>
      </c>
      <c r="B1052" s="145" t="s">
        <v>116</v>
      </c>
      <c r="C1052" s="145" t="s">
        <v>20</v>
      </c>
      <c r="D1052" s="1" t="s">
        <v>855</v>
      </c>
      <c r="E1052" s="161">
        <v>13.5</v>
      </c>
      <c r="F1052" s="1" t="s">
        <v>174</v>
      </c>
      <c r="G1052" s="5">
        <v>40</v>
      </c>
      <c r="H1052" s="5">
        <f>Table3[[#This Row],[Qty]]*Table3[[#This Row],[Price]]</f>
        <v>540</v>
      </c>
      <c r="I1052" s="5"/>
    </row>
    <row r="1053" spans="1:9" x14ac:dyDescent="0.25">
      <c r="A1053" s="144">
        <v>46038</v>
      </c>
      <c r="B1053" s="145" t="s">
        <v>116</v>
      </c>
      <c r="C1053" s="145" t="s">
        <v>20</v>
      </c>
      <c r="D1053" s="1" t="s">
        <v>222</v>
      </c>
      <c r="E1053" s="161">
        <v>4</v>
      </c>
      <c r="F1053" s="58" t="s">
        <v>819</v>
      </c>
      <c r="G1053" s="5">
        <v>28</v>
      </c>
      <c r="H1053" s="5">
        <f>Table3[[#This Row],[Qty]]*Table3[[#This Row],[Price]]</f>
        <v>112</v>
      </c>
      <c r="I1053" s="5"/>
    </row>
    <row r="1054" spans="1:9" x14ac:dyDescent="0.25">
      <c r="A1054" s="144">
        <v>46038</v>
      </c>
      <c r="B1054" s="145" t="s">
        <v>116</v>
      </c>
      <c r="C1054" s="145" t="s">
        <v>20</v>
      </c>
      <c r="D1054" s="1" t="s">
        <v>794</v>
      </c>
      <c r="E1054" s="146">
        <v>50</v>
      </c>
      <c r="F1054" s="1" t="s">
        <v>174</v>
      </c>
      <c r="G1054" s="5">
        <v>113</v>
      </c>
      <c r="H1054" s="5">
        <f>Table3[[#This Row],[Qty]]*Table3[[#This Row],[Price]]</f>
        <v>5650</v>
      </c>
      <c r="I1054" s="5"/>
    </row>
    <row r="1055" spans="1:9" x14ac:dyDescent="0.25">
      <c r="A1055" s="144">
        <v>46038</v>
      </c>
      <c r="B1055" s="145" t="s">
        <v>116</v>
      </c>
      <c r="C1055" s="145" t="s">
        <v>894</v>
      </c>
      <c r="D1055" s="1" t="s">
        <v>968</v>
      </c>
      <c r="E1055" s="161">
        <v>0.5</v>
      </c>
      <c r="F1055" s="5" t="s">
        <v>218</v>
      </c>
      <c r="G1055" s="5"/>
      <c r="H1055" s="5">
        <f>Table3[[#This Row],[Qty]]*Table3[[#This Row],[Price]]</f>
        <v>0</v>
      </c>
      <c r="I1055" s="5"/>
    </row>
    <row r="1056" spans="1:9" x14ac:dyDescent="0.25">
      <c r="A1056" s="144">
        <v>46038</v>
      </c>
      <c r="B1056" s="145" t="s">
        <v>116</v>
      </c>
      <c r="C1056" s="145" t="s">
        <v>310</v>
      </c>
      <c r="D1056" s="1" t="s">
        <v>862</v>
      </c>
      <c r="E1056" s="161">
        <v>6.5</v>
      </c>
      <c r="F1056" s="1" t="s">
        <v>174</v>
      </c>
      <c r="G1056" s="5">
        <v>170</v>
      </c>
      <c r="H1056" s="5">
        <f>Table3[[#This Row],[Qty]]*Table3[[#This Row],[Price]]</f>
        <v>1105</v>
      </c>
      <c r="I1056" s="5"/>
    </row>
    <row r="1057" spans="1:9" x14ac:dyDescent="0.25">
      <c r="A1057" s="144">
        <v>46038</v>
      </c>
      <c r="B1057" s="145" t="s">
        <v>116</v>
      </c>
      <c r="C1057" s="145" t="s">
        <v>310</v>
      </c>
      <c r="D1057" s="1" t="s">
        <v>786</v>
      </c>
      <c r="E1057" s="161">
        <v>1.7</v>
      </c>
      <c r="F1057" s="1" t="s">
        <v>174</v>
      </c>
      <c r="G1057" s="5"/>
      <c r="H1057" s="5">
        <f>Table3[[#This Row],[Qty]]*Table3[[#This Row],[Price]]</f>
        <v>0</v>
      </c>
      <c r="I1057" s="5"/>
    </row>
    <row r="1058" spans="1:9" x14ac:dyDescent="0.25">
      <c r="A1058" s="144">
        <v>46038</v>
      </c>
      <c r="B1058" s="145" t="s">
        <v>116</v>
      </c>
      <c r="C1058" s="145" t="s">
        <v>310</v>
      </c>
      <c r="D1058" s="1" t="s">
        <v>854</v>
      </c>
      <c r="E1058" s="161">
        <v>1</v>
      </c>
      <c r="F1058" s="1" t="s">
        <v>174</v>
      </c>
      <c r="G1058" s="5">
        <v>1600</v>
      </c>
      <c r="H1058" s="5">
        <f>Table3[[#This Row],[Qty]]*Table3[[#This Row],[Price]]</f>
        <v>1600</v>
      </c>
      <c r="I1058" s="5"/>
    </row>
    <row r="1059" spans="1:9" x14ac:dyDescent="0.25">
      <c r="A1059" s="144">
        <v>46038</v>
      </c>
      <c r="B1059" s="145" t="s">
        <v>116</v>
      </c>
      <c r="C1059" s="145" t="s">
        <v>20</v>
      </c>
      <c r="D1059" s="1" t="s">
        <v>135</v>
      </c>
      <c r="E1059" s="161">
        <v>16.5</v>
      </c>
      <c r="F1059" s="1" t="s">
        <v>174</v>
      </c>
      <c r="G1059" s="5">
        <v>300</v>
      </c>
      <c r="H1059" s="5">
        <f>Table3[[#This Row],[Qty]]*Table3[[#This Row],[Price]]</f>
        <v>4950</v>
      </c>
      <c r="I1059" s="5"/>
    </row>
    <row r="1060" spans="1:9" x14ac:dyDescent="0.25">
      <c r="A1060" s="144">
        <v>46038</v>
      </c>
      <c r="B1060" s="145" t="s">
        <v>116</v>
      </c>
      <c r="C1060" s="145" t="s">
        <v>970</v>
      </c>
      <c r="D1060" s="1" t="s">
        <v>969</v>
      </c>
      <c r="E1060" s="161">
        <v>22</v>
      </c>
      <c r="F1060" s="5" t="s">
        <v>819</v>
      </c>
      <c r="G1060" s="5"/>
      <c r="H1060" s="5">
        <f>Table3[[#This Row],[Qty]]*Table3[[#This Row],[Price]]</f>
        <v>0</v>
      </c>
      <c r="I1060" s="5"/>
    </row>
    <row r="1061" spans="1:9" x14ac:dyDescent="0.25">
      <c r="A1061" s="144">
        <v>46038</v>
      </c>
      <c r="B1061" s="145" t="s">
        <v>116</v>
      </c>
      <c r="C1061" s="145" t="s">
        <v>310</v>
      </c>
      <c r="D1061" s="1" t="s">
        <v>862</v>
      </c>
      <c r="E1061" s="146">
        <v>4</v>
      </c>
      <c r="F1061" s="1" t="s">
        <v>174</v>
      </c>
      <c r="G1061" s="5">
        <v>170</v>
      </c>
      <c r="H1061" s="5">
        <f>Table3[[#This Row],[Qty]]*Table3[[#This Row],[Price]]</f>
        <v>680</v>
      </c>
      <c r="I1061" s="5"/>
    </row>
    <row r="1062" spans="1:9" x14ac:dyDescent="0.25">
      <c r="A1062" s="144">
        <v>46038</v>
      </c>
      <c r="B1062" s="145" t="s">
        <v>116</v>
      </c>
      <c r="C1062" s="145" t="s">
        <v>310</v>
      </c>
      <c r="D1062" s="1" t="s">
        <v>786</v>
      </c>
      <c r="E1062" s="146">
        <v>1.5</v>
      </c>
      <c r="F1062" s="1" t="s">
        <v>174</v>
      </c>
      <c r="G1062" s="5"/>
      <c r="H1062" s="5">
        <f>Table3[[#This Row],[Qty]]*Table3[[#This Row],[Price]]</f>
        <v>0</v>
      </c>
      <c r="I1062" s="5"/>
    </row>
    <row r="1063" spans="1:9" x14ac:dyDescent="0.25">
      <c r="A1063" s="144">
        <v>46039</v>
      </c>
      <c r="B1063" s="145" t="s">
        <v>117</v>
      </c>
      <c r="C1063" s="145" t="s">
        <v>12</v>
      </c>
      <c r="D1063" s="1" t="s">
        <v>793</v>
      </c>
      <c r="E1063" s="146">
        <v>60</v>
      </c>
      <c r="F1063" s="1" t="s">
        <v>174</v>
      </c>
      <c r="G1063" s="5">
        <v>119</v>
      </c>
      <c r="H1063" s="5">
        <f>Table3[[#This Row],[Qty]]*Table3[[#This Row],[Price]]</f>
        <v>7140</v>
      </c>
      <c r="I1063" s="5"/>
    </row>
    <row r="1064" spans="1:9" x14ac:dyDescent="0.25">
      <c r="A1064" s="144">
        <v>46039</v>
      </c>
      <c r="B1064" s="145" t="s">
        <v>117</v>
      </c>
      <c r="C1064" s="145" t="s">
        <v>12</v>
      </c>
      <c r="D1064" s="1" t="s">
        <v>791</v>
      </c>
      <c r="E1064" s="146">
        <v>9</v>
      </c>
      <c r="F1064" s="1" t="s">
        <v>827</v>
      </c>
      <c r="G1064" s="5"/>
      <c r="H1064" s="5">
        <f>Table3[[#This Row],[Qty]]*Table3[[#This Row],[Price]]</f>
        <v>0</v>
      </c>
      <c r="I1064" s="5"/>
    </row>
    <row r="1065" spans="1:9" x14ac:dyDescent="0.25">
      <c r="A1065" s="144">
        <v>46039</v>
      </c>
      <c r="B1065" s="145" t="s">
        <v>117</v>
      </c>
      <c r="C1065" s="145" t="s">
        <v>310</v>
      </c>
      <c r="D1065" s="1" t="s">
        <v>866</v>
      </c>
      <c r="E1065" s="146">
        <v>1</v>
      </c>
      <c r="F1065" s="1" t="s">
        <v>174</v>
      </c>
      <c r="G1065" s="5"/>
      <c r="H1065" s="5">
        <f>Table3[[#This Row],[Qty]]*Table3[[#This Row],[Price]]</f>
        <v>0</v>
      </c>
      <c r="I1065" s="5"/>
    </row>
    <row r="1066" spans="1:9" x14ac:dyDescent="0.25">
      <c r="A1066" s="144">
        <v>46039</v>
      </c>
      <c r="B1066" s="145" t="s">
        <v>117</v>
      </c>
      <c r="C1066" s="145" t="s">
        <v>310</v>
      </c>
      <c r="D1066" s="1" t="s">
        <v>862</v>
      </c>
      <c r="E1066" s="146">
        <v>9.5</v>
      </c>
      <c r="F1066" s="1" t="s">
        <v>174</v>
      </c>
      <c r="G1066" s="5">
        <v>170</v>
      </c>
      <c r="H1066" s="5">
        <f>Table3[[#This Row],[Qty]]*Table3[[#This Row],[Price]]</f>
        <v>1615</v>
      </c>
      <c r="I1066" s="5"/>
    </row>
    <row r="1067" spans="1:9" x14ac:dyDescent="0.25">
      <c r="A1067" s="144">
        <v>46039</v>
      </c>
      <c r="B1067" s="145" t="s">
        <v>117</v>
      </c>
      <c r="C1067" s="145" t="s">
        <v>310</v>
      </c>
      <c r="D1067" s="1" t="s">
        <v>786</v>
      </c>
      <c r="E1067" s="146">
        <v>3</v>
      </c>
      <c r="F1067" s="1" t="s">
        <v>174</v>
      </c>
      <c r="G1067" s="5"/>
      <c r="H1067" s="5">
        <f>Table3[[#This Row],[Qty]]*Table3[[#This Row],[Price]]</f>
        <v>0</v>
      </c>
      <c r="I1067" s="5"/>
    </row>
    <row r="1068" spans="1:9" x14ac:dyDescent="0.25">
      <c r="A1068" s="144">
        <v>46039</v>
      </c>
      <c r="B1068" s="145" t="s">
        <v>117</v>
      </c>
      <c r="C1068" s="145" t="s">
        <v>310</v>
      </c>
      <c r="D1068" s="1" t="s">
        <v>854</v>
      </c>
      <c r="E1068" s="146">
        <v>1</v>
      </c>
      <c r="F1068" s="1" t="s">
        <v>174</v>
      </c>
      <c r="G1068" s="5">
        <v>1600</v>
      </c>
      <c r="H1068" s="5">
        <f>Table3[[#This Row],[Qty]]*Table3[[#This Row],[Price]]</f>
        <v>1600</v>
      </c>
      <c r="I1068" s="5"/>
    </row>
    <row r="1069" spans="1:9" x14ac:dyDescent="0.25">
      <c r="A1069" s="144">
        <v>46039</v>
      </c>
      <c r="B1069" s="145" t="s">
        <v>117</v>
      </c>
      <c r="C1069" s="145" t="s">
        <v>12</v>
      </c>
      <c r="D1069" s="1" t="s">
        <v>222</v>
      </c>
      <c r="E1069" s="146">
        <v>5</v>
      </c>
      <c r="F1069" s="58" t="s">
        <v>819</v>
      </c>
      <c r="G1069" s="5">
        <v>28</v>
      </c>
      <c r="H1069" s="5">
        <f>Table3[[#This Row],[Qty]]*Table3[[#This Row],[Price]]</f>
        <v>140</v>
      </c>
      <c r="I1069" s="5"/>
    </row>
    <row r="1070" spans="1:9" x14ac:dyDescent="0.25">
      <c r="A1070" s="144">
        <v>46039</v>
      </c>
      <c r="B1070" s="145" t="s">
        <v>117</v>
      </c>
      <c r="C1070" s="145" t="s">
        <v>13</v>
      </c>
      <c r="D1070" s="1" t="s">
        <v>794</v>
      </c>
      <c r="E1070" s="146">
        <v>50</v>
      </c>
      <c r="F1070" s="1" t="s">
        <v>174</v>
      </c>
      <c r="G1070" s="5">
        <v>113</v>
      </c>
      <c r="H1070" s="5">
        <f>Table3[[#This Row],[Qty]]*Table3[[#This Row],[Price]]</f>
        <v>5650</v>
      </c>
      <c r="I1070" s="5"/>
    </row>
    <row r="1071" spans="1:9" x14ac:dyDescent="0.25">
      <c r="A1071" s="144">
        <v>46039</v>
      </c>
      <c r="B1071" s="145" t="s">
        <v>117</v>
      </c>
      <c r="C1071" s="145" t="s">
        <v>13</v>
      </c>
      <c r="D1071" s="1" t="s">
        <v>860</v>
      </c>
      <c r="E1071" s="146">
        <v>9</v>
      </c>
      <c r="F1071" s="1" t="s">
        <v>174</v>
      </c>
      <c r="G1071" s="5">
        <v>12</v>
      </c>
      <c r="H1071" s="5">
        <f>Table3[[#This Row],[Qty]]*Table3[[#This Row],[Price]]</f>
        <v>108</v>
      </c>
      <c r="I1071" s="5"/>
    </row>
    <row r="1072" spans="1:9" x14ac:dyDescent="0.25">
      <c r="A1072" s="144">
        <v>46039</v>
      </c>
      <c r="B1072" s="145" t="s">
        <v>117</v>
      </c>
      <c r="C1072" s="145" t="s">
        <v>13</v>
      </c>
      <c r="D1072" s="1" t="s">
        <v>844</v>
      </c>
      <c r="E1072" s="146">
        <v>33.200000000000003</v>
      </c>
      <c r="F1072" s="1" t="s">
        <v>174</v>
      </c>
      <c r="G1072" s="5">
        <v>40</v>
      </c>
      <c r="H1072" s="5">
        <f>Table3[[#This Row],[Qty]]*Table3[[#This Row],[Price]]</f>
        <v>1328</v>
      </c>
      <c r="I1072" s="5"/>
    </row>
    <row r="1073" spans="1:9" x14ac:dyDescent="0.25">
      <c r="A1073" s="144">
        <v>46039</v>
      </c>
      <c r="B1073" s="145" t="s">
        <v>117</v>
      </c>
      <c r="C1073" s="145" t="s">
        <v>13</v>
      </c>
      <c r="D1073" s="1" t="s">
        <v>855</v>
      </c>
      <c r="E1073" s="146">
        <v>3.5</v>
      </c>
      <c r="F1073" s="1" t="s">
        <v>174</v>
      </c>
      <c r="G1073" s="5">
        <v>40</v>
      </c>
      <c r="H1073" s="5">
        <f>Table3[[#This Row],[Qty]]*Table3[[#This Row],[Price]]</f>
        <v>140</v>
      </c>
      <c r="I1073" s="5"/>
    </row>
    <row r="1074" spans="1:9" x14ac:dyDescent="0.25">
      <c r="A1074" s="144">
        <v>46039</v>
      </c>
      <c r="B1074" s="145" t="s">
        <v>117</v>
      </c>
      <c r="C1074" s="145" t="s">
        <v>13</v>
      </c>
      <c r="D1074" s="1" t="s">
        <v>799</v>
      </c>
      <c r="E1074" s="146">
        <v>10</v>
      </c>
      <c r="F1074" s="1" t="s">
        <v>174</v>
      </c>
      <c r="G1074" s="5">
        <v>300</v>
      </c>
      <c r="H1074" s="5">
        <f>Table3[[#This Row],[Qty]]*Table3[[#This Row],[Price]]</f>
        <v>3000</v>
      </c>
      <c r="I1074" s="5"/>
    </row>
    <row r="1075" spans="1:9" x14ac:dyDescent="0.25">
      <c r="A1075" s="144">
        <v>46039</v>
      </c>
      <c r="B1075" s="145" t="s">
        <v>117</v>
      </c>
      <c r="C1075" s="145" t="s">
        <v>13</v>
      </c>
      <c r="D1075" s="1" t="s">
        <v>791</v>
      </c>
      <c r="E1075" s="146">
        <v>7</v>
      </c>
      <c r="F1075" s="1" t="s">
        <v>827</v>
      </c>
      <c r="G1075" s="5"/>
      <c r="H1075" s="5">
        <f>Table3[[#This Row],[Qty]]*Table3[[#This Row],[Price]]</f>
        <v>0</v>
      </c>
      <c r="I1075" s="5"/>
    </row>
    <row r="1076" spans="1:9" x14ac:dyDescent="0.25">
      <c r="A1076" s="144">
        <v>46039</v>
      </c>
      <c r="B1076" s="145" t="s">
        <v>117</v>
      </c>
      <c r="C1076" s="145" t="s">
        <v>13</v>
      </c>
      <c r="D1076" s="1" t="s">
        <v>817</v>
      </c>
      <c r="E1076" s="146">
        <v>0.5</v>
      </c>
      <c r="F1076" s="1" t="s">
        <v>174</v>
      </c>
      <c r="G1076" s="5">
        <v>480</v>
      </c>
      <c r="H1076" s="5">
        <f>Table3[[#This Row],[Qty]]*Table3[[#This Row],[Price]]</f>
        <v>240</v>
      </c>
      <c r="I1076" s="5"/>
    </row>
    <row r="1077" spans="1:9" x14ac:dyDescent="0.25">
      <c r="A1077" s="144">
        <v>46039</v>
      </c>
      <c r="B1077" s="145" t="s">
        <v>117</v>
      </c>
      <c r="C1077" s="145" t="s">
        <v>13</v>
      </c>
      <c r="D1077" s="1" t="s">
        <v>876</v>
      </c>
      <c r="E1077" s="146">
        <v>0.2</v>
      </c>
      <c r="F1077" s="1" t="s">
        <v>174</v>
      </c>
      <c r="G1077" s="5">
        <v>200</v>
      </c>
      <c r="H1077" s="5">
        <f>Table3[[#This Row],[Qty]]*Table3[[#This Row],[Price]]</f>
        <v>40</v>
      </c>
      <c r="I1077" s="5"/>
    </row>
    <row r="1078" spans="1:9" x14ac:dyDescent="0.25">
      <c r="A1078" s="144">
        <v>46039</v>
      </c>
      <c r="B1078" s="145" t="s">
        <v>117</v>
      </c>
      <c r="C1078" s="145" t="s">
        <v>13</v>
      </c>
      <c r="D1078" s="1" t="s">
        <v>852</v>
      </c>
      <c r="E1078" s="146">
        <v>0.2</v>
      </c>
      <c r="F1078" s="1" t="s">
        <v>174</v>
      </c>
      <c r="G1078" s="5">
        <v>300</v>
      </c>
      <c r="H1078" s="5">
        <f>Table3[[#This Row],[Qty]]*Table3[[#This Row],[Price]]</f>
        <v>60</v>
      </c>
      <c r="I1078" s="5"/>
    </row>
    <row r="1079" spans="1:9" x14ac:dyDescent="0.25">
      <c r="A1079" s="144">
        <v>46039</v>
      </c>
      <c r="B1079" s="145" t="s">
        <v>117</v>
      </c>
      <c r="C1079" s="145" t="s">
        <v>13</v>
      </c>
      <c r="D1079" s="1" t="s">
        <v>858</v>
      </c>
      <c r="E1079" s="146">
        <v>1</v>
      </c>
      <c r="F1079" s="1" t="s">
        <v>174</v>
      </c>
      <c r="G1079" s="5">
        <v>530</v>
      </c>
      <c r="H1079" s="5">
        <f>Table3[[#This Row],[Qty]]*Table3[[#This Row],[Price]]</f>
        <v>530</v>
      </c>
      <c r="I1079" s="5"/>
    </row>
    <row r="1080" spans="1:9" x14ac:dyDescent="0.25">
      <c r="A1080" s="144">
        <v>46039</v>
      </c>
      <c r="B1080" s="145" t="s">
        <v>117</v>
      </c>
      <c r="C1080" s="145" t="s">
        <v>13</v>
      </c>
      <c r="D1080" s="1" t="s">
        <v>797</v>
      </c>
      <c r="E1080" s="146">
        <v>1.5</v>
      </c>
      <c r="F1080" s="1" t="s">
        <v>174</v>
      </c>
      <c r="G1080" s="5">
        <v>560</v>
      </c>
      <c r="H1080" s="5">
        <f>Table3[[#This Row],[Qty]]*Table3[[#This Row],[Price]]</f>
        <v>840</v>
      </c>
      <c r="I1080" s="5"/>
    </row>
    <row r="1081" spans="1:9" x14ac:dyDescent="0.25">
      <c r="A1081" s="144">
        <v>46039</v>
      </c>
      <c r="B1081" s="145" t="s">
        <v>117</v>
      </c>
      <c r="C1081" s="145" t="s">
        <v>13</v>
      </c>
      <c r="D1081" s="1" t="s">
        <v>821</v>
      </c>
      <c r="E1081" s="146">
        <v>1</v>
      </c>
      <c r="F1081" s="1" t="s">
        <v>174</v>
      </c>
      <c r="G1081" s="5">
        <v>700</v>
      </c>
      <c r="H1081" s="5">
        <f>Table3[[#This Row],[Qty]]*Table3[[#This Row],[Price]]</f>
        <v>700</v>
      </c>
      <c r="I1081" s="5"/>
    </row>
    <row r="1082" spans="1:9" x14ac:dyDescent="0.25">
      <c r="A1082" s="144">
        <v>46039</v>
      </c>
      <c r="B1082" s="145" t="s">
        <v>117</v>
      </c>
      <c r="C1082" s="145" t="s">
        <v>13</v>
      </c>
      <c r="D1082" s="1" t="s">
        <v>842</v>
      </c>
      <c r="E1082" s="146">
        <v>3</v>
      </c>
      <c r="F1082" s="1" t="s">
        <v>174</v>
      </c>
      <c r="G1082" s="5">
        <v>75</v>
      </c>
      <c r="H1082" s="5">
        <f>Table3[[#This Row],[Qty]]*Table3[[#This Row],[Price]]</f>
        <v>225</v>
      </c>
      <c r="I1082" s="5"/>
    </row>
    <row r="1083" spans="1:9" x14ac:dyDescent="0.25">
      <c r="A1083" s="144">
        <v>46039</v>
      </c>
      <c r="B1083" s="145" t="s">
        <v>117</v>
      </c>
      <c r="C1083" s="145" t="s">
        <v>13</v>
      </c>
      <c r="D1083" s="1" t="s">
        <v>846</v>
      </c>
      <c r="E1083" s="146">
        <v>0.5</v>
      </c>
      <c r="F1083" s="1" t="s">
        <v>174</v>
      </c>
      <c r="G1083" s="5">
        <v>130</v>
      </c>
      <c r="H1083" s="5">
        <f>Table3[[#This Row],[Qty]]*Table3[[#This Row],[Price]]</f>
        <v>65</v>
      </c>
      <c r="I1083" s="5"/>
    </row>
    <row r="1084" spans="1:9" x14ac:dyDescent="0.25">
      <c r="A1084" s="144">
        <v>46039</v>
      </c>
      <c r="B1084" s="145" t="s">
        <v>117</v>
      </c>
      <c r="C1084" s="145" t="s">
        <v>13</v>
      </c>
      <c r="D1084" s="1" t="s">
        <v>880</v>
      </c>
      <c r="E1084" s="146">
        <v>0.6</v>
      </c>
      <c r="F1084" s="1" t="s">
        <v>174</v>
      </c>
      <c r="G1084" s="5">
        <v>50</v>
      </c>
      <c r="H1084" s="5">
        <f>Table3[[#This Row],[Qty]]*Table3[[#This Row],[Price]]</f>
        <v>30</v>
      </c>
      <c r="I1084" s="5"/>
    </row>
    <row r="1085" spans="1:9" x14ac:dyDescent="0.25">
      <c r="A1085" s="144">
        <v>46039</v>
      </c>
      <c r="B1085" s="145" t="s">
        <v>117</v>
      </c>
      <c r="C1085" s="145" t="s">
        <v>13</v>
      </c>
      <c r="D1085" s="1" t="s">
        <v>222</v>
      </c>
      <c r="E1085" s="146">
        <v>0.6</v>
      </c>
      <c r="F1085" s="58" t="s">
        <v>819</v>
      </c>
      <c r="G1085" s="5">
        <v>28</v>
      </c>
      <c r="H1085" s="5">
        <f>Table3[[#This Row],[Qty]]*Table3[[#This Row],[Price]]</f>
        <v>16.8</v>
      </c>
      <c r="I1085" s="5"/>
    </row>
    <row r="1086" spans="1:9" x14ac:dyDescent="0.25">
      <c r="A1086" s="144">
        <v>46039</v>
      </c>
      <c r="B1086" s="145" t="s">
        <v>117</v>
      </c>
      <c r="C1086" s="145" t="s">
        <v>310</v>
      </c>
      <c r="D1086" s="1" t="s">
        <v>862</v>
      </c>
      <c r="E1086" s="146">
        <v>5</v>
      </c>
      <c r="F1086" s="1" t="s">
        <v>174</v>
      </c>
      <c r="G1086" s="5">
        <v>170</v>
      </c>
      <c r="H1086" s="5">
        <f>Table3[[#This Row],[Qty]]*Table3[[#This Row],[Price]]</f>
        <v>850</v>
      </c>
      <c r="I1086" s="5"/>
    </row>
    <row r="1087" spans="1:9" x14ac:dyDescent="0.25">
      <c r="A1087" s="144">
        <v>46039</v>
      </c>
      <c r="B1087" s="145" t="s">
        <v>117</v>
      </c>
      <c r="C1087" s="145" t="s">
        <v>310</v>
      </c>
      <c r="D1087" s="1" t="s">
        <v>786</v>
      </c>
      <c r="E1087" s="146">
        <v>1.92</v>
      </c>
      <c r="F1087" s="1" t="s">
        <v>174</v>
      </c>
      <c r="G1087" s="5"/>
      <c r="H1087" s="5">
        <f>Table3[[#This Row],[Qty]]*Table3[[#This Row],[Price]]</f>
        <v>0</v>
      </c>
      <c r="I1087" s="5"/>
    </row>
    <row r="1088" spans="1:9" x14ac:dyDescent="0.25">
      <c r="A1088" s="144">
        <v>46039</v>
      </c>
      <c r="B1088" s="145" t="s">
        <v>117</v>
      </c>
      <c r="C1088" s="145" t="s">
        <v>310</v>
      </c>
      <c r="D1088" s="1" t="s">
        <v>868</v>
      </c>
      <c r="E1088" s="146">
        <v>12</v>
      </c>
      <c r="F1088" s="1" t="s">
        <v>827</v>
      </c>
      <c r="G1088" s="5">
        <v>220</v>
      </c>
      <c r="H1088" s="5">
        <f>Table3[[#This Row],[Qty]]*Table3[[#This Row],[Price]]</f>
        <v>2640</v>
      </c>
      <c r="I1088" s="5"/>
    </row>
    <row r="1089" spans="1:9" x14ac:dyDescent="0.25">
      <c r="A1089" s="144">
        <v>46039</v>
      </c>
      <c r="B1089" s="145" t="s">
        <v>117</v>
      </c>
      <c r="C1089" s="145" t="s">
        <v>20</v>
      </c>
      <c r="D1089" s="1" t="s">
        <v>861</v>
      </c>
      <c r="E1089" s="146">
        <v>10</v>
      </c>
      <c r="F1089" s="1" t="s">
        <v>174</v>
      </c>
      <c r="G1089" s="5">
        <v>70</v>
      </c>
      <c r="H1089" s="5">
        <f>Table3[[#This Row],[Qty]]*Table3[[#This Row],[Price]]</f>
        <v>700</v>
      </c>
      <c r="I1089" s="5"/>
    </row>
    <row r="1090" spans="1:9" x14ac:dyDescent="0.25">
      <c r="A1090" s="144">
        <v>46039</v>
      </c>
      <c r="B1090" s="145" t="s">
        <v>117</v>
      </c>
      <c r="C1090" s="145" t="s">
        <v>20</v>
      </c>
      <c r="D1090" s="1" t="s">
        <v>844</v>
      </c>
      <c r="E1090" s="146">
        <v>11.1</v>
      </c>
      <c r="F1090" s="1" t="s">
        <v>174</v>
      </c>
      <c r="G1090" s="5">
        <v>40</v>
      </c>
      <c r="H1090" s="5">
        <f>Table3[[#This Row],[Qty]]*Table3[[#This Row],[Price]]</f>
        <v>444</v>
      </c>
      <c r="I1090" s="5"/>
    </row>
    <row r="1091" spans="1:9" x14ac:dyDescent="0.25">
      <c r="A1091" s="144">
        <v>46039</v>
      </c>
      <c r="B1091" s="145" t="s">
        <v>117</v>
      </c>
      <c r="C1091" s="145" t="s">
        <v>20</v>
      </c>
      <c r="D1091" s="1" t="s">
        <v>235</v>
      </c>
      <c r="E1091" s="146">
        <v>4</v>
      </c>
      <c r="F1091" s="1" t="s">
        <v>174</v>
      </c>
      <c r="G1091" s="5">
        <v>183</v>
      </c>
      <c r="H1091" s="5">
        <f>Table3[[#This Row],[Qty]]*Table3[[#This Row],[Price]]</f>
        <v>732</v>
      </c>
      <c r="I1091" s="5"/>
    </row>
    <row r="1092" spans="1:9" x14ac:dyDescent="0.25">
      <c r="A1092" s="144">
        <v>46039</v>
      </c>
      <c r="B1092" s="145" t="s">
        <v>117</v>
      </c>
      <c r="C1092" s="145" t="s">
        <v>20</v>
      </c>
      <c r="D1092" s="1" t="s">
        <v>876</v>
      </c>
      <c r="E1092" s="146">
        <v>0.25</v>
      </c>
      <c r="F1092" s="1" t="s">
        <v>174</v>
      </c>
      <c r="G1092" s="5">
        <v>200</v>
      </c>
      <c r="H1092" s="5">
        <f>Table3[[#This Row],[Qty]]*Table3[[#This Row],[Price]]</f>
        <v>50</v>
      </c>
      <c r="I1092" s="5"/>
    </row>
    <row r="1093" spans="1:9" x14ac:dyDescent="0.25">
      <c r="A1093" s="144">
        <v>46039</v>
      </c>
      <c r="B1093" s="145" t="s">
        <v>117</v>
      </c>
      <c r="C1093" s="145" t="s">
        <v>20</v>
      </c>
      <c r="D1093" s="1" t="s">
        <v>802</v>
      </c>
      <c r="E1093" s="146">
        <v>0.5</v>
      </c>
      <c r="F1093" s="1" t="s">
        <v>174</v>
      </c>
      <c r="G1093" s="5">
        <v>480</v>
      </c>
      <c r="H1093" s="5">
        <f>Table3[[#This Row],[Qty]]*Table3[[#This Row],[Price]]</f>
        <v>240</v>
      </c>
      <c r="I1093" s="5"/>
    </row>
    <row r="1094" spans="1:9" x14ac:dyDescent="0.25">
      <c r="A1094" s="144">
        <v>46039</v>
      </c>
      <c r="B1094" s="145" t="s">
        <v>117</v>
      </c>
      <c r="C1094" s="145" t="s">
        <v>20</v>
      </c>
      <c r="D1094" s="1" t="s">
        <v>791</v>
      </c>
      <c r="E1094" s="146">
        <v>11</v>
      </c>
      <c r="F1094" s="1" t="s">
        <v>827</v>
      </c>
      <c r="G1094" s="5"/>
      <c r="H1094" s="5">
        <f>Table3[[#This Row],[Qty]]*Table3[[#This Row],[Price]]</f>
        <v>0</v>
      </c>
      <c r="I1094" s="5"/>
    </row>
    <row r="1095" spans="1:9" x14ac:dyDescent="0.25">
      <c r="A1095" s="144">
        <v>46039</v>
      </c>
      <c r="B1095" s="145" t="s">
        <v>117</v>
      </c>
      <c r="C1095" s="145" t="s">
        <v>20</v>
      </c>
      <c r="D1095" s="1" t="s">
        <v>842</v>
      </c>
      <c r="E1095" s="146">
        <v>1</v>
      </c>
      <c r="F1095" s="1" t="s">
        <v>174</v>
      </c>
      <c r="G1095" s="5">
        <v>75</v>
      </c>
      <c r="H1095" s="5">
        <f>Table3[[#This Row],[Qty]]*Table3[[#This Row],[Price]]</f>
        <v>75</v>
      </c>
      <c r="I1095" s="5"/>
    </row>
    <row r="1096" spans="1:9" x14ac:dyDescent="0.25">
      <c r="A1096" s="144">
        <v>46039</v>
      </c>
      <c r="B1096" s="145" t="s">
        <v>117</v>
      </c>
      <c r="C1096" s="145" t="s">
        <v>20</v>
      </c>
      <c r="D1096" s="1" t="s">
        <v>222</v>
      </c>
      <c r="E1096" s="146">
        <v>5</v>
      </c>
      <c r="F1096" s="58" t="s">
        <v>819</v>
      </c>
      <c r="G1096" s="5">
        <v>28</v>
      </c>
      <c r="H1096" s="5">
        <f>Table3[[#This Row],[Qty]]*Table3[[#This Row],[Price]]</f>
        <v>140</v>
      </c>
      <c r="I1096" s="5"/>
    </row>
    <row r="1097" spans="1:9" x14ac:dyDescent="0.25">
      <c r="A1097" s="144">
        <v>46039</v>
      </c>
      <c r="B1097" s="145" t="s">
        <v>117</v>
      </c>
      <c r="C1097" s="145" t="s">
        <v>20</v>
      </c>
      <c r="D1097" s="1" t="s">
        <v>855</v>
      </c>
      <c r="E1097" s="146">
        <v>8</v>
      </c>
      <c r="F1097" s="1" t="s">
        <v>174</v>
      </c>
      <c r="G1097" s="5">
        <v>40</v>
      </c>
      <c r="H1097" s="5">
        <f>Table3[[#This Row],[Qty]]*Table3[[#This Row],[Price]]</f>
        <v>320</v>
      </c>
      <c r="I1097" s="5"/>
    </row>
    <row r="1098" spans="1:9" x14ac:dyDescent="0.25">
      <c r="A1098" s="144">
        <v>46039</v>
      </c>
      <c r="B1098" s="145" t="s">
        <v>117</v>
      </c>
      <c r="C1098" s="145" t="s">
        <v>310</v>
      </c>
      <c r="D1098" s="1" t="s">
        <v>808</v>
      </c>
      <c r="E1098" s="146">
        <v>1</v>
      </c>
      <c r="F1098" s="1" t="s">
        <v>809</v>
      </c>
      <c r="G1098" s="5">
        <v>896</v>
      </c>
      <c r="H1098" s="5">
        <f>Table3[[#This Row],[Qty]]*Table3[[#This Row],[Price]]</f>
        <v>896</v>
      </c>
      <c r="I1098" s="5"/>
    </row>
    <row r="1099" spans="1:9" x14ac:dyDescent="0.25">
      <c r="A1099" s="144">
        <v>46039</v>
      </c>
      <c r="B1099" s="145" t="s">
        <v>117</v>
      </c>
      <c r="C1099" s="145" t="s">
        <v>310</v>
      </c>
      <c r="D1099" s="1" t="s">
        <v>862</v>
      </c>
      <c r="E1099" s="146">
        <v>2.5</v>
      </c>
      <c r="F1099" s="1" t="s">
        <v>174</v>
      </c>
      <c r="G1099" s="5">
        <v>170</v>
      </c>
      <c r="H1099" s="5">
        <f>Table3[[#This Row],[Qty]]*Table3[[#This Row],[Price]]</f>
        <v>425</v>
      </c>
      <c r="I1099" s="5"/>
    </row>
    <row r="1100" spans="1:9" x14ac:dyDescent="0.25">
      <c r="A1100" s="144">
        <v>46039</v>
      </c>
      <c r="B1100" s="145" t="s">
        <v>117</v>
      </c>
      <c r="C1100" s="145" t="s">
        <v>310</v>
      </c>
      <c r="D1100" s="1" t="s">
        <v>872</v>
      </c>
      <c r="E1100" s="146">
        <v>3.7</v>
      </c>
      <c r="F1100" s="1" t="s">
        <v>174</v>
      </c>
      <c r="G1100" s="5"/>
      <c r="H1100" s="5">
        <f>Table3[[#This Row],[Qty]]*Table3[[#This Row],[Price]]</f>
        <v>0</v>
      </c>
      <c r="I1100" s="5"/>
    </row>
    <row r="1101" spans="1:9" x14ac:dyDescent="0.25">
      <c r="A1101" s="144">
        <v>46039</v>
      </c>
      <c r="B1101" s="145" t="s">
        <v>117</v>
      </c>
      <c r="C1101" s="145" t="s">
        <v>310</v>
      </c>
      <c r="D1101" s="1" t="s">
        <v>862</v>
      </c>
      <c r="E1101" s="146">
        <v>2</v>
      </c>
      <c r="F1101" s="1" t="s">
        <v>174</v>
      </c>
      <c r="G1101" s="5">
        <v>170</v>
      </c>
      <c r="H1101" s="5">
        <f>Table3[[#This Row],[Qty]]*Table3[[#This Row],[Price]]</f>
        <v>340</v>
      </c>
      <c r="I1101" s="5"/>
    </row>
    <row r="1102" spans="1:9" x14ac:dyDescent="0.25">
      <c r="A1102" s="144">
        <v>46039</v>
      </c>
      <c r="B1102" s="145" t="s">
        <v>117</v>
      </c>
      <c r="C1102" s="145" t="s">
        <v>310</v>
      </c>
      <c r="D1102" s="1" t="s">
        <v>786</v>
      </c>
      <c r="E1102" s="146">
        <v>1.2</v>
      </c>
      <c r="F1102" s="1" t="s">
        <v>174</v>
      </c>
      <c r="G1102" s="5"/>
      <c r="H1102" s="5">
        <f>Table3[[#This Row],[Qty]]*Table3[[#This Row],[Price]]</f>
        <v>0</v>
      </c>
      <c r="I1102" s="5"/>
    </row>
    <row r="1103" spans="1:9" x14ac:dyDescent="0.25">
      <c r="A1103" s="144">
        <v>46039</v>
      </c>
      <c r="B1103" s="145" t="s">
        <v>117</v>
      </c>
      <c r="C1103" s="145" t="s">
        <v>310</v>
      </c>
      <c r="D1103" s="1" t="s">
        <v>854</v>
      </c>
      <c r="E1103" s="146">
        <v>1</v>
      </c>
      <c r="F1103" s="1" t="s">
        <v>174</v>
      </c>
      <c r="G1103" s="5">
        <v>1600</v>
      </c>
      <c r="H1103" s="5">
        <f>Table3[[#This Row],[Qty]]*Table3[[#This Row],[Price]]</f>
        <v>1600</v>
      </c>
      <c r="I1103" s="5"/>
    </row>
    <row r="1104" spans="1:9" x14ac:dyDescent="0.25">
      <c r="A1104" s="144"/>
      <c r="B1104" s="145"/>
      <c r="C1104" s="145"/>
      <c r="D1104" s="1"/>
      <c r="E1104" s="146"/>
      <c r="F1104" s="5"/>
      <c r="G1104" s="5"/>
      <c r="H1104" s="5">
        <f>Table3[[#This Row],[Qty]]*Table3[[#This Row],[Price]]</f>
        <v>0</v>
      </c>
      <c r="I1104" s="5"/>
    </row>
    <row r="1105" spans="1:9" x14ac:dyDescent="0.25">
      <c r="A1105" s="144"/>
      <c r="B1105" s="145"/>
      <c r="C1105" s="145"/>
      <c r="D1105" s="1"/>
      <c r="E1105" s="146"/>
      <c r="F1105" s="5"/>
      <c r="G1105" s="5"/>
      <c r="H1105" s="5">
        <f>Table3[[#This Row],[Qty]]*Table3[[#This Row],[Price]]</f>
        <v>0</v>
      </c>
      <c r="I1105" s="5"/>
    </row>
    <row r="1106" spans="1:9" x14ac:dyDescent="0.25">
      <c r="A1106" s="144"/>
      <c r="B1106" s="145"/>
      <c r="C1106" s="145"/>
      <c r="D1106" s="1"/>
      <c r="E1106" s="146"/>
      <c r="F1106" s="5"/>
      <c r="G1106" s="5"/>
      <c r="H1106" s="5">
        <f>Table3[[#This Row],[Qty]]*Table3[[#This Row],[Price]]</f>
        <v>0</v>
      </c>
      <c r="I1106" s="5"/>
    </row>
    <row r="1107" spans="1:9" x14ac:dyDescent="0.25">
      <c r="A1107" s="144"/>
      <c r="B1107" s="145"/>
      <c r="C1107" s="145"/>
      <c r="D1107" s="1"/>
      <c r="E1107" s="146"/>
      <c r="F1107" s="5"/>
      <c r="G1107" s="5"/>
      <c r="H1107" s="5">
        <f>Table3[[#This Row],[Qty]]*Table3[[#This Row],[Price]]</f>
        <v>0</v>
      </c>
      <c r="I1107" s="5"/>
    </row>
    <row r="1108" spans="1:9" x14ac:dyDescent="0.25">
      <c r="A1108" s="144"/>
      <c r="B1108" s="145"/>
      <c r="C1108" s="145"/>
      <c r="D1108" s="1"/>
      <c r="E1108" s="146"/>
      <c r="F1108" s="5"/>
      <c r="G1108" s="5"/>
      <c r="H1108" s="5">
        <f>Table3[[#This Row],[Qty]]*Table3[[#This Row],[Price]]</f>
        <v>0</v>
      </c>
      <c r="I1108" s="5"/>
    </row>
    <row r="1109" spans="1:9" x14ac:dyDescent="0.25">
      <c r="A1109" s="144"/>
      <c r="B1109" s="145"/>
      <c r="C1109" s="145"/>
      <c r="D1109" s="1"/>
      <c r="E1109" s="146"/>
      <c r="F1109" s="5"/>
      <c r="G1109" s="5"/>
      <c r="H1109" s="5">
        <f>Table3[[#This Row],[Qty]]*Table3[[#This Row],[Price]]</f>
        <v>0</v>
      </c>
      <c r="I1109" s="5"/>
    </row>
    <row r="1110" spans="1:9" x14ac:dyDescent="0.25">
      <c r="A1110" s="144"/>
      <c r="B1110" s="145"/>
      <c r="C1110" s="145"/>
      <c r="D1110" s="1"/>
      <c r="E1110" s="146"/>
      <c r="F1110" s="5"/>
      <c r="G1110" s="5"/>
      <c r="H1110" s="5">
        <f>Table3[[#This Row],[Qty]]*Table3[[#This Row],[Price]]</f>
        <v>0</v>
      </c>
      <c r="I1110" s="5"/>
    </row>
    <row r="1111" spans="1:9" x14ac:dyDescent="0.25">
      <c r="A1111" s="144"/>
      <c r="B1111" s="145"/>
      <c r="C1111" s="145"/>
      <c r="D1111" s="1"/>
      <c r="E1111" s="146"/>
      <c r="F1111" s="5"/>
      <c r="G1111" s="5"/>
      <c r="H1111" s="5">
        <f>Table3[[#This Row],[Qty]]*Table3[[#This Row],[Price]]</f>
        <v>0</v>
      </c>
      <c r="I1111" s="5"/>
    </row>
    <row r="1112" spans="1:9" x14ac:dyDescent="0.25">
      <c r="A1112" s="144"/>
      <c r="B1112" s="145"/>
      <c r="C1112" s="145"/>
      <c r="D1112" s="1"/>
      <c r="E1112" s="146"/>
      <c r="F1112" s="5"/>
      <c r="G1112" s="5"/>
      <c r="H1112" s="5">
        <f>Table3[[#This Row],[Qty]]*Table3[[#This Row],[Price]]</f>
        <v>0</v>
      </c>
      <c r="I1112" s="5"/>
    </row>
    <row r="1113" spans="1:9" x14ac:dyDescent="0.25">
      <c r="A1113" s="144"/>
      <c r="B1113" s="145"/>
      <c r="C1113" s="145"/>
      <c r="D1113" s="1"/>
      <c r="E1113" s="146"/>
      <c r="F1113" s="5"/>
      <c r="G1113" s="5"/>
      <c r="H1113" s="5">
        <f>Table3[[#This Row],[Qty]]*Table3[[#This Row],[Price]]</f>
        <v>0</v>
      </c>
      <c r="I1113" s="5"/>
    </row>
    <row r="1114" spans="1:9" x14ac:dyDescent="0.25">
      <c r="A1114" s="144"/>
      <c r="B1114" s="145"/>
      <c r="C1114" s="145"/>
      <c r="D1114" s="1"/>
      <c r="E1114" s="146"/>
      <c r="F1114" s="5"/>
      <c r="G1114" s="5"/>
      <c r="H1114" s="5">
        <f>Table3[[#This Row],[Qty]]*Table3[[#This Row],[Price]]</f>
        <v>0</v>
      </c>
      <c r="I1114" s="5"/>
    </row>
    <row r="1115" spans="1:9" x14ac:dyDescent="0.25">
      <c r="A1115" s="144"/>
      <c r="B1115" s="145"/>
      <c r="C1115" s="145"/>
      <c r="D1115" s="1"/>
      <c r="E1115" s="146"/>
      <c r="F1115" s="5"/>
      <c r="G1115" s="5"/>
      <c r="H1115" s="5">
        <f>Table3[[#This Row],[Qty]]*Table3[[#This Row],[Price]]</f>
        <v>0</v>
      </c>
      <c r="I1115" s="5"/>
    </row>
    <row r="1116" spans="1:9" x14ac:dyDescent="0.25">
      <c r="A1116" s="144"/>
      <c r="B1116" s="145"/>
      <c r="C1116" s="145"/>
      <c r="D1116" s="1"/>
      <c r="E1116" s="146"/>
      <c r="F1116" s="5"/>
      <c r="G1116" s="5"/>
      <c r="H1116" s="5">
        <f>Table3[[#This Row],[Qty]]*Table3[[#This Row],[Price]]</f>
        <v>0</v>
      </c>
      <c r="I1116" s="5"/>
    </row>
    <row r="1117" spans="1:9" x14ac:dyDescent="0.25">
      <c r="A1117" s="144"/>
      <c r="B1117" s="145"/>
      <c r="C1117" s="145"/>
      <c r="D1117" s="1"/>
      <c r="E1117" s="146"/>
      <c r="F1117" s="5"/>
      <c r="G1117" s="5"/>
      <c r="H1117" s="5">
        <f>Table3[[#This Row],[Qty]]*Table3[[#This Row],[Price]]</f>
        <v>0</v>
      </c>
      <c r="I1117" s="5"/>
    </row>
    <row r="1118" spans="1:9" x14ac:dyDescent="0.25">
      <c r="A1118" s="144"/>
      <c r="B1118" s="145"/>
      <c r="C1118" s="145"/>
      <c r="D1118" s="1"/>
      <c r="E1118" s="146"/>
      <c r="F1118" s="5"/>
      <c r="G1118" s="5"/>
      <c r="H1118" s="5">
        <f>Table3[[#This Row],[Qty]]*Table3[[#This Row],[Price]]</f>
        <v>0</v>
      </c>
      <c r="I1118" s="5"/>
    </row>
    <row r="1119" spans="1:9" x14ac:dyDescent="0.25">
      <c r="A1119" s="144"/>
      <c r="B1119" s="145"/>
      <c r="C1119" s="145"/>
      <c r="D1119" s="1"/>
      <c r="E1119" s="146"/>
      <c r="F1119" s="5"/>
      <c r="G1119" s="5"/>
      <c r="H1119" s="5">
        <f>Table3[[#This Row],[Qty]]*Table3[[#This Row],[Price]]</f>
        <v>0</v>
      </c>
      <c r="I1119" s="5"/>
    </row>
    <row r="1120" spans="1:9" x14ac:dyDescent="0.25">
      <c r="A1120" s="144"/>
      <c r="B1120" s="145"/>
      <c r="C1120" s="145"/>
      <c r="D1120" s="1"/>
      <c r="E1120" s="146"/>
      <c r="F1120" s="5"/>
      <c r="G1120" s="5"/>
      <c r="H1120" s="5">
        <f>Table3[[#This Row],[Qty]]*Table3[[#This Row],[Price]]</f>
        <v>0</v>
      </c>
      <c r="I1120" s="5"/>
    </row>
    <row r="1121" spans="1:9" x14ac:dyDescent="0.25">
      <c r="A1121" s="144"/>
      <c r="B1121" s="145"/>
      <c r="C1121" s="145"/>
      <c r="D1121" s="1"/>
      <c r="E1121" s="146"/>
      <c r="F1121" s="5"/>
      <c r="G1121" s="5"/>
      <c r="H1121" s="5">
        <f>Table3[[#This Row],[Qty]]*Table3[[#This Row],[Price]]</f>
        <v>0</v>
      </c>
      <c r="I1121" s="5"/>
    </row>
    <row r="1122" spans="1:9" x14ac:dyDescent="0.25">
      <c r="A1122" s="144"/>
      <c r="B1122" s="145"/>
      <c r="C1122" s="145"/>
      <c r="D1122" s="1"/>
      <c r="E1122" s="146"/>
      <c r="F1122" s="5"/>
      <c r="G1122" s="5"/>
      <c r="H1122" s="5">
        <f>Table3[[#This Row],[Qty]]*Table3[[#This Row],[Price]]</f>
        <v>0</v>
      </c>
      <c r="I1122" s="5"/>
    </row>
    <row r="1123" spans="1:9" x14ac:dyDescent="0.25">
      <c r="A1123" s="144"/>
      <c r="B1123" s="145"/>
      <c r="C1123" s="145"/>
      <c r="D1123" s="1"/>
      <c r="E1123" s="146"/>
      <c r="F1123" s="5"/>
      <c r="G1123" s="5"/>
      <c r="H1123" s="5">
        <f>Table3[[#This Row],[Qty]]*Table3[[#This Row],[Price]]</f>
        <v>0</v>
      </c>
      <c r="I1123" s="5"/>
    </row>
    <row r="1124" spans="1:9" x14ac:dyDescent="0.25">
      <c r="A1124" s="144"/>
      <c r="B1124" s="145"/>
      <c r="C1124" s="145"/>
      <c r="D1124" s="1"/>
      <c r="E1124" s="146"/>
      <c r="F1124" s="5"/>
      <c r="G1124" s="5"/>
      <c r="H1124" s="5">
        <f>Table3[[#This Row],[Qty]]*Table3[[#This Row],[Price]]</f>
        <v>0</v>
      </c>
      <c r="I1124" s="5"/>
    </row>
    <row r="1125" spans="1:9" x14ac:dyDescent="0.25">
      <c r="A1125" s="144"/>
      <c r="B1125" s="145"/>
      <c r="C1125" s="145"/>
      <c r="D1125" s="1"/>
      <c r="E1125" s="146"/>
      <c r="F1125" s="5"/>
      <c r="G1125" s="5"/>
      <c r="H1125" s="5">
        <f>Table3[[#This Row],[Qty]]*Table3[[#This Row],[Price]]</f>
        <v>0</v>
      </c>
      <c r="I1125" s="5"/>
    </row>
    <row r="1126" spans="1:9" x14ac:dyDescent="0.25">
      <c r="A1126" s="144"/>
      <c r="B1126" s="145"/>
      <c r="C1126" s="145"/>
      <c r="D1126" s="1"/>
      <c r="E1126" s="146"/>
      <c r="F1126" s="5"/>
      <c r="G1126" s="5"/>
      <c r="H1126" s="5">
        <f>Table3[[#This Row],[Qty]]*Table3[[#This Row],[Price]]</f>
        <v>0</v>
      </c>
      <c r="I1126" s="5"/>
    </row>
    <row r="1127" spans="1:9" x14ac:dyDescent="0.25">
      <c r="A1127" s="144"/>
      <c r="B1127" s="145"/>
      <c r="C1127" s="145"/>
      <c r="D1127" s="1"/>
      <c r="E1127" s="146"/>
      <c r="F1127" s="5"/>
      <c r="G1127" s="5"/>
      <c r="H1127" s="5">
        <f>Table3[[#This Row],[Qty]]*Table3[[#This Row],[Price]]</f>
        <v>0</v>
      </c>
      <c r="I1127" s="5"/>
    </row>
    <row r="1128" spans="1:9" x14ac:dyDescent="0.25">
      <c r="A1128" s="144"/>
      <c r="B1128" s="145"/>
      <c r="C1128" s="145"/>
      <c r="D1128" s="1"/>
      <c r="E1128" s="146"/>
      <c r="F1128" s="5"/>
      <c r="G1128" s="5"/>
      <c r="H1128" s="5">
        <f>Table3[[#This Row],[Qty]]*Table3[[#This Row],[Price]]</f>
        <v>0</v>
      </c>
      <c r="I1128" s="5"/>
    </row>
    <row r="1129" spans="1:9" x14ac:dyDescent="0.25">
      <c r="A1129" s="144"/>
      <c r="B1129" s="145"/>
      <c r="C1129" s="145"/>
      <c r="D1129" s="1"/>
      <c r="E1129" s="146"/>
      <c r="F1129" s="5"/>
      <c r="G1129" s="5"/>
      <c r="H1129" s="5">
        <f>Table3[[#This Row],[Qty]]*Table3[[#This Row],[Price]]</f>
        <v>0</v>
      </c>
      <c r="I1129" s="5"/>
    </row>
    <row r="1130" spans="1:9" x14ac:dyDescent="0.25">
      <c r="A1130" s="144"/>
      <c r="B1130" s="145"/>
      <c r="C1130" s="145"/>
      <c r="D1130" s="1"/>
      <c r="E1130" s="146"/>
      <c r="F1130" s="5"/>
      <c r="G1130" s="5"/>
      <c r="H1130" s="5">
        <f>Table3[[#This Row],[Qty]]*Table3[[#This Row],[Price]]</f>
        <v>0</v>
      </c>
      <c r="I1130" s="5"/>
    </row>
    <row r="1131" spans="1:9" x14ac:dyDescent="0.25">
      <c r="A1131" s="144"/>
      <c r="B1131" s="145"/>
      <c r="C1131" s="145"/>
      <c r="D1131" s="1"/>
      <c r="E1131" s="146"/>
      <c r="F1131" s="5"/>
      <c r="G1131" s="5"/>
      <c r="H1131" s="5">
        <f>Table3[[#This Row],[Qty]]*Table3[[#This Row],[Price]]</f>
        <v>0</v>
      </c>
      <c r="I1131" s="5"/>
    </row>
    <row r="1132" spans="1:9" x14ac:dyDescent="0.25">
      <c r="A1132" s="144"/>
      <c r="B1132" s="145"/>
      <c r="C1132" s="145"/>
      <c r="D1132" s="1"/>
      <c r="E1132" s="146"/>
      <c r="F1132" s="5"/>
      <c r="G1132" s="5"/>
      <c r="H1132" s="5">
        <f>Table3[[#This Row],[Qty]]*Table3[[#This Row],[Price]]</f>
        <v>0</v>
      </c>
      <c r="I1132" s="5"/>
    </row>
    <row r="1133" spans="1:9" x14ac:dyDescent="0.25">
      <c r="A1133" s="144"/>
      <c r="B1133" s="145"/>
      <c r="C1133" s="145"/>
      <c r="D1133" s="1"/>
      <c r="E1133" s="146"/>
      <c r="F1133" s="5"/>
      <c r="G1133" s="5"/>
      <c r="H1133" s="5">
        <f>Table3[[#This Row],[Qty]]*Table3[[#This Row],[Price]]</f>
        <v>0</v>
      </c>
      <c r="I1133" s="5"/>
    </row>
    <row r="1134" spans="1:9" x14ac:dyDescent="0.25">
      <c r="A1134" s="144"/>
      <c r="B1134" s="145"/>
      <c r="C1134" s="145"/>
      <c r="D1134" s="1"/>
      <c r="E1134" s="146"/>
      <c r="F1134" s="5"/>
      <c r="G1134" s="5"/>
      <c r="H1134" s="5">
        <f>Table3[[#This Row],[Qty]]*Table3[[#This Row],[Price]]</f>
        <v>0</v>
      </c>
      <c r="I1134" s="5"/>
    </row>
    <row r="1135" spans="1:9" x14ac:dyDescent="0.25">
      <c r="A1135" s="144"/>
      <c r="B1135" s="145"/>
      <c r="C1135" s="145"/>
      <c r="D1135" s="1"/>
      <c r="E1135" s="146"/>
      <c r="F1135" s="5"/>
      <c r="G1135" s="5"/>
      <c r="H1135" s="5">
        <f>Table3[[#This Row],[Qty]]*Table3[[#This Row],[Price]]</f>
        <v>0</v>
      </c>
      <c r="I1135" s="5"/>
    </row>
    <row r="1136" spans="1:9" x14ac:dyDescent="0.25">
      <c r="A1136" s="144"/>
      <c r="B1136" s="145"/>
      <c r="C1136" s="145"/>
      <c r="D1136" s="1"/>
      <c r="E1136" s="161"/>
      <c r="F1136" s="5"/>
      <c r="G1136" s="5"/>
      <c r="H1136" s="5">
        <f>Table3[[#This Row],[Qty]]*Table3[[#This Row],[Price]]</f>
        <v>0</v>
      </c>
      <c r="I1136" s="5"/>
    </row>
    <row r="1137" spans="1:11" x14ac:dyDescent="0.25">
      <c r="A1137" s="144"/>
      <c r="B1137" s="145"/>
      <c r="C1137" s="145"/>
      <c r="D1137" s="1"/>
      <c r="E1137" s="161"/>
      <c r="F1137" s="5"/>
      <c r="G1137" s="5"/>
      <c r="H1137" s="5">
        <f>Table3[[#This Row],[Qty]]*Table3[[#This Row],[Price]]</f>
        <v>0</v>
      </c>
      <c r="I1137" s="5"/>
    </row>
    <row r="1138" spans="1:11" x14ac:dyDescent="0.25">
      <c r="A1138" s="144"/>
      <c r="B1138" s="145"/>
      <c r="C1138" s="145"/>
      <c r="D1138" s="1"/>
      <c r="E1138" s="161"/>
      <c r="F1138" s="5"/>
      <c r="G1138" s="5"/>
      <c r="H1138" s="5">
        <f>Table3[[#This Row],[Qty]]*Table3[[#This Row],[Price]]</f>
        <v>0</v>
      </c>
      <c r="I1138" s="5"/>
    </row>
    <row r="1139" spans="1:11" x14ac:dyDescent="0.25">
      <c r="A1139" s="144"/>
      <c r="B1139" s="145"/>
      <c r="C1139" s="145"/>
      <c r="D1139" s="1"/>
      <c r="E1139" s="146"/>
      <c r="F1139" s="5"/>
      <c r="G1139" s="5"/>
      <c r="H1139" s="5">
        <f>Table3[[#This Row],[Qty]]*Table3[[#This Row],[Price]]</f>
        <v>0</v>
      </c>
      <c r="I1139" s="5"/>
    </row>
    <row r="1140" spans="1:11" x14ac:dyDescent="0.25">
      <c r="A1140" s="144"/>
      <c r="B1140" s="145"/>
      <c r="C1140" s="162"/>
      <c r="D1140" s="1"/>
      <c r="E1140" s="146"/>
      <c r="F1140" s="5"/>
      <c r="G1140" s="5"/>
      <c r="H1140" s="5">
        <f>Table3[[#This Row],[Qty]]*Table3[[#This Row],[Price]]</f>
        <v>0</v>
      </c>
      <c r="I1140" s="5"/>
    </row>
    <row r="1141" spans="1:11" x14ac:dyDescent="0.25">
      <c r="A1141" s="212"/>
      <c r="B1141" s="212"/>
      <c r="E1141" s="213">
        <f>SUBTOTAL(9,E3:E1140)</f>
        <v>12622.211000000023</v>
      </c>
      <c r="F1141" s="214">
        <f>SUBTOTAL(9,F3:F295)</f>
        <v>0</v>
      </c>
      <c r="G1141" s="53"/>
      <c r="H1141" s="215">
        <f>SUBTOTAL(9,H3:H1140)</f>
        <v>2517087.8489999995</v>
      </c>
      <c r="I1141" s="53"/>
    </row>
    <row r="1144" spans="1:11" x14ac:dyDescent="0.25">
      <c r="J1144" s="53"/>
      <c r="K1144" s="65"/>
    </row>
    <row r="1145" spans="1:11" x14ac:dyDescent="0.25">
      <c r="C1145" s="163" t="s">
        <v>899</v>
      </c>
      <c r="F1145" s="164">
        <f>SUM(F1147:F1182)</f>
        <v>857309.79999999993</v>
      </c>
      <c r="G1145" s="165">
        <f>F1145-Table3[[#Totals],[Amount]]</f>
        <v>-1659778.0489999996</v>
      </c>
      <c r="J1145" s="53"/>
    </row>
    <row r="1146" spans="1:11" x14ac:dyDescent="0.25">
      <c r="C1146" s="163" t="s">
        <v>900</v>
      </c>
      <c r="D1146" s="163" t="s">
        <v>781</v>
      </c>
      <c r="E1146" s="163" t="s">
        <v>23</v>
      </c>
      <c r="F1146" s="163" t="s">
        <v>60</v>
      </c>
      <c r="G1146" s="163" t="s">
        <v>901</v>
      </c>
      <c r="H1146" s="163" t="s">
        <v>902</v>
      </c>
      <c r="I1146" s="163" t="s">
        <v>903</v>
      </c>
    </row>
    <row r="1147" spans="1:11" x14ac:dyDescent="0.25">
      <c r="C1147" s="166" t="s">
        <v>904</v>
      </c>
      <c r="D1147" s="167">
        <v>2160.9499999999998</v>
      </c>
      <c r="E1147" s="168">
        <v>115.21569217242418</v>
      </c>
      <c r="F1147" s="65">
        <f>D1147*E1147</f>
        <v>248975.35</v>
      </c>
      <c r="G1147" s="168">
        <f>D1147/9</f>
        <v>240.10555555555553</v>
      </c>
      <c r="H1147" s="65">
        <f>F1147/9</f>
        <v>27663.927777777779</v>
      </c>
      <c r="I1147" t="s">
        <v>905</v>
      </c>
    </row>
    <row r="1148" spans="1:11" x14ac:dyDescent="0.25">
      <c r="C1148" s="166" t="s">
        <v>906</v>
      </c>
      <c r="D1148" s="167">
        <v>229</v>
      </c>
      <c r="E1148" s="168">
        <v>443</v>
      </c>
      <c r="F1148" s="65">
        <f t="shared" ref="F1148:F1179" si="0">D1148*E1148</f>
        <v>101447</v>
      </c>
      <c r="G1148" s="168">
        <f t="shared" ref="G1148:G1150" si="1">D1148/9</f>
        <v>25.444444444444443</v>
      </c>
      <c r="H1148" s="65">
        <f t="shared" ref="H1148:H1150" si="2">F1148/9</f>
        <v>11271.888888888889</v>
      </c>
    </row>
    <row r="1149" spans="1:11" x14ac:dyDescent="0.25">
      <c r="C1149" s="166" t="s">
        <v>21</v>
      </c>
      <c r="D1149" s="167">
        <v>286.5</v>
      </c>
      <c r="E1149" s="168">
        <v>300</v>
      </c>
      <c r="F1149" s="65">
        <f t="shared" si="0"/>
        <v>85950</v>
      </c>
      <c r="G1149" s="168">
        <f t="shared" si="1"/>
        <v>31.833333333333332</v>
      </c>
      <c r="H1149" s="65">
        <f t="shared" si="2"/>
        <v>9550</v>
      </c>
    </row>
    <row r="1150" spans="1:11" x14ac:dyDescent="0.25">
      <c r="C1150" s="166" t="s">
        <v>787</v>
      </c>
      <c r="D1150" s="167">
        <v>215.95</v>
      </c>
      <c r="E1150" s="168">
        <v>170</v>
      </c>
      <c r="F1150" s="65">
        <f t="shared" si="0"/>
        <v>36711.5</v>
      </c>
      <c r="G1150" s="168">
        <f t="shared" si="1"/>
        <v>23.994444444444444</v>
      </c>
      <c r="H1150" s="65">
        <f t="shared" si="2"/>
        <v>4079.0555555555557</v>
      </c>
    </row>
    <row r="1151" spans="1:11" x14ac:dyDescent="0.25">
      <c r="C1151" s="166" t="s">
        <v>907</v>
      </c>
      <c r="D1151" s="167">
        <v>133</v>
      </c>
      <c r="E1151" s="168">
        <v>608</v>
      </c>
      <c r="F1151" s="65">
        <f t="shared" si="0"/>
        <v>80864</v>
      </c>
      <c r="G1151" s="168">
        <f>D1151/9</f>
        <v>14.777777777777779</v>
      </c>
      <c r="H1151" s="65">
        <f>F1151/9</f>
        <v>8984.8888888888887</v>
      </c>
    </row>
    <row r="1152" spans="1:11" x14ac:dyDescent="0.25">
      <c r="C1152" s="166" t="s">
        <v>737</v>
      </c>
      <c r="D1152" s="167">
        <v>70</v>
      </c>
      <c r="E1152" s="168">
        <v>258.21428571428572</v>
      </c>
      <c r="F1152" s="65">
        <f t="shared" si="0"/>
        <v>18075</v>
      </c>
      <c r="G1152" s="168">
        <f t="shared" ref="G1152:G1171" si="3">D1152/9</f>
        <v>7.7777777777777777</v>
      </c>
      <c r="H1152" s="65">
        <f t="shared" ref="H1152:H1179" si="4">F1152/9</f>
        <v>2008.3333333333333</v>
      </c>
      <c r="I1152" t="s">
        <v>905</v>
      </c>
    </row>
    <row r="1153" spans="3:10" x14ac:dyDescent="0.25">
      <c r="C1153" s="166" t="s">
        <v>221</v>
      </c>
      <c r="D1153" s="65">
        <v>52</v>
      </c>
      <c r="E1153" s="168">
        <v>183</v>
      </c>
      <c r="F1153" s="65">
        <f t="shared" si="0"/>
        <v>9516</v>
      </c>
      <c r="G1153" s="168">
        <f t="shared" si="3"/>
        <v>5.7777777777777777</v>
      </c>
      <c r="H1153" s="65">
        <f t="shared" si="4"/>
        <v>1057.3333333333333</v>
      </c>
    </row>
    <row r="1154" spans="3:10" x14ac:dyDescent="0.25">
      <c r="C1154" s="166" t="s">
        <v>908</v>
      </c>
      <c r="D1154" s="168">
        <v>18.75</v>
      </c>
      <c r="E1154" s="168">
        <v>912.5333333333333</v>
      </c>
      <c r="F1154" s="65">
        <f t="shared" si="0"/>
        <v>17110</v>
      </c>
      <c r="G1154" s="168">
        <f t="shared" si="3"/>
        <v>2.0833333333333335</v>
      </c>
      <c r="H1154" s="65">
        <f t="shared" si="4"/>
        <v>1901.1111111111111</v>
      </c>
      <c r="I1154" t="s">
        <v>909</v>
      </c>
    </row>
    <row r="1155" spans="3:10" x14ac:dyDescent="0.25">
      <c r="C1155" s="169" t="s">
        <v>843</v>
      </c>
      <c r="D1155" s="170">
        <v>31.5</v>
      </c>
      <c r="E1155" s="171">
        <v>50</v>
      </c>
      <c r="F1155" s="82">
        <f t="shared" si="0"/>
        <v>1575</v>
      </c>
      <c r="G1155" s="171">
        <f t="shared" si="3"/>
        <v>3.5</v>
      </c>
      <c r="H1155" s="82">
        <f t="shared" si="4"/>
        <v>175</v>
      </c>
      <c r="I1155" s="81"/>
    </row>
    <row r="1156" spans="3:10" x14ac:dyDescent="0.25">
      <c r="C1156" s="169" t="s">
        <v>910</v>
      </c>
      <c r="D1156" s="170">
        <v>36</v>
      </c>
      <c r="E1156" s="171">
        <v>50</v>
      </c>
      <c r="F1156" s="82">
        <f t="shared" si="0"/>
        <v>1800</v>
      </c>
      <c r="G1156" s="171">
        <f t="shared" si="3"/>
        <v>4</v>
      </c>
      <c r="H1156" s="82">
        <f t="shared" si="4"/>
        <v>200</v>
      </c>
    </row>
    <row r="1157" spans="3:10" x14ac:dyDescent="0.25">
      <c r="C1157" s="169" t="s">
        <v>911</v>
      </c>
      <c r="D1157" s="172">
        <v>12.1</v>
      </c>
      <c r="E1157" s="171">
        <v>80</v>
      </c>
      <c r="F1157" s="82">
        <f t="shared" si="0"/>
        <v>968</v>
      </c>
      <c r="G1157" s="171">
        <f t="shared" si="3"/>
        <v>1.3444444444444443</v>
      </c>
      <c r="H1157" s="82">
        <f t="shared" si="4"/>
        <v>107.55555555555556</v>
      </c>
    </row>
    <row r="1158" spans="3:10" x14ac:dyDescent="0.25">
      <c r="C1158" s="169" t="s">
        <v>912</v>
      </c>
      <c r="D1158" s="172">
        <v>16</v>
      </c>
      <c r="E1158" s="171">
        <v>724.375</v>
      </c>
      <c r="F1158" s="82">
        <f t="shared" si="0"/>
        <v>11590</v>
      </c>
      <c r="G1158" s="171">
        <f t="shared" si="3"/>
        <v>1.7777777777777777</v>
      </c>
      <c r="H1158" s="82">
        <f t="shared" si="4"/>
        <v>1287.7777777777778</v>
      </c>
      <c r="I1158" s="81" t="s">
        <v>913</v>
      </c>
    </row>
    <row r="1159" spans="3:10" x14ac:dyDescent="0.25">
      <c r="C1159" s="173" t="s">
        <v>872</v>
      </c>
      <c r="D1159" s="174">
        <v>89.7</v>
      </c>
      <c r="E1159" s="175">
        <v>1400</v>
      </c>
      <c r="F1159" s="176">
        <f t="shared" si="0"/>
        <v>125580</v>
      </c>
      <c r="G1159" s="175">
        <f t="shared" si="3"/>
        <v>9.9666666666666668</v>
      </c>
      <c r="H1159" s="176">
        <f t="shared" si="4"/>
        <v>13953.333333333334</v>
      </c>
    </row>
    <row r="1160" spans="3:10" x14ac:dyDescent="0.25">
      <c r="C1160" s="173" t="s">
        <v>914</v>
      </c>
      <c r="D1160" s="177">
        <v>14</v>
      </c>
      <c r="E1160" s="168">
        <v>1600</v>
      </c>
      <c r="F1160" s="176">
        <f t="shared" si="0"/>
        <v>22400</v>
      </c>
      <c r="G1160" s="168">
        <f t="shared" si="3"/>
        <v>1.5555555555555556</v>
      </c>
      <c r="H1160" s="176">
        <f t="shared" si="4"/>
        <v>2488.8888888888887</v>
      </c>
    </row>
    <row r="1161" spans="3:10" x14ac:dyDescent="0.25">
      <c r="C1161" s="173" t="s">
        <v>826</v>
      </c>
      <c r="D1161" s="174">
        <v>65</v>
      </c>
      <c r="E1161" s="175">
        <v>220</v>
      </c>
      <c r="F1161" s="176">
        <f t="shared" si="0"/>
        <v>14300</v>
      </c>
      <c r="G1161" s="175">
        <f t="shared" si="3"/>
        <v>7.2222222222222223</v>
      </c>
      <c r="H1161" s="176">
        <f t="shared" si="4"/>
        <v>1588.8888888888889</v>
      </c>
    </row>
    <row r="1162" spans="3:10" x14ac:dyDescent="0.25">
      <c r="C1162" s="173" t="s">
        <v>915</v>
      </c>
      <c r="D1162" s="178">
        <v>26</v>
      </c>
      <c r="E1162" s="175">
        <v>120</v>
      </c>
      <c r="F1162" s="176">
        <f t="shared" si="0"/>
        <v>3120</v>
      </c>
      <c r="G1162" s="175">
        <f t="shared" si="3"/>
        <v>2.8888888888888888</v>
      </c>
      <c r="H1162" s="176">
        <f t="shared" si="4"/>
        <v>346.66666666666669</v>
      </c>
    </row>
    <row r="1163" spans="3:10" x14ac:dyDescent="0.25">
      <c r="C1163" s="173" t="s">
        <v>916</v>
      </c>
      <c r="D1163" s="178">
        <v>61</v>
      </c>
      <c r="E1163" s="175">
        <v>135.57377049180329</v>
      </c>
      <c r="F1163" s="176">
        <f t="shared" si="0"/>
        <v>8270</v>
      </c>
      <c r="G1163" s="175">
        <f t="shared" si="3"/>
        <v>6.7777777777777777</v>
      </c>
      <c r="H1163" s="176">
        <f t="shared" si="4"/>
        <v>918.88888888888891</v>
      </c>
    </row>
    <row r="1164" spans="3:10" x14ac:dyDescent="0.25">
      <c r="C1164" s="173" t="s">
        <v>917</v>
      </c>
      <c r="D1164" s="178">
        <v>2</v>
      </c>
      <c r="E1164" s="175">
        <v>1450</v>
      </c>
      <c r="F1164" s="176">
        <f t="shared" si="0"/>
        <v>2900</v>
      </c>
      <c r="G1164" s="175">
        <f t="shared" si="3"/>
        <v>0.22222222222222221</v>
      </c>
      <c r="H1164" s="176">
        <f t="shared" si="4"/>
        <v>322.22222222222223</v>
      </c>
      <c r="I1164" t="s">
        <v>918</v>
      </c>
    </row>
    <row r="1165" spans="3:10" x14ac:dyDescent="0.25">
      <c r="C1165" s="173" t="s">
        <v>833</v>
      </c>
      <c r="D1165" s="178">
        <v>13</v>
      </c>
      <c r="E1165" s="175">
        <v>146.15</v>
      </c>
      <c r="F1165" s="176">
        <f t="shared" si="0"/>
        <v>1899.95</v>
      </c>
      <c r="G1165" s="175">
        <f t="shared" si="3"/>
        <v>1.4444444444444444</v>
      </c>
      <c r="H1165" s="176">
        <f t="shared" si="4"/>
        <v>211.10555555555555</v>
      </c>
    </row>
    <row r="1166" spans="3:10" x14ac:dyDescent="0.25">
      <c r="C1166" s="179" t="s">
        <v>835</v>
      </c>
      <c r="D1166" s="180">
        <v>10</v>
      </c>
      <c r="E1166" s="181">
        <v>220</v>
      </c>
      <c r="F1166" s="182">
        <f t="shared" si="0"/>
        <v>2200</v>
      </c>
      <c r="G1166" s="181">
        <f t="shared" si="3"/>
        <v>1.1111111111111112</v>
      </c>
      <c r="H1166" s="182">
        <f t="shared" si="4"/>
        <v>244.44444444444446</v>
      </c>
      <c r="I1166" s="183" t="s">
        <v>919</v>
      </c>
      <c r="J1166">
        <f>2200/13</f>
        <v>169.23076923076923</v>
      </c>
    </row>
    <row r="1167" spans="3:10" x14ac:dyDescent="0.25">
      <c r="C1167" s="173" t="s">
        <v>834</v>
      </c>
      <c r="D1167" s="178">
        <v>9</v>
      </c>
      <c r="E1167" s="175">
        <v>450</v>
      </c>
      <c r="F1167" s="176">
        <f t="shared" si="0"/>
        <v>4050</v>
      </c>
      <c r="G1167" s="175">
        <f t="shared" si="3"/>
        <v>1</v>
      </c>
      <c r="H1167" s="176">
        <f t="shared" si="4"/>
        <v>450</v>
      </c>
    </row>
    <row r="1168" spans="3:10" x14ac:dyDescent="0.25">
      <c r="C1168" s="173" t="s">
        <v>920</v>
      </c>
      <c r="D1168" s="178">
        <v>15</v>
      </c>
      <c r="E1168" s="175">
        <v>490</v>
      </c>
      <c r="F1168" s="176">
        <f t="shared" si="0"/>
        <v>7350</v>
      </c>
      <c r="G1168" s="175">
        <f t="shared" si="3"/>
        <v>1.6666666666666667</v>
      </c>
      <c r="H1168" s="176">
        <f t="shared" si="4"/>
        <v>816.66666666666663</v>
      </c>
    </row>
    <row r="1169" spans="3:9" x14ac:dyDescent="0.25">
      <c r="C1169" s="173" t="s">
        <v>921</v>
      </c>
      <c r="D1169" s="178">
        <v>1.2</v>
      </c>
      <c r="E1169" s="175">
        <v>630</v>
      </c>
      <c r="F1169" s="176">
        <f t="shared" si="0"/>
        <v>756</v>
      </c>
      <c r="G1169" s="175">
        <f t="shared" si="3"/>
        <v>0.13333333333333333</v>
      </c>
      <c r="H1169" s="176">
        <f t="shared" si="4"/>
        <v>84</v>
      </c>
      <c r="I1169" t="s">
        <v>922</v>
      </c>
    </row>
    <row r="1170" spans="3:9" x14ac:dyDescent="0.25">
      <c r="C1170" s="173" t="s">
        <v>923</v>
      </c>
      <c r="D1170" s="178">
        <v>3.6</v>
      </c>
      <c r="E1170" s="176">
        <v>1150</v>
      </c>
      <c r="F1170" s="176">
        <f t="shared" si="0"/>
        <v>4140</v>
      </c>
      <c r="G1170" s="184">
        <f t="shared" si="3"/>
        <v>0.4</v>
      </c>
      <c r="H1170" s="176">
        <f t="shared" si="4"/>
        <v>460</v>
      </c>
    </row>
    <row r="1171" spans="3:9" x14ac:dyDescent="0.25">
      <c r="C1171" s="173" t="s">
        <v>797</v>
      </c>
      <c r="D1171" s="178">
        <v>31.5</v>
      </c>
      <c r="E1171" s="176">
        <v>560</v>
      </c>
      <c r="F1171" s="176">
        <f t="shared" si="0"/>
        <v>17640</v>
      </c>
      <c r="G1171" s="184">
        <f t="shared" si="3"/>
        <v>3.5</v>
      </c>
      <c r="H1171" s="176">
        <f t="shared" si="4"/>
        <v>1960</v>
      </c>
    </row>
    <row r="1172" spans="3:9" x14ac:dyDescent="0.25">
      <c r="C1172" s="173" t="s">
        <v>924</v>
      </c>
      <c r="D1172" s="178">
        <v>6</v>
      </c>
      <c r="E1172" s="65">
        <v>700</v>
      </c>
      <c r="F1172" s="65">
        <f t="shared" si="0"/>
        <v>4200</v>
      </c>
      <c r="G1172" s="167">
        <f>D1172/9</f>
        <v>0.66666666666666663</v>
      </c>
      <c r="H1172" s="65">
        <f t="shared" si="4"/>
        <v>466.66666666666669</v>
      </c>
    </row>
    <row r="1173" spans="3:9" x14ac:dyDescent="0.25">
      <c r="C1173" s="173" t="s">
        <v>925</v>
      </c>
      <c r="D1173" s="178">
        <v>5</v>
      </c>
      <c r="E1173" s="65">
        <v>680</v>
      </c>
      <c r="F1173" s="65">
        <f t="shared" si="0"/>
        <v>3400</v>
      </c>
      <c r="G1173" s="167">
        <f>D1173/9</f>
        <v>0.55555555555555558</v>
      </c>
      <c r="H1173" s="65">
        <f t="shared" si="4"/>
        <v>377.77777777777777</v>
      </c>
    </row>
    <row r="1174" spans="3:9" x14ac:dyDescent="0.25">
      <c r="C1174" s="173" t="s">
        <v>926</v>
      </c>
      <c r="D1174" s="178">
        <v>5</v>
      </c>
      <c r="E1174">
        <v>600</v>
      </c>
      <c r="F1174" s="65">
        <f t="shared" si="0"/>
        <v>3000</v>
      </c>
      <c r="G1174" s="167">
        <f>D1174/9</f>
        <v>0.55555555555555558</v>
      </c>
      <c r="H1174" s="65">
        <f t="shared" si="4"/>
        <v>333.33333333333331</v>
      </c>
    </row>
    <row r="1175" spans="3:9" x14ac:dyDescent="0.25">
      <c r="C1175" s="173" t="s">
        <v>802</v>
      </c>
      <c r="D1175" s="178">
        <v>4</v>
      </c>
      <c r="E1175" s="65">
        <v>480</v>
      </c>
      <c r="F1175" s="65">
        <f>D1175*E1175</f>
        <v>1920</v>
      </c>
      <c r="G1175" s="167">
        <f>D1175/9</f>
        <v>0.44444444444444442</v>
      </c>
      <c r="H1175" s="65">
        <f t="shared" si="4"/>
        <v>213.33333333333334</v>
      </c>
    </row>
    <row r="1176" spans="3:9" x14ac:dyDescent="0.25">
      <c r="C1176" s="173" t="s">
        <v>816</v>
      </c>
      <c r="D1176" s="178">
        <v>38.5</v>
      </c>
      <c r="E1176" s="65">
        <v>12</v>
      </c>
      <c r="F1176" s="65">
        <f>D1176*E1176</f>
        <v>462</v>
      </c>
      <c r="G1176" s="167">
        <f>D1176/9</f>
        <v>4.2777777777777777</v>
      </c>
      <c r="H1176" s="65">
        <f t="shared" si="4"/>
        <v>51.333333333333336</v>
      </c>
    </row>
    <row r="1177" spans="3:9" x14ac:dyDescent="0.25">
      <c r="C1177" s="173" t="s">
        <v>927</v>
      </c>
      <c r="D1177" s="178">
        <v>5</v>
      </c>
      <c r="E1177" s="65">
        <v>896</v>
      </c>
      <c r="F1177" s="65">
        <f t="shared" si="0"/>
        <v>4480</v>
      </c>
      <c r="G1177" s="167">
        <f t="shared" ref="G1177:G1179" si="5">D1177/9</f>
        <v>0.55555555555555558</v>
      </c>
      <c r="H1177" s="65">
        <f t="shared" si="4"/>
        <v>497.77777777777777</v>
      </c>
    </row>
    <row r="1178" spans="3:9" x14ac:dyDescent="0.25">
      <c r="C1178" s="173" t="s">
        <v>144</v>
      </c>
      <c r="D1178" s="178">
        <v>270</v>
      </c>
      <c r="E1178" s="65">
        <v>30</v>
      </c>
      <c r="F1178" s="65">
        <f t="shared" si="0"/>
        <v>8100</v>
      </c>
      <c r="G1178" s="167">
        <f t="shared" si="5"/>
        <v>30</v>
      </c>
      <c r="H1178" s="65">
        <f t="shared" si="4"/>
        <v>900</v>
      </c>
    </row>
    <row r="1179" spans="3:9" x14ac:dyDescent="0.25">
      <c r="C1179" s="173" t="s">
        <v>837</v>
      </c>
      <c r="D1179" s="178">
        <v>8</v>
      </c>
      <c r="E1179" s="65">
        <v>320</v>
      </c>
      <c r="F1179" s="65">
        <f t="shared" si="0"/>
        <v>2560</v>
      </c>
      <c r="G1179" s="167">
        <f t="shared" si="5"/>
        <v>0.88888888888888884</v>
      </c>
      <c r="H1179" s="65">
        <f t="shared" si="4"/>
        <v>284.44444444444446</v>
      </c>
    </row>
  </sheetData>
  <conditionalFormatting sqref="H298:H299 H3:H283">
    <cfRule type="cellIs" dxfId="2" priority="3" operator="greaterThan">
      <formula>10000</formula>
    </cfRule>
  </conditionalFormatting>
  <conditionalFormatting sqref="H3:H300">
    <cfRule type="cellIs" dxfId="1" priority="2" operator="greaterThan">
      <formula>5000</formula>
    </cfRule>
  </conditionalFormatting>
  <conditionalFormatting sqref="H3:H300">
    <cfRule type="cellIs" dxfId="0" priority="1" operator="greaterThan">
      <formula>1000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3"/>
  <sheetViews>
    <sheetView topLeftCell="A116" zoomScaleNormal="100" workbookViewId="0">
      <selection activeCell="D143" sqref="D143"/>
    </sheetView>
  </sheetViews>
  <sheetFormatPr defaultRowHeight="15" x14ac:dyDescent="0.25"/>
  <cols>
    <col min="2" max="2" width="11.85546875" bestFit="1" customWidth="1"/>
    <col min="3" max="3" width="58" bestFit="1" customWidth="1"/>
    <col min="4" max="4" width="16.140625" bestFit="1" customWidth="1"/>
  </cols>
  <sheetData>
    <row r="1" spans="1:4" x14ac:dyDescent="0.25">
      <c r="D1" s="65"/>
    </row>
    <row r="2" spans="1:4" x14ac:dyDescent="0.25">
      <c r="A2" s="275" t="s">
        <v>442</v>
      </c>
      <c r="B2" s="276"/>
      <c r="C2" s="276"/>
      <c r="D2" s="277"/>
    </row>
    <row r="3" spans="1:4" x14ac:dyDescent="0.25">
      <c r="A3" s="2" t="s">
        <v>0</v>
      </c>
      <c r="B3" s="2" t="s">
        <v>107</v>
      </c>
      <c r="C3" s="2" t="s">
        <v>105</v>
      </c>
      <c r="D3" s="2" t="s">
        <v>8</v>
      </c>
    </row>
    <row r="4" spans="1:4" x14ac:dyDescent="0.25">
      <c r="A4" s="1">
        <v>1</v>
      </c>
      <c r="B4" s="80">
        <v>46023</v>
      </c>
      <c r="C4" s="1" t="s">
        <v>443</v>
      </c>
      <c r="D4" s="5">
        <v>11000</v>
      </c>
    </row>
    <row r="5" spans="1:4" x14ac:dyDescent="0.25">
      <c r="A5" s="1"/>
      <c r="B5" s="1"/>
      <c r="C5" s="1"/>
      <c r="D5" s="5"/>
    </row>
    <row r="6" spans="1:4" x14ac:dyDescent="0.25">
      <c r="A6" s="272" t="s">
        <v>444</v>
      </c>
      <c r="B6" s="273"/>
      <c r="C6" s="274"/>
      <c r="D6" s="5">
        <v>11000</v>
      </c>
    </row>
    <row r="7" spans="1:4" x14ac:dyDescent="0.25">
      <c r="D7" s="65"/>
    </row>
    <row r="8" spans="1:4" x14ac:dyDescent="0.25">
      <c r="A8" s="272" t="s">
        <v>539</v>
      </c>
      <c r="B8" s="274"/>
      <c r="C8" s="1" t="s">
        <v>412</v>
      </c>
      <c r="D8" s="5" t="s">
        <v>437</v>
      </c>
    </row>
    <row r="10" spans="1:4" x14ac:dyDescent="0.25">
      <c r="A10" s="275" t="s">
        <v>442</v>
      </c>
      <c r="B10" s="276"/>
      <c r="C10" s="276"/>
      <c r="D10" s="277"/>
    </row>
    <row r="11" spans="1:4" x14ac:dyDescent="0.25">
      <c r="A11" s="2" t="s">
        <v>0</v>
      </c>
      <c r="B11" s="2" t="s">
        <v>107</v>
      </c>
      <c r="C11" s="2" t="s">
        <v>105</v>
      </c>
      <c r="D11" s="2" t="s">
        <v>8</v>
      </c>
    </row>
    <row r="12" spans="1:4" x14ac:dyDescent="0.25">
      <c r="A12" s="1">
        <v>1</v>
      </c>
      <c r="B12" s="80">
        <v>46023</v>
      </c>
      <c r="C12" s="1" t="s">
        <v>445</v>
      </c>
      <c r="D12" s="5">
        <v>8000</v>
      </c>
    </row>
    <row r="13" spans="1:4" x14ac:dyDescent="0.25">
      <c r="A13" s="1"/>
      <c r="B13" s="1"/>
      <c r="C13" s="1" t="s">
        <v>183</v>
      </c>
      <c r="D13" s="5">
        <v>400</v>
      </c>
    </row>
    <row r="14" spans="1:4" x14ac:dyDescent="0.25">
      <c r="A14" s="272" t="s">
        <v>444</v>
      </c>
      <c r="B14" s="273"/>
      <c r="C14" s="274"/>
      <c r="D14" s="5">
        <f>SUM(D12:D13)</f>
        <v>8400</v>
      </c>
    </row>
    <row r="15" spans="1:4" x14ac:dyDescent="0.25">
      <c r="D15" s="65"/>
    </row>
    <row r="16" spans="1:4" x14ac:dyDescent="0.25">
      <c r="A16" s="272" t="s">
        <v>539</v>
      </c>
      <c r="B16" s="274"/>
      <c r="C16" s="1" t="s">
        <v>412</v>
      </c>
      <c r="D16" s="5" t="s">
        <v>437</v>
      </c>
    </row>
    <row r="18" spans="1:4" x14ac:dyDescent="0.25">
      <c r="A18" s="275" t="s">
        <v>442</v>
      </c>
      <c r="B18" s="276"/>
      <c r="C18" s="276"/>
      <c r="D18" s="277"/>
    </row>
    <row r="19" spans="1:4" x14ac:dyDescent="0.25">
      <c r="A19" s="2" t="s">
        <v>0</v>
      </c>
      <c r="B19" s="2" t="s">
        <v>107</v>
      </c>
      <c r="C19" s="2" t="s">
        <v>105</v>
      </c>
      <c r="D19" s="2" t="s">
        <v>8</v>
      </c>
    </row>
    <row r="20" spans="1:4" x14ac:dyDescent="0.25">
      <c r="A20" s="1">
        <v>1</v>
      </c>
      <c r="B20" s="98">
        <v>46024</v>
      </c>
      <c r="C20" s="1" t="s">
        <v>483</v>
      </c>
      <c r="D20" s="5">
        <v>1000</v>
      </c>
    </row>
    <row r="21" spans="1:4" x14ac:dyDescent="0.25">
      <c r="A21" s="1"/>
      <c r="B21" s="1"/>
      <c r="C21" s="1"/>
      <c r="D21" s="5"/>
    </row>
    <row r="22" spans="1:4" x14ac:dyDescent="0.25">
      <c r="A22" s="272" t="s">
        <v>444</v>
      </c>
      <c r="B22" s="273"/>
      <c r="C22" s="274"/>
      <c r="D22" s="5">
        <f>SUM(D20:D21)</f>
        <v>1000</v>
      </c>
    </row>
    <row r="23" spans="1:4" x14ac:dyDescent="0.25">
      <c r="A23" s="272" t="s">
        <v>539</v>
      </c>
      <c r="B23" s="274"/>
      <c r="C23" s="1" t="s">
        <v>412</v>
      </c>
      <c r="D23" s="5" t="s">
        <v>437</v>
      </c>
    </row>
    <row r="25" spans="1:4" x14ac:dyDescent="0.25">
      <c r="A25" s="275" t="s">
        <v>442</v>
      </c>
      <c r="B25" s="276"/>
      <c r="C25" s="276"/>
      <c r="D25" s="277"/>
    </row>
    <row r="26" spans="1:4" x14ac:dyDescent="0.25">
      <c r="A26" s="2" t="s">
        <v>0</v>
      </c>
      <c r="B26" s="2" t="s">
        <v>107</v>
      </c>
      <c r="C26" s="2" t="s">
        <v>105</v>
      </c>
      <c r="D26" s="2" t="s">
        <v>8</v>
      </c>
    </row>
    <row r="27" spans="1:4" x14ac:dyDescent="0.25">
      <c r="A27" s="1">
        <v>1</v>
      </c>
      <c r="B27" s="98">
        <v>46024</v>
      </c>
      <c r="C27" s="1" t="s">
        <v>484</v>
      </c>
      <c r="D27" s="5">
        <v>10000</v>
      </c>
    </row>
    <row r="28" spans="1:4" x14ac:dyDescent="0.25">
      <c r="A28" s="1"/>
      <c r="B28" s="1"/>
      <c r="C28" s="1"/>
      <c r="D28" s="5"/>
    </row>
    <row r="29" spans="1:4" x14ac:dyDescent="0.25">
      <c r="A29" s="272" t="s">
        <v>444</v>
      </c>
      <c r="B29" s="273"/>
      <c r="C29" s="274"/>
      <c r="D29" s="5">
        <f>SUM(D27:D28)</f>
        <v>10000</v>
      </c>
    </row>
    <row r="30" spans="1:4" x14ac:dyDescent="0.25">
      <c r="A30" s="272" t="s">
        <v>539</v>
      </c>
      <c r="B30" s="274"/>
      <c r="C30" s="1" t="s">
        <v>412</v>
      </c>
      <c r="D30" s="5" t="s">
        <v>437</v>
      </c>
    </row>
    <row r="32" spans="1:4" x14ac:dyDescent="0.25">
      <c r="A32" s="275" t="s">
        <v>442</v>
      </c>
      <c r="B32" s="276"/>
      <c r="C32" s="276"/>
      <c r="D32" s="277"/>
    </row>
    <row r="33" spans="1:4" x14ac:dyDescent="0.25">
      <c r="A33" s="2" t="s">
        <v>0</v>
      </c>
      <c r="B33" s="2" t="s">
        <v>107</v>
      </c>
      <c r="C33" s="2" t="s">
        <v>105</v>
      </c>
      <c r="D33" s="2" t="s">
        <v>8</v>
      </c>
    </row>
    <row r="34" spans="1:4" x14ac:dyDescent="0.25">
      <c r="A34" s="1">
        <v>1</v>
      </c>
      <c r="B34" s="98">
        <v>46024</v>
      </c>
      <c r="C34" s="1" t="s">
        <v>485</v>
      </c>
      <c r="D34" s="5">
        <v>1000</v>
      </c>
    </row>
    <row r="35" spans="1:4" x14ac:dyDescent="0.25">
      <c r="A35" s="1"/>
      <c r="B35" s="1"/>
      <c r="C35" s="1"/>
      <c r="D35" s="5"/>
    </row>
    <row r="36" spans="1:4" x14ac:dyDescent="0.25">
      <c r="A36" s="272" t="s">
        <v>444</v>
      </c>
      <c r="B36" s="273"/>
      <c r="C36" s="274"/>
      <c r="D36" s="5">
        <f>SUM(D34:D35)</f>
        <v>1000</v>
      </c>
    </row>
    <row r="37" spans="1:4" x14ac:dyDescent="0.25">
      <c r="A37" s="272" t="s">
        <v>539</v>
      </c>
      <c r="B37" s="274"/>
      <c r="C37" s="1" t="s">
        <v>412</v>
      </c>
      <c r="D37" s="5" t="s">
        <v>437</v>
      </c>
    </row>
    <row r="39" spans="1:4" x14ac:dyDescent="0.25">
      <c r="A39" s="275" t="s">
        <v>442</v>
      </c>
      <c r="B39" s="276"/>
      <c r="C39" s="276"/>
      <c r="D39" s="277"/>
    </row>
    <row r="40" spans="1:4" x14ac:dyDescent="0.25">
      <c r="A40" s="2" t="s">
        <v>0</v>
      </c>
      <c r="B40" s="2" t="s">
        <v>107</v>
      </c>
      <c r="C40" s="2" t="s">
        <v>105</v>
      </c>
      <c r="D40" s="2" t="s">
        <v>8</v>
      </c>
    </row>
    <row r="41" spans="1:4" x14ac:dyDescent="0.25">
      <c r="A41" s="1">
        <v>1</v>
      </c>
      <c r="B41" s="99">
        <v>46025</v>
      </c>
      <c r="C41" s="1" t="s">
        <v>501</v>
      </c>
      <c r="D41" s="5">
        <v>20000</v>
      </c>
    </row>
    <row r="42" spans="1:4" x14ac:dyDescent="0.25">
      <c r="A42" s="1"/>
      <c r="B42" s="1"/>
      <c r="C42" s="1"/>
      <c r="D42" s="5"/>
    </row>
    <row r="43" spans="1:4" x14ac:dyDescent="0.25">
      <c r="A43" s="272" t="s">
        <v>444</v>
      </c>
      <c r="B43" s="273"/>
      <c r="C43" s="274"/>
      <c r="D43" s="5">
        <f>SUM(D41:D42)</f>
        <v>20000</v>
      </c>
    </row>
    <row r="44" spans="1:4" x14ac:dyDescent="0.25">
      <c r="A44" s="272" t="s">
        <v>539</v>
      </c>
      <c r="B44" s="274"/>
      <c r="C44" s="1" t="s">
        <v>412</v>
      </c>
      <c r="D44" s="5" t="s">
        <v>437</v>
      </c>
    </row>
    <row r="46" spans="1:4" x14ac:dyDescent="0.25">
      <c r="A46" s="275" t="s">
        <v>442</v>
      </c>
      <c r="B46" s="276"/>
      <c r="C46" s="276"/>
      <c r="D46" s="277"/>
    </row>
    <row r="47" spans="1:4" x14ac:dyDescent="0.25">
      <c r="A47" s="2" t="s">
        <v>0</v>
      </c>
      <c r="B47" s="2" t="s">
        <v>107</v>
      </c>
      <c r="C47" s="2" t="s">
        <v>105</v>
      </c>
      <c r="D47" s="2" t="s">
        <v>8</v>
      </c>
    </row>
    <row r="48" spans="1:4" x14ac:dyDescent="0.25">
      <c r="A48" s="1">
        <v>1</v>
      </c>
      <c r="B48" s="100">
        <v>46025</v>
      </c>
      <c r="C48" s="1" t="s">
        <v>503</v>
      </c>
      <c r="D48" s="5">
        <v>16666</v>
      </c>
    </row>
    <row r="49" spans="1:4" x14ac:dyDescent="0.25">
      <c r="A49" s="1"/>
      <c r="B49" s="1"/>
      <c r="C49" s="1"/>
      <c r="D49" s="5"/>
    </row>
    <row r="50" spans="1:4" x14ac:dyDescent="0.25">
      <c r="A50" s="272" t="s">
        <v>444</v>
      </c>
      <c r="B50" s="273"/>
      <c r="C50" s="274"/>
      <c r="D50" s="5">
        <f>SUM(D48:D49)</f>
        <v>16666</v>
      </c>
    </row>
    <row r="51" spans="1:4" x14ac:dyDescent="0.25">
      <c r="A51" s="272" t="s">
        <v>539</v>
      </c>
      <c r="B51" s="274"/>
      <c r="C51" s="1" t="s">
        <v>412</v>
      </c>
      <c r="D51" s="5" t="s">
        <v>437</v>
      </c>
    </row>
    <row r="53" spans="1:4" x14ac:dyDescent="0.25">
      <c r="A53" s="275" t="s">
        <v>442</v>
      </c>
      <c r="B53" s="276"/>
      <c r="C53" s="276"/>
      <c r="D53" s="277"/>
    </row>
    <row r="54" spans="1:4" x14ac:dyDescent="0.25">
      <c r="A54" s="2" t="s">
        <v>0</v>
      </c>
      <c r="B54" s="2" t="s">
        <v>107</v>
      </c>
      <c r="C54" s="2" t="s">
        <v>105</v>
      </c>
      <c r="D54" s="2" t="s">
        <v>8</v>
      </c>
    </row>
    <row r="55" spans="1:4" x14ac:dyDescent="0.25">
      <c r="A55" s="1">
        <v>1</v>
      </c>
      <c r="B55" s="101">
        <v>46025</v>
      </c>
      <c r="C55" s="1" t="s">
        <v>530</v>
      </c>
      <c r="D55" s="5">
        <f>1400*27</f>
        <v>37800</v>
      </c>
    </row>
    <row r="56" spans="1:4" x14ac:dyDescent="0.25">
      <c r="A56" s="1"/>
      <c r="B56" s="1"/>
      <c r="C56" s="1"/>
      <c r="D56" s="5"/>
    </row>
    <row r="57" spans="1:4" x14ac:dyDescent="0.25">
      <c r="A57" s="272" t="s">
        <v>444</v>
      </c>
      <c r="B57" s="273"/>
      <c r="C57" s="274"/>
      <c r="D57" s="5">
        <f>SUM(D55:D56)</f>
        <v>37800</v>
      </c>
    </row>
    <row r="58" spans="1:4" x14ac:dyDescent="0.25">
      <c r="A58" s="272" t="s">
        <v>539</v>
      </c>
      <c r="B58" s="274"/>
      <c r="C58" s="1" t="s">
        <v>412</v>
      </c>
      <c r="D58" s="5" t="s">
        <v>437</v>
      </c>
    </row>
    <row r="60" spans="1:4" x14ac:dyDescent="0.25">
      <c r="A60" s="275" t="s">
        <v>442</v>
      </c>
      <c r="B60" s="276"/>
      <c r="C60" s="276"/>
      <c r="D60" s="277"/>
    </row>
    <row r="61" spans="1:4" x14ac:dyDescent="0.25">
      <c r="A61" s="2" t="s">
        <v>0</v>
      </c>
      <c r="B61" s="2" t="s">
        <v>107</v>
      </c>
      <c r="C61" s="2" t="s">
        <v>105</v>
      </c>
      <c r="D61" s="2" t="s">
        <v>8</v>
      </c>
    </row>
    <row r="62" spans="1:4" x14ac:dyDescent="0.25">
      <c r="A62" s="1">
        <v>1</v>
      </c>
      <c r="B62" s="101">
        <v>46026</v>
      </c>
      <c r="C62" s="1" t="s">
        <v>559</v>
      </c>
      <c r="D62" s="5">
        <f>1500*8</f>
        <v>12000</v>
      </c>
    </row>
    <row r="63" spans="1:4" x14ac:dyDescent="0.25">
      <c r="A63" s="1"/>
      <c r="B63" s="1"/>
      <c r="C63" s="1"/>
      <c r="D63" s="5"/>
    </row>
    <row r="64" spans="1:4" x14ac:dyDescent="0.25">
      <c r="A64" s="272" t="s">
        <v>444</v>
      </c>
      <c r="B64" s="273"/>
      <c r="C64" s="274"/>
      <c r="D64" s="5">
        <f>SUM(D62:D63)</f>
        <v>12000</v>
      </c>
    </row>
    <row r="65" spans="1:4" x14ac:dyDescent="0.25">
      <c r="A65" s="272" t="s">
        <v>539</v>
      </c>
      <c r="B65" s="274"/>
      <c r="C65" s="1" t="s">
        <v>412</v>
      </c>
      <c r="D65" s="5" t="s">
        <v>395</v>
      </c>
    </row>
    <row r="67" spans="1:4" x14ac:dyDescent="0.25">
      <c r="A67" s="275" t="s">
        <v>442</v>
      </c>
      <c r="B67" s="276"/>
      <c r="C67" s="276"/>
      <c r="D67" s="277"/>
    </row>
    <row r="68" spans="1:4" x14ac:dyDescent="0.25">
      <c r="A68" s="2" t="s">
        <v>0</v>
      </c>
      <c r="B68" s="2" t="s">
        <v>107</v>
      </c>
      <c r="C68" s="2" t="s">
        <v>105</v>
      </c>
      <c r="D68" s="2" t="s">
        <v>8</v>
      </c>
    </row>
    <row r="69" spans="1:4" x14ac:dyDescent="0.25">
      <c r="A69" s="1">
        <v>1</v>
      </c>
      <c r="B69" s="101">
        <v>46027</v>
      </c>
      <c r="C69" s="1" t="s">
        <v>565</v>
      </c>
      <c r="D69" s="5">
        <v>24933</v>
      </c>
    </row>
    <row r="70" spans="1:4" x14ac:dyDescent="0.25">
      <c r="A70" s="1"/>
      <c r="B70" s="1"/>
      <c r="C70" s="1"/>
      <c r="D70" s="5"/>
    </row>
    <row r="71" spans="1:4" x14ac:dyDescent="0.25">
      <c r="A71" s="272" t="s">
        <v>444</v>
      </c>
      <c r="B71" s="273"/>
      <c r="C71" s="274"/>
      <c r="D71" s="5">
        <f>SUM(D69:D70)</f>
        <v>24933</v>
      </c>
    </row>
    <row r="72" spans="1:4" x14ac:dyDescent="0.25">
      <c r="A72" s="272" t="s">
        <v>539</v>
      </c>
      <c r="B72" s="274"/>
      <c r="C72" s="1" t="s">
        <v>412</v>
      </c>
      <c r="D72" s="5" t="s">
        <v>437</v>
      </c>
    </row>
    <row r="74" spans="1:4" x14ac:dyDescent="0.25">
      <c r="A74" s="275" t="s">
        <v>442</v>
      </c>
      <c r="B74" s="276"/>
      <c r="C74" s="276"/>
      <c r="D74" s="277"/>
    </row>
    <row r="75" spans="1:4" x14ac:dyDescent="0.25">
      <c r="A75" s="2" t="s">
        <v>0</v>
      </c>
      <c r="B75" s="2" t="s">
        <v>107</v>
      </c>
      <c r="C75" s="2" t="s">
        <v>105</v>
      </c>
      <c r="D75" s="2" t="s">
        <v>8</v>
      </c>
    </row>
    <row r="76" spans="1:4" x14ac:dyDescent="0.25">
      <c r="A76" s="1">
        <v>1</v>
      </c>
      <c r="B76" s="101">
        <v>46032</v>
      </c>
      <c r="C76" s="1" t="s">
        <v>651</v>
      </c>
      <c r="D76" s="5">
        <v>700000</v>
      </c>
    </row>
    <row r="77" spans="1:4" x14ac:dyDescent="0.25">
      <c r="A77" s="1"/>
      <c r="B77" s="1"/>
      <c r="C77" s="1"/>
      <c r="D77" s="5"/>
    </row>
    <row r="78" spans="1:4" x14ac:dyDescent="0.25">
      <c r="A78" s="272" t="s">
        <v>444</v>
      </c>
      <c r="B78" s="273"/>
      <c r="C78" s="274"/>
      <c r="D78" s="5">
        <f>SUM(D76:D77)</f>
        <v>700000</v>
      </c>
    </row>
    <row r="79" spans="1:4" x14ac:dyDescent="0.25">
      <c r="A79" s="272" t="s">
        <v>539</v>
      </c>
      <c r="B79" s="274"/>
      <c r="C79" s="1" t="s">
        <v>412</v>
      </c>
      <c r="D79" s="5" t="s">
        <v>437</v>
      </c>
    </row>
    <row r="81" spans="1:4" x14ac:dyDescent="0.25">
      <c r="A81" s="275" t="s">
        <v>442</v>
      </c>
      <c r="B81" s="276"/>
      <c r="C81" s="276"/>
      <c r="D81" s="277"/>
    </row>
    <row r="82" spans="1:4" x14ac:dyDescent="0.25">
      <c r="A82" s="2" t="s">
        <v>0</v>
      </c>
      <c r="B82" s="2" t="s">
        <v>107</v>
      </c>
      <c r="C82" s="2" t="s">
        <v>105</v>
      </c>
      <c r="D82" s="2" t="s">
        <v>8</v>
      </c>
    </row>
    <row r="83" spans="1:4" x14ac:dyDescent="0.25">
      <c r="A83" s="1">
        <v>1</v>
      </c>
      <c r="B83" s="101">
        <v>46034</v>
      </c>
      <c r="C83" s="1" t="s">
        <v>682</v>
      </c>
      <c r="D83" s="5">
        <v>13333</v>
      </c>
    </row>
    <row r="84" spans="1:4" x14ac:dyDescent="0.25">
      <c r="A84" s="1"/>
      <c r="B84" s="1"/>
      <c r="C84" s="1"/>
      <c r="D84" s="5"/>
    </row>
    <row r="85" spans="1:4" x14ac:dyDescent="0.25">
      <c r="A85" s="272" t="s">
        <v>444</v>
      </c>
      <c r="B85" s="273"/>
      <c r="C85" s="274"/>
      <c r="D85" s="5">
        <f>SUM(D83:D84)</f>
        <v>13333</v>
      </c>
    </row>
    <row r="86" spans="1:4" x14ac:dyDescent="0.25">
      <c r="A86" s="272" t="s">
        <v>539</v>
      </c>
      <c r="B86" s="274"/>
      <c r="C86" s="1" t="s">
        <v>412</v>
      </c>
      <c r="D86" s="5" t="s">
        <v>437</v>
      </c>
    </row>
    <row r="88" spans="1:4" x14ac:dyDescent="0.25">
      <c r="A88" s="275" t="s">
        <v>442</v>
      </c>
      <c r="B88" s="276"/>
      <c r="C88" s="276"/>
      <c r="D88" s="277"/>
    </row>
    <row r="89" spans="1:4" x14ac:dyDescent="0.25">
      <c r="A89" s="2" t="s">
        <v>0</v>
      </c>
      <c r="B89" s="2" t="s">
        <v>107</v>
      </c>
      <c r="C89" s="2" t="s">
        <v>105</v>
      </c>
      <c r="D89" s="2" t="s">
        <v>8</v>
      </c>
    </row>
    <row r="90" spans="1:4" x14ac:dyDescent="0.25">
      <c r="A90" s="1">
        <v>1</v>
      </c>
      <c r="B90" s="101">
        <v>46034</v>
      </c>
      <c r="C90" s="1" t="s">
        <v>683</v>
      </c>
      <c r="D90" s="5">
        <f>1500*6</f>
        <v>9000</v>
      </c>
    </row>
    <row r="91" spans="1:4" x14ac:dyDescent="0.25">
      <c r="A91" s="1"/>
      <c r="B91" s="1"/>
      <c r="C91" s="1"/>
      <c r="D91" s="5"/>
    </row>
    <row r="92" spans="1:4" x14ac:dyDescent="0.25">
      <c r="A92" s="272" t="s">
        <v>444</v>
      </c>
      <c r="B92" s="273"/>
      <c r="C92" s="274"/>
      <c r="D92" s="5">
        <f>SUM(D90:D91)</f>
        <v>9000</v>
      </c>
    </row>
    <row r="93" spans="1:4" x14ac:dyDescent="0.25">
      <c r="A93" s="272" t="s">
        <v>539</v>
      </c>
      <c r="B93" s="274"/>
      <c r="C93" s="1" t="s">
        <v>412</v>
      </c>
      <c r="D93" s="5" t="s">
        <v>437</v>
      </c>
    </row>
    <row r="95" spans="1:4" x14ac:dyDescent="0.25">
      <c r="A95" s="275" t="s">
        <v>442</v>
      </c>
      <c r="B95" s="276"/>
      <c r="C95" s="276"/>
      <c r="D95" s="277"/>
    </row>
    <row r="96" spans="1:4" x14ac:dyDescent="0.25">
      <c r="A96" s="2" t="s">
        <v>0</v>
      </c>
      <c r="B96" s="2" t="s">
        <v>107</v>
      </c>
      <c r="C96" s="2" t="s">
        <v>105</v>
      </c>
      <c r="D96" s="2" t="s">
        <v>8</v>
      </c>
    </row>
    <row r="97" spans="1:4" x14ac:dyDescent="0.25">
      <c r="A97" s="1">
        <v>1</v>
      </c>
      <c r="B97" s="101">
        <v>46036</v>
      </c>
      <c r="C97" s="1" t="s">
        <v>734</v>
      </c>
      <c r="D97" s="5">
        <v>26067</v>
      </c>
    </row>
    <row r="98" spans="1:4" x14ac:dyDescent="0.25">
      <c r="A98" s="1"/>
      <c r="B98" s="1"/>
      <c r="C98" s="1"/>
      <c r="D98" s="5"/>
    </row>
    <row r="99" spans="1:4" x14ac:dyDescent="0.25">
      <c r="A99" s="272" t="s">
        <v>444</v>
      </c>
      <c r="B99" s="273"/>
      <c r="C99" s="274"/>
      <c r="D99" s="5">
        <f>SUM(D97:D98)</f>
        <v>26067</v>
      </c>
    </row>
    <row r="100" spans="1:4" x14ac:dyDescent="0.25">
      <c r="A100" s="272" t="s">
        <v>539</v>
      </c>
      <c r="B100" s="274"/>
      <c r="C100" s="1" t="s">
        <v>412</v>
      </c>
      <c r="D100" s="5" t="s">
        <v>437</v>
      </c>
    </row>
    <row r="102" spans="1:4" x14ac:dyDescent="0.25">
      <c r="A102" s="275" t="s">
        <v>442</v>
      </c>
      <c r="B102" s="276"/>
      <c r="C102" s="276"/>
      <c r="D102" s="277"/>
    </row>
    <row r="103" spans="1:4" x14ac:dyDescent="0.25">
      <c r="A103" s="2" t="s">
        <v>0</v>
      </c>
      <c r="B103" s="2" t="s">
        <v>107</v>
      </c>
      <c r="C103" s="2" t="s">
        <v>105</v>
      </c>
      <c r="D103" s="2" t="s">
        <v>8</v>
      </c>
    </row>
    <row r="104" spans="1:4" x14ac:dyDescent="0.25">
      <c r="A104" s="1">
        <v>1</v>
      </c>
      <c r="B104" s="101">
        <v>46039</v>
      </c>
      <c r="C104" s="1" t="s">
        <v>930</v>
      </c>
      <c r="D104" s="5">
        <v>10000</v>
      </c>
    </row>
    <row r="105" spans="1:4" x14ac:dyDescent="0.25">
      <c r="A105" s="1"/>
      <c r="B105" s="1"/>
      <c r="C105" s="1"/>
      <c r="D105" s="5"/>
    </row>
    <row r="106" spans="1:4" x14ac:dyDescent="0.25">
      <c r="A106" s="272" t="s">
        <v>444</v>
      </c>
      <c r="B106" s="273"/>
      <c r="C106" s="274"/>
      <c r="D106" s="5">
        <f>SUM(D104:D105)</f>
        <v>10000</v>
      </c>
    </row>
    <row r="107" spans="1:4" x14ac:dyDescent="0.25">
      <c r="A107" s="272" t="s">
        <v>539</v>
      </c>
      <c r="B107" s="274"/>
      <c r="C107" s="1" t="s">
        <v>412</v>
      </c>
      <c r="D107" s="5" t="s">
        <v>437</v>
      </c>
    </row>
    <row r="109" spans="1:4" x14ac:dyDescent="0.25">
      <c r="A109" s="275" t="s">
        <v>442</v>
      </c>
      <c r="B109" s="276"/>
      <c r="C109" s="276"/>
      <c r="D109" s="277"/>
    </row>
    <row r="110" spans="1:4" x14ac:dyDescent="0.25">
      <c r="A110" s="2" t="s">
        <v>0</v>
      </c>
      <c r="B110" s="2" t="s">
        <v>107</v>
      </c>
      <c r="C110" s="2" t="s">
        <v>105</v>
      </c>
      <c r="D110" s="2" t="s">
        <v>8</v>
      </c>
    </row>
    <row r="111" spans="1:4" x14ac:dyDescent="0.25">
      <c r="A111" s="1">
        <v>1</v>
      </c>
      <c r="B111" s="101">
        <v>46039</v>
      </c>
      <c r="C111" s="1" t="s">
        <v>932</v>
      </c>
      <c r="D111" s="5">
        <f>1500*6</f>
        <v>9000</v>
      </c>
    </row>
    <row r="112" spans="1:4" x14ac:dyDescent="0.25">
      <c r="A112" s="1"/>
      <c r="B112" s="1"/>
      <c r="C112" s="1"/>
      <c r="D112" s="5"/>
    </row>
    <row r="113" spans="1:4" x14ac:dyDescent="0.25">
      <c r="A113" s="272" t="s">
        <v>444</v>
      </c>
      <c r="B113" s="273"/>
      <c r="C113" s="274"/>
      <c r="D113" s="5">
        <f>SUM(D111:D112)</f>
        <v>9000</v>
      </c>
    </row>
    <row r="114" spans="1:4" x14ac:dyDescent="0.25">
      <c r="A114" s="272" t="s">
        <v>539</v>
      </c>
      <c r="B114" s="274"/>
      <c r="C114" s="1" t="s">
        <v>412</v>
      </c>
      <c r="D114" s="5" t="s">
        <v>437</v>
      </c>
    </row>
    <row r="116" spans="1:4" x14ac:dyDescent="0.25">
      <c r="A116" s="275" t="s">
        <v>442</v>
      </c>
      <c r="B116" s="276"/>
      <c r="C116" s="276"/>
      <c r="D116" s="277"/>
    </row>
    <row r="117" spans="1:4" x14ac:dyDescent="0.25">
      <c r="A117" s="2" t="s">
        <v>0</v>
      </c>
      <c r="B117" s="2" t="s">
        <v>107</v>
      </c>
      <c r="C117" s="2" t="s">
        <v>105</v>
      </c>
      <c r="D117" s="2" t="s">
        <v>8</v>
      </c>
    </row>
    <row r="118" spans="1:4" x14ac:dyDescent="0.25">
      <c r="A118" s="1">
        <v>1</v>
      </c>
      <c r="B118" s="101">
        <v>46039</v>
      </c>
      <c r="C118" s="1" t="s">
        <v>934</v>
      </c>
      <c r="D118" s="5">
        <v>18133</v>
      </c>
    </row>
    <row r="119" spans="1:4" x14ac:dyDescent="0.25">
      <c r="A119" s="1"/>
      <c r="B119" s="1"/>
      <c r="C119" s="1"/>
      <c r="D119" s="5"/>
    </row>
    <row r="120" spans="1:4" x14ac:dyDescent="0.25">
      <c r="A120" s="272" t="s">
        <v>444</v>
      </c>
      <c r="B120" s="273"/>
      <c r="C120" s="274"/>
      <c r="D120" s="5">
        <f>SUM(D118:D119)</f>
        <v>18133</v>
      </c>
    </row>
    <row r="121" spans="1:4" x14ac:dyDescent="0.25">
      <c r="A121" s="272" t="s">
        <v>539</v>
      </c>
      <c r="B121" s="274"/>
      <c r="C121" s="1" t="s">
        <v>412</v>
      </c>
      <c r="D121" s="5" t="s">
        <v>437</v>
      </c>
    </row>
    <row r="122" spans="1:4" ht="15.75" thickBot="1" x14ac:dyDescent="0.3"/>
    <row r="123" spans="1:4" ht="15.75" x14ac:dyDescent="0.25">
      <c r="A123" s="281" t="s">
        <v>442</v>
      </c>
      <c r="B123" s="282"/>
      <c r="C123" s="282"/>
      <c r="D123" s="283"/>
    </row>
    <row r="124" spans="1:4" ht="16.5" thickBot="1" x14ac:dyDescent="0.3">
      <c r="A124" s="242" t="s">
        <v>984</v>
      </c>
      <c r="B124" s="243"/>
      <c r="C124" s="243"/>
      <c r="D124" s="284"/>
    </row>
    <row r="125" spans="1:4" ht="15.75" thickBot="1" x14ac:dyDescent="0.3">
      <c r="A125" s="208" t="s">
        <v>0</v>
      </c>
      <c r="B125" s="209" t="s">
        <v>107</v>
      </c>
      <c r="C125" s="209" t="s">
        <v>105</v>
      </c>
      <c r="D125" s="210" t="s">
        <v>8</v>
      </c>
    </row>
    <row r="126" spans="1:4" x14ac:dyDescent="0.25">
      <c r="A126" s="3">
        <v>1</v>
      </c>
      <c r="B126" s="207">
        <v>46021</v>
      </c>
      <c r="C126" s="3" t="s">
        <v>981</v>
      </c>
      <c r="D126" s="4">
        <v>500000</v>
      </c>
    </row>
    <row r="127" spans="1:4" x14ac:dyDescent="0.25">
      <c r="A127" s="1">
        <v>2</v>
      </c>
      <c r="B127" s="66">
        <v>46026</v>
      </c>
      <c r="C127" s="1" t="s">
        <v>982</v>
      </c>
      <c r="D127" s="5">
        <v>400000</v>
      </c>
    </row>
    <row r="128" spans="1:4" x14ac:dyDescent="0.25">
      <c r="A128" s="1">
        <v>3</v>
      </c>
      <c r="B128" s="66">
        <v>46032</v>
      </c>
      <c r="C128" s="1" t="s">
        <v>983</v>
      </c>
      <c r="D128" s="5">
        <v>700000</v>
      </c>
    </row>
    <row r="129" spans="1:4" x14ac:dyDescent="0.25">
      <c r="A129" s="1">
        <v>4</v>
      </c>
      <c r="B129" s="66">
        <v>46042</v>
      </c>
      <c r="C129" s="1" t="s">
        <v>981</v>
      </c>
      <c r="D129" s="5">
        <v>900000</v>
      </c>
    </row>
    <row r="130" spans="1:4" ht="18.75" x14ac:dyDescent="0.3">
      <c r="A130" s="278" t="s">
        <v>456</v>
      </c>
      <c r="B130" s="279"/>
      <c r="C130" s="280"/>
      <c r="D130" s="211">
        <f>SUM(D126:D129)</f>
        <v>2500000</v>
      </c>
    </row>
    <row r="131" spans="1:4" x14ac:dyDescent="0.25">
      <c r="A131" s="272" t="s">
        <v>539</v>
      </c>
      <c r="B131" s="274"/>
      <c r="C131" s="1" t="s">
        <v>985</v>
      </c>
      <c r="D131" s="5" t="s">
        <v>437</v>
      </c>
    </row>
    <row r="132" spans="1:4" ht="15.75" thickBot="1" x14ac:dyDescent="0.3"/>
    <row r="133" spans="1:4" ht="16.5" thickBot="1" x14ac:dyDescent="0.3">
      <c r="A133" s="281" t="s">
        <v>442</v>
      </c>
      <c r="B133" s="282"/>
      <c r="C133" s="282"/>
      <c r="D133" s="283"/>
    </row>
    <row r="134" spans="1:4" ht="15.75" thickBot="1" x14ac:dyDescent="0.3">
      <c r="A134" s="208" t="s">
        <v>0</v>
      </c>
      <c r="B134" s="209" t="s">
        <v>107</v>
      </c>
      <c r="C134" s="209" t="s">
        <v>105</v>
      </c>
      <c r="D134" s="210" t="s">
        <v>8</v>
      </c>
    </row>
    <row r="135" spans="1:4" x14ac:dyDescent="0.25">
      <c r="A135" s="1">
        <v>1</v>
      </c>
      <c r="B135" s="66">
        <v>46042</v>
      </c>
      <c r="C135" s="1" t="s">
        <v>981</v>
      </c>
      <c r="D135" s="5">
        <v>900000</v>
      </c>
    </row>
    <row r="136" spans="1:4" ht="18.75" x14ac:dyDescent="0.3">
      <c r="A136" s="278" t="s">
        <v>456</v>
      </c>
      <c r="B136" s="279"/>
      <c r="C136" s="280"/>
      <c r="D136" s="211">
        <f>SUM(D135:D135)</f>
        <v>900000</v>
      </c>
    </row>
    <row r="137" spans="1:4" x14ac:dyDescent="0.25">
      <c r="A137" s="272" t="s">
        <v>539</v>
      </c>
      <c r="B137" s="274"/>
      <c r="C137" s="1" t="s">
        <v>985</v>
      </c>
      <c r="D137" s="5" t="s">
        <v>437</v>
      </c>
    </row>
    <row r="138" spans="1:4" ht="15.75" thickBot="1" x14ac:dyDescent="0.3"/>
    <row r="139" spans="1:4" ht="16.5" thickBot="1" x14ac:dyDescent="0.3">
      <c r="A139" s="281" t="s">
        <v>442</v>
      </c>
      <c r="B139" s="282"/>
      <c r="C139" s="282"/>
      <c r="D139" s="283"/>
    </row>
    <row r="140" spans="1:4" ht="15.75" thickBot="1" x14ac:dyDescent="0.3">
      <c r="A140" s="208" t="s">
        <v>0</v>
      </c>
      <c r="B140" s="209" t="s">
        <v>107</v>
      </c>
      <c r="C140" s="209" t="s">
        <v>105</v>
      </c>
      <c r="D140" s="210" t="s">
        <v>8</v>
      </c>
    </row>
    <row r="141" spans="1:4" x14ac:dyDescent="0.25">
      <c r="A141" s="1">
        <v>1</v>
      </c>
      <c r="B141" s="66">
        <v>46042</v>
      </c>
      <c r="C141" s="1" t="s">
        <v>990</v>
      </c>
      <c r="D141" s="5">
        <v>10000</v>
      </c>
    </row>
    <row r="142" spans="1:4" ht="18.75" x14ac:dyDescent="0.3">
      <c r="A142" s="278" t="s">
        <v>456</v>
      </c>
      <c r="B142" s="279"/>
      <c r="C142" s="280"/>
      <c r="D142" s="211">
        <f>SUM(D141:D141)</f>
        <v>10000</v>
      </c>
    </row>
    <row r="143" spans="1:4" x14ac:dyDescent="0.25">
      <c r="A143" s="272" t="s">
        <v>539</v>
      </c>
      <c r="B143" s="274"/>
      <c r="C143" s="1" t="s">
        <v>985</v>
      </c>
      <c r="D143" s="5" t="s">
        <v>437</v>
      </c>
    </row>
  </sheetData>
  <mergeCells count="61">
    <mergeCell ref="A139:D139"/>
    <mergeCell ref="A142:C142"/>
    <mergeCell ref="A143:B143"/>
    <mergeCell ref="A136:C136"/>
    <mergeCell ref="A137:B137"/>
    <mergeCell ref="A123:D123"/>
    <mergeCell ref="A130:C130"/>
    <mergeCell ref="A131:B131"/>
    <mergeCell ref="A124:D124"/>
    <mergeCell ref="A133:D133"/>
    <mergeCell ref="A116:D116"/>
    <mergeCell ref="A120:C120"/>
    <mergeCell ref="A121:B121"/>
    <mergeCell ref="A95:D95"/>
    <mergeCell ref="A99:C99"/>
    <mergeCell ref="A100:B100"/>
    <mergeCell ref="A114:B114"/>
    <mergeCell ref="A102:D102"/>
    <mergeCell ref="A106:C106"/>
    <mergeCell ref="A107:B107"/>
    <mergeCell ref="A109:D109"/>
    <mergeCell ref="A113:C113"/>
    <mergeCell ref="A60:D60"/>
    <mergeCell ref="A64:C64"/>
    <mergeCell ref="A88:D88"/>
    <mergeCell ref="A92:C92"/>
    <mergeCell ref="A93:B93"/>
    <mergeCell ref="A81:D81"/>
    <mergeCell ref="A85:C85"/>
    <mergeCell ref="A86:B86"/>
    <mergeCell ref="A74:D74"/>
    <mergeCell ref="A78:C78"/>
    <mergeCell ref="A79:B79"/>
    <mergeCell ref="A36:C36"/>
    <mergeCell ref="A58:B58"/>
    <mergeCell ref="A53:D53"/>
    <mergeCell ref="A57:C57"/>
    <mergeCell ref="A43:C43"/>
    <mergeCell ref="A2:D2"/>
    <mergeCell ref="A6:C6"/>
    <mergeCell ref="A10:D10"/>
    <mergeCell ref="A14:C14"/>
    <mergeCell ref="A18:D18"/>
    <mergeCell ref="A8:B8"/>
    <mergeCell ref="A16:B16"/>
    <mergeCell ref="A22:C22"/>
    <mergeCell ref="A25:D25"/>
    <mergeCell ref="A67:D67"/>
    <mergeCell ref="A71:C71"/>
    <mergeCell ref="A72:B72"/>
    <mergeCell ref="A23:B23"/>
    <mergeCell ref="A30:B30"/>
    <mergeCell ref="A37:B37"/>
    <mergeCell ref="A44:B44"/>
    <mergeCell ref="A51:B51"/>
    <mergeCell ref="A46:D46"/>
    <mergeCell ref="A50:C50"/>
    <mergeCell ref="A39:D39"/>
    <mergeCell ref="A65:B65"/>
    <mergeCell ref="A29:C29"/>
    <mergeCell ref="A32:D32"/>
  </mergeCells>
  <pageMargins left="0.70866141732283472" right="0.70866141732283472" top="0.74803149606299213" bottom="0.74803149606299213" header="0.31496062992125984" footer="0.31496062992125984"/>
  <pageSetup scale="128"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zoomScale="160" zoomScaleNormal="160" workbookViewId="0">
      <selection activeCell="A13" sqref="A13:E13"/>
    </sheetView>
  </sheetViews>
  <sheetFormatPr defaultRowHeight="15" x14ac:dyDescent="0.25"/>
  <cols>
    <col min="1" max="1" width="4.5703125" bestFit="1" customWidth="1"/>
    <col min="2" max="2" width="12.7109375" customWidth="1"/>
    <col min="3" max="3" width="43.42578125" bestFit="1" customWidth="1"/>
    <col min="4" max="4" width="5.85546875" bestFit="1" customWidth="1"/>
    <col min="5" max="5" width="11.42578125" bestFit="1" customWidth="1"/>
    <col min="6" max="6" width="38.28515625" bestFit="1" customWidth="1"/>
  </cols>
  <sheetData>
    <row r="1" spans="1:5" ht="21" x14ac:dyDescent="0.35">
      <c r="A1" s="285" t="s">
        <v>182</v>
      </c>
      <c r="B1" s="286"/>
      <c r="C1" s="286"/>
      <c r="D1" s="286"/>
      <c r="E1" s="287"/>
    </row>
    <row r="2" spans="1:5" ht="21" x14ac:dyDescent="0.35">
      <c r="A2" s="285" t="s">
        <v>13</v>
      </c>
      <c r="B2" s="286"/>
      <c r="C2" s="286"/>
      <c r="D2" s="286"/>
      <c r="E2" s="287"/>
    </row>
    <row r="3" spans="1:5" ht="15.75" x14ac:dyDescent="0.25">
      <c r="A3" s="134" t="s">
        <v>0</v>
      </c>
      <c r="B3" s="134" t="s">
        <v>111</v>
      </c>
      <c r="C3" s="134" t="s">
        <v>1</v>
      </c>
      <c r="D3" s="134" t="s">
        <v>23</v>
      </c>
      <c r="E3" s="134" t="s">
        <v>700</v>
      </c>
    </row>
    <row r="4" spans="1:5" x14ac:dyDescent="0.25">
      <c r="A4" s="1">
        <v>1</v>
      </c>
      <c r="B4" s="1" t="s">
        <v>112</v>
      </c>
      <c r="C4" s="1" t="s">
        <v>123</v>
      </c>
      <c r="D4" s="1">
        <v>225</v>
      </c>
      <c r="E4" s="1">
        <v>200</v>
      </c>
    </row>
    <row r="5" spans="1:5" x14ac:dyDescent="0.25">
      <c r="A5" s="1">
        <v>2</v>
      </c>
      <c r="B5" s="1" t="s">
        <v>113</v>
      </c>
      <c r="C5" s="1" t="s">
        <v>699</v>
      </c>
      <c r="D5" s="1">
        <v>180</v>
      </c>
      <c r="E5" s="1">
        <v>600</v>
      </c>
    </row>
    <row r="6" spans="1:5" x14ac:dyDescent="0.25">
      <c r="A6" s="1">
        <v>3</v>
      </c>
      <c r="B6" s="1" t="s">
        <v>114</v>
      </c>
      <c r="C6" s="1" t="s">
        <v>120</v>
      </c>
      <c r="D6" s="1">
        <v>180</v>
      </c>
      <c r="E6" s="1">
        <v>200</v>
      </c>
    </row>
    <row r="7" spans="1:5" x14ac:dyDescent="0.25">
      <c r="A7" s="1">
        <v>4</v>
      </c>
      <c r="B7" s="1" t="s">
        <v>115</v>
      </c>
      <c r="C7" s="1" t="s">
        <v>244</v>
      </c>
      <c r="D7" s="1">
        <v>180</v>
      </c>
      <c r="E7" s="1">
        <v>200</v>
      </c>
    </row>
    <row r="8" spans="1:5" x14ac:dyDescent="0.25">
      <c r="A8" s="1">
        <v>5</v>
      </c>
      <c r="B8" s="1" t="s">
        <v>116</v>
      </c>
      <c r="C8" s="1" t="s">
        <v>714</v>
      </c>
      <c r="D8" s="1">
        <v>320</v>
      </c>
      <c r="E8" s="1">
        <v>600</v>
      </c>
    </row>
    <row r="9" spans="1:5" x14ac:dyDescent="0.25">
      <c r="A9" s="1">
        <v>6</v>
      </c>
      <c r="B9" s="1" t="s">
        <v>117</v>
      </c>
      <c r="C9" s="1" t="s">
        <v>245</v>
      </c>
      <c r="D9" s="1">
        <v>220</v>
      </c>
      <c r="E9" s="1">
        <v>200</v>
      </c>
    </row>
    <row r="10" spans="1:5" x14ac:dyDescent="0.25">
      <c r="A10" s="1">
        <v>7</v>
      </c>
      <c r="B10" s="1" t="s">
        <v>118</v>
      </c>
      <c r="C10" s="1"/>
      <c r="D10" s="1"/>
      <c r="E10" s="1"/>
    </row>
    <row r="12" spans="1:5" ht="21" x14ac:dyDescent="0.35">
      <c r="A12" s="288" t="s">
        <v>182</v>
      </c>
      <c r="B12" s="288"/>
      <c r="C12" s="288"/>
      <c r="D12" s="288"/>
      <c r="E12" s="288"/>
    </row>
    <row r="13" spans="1:5" ht="21" x14ac:dyDescent="0.35">
      <c r="A13" s="288" t="s">
        <v>20</v>
      </c>
      <c r="B13" s="288"/>
      <c r="C13" s="288"/>
      <c r="D13" s="288"/>
      <c r="E13" s="288"/>
    </row>
    <row r="14" spans="1:5" ht="15.75" x14ac:dyDescent="0.25">
      <c r="A14" s="134" t="s">
        <v>0</v>
      </c>
      <c r="B14" s="134" t="s">
        <v>111</v>
      </c>
      <c r="C14" s="134" t="s">
        <v>1</v>
      </c>
      <c r="D14" s="134" t="s">
        <v>23</v>
      </c>
      <c r="E14" s="134" t="s">
        <v>700</v>
      </c>
    </row>
    <row r="15" spans="1:5" x14ac:dyDescent="0.25">
      <c r="A15" s="1">
        <v>1</v>
      </c>
      <c r="B15" s="1" t="s">
        <v>112</v>
      </c>
      <c r="C15" s="1" t="s">
        <v>125</v>
      </c>
      <c r="D15" s="1">
        <v>180</v>
      </c>
      <c r="E15" s="1">
        <v>200</v>
      </c>
    </row>
    <row r="16" spans="1:5" x14ac:dyDescent="0.25">
      <c r="A16" s="1">
        <v>2</v>
      </c>
      <c r="B16" s="1" t="s">
        <v>113</v>
      </c>
      <c r="C16" s="1" t="s">
        <v>121</v>
      </c>
      <c r="D16" s="1">
        <v>270</v>
      </c>
      <c r="E16" s="1">
        <v>200</v>
      </c>
    </row>
    <row r="17" spans="1:5" x14ac:dyDescent="0.25">
      <c r="A17" s="1">
        <v>3</v>
      </c>
      <c r="B17" s="1" t="s">
        <v>114</v>
      </c>
      <c r="C17" s="1" t="s">
        <v>702</v>
      </c>
      <c r="D17" s="1">
        <v>200</v>
      </c>
      <c r="E17" s="1">
        <v>600</v>
      </c>
    </row>
    <row r="18" spans="1:5" x14ac:dyDescent="0.25">
      <c r="A18" s="1">
        <v>4</v>
      </c>
      <c r="B18" s="1" t="s">
        <v>115</v>
      </c>
      <c r="C18" s="1" t="s">
        <v>181</v>
      </c>
      <c r="D18" s="1">
        <v>225</v>
      </c>
      <c r="E18" s="1">
        <v>200</v>
      </c>
    </row>
    <row r="19" spans="1:5" x14ac:dyDescent="0.25">
      <c r="A19" s="1">
        <v>5</v>
      </c>
      <c r="B19" s="1" t="s">
        <v>116</v>
      </c>
      <c r="C19" s="1" t="s">
        <v>246</v>
      </c>
      <c r="D19" s="1">
        <v>180</v>
      </c>
      <c r="E19" s="1">
        <v>200</v>
      </c>
    </row>
    <row r="20" spans="1:5" x14ac:dyDescent="0.25">
      <c r="A20" s="1">
        <v>6</v>
      </c>
      <c r="B20" s="1" t="s">
        <v>117</v>
      </c>
      <c r="C20" s="1" t="s">
        <v>701</v>
      </c>
      <c r="D20" s="1">
        <v>350</v>
      </c>
      <c r="E20" s="1">
        <v>600</v>
      </c>
    </row>
    <row r="21" spans="1:5" x14ac:dyDescent="0.25">
      <c r="A21" s="1">
        <v>7</v>
      </c>
      <c r="B21" s="1" t="s">
        <v>118</v>
      </c>
      <c r="C21" s="1"/>
      <c r="D21" s="1"/>
      <c r="E21" s="1"/>
    </row>
  </sheetData>
  <mergeCells count="4">
    <mergeCell ref="A2:E2"/>
    <mergeCell ref="A1:E1"/>
    <mergeCell ref="A12:E12"/>
    <mergeCell ref="A13:E13"/>
  </mergeCells>
  <pageMargins left="0.70866141732283472" right="0.70866141732283472" top="0.74803149606299213" bottom="0.74803149606299213" header="0.31496062992125984" footer="0.31496062992125984"/>
  <pageSetup paperSize="9" scale="145" orientation="landscape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130" zoomScaleNormal="130" workbookViewId="0">
      <selection activeCell="C7" sqref="C7"/>
    </sheetView>
  </sheetViews>
  <sheetFormatPr defaultRowHeight="15" x14ac:dyDescent="0.25"/>
  <cols>
    <col min="1" max="1" width="4.5703125" bestFit="1" customWidth="1"/>
    <col min="2" max="2" width="11.42578125" bestFit="1" customWidth="1"/>
    <col min="3" max="3" width="37.42578125" bestFit="1" customWidth="1"/>
  </cols>
  <sheetData>
    <row r="1" spans="1:5" ht="21" x14ac:dyDescent="0.35">
      <c r="A1" s="285" t="s">
        <v>703</v>
      </c>
      <c r="B1" s="286"/>
      <c r="C1" s="286"/>
      <c r="D1" s="286"/>
      <c r="E1" s="287"/>
    </row>
    <row r="2" spans="1:5" ht="21" x14ac:dyDescent="0.35">
      <c r="A2" s="285" t="s">
        <v>12</v>
      </c>
      <c r="B2" s="286"/>
      <c r="C2" s="286"/>
      <c r="D2" s="286"/>
      <c r="E2" s="287"/>
    </row>
    <row r="3" spans="1:5" ht="15.75" x14ac:dyDescent="0.25">
      <c r="A3" s="134" t="s">
        <v>0</v>
      </c>
      <c r="B3" s="134" t="s">
        <v>111</v>
      </c>
      <c r="C3" s="134" t="s">
        <v>1</v>
      </c>
      <c r="D3" s="134" t="s">
        <v>23</v>
      </c>
      <c r="E3" s="134" t="s">
        <v>700</v>
      </c>
    </row>
    <row r="4" spans="1:5" x14ac:dyDescent="0.25">
      <c r="A4" s="1">
        <v>1</v>
      </c>
      <c r="B4" s="1" t="s">
        <v>112</v>
      </c>
      <c r="C4" s="1" t="s">
        <v>704</v>
      </c>
      <c r="D4" s="1" t="s">
        <v>706</v>
      </c>
      <c r="E4" s="1">
        <v>100</v>
      </c>
    </row>
    <row r="5" spans="1:5" x14ac:dyDescent="0.25">
      <c r="A5" s="1">
        <v>2</v>
      </c>
      <c r="B5" s="1" t="s">
        <v>113</v>
      </c>
      <c r="C5" s="1" t="s">
        <v>705</v>
      </c>
      <c r="D5" s="1" t="s">
        <v>706</v>
      </c>
      <c r="E5" s="1">
        <v>100</v>
      </c>
    </row>
    <row r="6" spans="1:5" x14ac:dyDescent="0.25">
      <c r="A6" s="1">
        <v>3</v>
      </c>
      <c r="B6" s="1" t="s">
        <v>114</v>
      </c>
      <c r="C6" s="1" t="s">
        <v>712</v>
      </c>
      <c r="D6" s="1" t="s">
        <v>706</v>
      </c>
      <c r="E6" s="1">
        <v>100</v>
      </c>
    </row>
    <row r="7" spans="1:5" x14ac:dyDescent="0.25">
      <c r="A7" s="1">
        <v>4</v>
      </c>
      <c r="B7" s="1" t="s">
        <v>115</v>
      </c>
      <c r="C7" s="1" t="s">
        <v>704</v>
      </c>
      <c r="D7" s="1" t="s">
        <v>706</v>
      </c>
      <c r="E7" s="1">
        <v>100</v>
      </c>
    </row>
    <row r="8" spans="1:5" x14ac:dyDescent="0.25">
      <c r="A8" s="1">
        <v>5</v>
      </c>
      <c r="B8" s="1" t="s">
        <v>116</v>
      </c>
      <c r="C8" s="1" t="s">
        <v>705</v>
      </c>
      <c r="D8" s="1" t="s">
        <v>706</v>
      </c>
      <c r="E8" s="1">
        <v>100</v>
      </c>
    </row>
    <row r="9" spans="1:5" x14ac:dyDescent="0.25">
      <c r="A9" s="1">
        <v>6</v>
      </c>
      <c r="B9" s="1" t="s">
        <v>117</v>
      </c>
      <c r="C9" s="1" t="s">
        <v>707</v>
      </c>
      <c r="D9" s="1" t="s">
        <v>706</v>
      </c>
      <c r="E9" s="1">
        <v>100</v>
      </c>
    </row>
    <row r="10" spans="1:5" x14ac:dyDescent="0.25">
      <c r="A10" s="1">
        <v>7</v>
      </c>
      <c r="B10" s="1" t="s">
        <v>118</v>
      </c>
      <c r="C10" s="1" t="s">
        <v>704</v>
      </c>
      <c r="D10" s="1" t="s">
        <v>706</v>
      </c>
      <c r="E10" s="1">
        <v>100</v>
      </c>
    </row>
    <row r="11" spans="1:5" ht="21" x14ac:dyDescent="0.35">
      <c r="A11" s="135"/>
      <c r="B11" s="136"/>
      <c r="C11" s="136"/>
      <c r="D11" s="136"/>
      <c r="E11" s="137"/>
    </row>
    <row r="12" spans="1:5" ht="21" x14ac:dyDescent="0.35">
      <c r="A12" s="285" t="s">
        <v>13</v>
      </c>
      <c r="B12" s="286"/>
      <c r="C12" s="286"/>
      <c r="D12" s="286"/>
      <c r="E12" s="287"/>
    </row>
    <row r="13" spans="1:5" ht="15.75" x14ac:dyDescent="0.25">
      <c r="A13" s="134" t="s">
        <v>0</v>
      </c>
      <c r="B13" s="134" t="s">
        <v>111</v>
      </c>
      <c r="C13" s="134" t="s">
        <v>1</v>
      </c>
      <c r="D13" s="134" t="s">
        <v>23</v>
      </c>
      <c r="E13" s="134" t="s">
        <v>700</v>
      </c>
    </row>
    <row r="14" spans="1:5" x14ac:dyDescent="0.25">
      <c r="A14" s="1">
        <v>1</v>
      </c>
      <c r="B14" s="1" t="s">
        <v>112</v>
      </c>
      <c r="C14" s="1" t="s">
        <v>716</v>
      </c>
      <c r="D14" s="1">
        <v>110</v>
      </c>
      <c r="E14" s="1">
        <v>250</v>
      </c>
    </row>
    <row r="15" spans="1:5" x14ac:dyDescent="0.25">
      <c r="A15" s="1">
        <v>2</v>
      </c>
      <c r="B15" s="1" t="s">
        <v>113</v>
      </c>
      <c r="C15" s="1" t="s">
        <v>710</v>
      </c>
      <c r="D15" s="1">
        <v>80</v>
      </c>
      <c r="E15" s="1">
        <v>250</v>
      </c>
    </row>
    <row r="16" spans="1:5" x14ac:dyDescent="0.25">
      <c r="A16" s="1">
        <v>3</v>
      </c>
      <c r="B16" s="1" t="s">
        <v>114</v>
      </c>
      <c r="C16" s="1" t="s">
        <v>200</v>
      </c>
      <c r="D16" s="1">
        <v>180</v>
      </c>
      <c r="E16" s="1">
        <v>450</v>
      </c>
    </row>
    <row r="17" spans="1:5" x14ac:dyDescent="0.25">
      <c r="A17" s="1">
        <v>4</v>
      </c>
      <c r="B17" s="1" t="s">
        <v>115</v>
      </c>
      <c r="C17" s="1" t="s">
        <v>18</v>
      </c>
      <c r="D17" s="1">
        <v>80</v>
      </c>
      <c r="E17" s="1">
        <v>250</v>
      </c>
    </row>
    <row r="18" spans="1:5" x14ac:dyDescent="0.25">
      <c r="A18" s="1">
        <v>5</v>
      </c>
      <c r="B18" s="1" t="s">
        <v>116</v>
      </c>
      <c r="C18" s="1" t="s">
        <v>715</v>
      </c>
      <c r="D18" s="1">
        <v>180</v>
      </c>
      <c r="E18" s="1">
        <v>450</v>
      </c>
    </row>
    <row r="19" spans="1:5" x14ac:dyDescent="0.25">
      <c r="A19" s="1">
        <v>6</v>
      </c>
      <c r="B19" s="1" t="s">
        <v>117</v>
      </c>
      <c r="C19" s="1" t="s">
        <v>18</v>
      </c>
      <c r="D19" s="1">
        <v>80</v>
      </c>
      <c r="E19" s="1">
        <v>250</v>
      </c>
    </row>
    <row r="20" spans="1:5" x14ac:dyDescent="0.25">
      <c r="A20" s="1">
        <v>7</v>
      </c>
      <c r="B20" s="1" t="s">
        <v>118</v>
      </c>
      <c r="C20" s="1" t="s">
        <v>709</v>
      </c>
      <c r="D20" s="1">
        <v>80</v>
      </c>
      <c r="E20" s="1">
        <v>250</v>
      </c>
    </row>
    <row r="22" spans="1:5" ht="21" x14ac:dyDescent="0.35">
      <c r="A22" s="288" t="s">
        <v>20</v>
      </c>
      <c r="B22" s="288"/>
      <c r="C22" s="288"/>
      <c r="D22" s="288"/>
      <c r="E22" s="288"/>
    </row>
    <row r="23" spans="1:5" ht="15.75" x14ac:dyDescent="0.25">
      <c r="A23" s="134" t="s">
        <v>0</v>
      </c>
      <c r="B23" s="134" t="s">
        <v>111</v>
      </c>
      <c r="C23" s="134" t="s">
        <v>1</v>
      </c>
      <c r="D23" s="134" t="s">
        <v>23</v>
      </c>
      <c r="E23" s="134" t="s">
        <v>700</v>
      </c>
    </row>
    <row r="24" spans="1:5" x14ac:dyDescent="0.25">
      <c r="A24" s="1">
        <v>1</v>
      </c>
      <c r="B24" s="1" t="s">
        <v>112</v>
      </c>
      <c r="C24" s="1" t="s">
        <v>343</v>
      </c>
      <c r="D24" s="1">
        <v>80</v>
      </c>
      <c r="E24" s="1">
        <v>250</v>
      </c>
    </row>
    <row r="25" spans="1:5" x14ac:dyDescent="0.25">
      <c r="A25" s="1">
        <v>2</v>
      </c>
      <c r="B25" s="1" t="s">
        <v>113</v>
      </c>
      <c r="C25" s="1" t="s">
        <v>18</v>
      </c>
      <c r="D25" s="1">
        <v>80</v>
      </c>
      <c r="E25" s="1">
        <v>250</v>
      </c>
    </row>
    <row r="26" spans="1:5" x14ac:dyDescent="0.25">
      <c r="A26" s="1">
        <v>3</v>
      </c>
      <c r="B26" s="1" t="s">
        <v>114</v>
      </c>
      <c r="C26" s="1" t="s">
        <v>711</v>
      </c>
      <c r="D26" s="138">
        <v>80100</v>
      </c>
      <c r="E26" s="1" t="s">
        <v>713</v>
      </c>
    </row>
    <row r="27" spans="1:5" x14ac:dyDescent="0.25">
      <c r="A27" s="1">
        <v>4</v>
      </c>
      <c r="B27" s="1" t="s">
        <v>115</v>
      </c>
      <c r="C27" s="1" t="s">
        <v>708</v>
      </c>
      <c r="D27" s="1">
        <v>110</v>
      </c>
      <c r="E27" s="1">
        <v>250</v>
      </c>
    </row>
    <row r="28" spans="1:5" x14ac:dyDescent="0.25">
      <c r="A28" s="1">
        <v>5</v>
      </c>
      <c r="B28" s="1" t="s">
        <v>116</v>
      </c>
      <c r="C28" s="1" t="s">
        <v>18</v>
      </c>
      <c r="D28" s="1">
        <v>80</v>
      </c>
      <c r="E28" s="1">
        <v>250</v>
      </c>
    </row>
    <row r="29" spans="1:5" x14ac:dyDescent="0.25">
      <c r="A29" s="1">
        <v>6</v>
      </c>
      <c r="B29" s="1" t="s">
        <v>117</v>
      </c>
      <c r="C29" s="1" t="s">
        <v>288</v>
      </c>
      <c r="D29" s="1">
        <v>80</v>
      </c>
      <c r="E29" s="1">
        <v>250</v>
      </c>
    </row>
    <row r="30" spans="1:5" x14ac:dyDescent="0.25">
      <c r="A30" s="1">
        <v>7</v>
      </c>
      <c r="B30" s="1" t="s">
        <v>118</v>
      </c>
      <c r="C30" s="1" t="s">
        <v>122</v>
      </c>
      <c r="D30" s="1">
        <v>120</v>
      </c>
      <c r="E30" s="1" t="s">
        <v>713</v>
      </c>
    </row>
  </sheetData>
  <mergeCells count="4">
    <mergeCell ref="A1:E1"/>
    <mergeCell ref="A12:E12"/>
    <mergeCell ref="A22:E22"/>
    <mergeCell ref="A2:E2"/>
  </mergeCells>
  <pageMargins left="0.70866141732283472" right="0.70866141732283472" top="0.74803149606299213" bottom="0.74803149606299213" header="0.31496062992125984" footer="0.31496062992125984"/>
  <pageSetup scale="125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3"/>
  <sheetViews>
    <sheetView topLeftCell="A582" zoomScale="115" zoomScaleNormal="115" workbookViewId="0">
      <selection activeCell="H605" sqref="H605"/>
    </sheetView>
  </sheetViews>
  <sheetFormatPr defaultRowHeight="15" x14ac:dyDescent="0.25"/>
  <cols>
    <col min="1" max="1" width="5.42578125" bestFit="1" customWidth="1"/>
    <col min="2" max="2" width="12" customWidth="1"/>
    <col min="3" max="3" width="34.140625" bestFit="1" customWidth="1"/>
    <col min="4" max="4" width="9.140625" bestFit="1" customWidth="1"/>
    <col min="5" max="5" width="10.42578125" bestFit="1" customWidth="1"/>
    <col min="6" max="6" width="20.85546875" bestFit="1" customWidth="1"/>
    <col min="9" max="9" width="9.5703125" bestFit="1" customWidth="1"/>
  </cols>
  <sheetData>
    <row r="1" spans="1:7" ht="19.5" thickBot="1" x14ac:dyDescent="0.35">
      <c r="A1" s="10" t="s">
        <v>0</v>
      </c>
      <c r="B1" s="11" t="s">
        <v>3</v>
      </c>
      <c r="C1" s="11" t="s">
        <v>1</v>
      </c>
      <c r="D1" s="11" t="s">
        <v>26</v>
      </c>
      <c r="E1" s="11" t="s">
        <v>23</v>
      </c>
      <c r="F1" s="12" t="s">
        <v>27</v>
      </c>
      <c r="G1" s="13"/>
    </row>
    <row r="2" spans="1:7" x14ac:dyDescent="0.25">
      <c r="A2" s="3">
        <v>1</v>
      </c>
      <c r="B2" s="3" t="s">
        <v>5</v>
      </c>
      <c r="C2" s="3" t="s">
        <v>28</v>
      </c>
      <c r="D2" s="3" t="s">
        <v>29</v>
      </c>
      <c r="E2" s="4">
        <v>2100</v>
      </c>
      <c r="F2" s="3" t="s">
        <v>31</v>
      </c>
    </row>
    <row r="3" spans="1:7" x14ac:dyDescent="0.25">
      <c r="A3" s="3">
        <v>2</v>
      </c>
      <c r="B3" s="1" t="s">
        <v>5</v>
      </c>
      <c r="C3" s="1" t="s">
        <v>32</v>
      </c>
      <c r="D3" s="1" t="s">
        <v>29</v>
      </c>
      <c r="E3" s="5">
        <v>2400</v>
      </c>
      <c r="F3" s="1" t="s">
        <v>31</v>
      </c>
    </row>
    <row r="4" spans="1:7" x14ac:dyDescent="0.25">
      <c r="A4" s="3">
        <v>3</v>
      </c>
      <c r="B4" s="1" t="s">
        <v>5</v>
      </c>
      <c r="C4" s="1" t="s">
        <v>33</v>
      </c>
      <c r="D4" s="1" t="s">
        <v>34</v>
      </c>
      <c r="E4" s="5">
        <v>100</v>
      </c>
      <c r="F4" s="1" t="s">
        <v>31</v>
      </c>
    </row>
    <row r="5" spans="1:7" x14ac:dyDescent="0.25">
      <c r="A5" s="3">
        <v>4</v>
      </c>
      <c r="B5" s="1" t="s">
        <v>5</v>
      </c>
      <c r="C5" s="1" t="s">
        <v>19</v>
      </c>
      <c r="D5" s="1">
        <v>6</v>
      </c>
      <c r="E5" s="5">
        <v>90</v>
      </c>
      <c r="F5" s="1" t="s">
        <v>31</v>
      </c>
    </row>
    <row r="6" spans="1:7" x14ac:dyDescent="0.25">
      <c r="A6" s="3">
        <v>5</v>
      </c>
      <c r="B6" s="1" t="s">
        <v>5</v>
      </c>
      <c r="C6" s="1" t="s">
        <v>35</v>
      </c>
      <c r="D6" s="1">
        <v>4</v>
      </c>
      <c r="E6" s="5">
        <v>200</v>
      </c>
      <c r="F6" s="1" t="s">
        <v>31</v>
      </c>
    </row>
    <row r="7" spans="1:7" x14ac:dyDescent="0.25">
      <c r="A7" s="3">
        <v>6</v>
      </c>
      <c r="B7" s="1" t="s">
        <v>5</v>
      </c>
      <c r="C7" s="1" t="s">
        <v>36</v>
      </c>
      <c r="D7" s="1">
        <v>3</v>
      </c>
      <c r="E7" s="5">
        <v>150</v>
      </c>
      <c r="F7" s="1" t="s">
        <v>31</v>
      </c>
    </row>
    <row r="8" spans="1:7" x14ac:dyDescent="0.25">
      <c r="A8" s="3">
        <v>7</v>
      </c>
      <c r="B8" s="1" t="s">
        <v>5</v>
      </c>
      <c r="C8" s="1" t="s">
        <v>9</v>
      </c>
      <c r="D8" s="1">
        <v>8</v>
      </c>
      <c r="E8" s="5">
        <v>280</v>
      </c>
      <c r="F8" s="1" t="s">
        <v>31</v>
      </c>
    </row>
    <row r="9" spans="1:7" x14ac:dyDescent="0.25">
      <c r="A9" s="3">
        <v>8</v>
      </c>
      <c r="B9" s="1" t="s">
        <v>5</v>
      </c>
      <c r="C9" s="1" t="s">
        <v>37</v>
      </c>
      <c r="D9" s="1">
        <v>4</v>
      </c>
      <c r="E9" s="5">
        <v>140</v>
      </c>
      <c r="F9" s="1" t="s">
        <v>31</v>
      </c>
    </row>
    <row r="10" spans="1:7" ht="15.75" thickBot="1" x14ac:dyDescent="0.3">
      <c r="A10" s="6">
        <v>9</v>
      </c>
      <c r="B10" s="7" t="s">
        <v>5</v>
      </c>
      <c r="C10" s="7" t="s">
        <v>38</v>
      </c>
      <c r="D10" s="7">
        <v>2</v>
      </c>
      <c r="E10" s="8">
        <v>20</v>
      </c>
      <c r="F10" s="1" t="s">
        <v>31</v>
      </c>
    </row>
    <row r="11" spans="1:7" ht="15.75" thickBot="1" x14ac:dyDescent="0.3">
      <c r="A11" s="292" t="s">
        <v>41</v>
      </c>
      <c r="B11" s="297"/>
      <c r="C11" s="297"/>
      <c r="D11" s="293"/>
      <c r="E11" s="9">
        <f>SUM(E2:E10)</f>
        <v>5480</v>
      </c>
    </row>
    <row r="12" spans="1:7" ht="15.75" thickBot="1" x14ac:dyDescent="0.3">
      <c r="A12" s="292" t="s">
        <v>39</v>
      </c>
      <c r="B12" s="293"/>
      <c r="F12" s="14" t="s">
        <v>40</v>
      </c>
    </row>
    <row r="13" spans="1:7" ht="18.75" x14ac:dyDescent="0.3">
      <c r="A13" s="26" t="s">
        <v>0</v>
      </c>
      <c r="B13" s="27" t="s">
        <v>3</v>
      </c>
      <c r="C13" s="27" t="s">
        <v>1</v>
      </c>
      <c r="D13" s="27" t="s">
        <v>26</v>
      </c>
      <c r="E13" s="27" t="s">
        <v>23</v>
      </c>
      <c r="F13" s="28" t="s">
        <v>27</v>
      </c>
    </row>
    <row r="14" spans="1:7" x14ac:dyDescent="0.25">
      <c r="A14" s="298" t="s">
        <v>93</v>
      </c>
      <c r="B14" s="298"/>
      <c r="C14" s="298"/>
      <c r="D14" s="298"/>
      <c r="E14" s="298"/>
      <c r="F14" s="298"/>
    </row>
    <row r="15" spans="1:7" x14ac:dyDescent="0.25">
      <c r="A15" s="3">
        <v>1</v>
      </c>
      <c r="B15" s="3" t="s">
        <v>52</v>
      </c>
      <c r="C15" s="29" t="s">
        <v>87</v>
      </c>
      <c r="D15" s="29">
        <v>5</v>
      </c>
      <c r="E15" s="4">
        <v>150</v>
      </c>
      <c r="F15" s="3" t="s">
        <v>31</v>
      </c>
    </row>
    <row r="16" spans="1:7" x14ac:dyDescent="0.25">
      <c r="A16" s="3">
        <v>2</v>
      </c>
      <c r="B16" s="3" t="s">
        <v>52</v>
      </c>
      <c r="C16" s="1" t="s">
        <v>88</v>
      </c>
      <c r="D16" s="1">
        <v>10</v>
      </c>
      <c r="E16" s="5">
        <v>350</v>
      </c>
      <c r="F16" s="1" t="s">
        <v>31</v>
      </c>
    </row>
    <row r="17" spans="1:6" x14ac:dyDescent="0.25">
      <c r="A17" s="3">
        <v>3</v>
      </c>
      <c r="B17" s="3" t="s">
        <v>52</v>
      </c>
      <c r="C17" s="1" t="s">
        <v>89</v>
      </c>
      <c r="D17" s="1">
        <v>5</v>
      </c>
      <c r="E17" s="5">
        <v>250</v>
      </c>
      <c r="F17" s="1" t="s">
        <v>31</v>
      </c>
    </row>
    <row r="18" spans="1:6" x14ac:dyDescent="0.25">
      <c r="A18" s="298" t="s">
        <v>13</v>
      </c>
      <c r="B18" s="298"/>
      <c r="C18" s="298"/>
      <c r="D18" s="298"/>
      <c r="E18" s="298"/>
      <c r="F18" s="298"/>
    </row>
    <row r="19" spans="1:6" x14ac:dyDescent="0.25">
      <c r="A19" s="3">
        <v>1</v>
      </c>
      <c r="B19" s="3" t="s">
        <v>52</v>
      </c>
      <c r="C19" s="1" t="s">
        <v>89</v>
      </c>
      <c r="D19" s="1">
        <v>4</v>
      </c>
      <c r="E19" s="5">
        <v>200</v>
      </c>
      <c r="F19" s="1" t="s">
        <v>31</v>
      </c>
    </row>
    <row r="20" spans="1:6" x14ac:dyDescent="0.25">
      <c r="A20" s="3">
        <v>2</v>
      </c>
      <c r="B20" s="3" t="s">
        <v>52</v>
      </c>
      <c r="C20" s="1" t="s">
        <v>33</v>
      </c>
      <c r="D20" s="1">
        <v>2</v>
      </c>
      <c r="E20" s="5">
        <v>40</v>
      </c>
      <c r="F20" s="1" t="s">
        <v>31</v>
      </c>
    </row>
    <row r="21" spans="1:6" x14ac:dyDescent="0.25">
      <c r="A21" s="3">
        <v>3</v>
      </c>
      <c r="B21" s="3" t="s">
        <v>52</v>
      </c>
      <c r="C21" s="1" t="s">
        <v>86</v>
      </c>
      <c r="D21" s="1">
        <v>3</v>
      </c>
      <c r="E21" s="5">
        <v>600</v>
      </c>
      <c r="F21" s="1" t="s">
        <v>31</v>
      </c>
    </row>
    <row r="22" spans="1:6" x14ac:dyDescent="0.25">
      <c r="A22" s="3">
        <v>4</v>
      </c>
      <c r="B22" s="3" t="s">
        <v>52</v>
      </c>
      <c r="C22" s="1" t="s">
        <v>19</v>
      </c>
      <c r="D22" s="1">
        <v>8</v>
      </c>
      <c r="E22" s="5">
        <v>120</v>
      </c>
      <c r="F22" s="1" t="s">
        <v>31</v>
      </c>
    </row>
    <row r="23" spans="1:6" x14ac:dyDescent="0.25">
      <c r="A23" s="3">
        <v>5</v>
      </c>
      <c r="B23" s="3" t="s">
        <v>52</v>
      </c>
      <c r="C23" s="1" t="s">
        <v>86</v>
      </c>
      <c r="D23" s="1">
        <v>3</v>
      </c>
      <c r="E23" s="5">
        <v>600</v>
      </c>
      <c r="F23" s="1" t="s">
        <v>31</v>
      </c>
    </row>
    <row r="24" spans="1:6" x14ac:dyDescent="0.25">
      <c r="A24" s="3">
        <v>6</v>
      </c>
      <c r="B24" s="1" t="s">
        <v>52</v>
      </c>
      <c r="C24" s="1" t="s">
        <v>19</v>
      </c>
      <c r="D24" s="1">
        <v>8</v>
      </c>
      <c r="E24" s="5">
        <v>120</v>
      </c>
      <c r="F24" s="1" t="s">
        <v>31</v>
      </c>
    </row>
    <row r="25" spans="1:6" x14ac:dyDescent="0.25">
      <c r="A25" s="3">
        <v>7</v>
      </c>
      <c r="B25" s="1" t="s">
        <v>52</v>
      </c>
      <c r="C25" s="24" t="s">
        <v>33</v>
      </c>
      <c r="D25" s="24">
        <v>2</v>
      </c>
      <c r="E25" s="5">
        <v>40</v>
      </c>
      <c r="F25" s="1" t="s">
        <v>31</v>
      </c>
    </row>
    <row r="26" spans="1:6" x14ac:dyDescent="0.25">
      <c r="A26" s="3">
        <v>8</v>
      </c>
      <c r="B26" s="1" t="s">
        <v>52</v>
      </c>
      <c r="C26" s="24" t="s">
        <v>90</v>
      </c>
      <c r="D26" s="24">
        <v>1</v>
      </c>
      <c r="E26" s="5">
        <v>120</v>
      </c>
      <c r="F26" s="1" t="s">
        <v>31</v>
      </c>
    </row>
    <row r="27" spans="1:6" x14ac:dyDescent="0.25">
      <c r="A27" s="3">
        <v>9</v>
      </c>
      <c r="B27" s="1" t="s">
        <v>52</v>
      </c>
      <c r="C27" s="24" t="s">
        <v>37</v>
      </c>
      <c r="D27" s="24">
        <v>10</v>
      </c>
      <c r="E27" s="5">
        <v>350</v>
      </c>
      <c r="F27" s="1" t="s">
        <v>31</v>
      </c>
    </row>
    <row r="28" spans="1:6" x14ac:dyDescent="0.25">
      <c r="A28" s="299" t="s">
        <v>20</v>
      </c>
      <c r="B28" s="300"/>
      <c r="C28" s="300"/>
      <c r="D28" s="300"/>
      <c r="E28" s="300"/>
      <c r="F28" s="301"/>
    </row>
    <row r="29" spans="1:6" x14ac:dyDescent="0.25">
      <c r="A29" s="1">
        <v>1</v>
      </c>
      <c r="B29" s="1" t="s">
        <v>52</v>
      </c>
      <c r="C29" s="1" t="s">
        <v>32</v>
      </c>
      <c r="D29" s="1" t="s">
        <v>91</v>
      </c>
      <c r="E29" s="5">
        <v>3200</v>
      </c>
      <c r="F29" s="1" t="s">
        <v>31</v>
      </c>
    </row>
    <row r="30" spans="1:6" x14ac:dyDescent="0.25">
      <c r="A30" s="1">
        <v>2</v>
      </c>
      <c r="B30" s="1" t="s">
        <v>52</v>
      </c>
      <c r="C30" s="1" t="s">
        <v>28</v>
      </c>
      <c r="D30" s="1" t="s">
        <v>92</v>
      </c>
      <c r="E30" s="5">
        <v>1600</v>
      </c>
      <c r="F30" s="1" t="s">
        <v>31</v>
      </c>
    </row>
    <row r="31" spans="1:6" x14ac:dyDescent="0.25">
      <c r="A31" s="1">
        <v>3</v>
      </c>
      <c r="B31" s="1" t="s">
        <v>52</v>
      </c>
      <c r="C31" s="1" t="s">
        <v>33</v>
      </c>
      <c r="D31" s="1">
        <v>2</v>
      </c>
      <c r="E31" s="5">
        <v>40</v>
      </c>
      <c r="F31" s="1" t="s">
        <v>31</v>
      </c>
    </row>
    <row r="32" spans="1:6" x14ac:dyDescent="0.25">
      <c r="A32" s="1">
        <v>4</v>
      </c>
      <c r="B32" s="1" t="s">
        <v>52</v>
      </c>
      <c r="C32" s="1" t="s">
        <v>90</v>
      </c>
      <c r="D32" s="1">
        <v>1</v>
      </c>
      <c r="E32" s="5">
        <v>120</v>
      </c>
      <c r="F32" s="1" t="s">
        <v>31</v>
      </c>
    </row>
    <row r="33" spans="1:6" x14ac:dyDescent="0.25">
      <c r="A33" s="1">
        <v>5</v>
      </c>
      <c r="B33" s="1" t="s">
        <v>52</v>
      </c>
      <c r="C33" s="1" t="s">
        <v>19</v>
      </c>
      <c r="D33" s="1">
        <v>15</v>
      </c>
      <c r="E33" s="5">
        <v>225</v>
      </c>
      <c r="F33" s="1" t="s">
        <v>31</v>
      </c>
    </row>
    <row r="34" spans="1:6" ht="15.75" thickBot="1" x14ac:dyDescent="0.3">
      <c r="A34" s="294" t="s">
        <v>41</v>
      </c>
      <c r="B34" s="294"/>
      <c r="C34" s="294"/>
      <c r="D34" s="294"/>
      <c r="E34" s="17">
        <f>E15+E16+E17+E19+E20+E21+E22+E23+E24+E25+E26+E27+E29+E30+E31+E32+E33</f>
        <v>8125</v>
      </c>
      <c r="F34" s="2"/>
    </row>
    <row r="35" spans="1:6" ht="15.75" thickBot="1" x14ac:dyDescent="0.3">
      <c r="A35" s="292" t="s">
        <v>39</v>
      </c>
      <c r="B35" s="293"/>
      <c r="F35" s="14" t="s">
        <v>40</v>
      </c>
    </row>
    <row r="36" spans="1:6" ht="19.5" thickBot="1" x14ac:dyDescent="0.35">
      <c r="A36" s="10" t="s">
        <v>0</v>
      </c>
      <c r="B36" s="11" t="s">
        <v>3</v>
      </c>
      <c r="C36" s="11" t="s">
        <v>1</v>
      </c>
      <c r="D36" s="11" t="s">
        <v>26</v>
      </c>
      <c r="E36" s="11" t="s">
        <v>23</v>
      </c>
      <c r="F36" s="12" t="s">
        <v>27</v>
      </c>
    </row>
    <row r="37" spans="1:6" x14ac:dyDescent="0.25">
      <c r="A37" s="3">
        <v>1</v>
      </c>
      <c r="B37" s="3" t="s">
        <v>108</v>
      </c>
      <c r="C37" s="3" t="s">
        <v>130</v>
      </c>
      <c r="D37" s="3">
        <v>7</v>
      </c>
      <c r="E37" s="4">
        <v>245</v>
      </c>
      <c r="F37" s="3" t="s">
        <v>31</v>
      </c>
    </row>
    <row r="38" spans="1:6" x14ac:dyDescent="0.25">
      <c r="A38" s="3">
        <v>2</v>
      </c>
      <c r="B38" s="3" t="s">
        <v>108</v>
      </c>
      <c r="C38" s="1" t="s">
        <v>131</v>
      </c>
      <c r="D38" s="1">
        <v>5</v>
      </c>
      <c r="E38" s="5">
        <v>250</v>
      </c>
      <c r="F38" s="1" t="s">
        <v>31</v>
      </c>
    </row>
    <row r="39" spans="1:6" x14ac:dyDescent="0.25">
      <c r="A39" s="3">
        <v>3</v>
      </c>
      <c r="B39" s="3" t="s">
        <v>108</v>
      </c>
      <c r="C39" s="1" t="s">
        <v>132</v>
      </c>
      <c r="D39" s="1" t="s">
        <v>133</v>
      </c>
      <c r="E39" s="5">
        <v>1000</v>
      </c>
      <c r="F39" s="1" t="s">
        <v>31</v>
      </c>
    </row>
    <row r="40" spans="1:6" x14ac:dyDescent="0.25">
      <c r="A40" s="3">
        <v>4</v>
      </c>
      <c r="B40" s="3" t="s">
        <v>108</v>
      </c>
      <c r="C40" s="1" t="s">
        <v>32</v>
      </c>
      <c r="D40" s="1" t="s">
        <v>133</v>
      </c>
      <c r="E40" s="5">
        <v>1600</v>
      </c>
      <c r="F40" s="1" t="s">
        <v>31</v>
      </c>
    </row>
    <row r="41" spans="1:6" x14ac:dyDescent="0.25">
      <c r="A41" s="3">
        <v>5</v>
      </c>
      <c r="B41" s="3" t="s">
        <v>108</v>
      </c>
      <c r="C41" s="1" t="s">
        <v>22</v>
      </c>
      <c r="D41" s="1" t="s">
        <v>133</v>
      </c>
      <c r="E41" s="5">
        <v>1600</v>
      </c>
      <c r="F41" s="1" t="s">
        <v>31</v>
      </c>
    </row>
    <row r="42" spans="1:6" x14ac:dyDescent="0.25">
      <c r="A42" s="3">
        <v>6</v>
      </c>
      <c r="B42" s="3" t="s">
        <v>108</v>
      </c>
      <c r="C42" s="1" t="s">
        <v>127</v>
      </c>
      <c r="D42" s="1" t="s">
        <v>134</v>
      </c>
      <c r="E42" s="5">
        <v>600</v>
      </c>
      <c r="F42" s="1" t="s">
        <v>31</v>
      </c>
    </row>
    <row r="43" spans="1:6" x14ac:dyDescent="0.25">
      <c r="A43" s="3">
        <v>7</v>
      </c>
      <c r="B43" s="3" t="s">
        <v>108</v>
      </c>
      <c r="C43" s="1" t="s">
        <v>33</v>
      </c>
      <c r="D43" s="1">
        <v>1</v>
      </c>
      <c r="E43" s="5">
        <v>20</v>
      </c>
      <c r="F43" s="1" t="s">
        <v>31</v>
      </c>
    </row>
    <row r="44" spans="1:6" x14ac:dyDescent="0.25">
      <c r="A44" s="3">
        <v>8</v>
      </c>
      <c r="B44" s="3" t="s">
        <v>108</v>
      </c>
      <c r="C44" s="1" t="s">
        <v>109</v>
      </c>
      <c r="D44" s="1" t="s">
        <v>34</v>
      </c>
      <c r="E44" s="5">
        <v>220</v>
      </c>
      <c r="F44" s="1" t="s">
        <v>31</v>
      </c>
    </row>
    <row r="45" spans="1:6" x14ac:dyDescent="0.25">
      <c r="A45" s="3">
        <v>9</v>
      </c>
      <c r="B45" s="3" t="s">
        <v>108</v>
      </c>
      <c r="C45" s="1" t="s">
        <v>135</v>
      </c>
      <c r="D45" s="1" t="s">
        <v>136</v>
      </c>
      <c r="E45" s="5">
        <v>400</v>
      </c>
      <c r="F45" s="1" t="s">
        <v>31</v>
      </c>
    </row>
    <row r="46" spans="1:6" ht="15.75" thickBot="1" x14ac:dyDescent="0.3">
      <c r="A46" s="3">
        <v>10</v>
      </c>
      <c r="B46" s="3" t="s">
        <v>108</v>
      </c>
      <c r="C46" s="7" t="s">
        <v>14</v>
      </c>
      <c r="D46" s="7">
        <v>4</v>
      </c>
      <c r="E46" s="8">
        <v>260</v>
      </c>
      <c r="F46" s="1" t="s">
        <v>31</v>
      </c>
    </row>
    <row r="47" spans="1:6" ht="15.75" thickBot="1" x14ac:dyDescent="0.3">
      <c r="A47" s="292" t="s">
        <v>41</v>
      </c>
      <c r="B47" s="297"/>
      <c r="C47" s="297"/>
      <c r="D47" s="293"/>
      <c r="E47" s="9">
        <f>SUM(E37:E46)</f>
        <v>6195</v>
      </c>
    </row>
    <row r="48" spans="1:6" ht="15.75" thickBot="1" x14ac:dyDescent="0.3">
      <c r="A48" s="292" t="s">
        <v>39</v>
      </c>
      <c r="B48" s="293"/>
      <c r="F48" s="14" t="s">
        <v>40</v>
      </c>
    </row>
    <row r="49" spans="1:6" ht="19.5" thickBot="1" x14ac:dyDescent="0.35">
      <c r="A49" s="10" t="s">
        <v>0</v>
      </c>
      <c r="B49" s="11" t="s">
        <v>3</v>
      </c>
      <c r="C49" s="11" t="s">
        <v>1</v>
      </c>
      <c r="D49" s="11" t="s">
        <v>26</v>
      </c>
      <c r="E49" s="11" t="s">
        <v>23</v>
      </c>
      <c r="F49" s="12" t="s">
        <v>27</v>
      </c>
    </row>
    <row r="50" spans="1:6" x14ac:dyDescent="0.25">
      <c r="A50" s="3">
        <v>1</v>
      </c>
      <c r="B50" s="3" t="s">
        <v>119</v>
      </c>
      <c r="C50" s="3" t="s">
        <v>178</v>
      </c>
      <c r="D50" s="3" t="s">
        <v>133</v>
      </c>
      <c r="E50" s="4">
        <v>500</v>
      </c>
      <c r="F50" s="3" t="s">
        <v>31</v>
      </c>
    </row>
    <row r="51" spans="1:6" x14ac:dyDescent="0.25">
      <c r="A51" s="3">
        <v>2</v>
      </c>
      <c r="B51" s="3" t="s">
        <v>119</v>
      </c>
      <c r="C51" s="1" t="s">
        <v>141</v>
      </c>
      <c r="D51" s="1" t="s">
        <v>133</v>
      </c>
      <c r="E51" s="5">
        <v>1600</v>
      </c>
      <c r="F51" s="1" t="s">
        <v>31</v>
      </c>
    </row>
    <row r="52" spans="1:6" x14ac:dyDescent="0.25">
      <c r="A52" s="3">
        <v>3</v>
      </c>
      <c r="B52" s="3" t="s">
        <v>119</v>
      </c>
      <c r="C52" s="1" t="s">
        <v>33</v>
      </c>
      <c r="D52" s="1">
        <v>2</v>
      </c>
      <c r="E52" s="5">
        <v>40</v>
      </c>
      <c r="F52" s="1" t="s">
        <v>31</v>
      </c>
    </row>
    <row r="53" spans="1:6" ht="15.75" thickBot="1" x14ac:dyDescent="0.3">
      <c r="A53" s="3">
        <v>4</v>
      </c>
      <c r="B53" s="3" t="s">
        <v>119</v>
      </c>
      <c r="C53" s="1" t="s">
        <v>179</v>
      </c>
      <c r="D53" s="1"/>
      <c r="E53" s="5">
        <v>280</v>
      </c>
      <c r="F53" s="1" t="s">
        <v>31</v>
      </c>
    </row>
    <row r="54" spans="1:6" ht="15.75" thickBot="1" x14ac:dyDescent="0.3">
      <c r="A54" s="292" t="s">
        <v>41</v>
      </c>
      <c r="B54" s="297"/>
      <c r="C54" s="297"/>
      <c r="D54" s="293"/>
      <c r="E54" s="9">
        <f>SUM(E50:E53)</f>
        <v>2420</v>
      </c>
    </row>
    <row r="55" spans="1:6" ht="15.75" thickBot="1" x14ac:dyDescent="0.3">
      <c r="A55" s="292" t="s">
        <v>39</v>
      </c>
      <c r="B55" s="293"/>
      <c r="F55" s="14" t="s">
        <v>40</v>
      </c>
    </row>
    <row r="56" spans="1:6" ht="19.5" thickBot="1" x14ac:dyDescent="0.35">
      <c r="A56" s="10" t="s">
        <v>0</v>
      </c>
      <c r="B56" s="11" t="s">
        <v>3</v>
      </c>
      <c r="C56" s="11" t="s">
        <v>1</v>
      </c>
      <c r="D56" s="11" t="s">
        <v>26</v>
      </c>
      <c r="E56" s="11" t="s">
        <v>23</v>
      </c>
      <c r="F56" s="12" t="s">
        <v>27</v>
      </c>
    </row>
    <row r="57" spans="1:6" x14ac:dyDescent="0.25">
      <c r="A57" s="3">
        <v>1</v>
      </c>
      <c r="B57" s="3" t="s">
        <v>177</v>
      </c>
      <c r="C57" s="3" t="s">
        <v>9</v>
      </c>
      <c r="D57" s="3">
        <v>10</v>
      </c>
      <c r="E57" s="4">
        <v>350</v>
      </c>
      <c r="F57" s="3" t="s">
        <v>31</v>
      </c>
    </row>
    <row r="58" spans="1:6" x14ac:dyDescent="0.25">
      <c r="A58" s="3">
        <v>2</v>
      </c>
      <c r="B58" s="3" t="s">
        <v>177</v>
      </c>
      <c r="C58" s="1" t="s">
        <v>196</v>
      </c>
      <c r="D58" s="1">
        <v>5</v>
      </c>
      <c r="E58" s="5">
        <v>250</v>
      </c>
      <c r="F58" s="1" t="s">
        <v>31</v>
      </c>
    </row>
    <row r="59" spans="1:6" x14ac:dyDescent="0.25">
      <c r="A59" s="3">
        <v>3</v>
      </c>
      <c r="B59" s="3" t="s">
        <v>177</v>
      </c>
      <c r="C59" s="1" t="s">
        <v>28</v>
      </c>
      <c r="D59" s="1" t="s">
        <v>133</v>
      </c>
      <c r="E59" s="5">
        <v>1600</v>
      </c>
      <c r="F59" s="1" t="s">
        <v>31</v>
      </c>
    </row>
    <row r="60" spans="1:6" x14ac:dyDescent="0.25">
      <c r="A60" s="3">
        <v>4</v>
      </c>
      <c r="B60" s="3" t="s">
        <v>177</v>
      </c>
      <c r="C60" s="1" t="s">
        <v>18</v>
      </c>
      <c r="D60" s="1">
        <v>3</v>
      </c>
      <c r="E60" s="5">
        <v>240</v>
      </c>
      <c r="F60" s="1" t="s">
        <v>31</v>
      </c>
    </row>
    <row r="61" spans="1:6" x14ac:dyDescent="0.25">
      <c r="A61" s="3">
        <v>5</v>
      </c>
      <c r="B61" s="3" t="s">
        <v>177</v>
      </c>
      <c r="C61" s="1" t="s">
        <v>19</v>
      </c>
      <c r="D61" s="1">
        <v>31</v>
      </c>
      <c r="E61" s="5">
        <v>465</v>
      </c>
      <c r="F61" s="1" t="s">
        <v>31</v>
      </c>
    </row>
    <row r="62" spans="1:6" x14ac:dyDescent="0.25">
      <c r="A62" s="3">
        <v>6</v>
      </c>
      <c r="B62" s="3" t="s">
        <v>177</v>
      </c>
      <c r="C62" s="1" t="s">
        <v>33</v>
      </c>
      <c r="D62" s="1">
        <v>2</v>
      </c>
      <c r="E62" s="5">
        <v>40</v>
      </c>
      <c r="F62" s="1" t="s">
        <v>31</v>
      </c>
    </row>
    <row r="63" spans="1:6" x14ac:dyDescent="0.25">
      <c r="A63" s="3">
        <v>7</v>
      </c>
      <c r="B63" s="3" t="s">
        <v>177</v>
      </c>
      <c r="C63" s="1" t="s">
        <v>179</v>
      </c>
      <c r="D63" s="1">
        <v>13</v>
      </c>
      <c r="E63" s="5">
        <v>910</v>
      </c>
      <c r="F63" s="1" t="s">
        <v>31</v>
      </c>
    </row>
    <row r="64" spans="1:6" x14ac:dyDescent="0.25">
      <c r="A64" s="3">
        <v>8</v>
      </c>
      <c r="B64" s="3" t="s">
        <v>177</v>
      </c>
      <c r="C64" s="1" t="s">
        <v>197</v>
      </c>
      <c r="D64" s="1">
        <v>11</v>
      </c>
      <c r="E64" s="5">
        <v>440</v>
      </c>
      <c r="F64" s="1" t="s">
        <v>31</v>
      </c>
    </row>
    <row r="65" spans="1:6" x14ac:dyDescent="0.25">
      <c r="A65" s="3">
        <v>9</v>
      </c>
      <c r="B65" s="3" t="s">
        <v>177</v>
      </c>
      <c r="C65" s="1" t="s">
        <v>198</v>
      </c>
      <c r="D65" s="1">
        <v>6</v>
      </c>
      <c r="E65" s="5">
        <v>420</v>
      </c>
      <c r="F65" s="1" t="s">
        <v>31</v>
      </c>
    </row>
    <row r="66" spans="1:6" x14ac:dyDescent="0.25">
      <c r="A66" s="3">
        <v>10</v>
      </c>
      <c r="B66" s="1" t="s">
        <v>177</v>
      </c>
      <c r="C66" s="1" t="s">
        <v>199</v>
      </c>
      <c r="D66" s="1"/>
      <c r="E66" s="5">
        <v>480</v>
      </c>
      <c r="F66" s="1" t="s">
        <v>31</v>
      </c>
    </row>
    <row r="67" spans="1:6" x14ac:dyDescent="0.25">
      <c r="A67" s="3">
        <v>11</v>
      </c>
      <c r="B67" s="1" t="s">
        <v>177</v>
      </c>
      <c r="C67" s="1" t="s">
        <v>200</v>
      </c>
      <c r="D67" s="1" t="s">
        <v>202</v>
      </c>
      <c r="E67" s="5">
        <v>3200</v>
      </c>
      <c r="F67" s="1" t="s">
        <v>31</v>
      </c>
    </row>
    <row r="68" spans="1:6" x14ac:dyDescent="0.25">
      <c r="A68" s="3">
        <v>12</v>
      </c>
      <c r="B68" s="1" t="s">
        <v>177</v>
      </c>
      <c r="C68" s="1" t="s">
        <v>201</v>
      </c>
      <c r="D68" s="1">
        <v>2</v>
      </c>
      <c r="E68" s="5">
        <v>240</v>
      </c>
      <c r="F68" s="1" t="s">
        <v>31</v>
      </c>
    </row>
    <row r="69" spans="1:6" x14ac:dyDescent="0.25">
      <c r="A69" s="3">
        <v>13</v>
      </c>
      <c r="B69" s="1" t="s">
        <v>177</v>
      </c>
      <c r="C69" s="1" t="s">
        <v>178</v>
      </c>
      <c r="D69" s="1">
        <v>0.5</v>
      </c>
      <c r="E69" s="5">
        <v>100</v>
      </c>
      <c r="F69" s="1" t="s">
        <v>31</v>
      </c>
    </row>
    <row r="70" spans="1:6" x14ac:dyDescent="0.25">
      <c r="A70" s="3">
        <v>14</v>
      </c>
      <c r="B70" s="1" t="s">
        <v>177</v>
      </c>
      <c r="C70" s="1" t="s">
        <v>28</v>
      </c>
      <c r="D70" s="1">
        <v>2</v>
      </c>
      <c r="E70" s="5">
        <v>400</v>
      </c>
      <c r="F70" s="1" t="s">
        <v>31</v>
      </c>
    </row>
    <row r="71" spans="1:6" x14ac:dyDescent="0.25">
      <c r="A71" s="3">
        <v>15</v>
      </c>
      <c r="B71" s="1" t="s">
        <v>177</v>
      </c>
      <c r="C71" s="1" t="s">
        <v>16</v>
      </c>
      <c r="D71" s="1">
        <v>5</v>
      </c>
      <c r="E71" s="5">
        <v>150</v>
      </c>
      <c r="F71" s="1" t="s">
        <v>31</v>
      </c>
    </row>
    <row r="72" spans="1:6" ht="15.75" thickBot="1" x14ac:dyDescent="0.3">
      <c r="A72" s="289" t="s">
        <v>41</v>
      </c>
      <c r="B72" s="290"/>
      <c r="C72" s="290"/>
      <c r="D72" s="291"/>
      <c r="E72" s="54">
        <f>SUM(E57:E71)</f>
        <v>9285</v>
      </c>
    </row>
    <row r="73" spans="1:6" ht="15.75" thickBot="1" x14ac:dyDescent="0.3">
      <c r="A73" s="292" t="s">
        <v>39</v>
      </c>
      <c r="B73" s="293"/>
      <c r="F73" s="14" t="s">
        <v>40</v>
      </c>
    </row>
    <row r="74" spans="1:6" ht="19.5" thickBot="1" x14ac:dyDescent="0.35">
      <c r="A74" s="10" t="s">
        <v>0</v>
      </c>
      <c r="B74" s="11" t="s">
        <v>3</v>
      </c>
      <c r="C74" s="11" t="s">
        <v>1</v>
      </c>
      <c r="D74" s="11" t="s">
        <v>26</v>
      </c>
      <c r="E74" s="11" t="s">
        <v>23</v>
      </c>
      <c r="F74" s="12" t="s">
        <v>27</v>
      </c>
    </row>
    <row r="75" spans="1:6" x14ac:dyDescent="0.25">
      <c r="A75" s="3">
        <v>1</v>
      </c>
      <c r="B75" s="3" t="s">
        <v>216</v>
      </c>
      <c r="C75" s="3" t="s">
        <v>9</v>
      </c>
      <c r="D75" s="3">
        <v>5</v>
      </c>
      <c r="E75" s="4">
        <v>175</v>
      </c>
      <c r="F75" s="3" t="s">
        <v>31</v>
      </c>
    </row>
    <row r="76" spans="1:6" x14ac:dyDescent="0.25">
      <c r="A76" s="3">
        <v>2</v>
      </c>
      <c r="B76" s="3" t="s">
        <v>216</v>
      </c>
      <c r="C76" s="1" t="s">
        <v>196</v>
      </c>
      <c r="D76" s="1">
        <v>4</v>
      </c>
      <c r="E76" s="5">
        <v>200</v>
      </c>
      <c r="F76" s="1" t="s">
        <v>31</v>
      </c>
    </row>
    <row r="77" spans="1:6" x14ac:dyDescent="0.25">
      <c r="A77" s="3">
        <v>3</v>
      </c>
      <c r="B77" s="3" t="s">
        <v>216</v>
      </c>
      <c r="C77" s="1" t="s">
        <v>197</v>
      </c>
      <c r="D77" s="1">
        <v>10</v>
      </c>
      <c r="E77" s="5">
        <v>400</v>
      </c>
      <c r="F77" s="1" t="s">
        <v>31</v>
      </c>
    </row>
    <row r="78" spans="1:6" x14ac:dyDescent="0.25">
      <c r="A78" s="3">
        <v>4</v>
      </c>
      <c r="B78" s="3" t="s">
        <v>216</v>
      </c>
      <c r="C78" s="1" t="s">
        <v>224</v>
      </c>
      <c r="D78" s="1" t="s">
        <v>225</v>
      </c>
      <c r="E78" s="5">
        <v>1600</v>
      </c>
      <c r="F78" s="1" t="s">
        <v>31</v>
      </c>
    </row>
    <row r="79" spans="1:6" x14ac:dyDescent="0.25">
      <c r="A79" s="3">
        <v>5</v>
      </c>
      <c r="B79" s="3" t="s">
        <v>216</v>
      </c>
      <c r="C79" s="1" t="s">
        <v>47</v>
      </c>
      <c r="D79" s="1">
        <v>4</v>
      </c>
      <c r="E79" s="5">
        <v>320</v>
      </c>
      <c r="F79" s="1" t="s">
        <v>31</v>
      </c>
    </row>
    <row r="80" spans="1:6" x14ac:dyDescent="0.25">
      <c r="A80" s="3">
        <v>6</v>
      </c>
      <c r="B80" s="3" t="s">
        <v>216</v>
      </c>
      <c r="C80" s="1" t="s">
        <v>135</v>
      </c>
      <c r="D80" s="1">
        <v>4</v>
      </c>
      <c r="E80" s="5">
        <v>400</v>
      </c>
      <c r="F80" s="1" t="s">
        <v>31</v>
      </c>
    </row>
    <row r="81" spans="1:6" x14ac:dyDescent="0.25">
      <c r="A81" s="3">
        <v>7</v>
      </c>
      <c r="B81" s="3" t="s">
        <v>216</v>
      </c>
      <c r="C81" s="1" t="s">
        <v>19</v>
      </c>
      <c r="D81" s="1">
        <v>15</v>
      </c>
      <c r="E81" s="5">
        <v>225</v>
      </c>
      <c r="F81" s="1" t="s">
        <v>31</v>
      </c>
    </row>
    <row r="82" spans="1:6" x14ac:dyDescent="0.25">
      <c r="A82" s="3">
        <v>8</v>
      </c>
      <c r="B82" s="3" t="s">
        <v>216</v>
      </c>
      <c r="C82" s="1" t="s">
        <v>50</v>
      </c>
      <c r="D82" s="1">
        <v>5</v>
      </c>
      <c r="E82" s="5">
        <v>350</v>
      </c>
      <c r="F82" s="1" t="s">
        <v>31</v>
      </c>
    </row>
    <row r="83" spans="1:6" x14ac:dyDescent="0.25">
      <c r="A83" s="3">
        <v>9</v>
      </c>
      <c r="B83" s="3" t="s">
        <v>216</v>
      </c>
      <c r="C83" s="1" t="s">
        <v>33</v>
      </c>
      <c r="D83" s="1">
        <v>2</v>
      </c>
      <c r="E83" s="5">
        <v>50</v>
      </c>
      <c r="F83" s="1" t="s">
        <v>31</v>
      </c>
    </row>
    <row r="84" spans="1:6" x14ac:dyDescent="0.25">
      <c r="A84" s="3">
        <v>10</v>
      </c>
      <c r="B84" s="3" t="s">
        <v>216</v>
      </c>
      <c r="C84" s="1" t="s">
        <v>226</v>
      </c>
      <c r="D84" s="1">
        <v>6</v>
      </c>
      <c r="E84" s="5">
        <v>120</v>
      </c>
      <c r="F84" s="1" t="s">
        <v>31</v>
      </c>
    </row>
    <row r="85" spans="1:6" x14ac:dyDescent="0.25">
      <c r="A85" s="3">
        <v>11</v>
      </c>
      <c r="B85" s="3" t="s">
        <v>216</v>
      </c>
      <c r="C85" s="1" t="s">
        <v>198</v>
      </c>
      <c r="D85" s="1">
        <v>2</v>
      </c>
      <c r="E85" s="5">
        <v>140</v>
      </c>
      <c r="F85" s="1" t="s">
        <v>31</v>
      </c>
    </row>
    <row r="86" spans="1:6" ht="15.75" thickBot="1" x14ac:dyDescent="0.3">
      <c r="A86" s="289" t="s">
        <v>41</v>
      </c>
      <c r="B86" s="290"/>
      <c r="C86" s="290"/>
      <c r="D86" s="291"/>
      <c r="E86" s="54">
        <f>SUM(E75:E85)</f>
        <v>3980</v>
      </c>
    </row>
    <row r="87" spans="1:6" ht="15.75" thickBot="1" x14ac:dyDescent="0.3">
      <c r="A87" s="292" t="s">
        <v>39</v>
      </c>
      <c r="B87" s="293"/>
      <c r="F87" s="14" t="s">
        <v>40</v>
      </c>
    </row>
    <row r="88" spans="1:6" ht="19.5" thickBot="1" x14ac:dyDescent="0.35">
      <c r="A88" s="10" t="s">
        <v>0</v>
      </c>
      <c r="B88" s="11" t="s">
        <v>3</v>
      </c>
      <c r="C88" s="11" t="s">
        <v>1</v>
      </c>
      <c r="D88" s="11" t="s">
        <v>26</v>
      </c>
      <c r="E88" s="11" t="s">
        <v>23</v>
      </c>
      <c r="F88" s="12" t="s">
        <v>27</v>
      </c>
    </row>
    <row r="89" spans="1:6" x14ac:dyDescent="0.25">
      <c r="A89" s="3">
        <v>1</v>
      </c>
      <c r="B89" s="3" t="s">
        <v>233</v>
      </c>
      <c r="C89" s="3" t="s">
        <v>9</v>
      </c>
      <c r="D89" s="3">
        <v>10</v>
      </c>
      <c r="E89" s="4">
        <v>350</v>
      </c>
      <c r="F89" s="3" t="s">
        <v>31</v>
      </c>
    </row>
    <row r="90" spans="1:6" x14ac:dyDescent="0.25">
      <c r="A90" s="3">
        <v>2</v>
      </c>
      <c r="B90" s="3" t="s">
        <v>233</v>
      </c>
      <c r="C90" s="1" t="s">
        <v>196</v>
      </c>
      <c r="D90" s="1">
        <v>3</v>
      </c>
      <c r="E90" s="5">
        <v>150</v>
      </c>
      <c r="F90" s="1" t="s">
        <v>31</v>
      </c>
    </row>
    <row r="91" spans="1:6" x14ac:dyDescent="0.25">
      <c r="A91" s="3">
        <v>3</v>
      </c>
      <c r="B91" s="3" t="s">
        <v>233</v>
      </c>
      <c r="C91" s="1" t="s">
        <v>198</v>
      </c>
      <c r="D91" s="1">
        <v>5</v>
      </c>
      <c r="E91" s="5">
        <v>350</v>
      </c>
      <c r="F91" s="1" t="s">
        <v>31</v>
      </c>
    </row>
    <row r="92" spans="1:6" x14ac:dyDescent="0.25">
      <c r="A92" s="3">
        <v>4</v>
      </c>
      <c r="B92" s="3" t="s">
        <v>233</v>
      </c>
      <c r="C92" s="1" t="s">
        <v>197</v>
      </c>
      <c r="D92" s="1">
        <v>7</v>
      </c>
      <c r="E92" s="5">
        <v>280</v>
      </c>
      <c r="F92" s="1" t="s">
        <v>31</v>
      </c>
    </row>
    <row r="93" spans="1:6" x14ac:dyDescent="0.25">
      <c r="A93" s="3">
        <v>5</v>
      </c>
      <c r="B93" s="3" t="s">
        <v>233</v>
      </c>
      <c r="C93" s="1" t="s">
        <v>22</v>
      </c>
      <c r="D93" s="1">
        <v>2</v>
      </c>
      <c r="E93" s="5">
        <v>400</v>
      </c>
      <c r="F93" s="1" t="s">
        <v>31</v>
      </c>
    </row>
    <row r="94" spans="1:6" x14ac:dyDescent="0.25">
      <c r="A94" s="3">
        <v>6</v>
      </c>
      <c r="B94" s="3" t="s">
        <v>233</v>
      </c>
      <c r="C94" s="1" t="s">
        <v>247</v>
      </c>
      <c r="D94" s="1">
        <v>2</v>
      </c>
      <c r="E94" s="5">
        <v>220</v>
      </c>
      <c r="F94" s="1" t="s">
        <v>31</v>
      </c>
    </row>
    <row r="95" spans="1:6" x14ac:dyDescent="0.25">
      <c r="A95" s="3">
        <v>7</v>
      </c>
      <c r="B95" s="3" t="s">
        <v>233</v>
      </c>
      <c r="C95" s="1" t="s">
        <v>19</v>
      </c>
      <c r="D95" s="1">
        <v>20</v>
      </c>
      <c r="E95" s="5">
        <v>300</v>
      </c>
      <c r="F95" s="1" t="s">
        <v>31</v>
      </c>
    </row>
    <row r="96" spans="1:6" x14ac:dyDescent="0.25">
      <c r="A96" s="3">
        <v>8</v>
      </c>
      <c r="B96" s="3" t="s">
        <v>233</v>
      </c>
      <c r="C96" s="1" t="s">
        <v>33</v>
      </c>
      <c r="D96" s="1">
        <v>2</v>
      </c>
      <c r="E96" s="5">
        <v>40</v>
      </c>
      <c r="F96" s="1" t="s">
        <v>31</v>
      </c>
    </row>
    <row r="97" spans="1:6" x14ac:dyDescent="0.25">
      <c r="A97" s="3">
        <v>9</v>
      </c>
      <c r="B97" s="3" t="s">
        <v>233</v>
      </c>
      <c r="C97" s="1" t="s">
        <v>50</v>
      </c>
      <c r="D97" s="1">
        <v>5</v>
      </c>
      <c r="E97" s="5">
        <v>350</v>
      </c>
      <c r="F97" s="1" t="s">
        <v>31</v>
      </c>
    </row>
    <row r="98" spans="1:6" x14ac:dyDescent="0.25">
      <c r="A98" s="3">
        <v>10</v>
      </c>
      <c r="B98" s="3" t="s">
        <v>233</v>
      </c>
      <c r="C98" s="1" t="s">
        <v>236</v>
      </c>
      <c r="D98" s="1">
        <v>3</v>
      </c>
      <c r="E98" s="5">
        <v>45</v>
      </c>
      <c r="F98" s="1" t="s">
        <v>31</v>
      </c>
    </row>
    <row r="99" spans="1:6" ht="15.75" thickBot="1" x14ac:dyDescent="0.3">
      <c r="A99" s="289" t="s">
        <v>41</v>
      </c>
      <c r="B99" s="290"/>
      <c r="C99" s="290"/>
      <c r="D99" s="291"/>
      <c r="E99" s="54">
        <f>SUM(E89:E98)</f>
        <v>2485</v>
      </c>
    </row>
    <row r="100" spans="1:6" ht="15.75" thickBot="1" x14ac:dyDescent="0.3">
      <c r="A100" s="292" t="s">
        <v>39</v>
      </c>
      <c r="B100" s="293"/>
      <c r="F100" s="14" t="s">
        <v>40</v>
      </c>
    </row>
    <row r="101" spans="1:6" ht="19.5" thickBot="1" x14ac:dyDescent="0.35">
      <c r="A101" s="10" t="s">
        <v>0</v>
      </c>
      <c r="B101" s="11" t="s">
        <v>3</v>
      </c>
      <c r="C101" s="11" t="s">
        <v>1</v>
      </c>
      <c r="D101" s="11" t="s">
        <v>26</v>
      </c>
      <c r="E101" s="11" t="s">
        <v>23</v>
      </c>
      <c r="F101" s="12" t="s">
        <v>27</v>
      </c>
    </row>
    <row r="102" spans="1:6" x14ac:dyDescent="0.25">
      <c r="A102" s="3">
        <v>1</v>
      </c>
      <c r="B102" s="3" t="s">
        <v>261</v>
      </c>
      <c r="C102" s="3" t="s">
        <v>198</v>
      </c>
      <c r="D102" s="3">
        <v>4</v>
      </c>
      <c r="E102" s="4">
        <v>280</v>
      </c>
      <c r="F102" s="3" t="s">
        <v>31</v>
      </c>
    </row>
    <row r="103" spans="1:6" x14ac:dyDescent="0.25">
      <c r="A103" s="3">
        <v>2</v>
      </c>
      <c r="B103" s="3" t="s">
        <v>261</v>
      </c>
      <c r="C103" s="1" t="s">
        <v>197</v>
      </c>
      <c r="D103" s="1">
        <v>8</v>
      </c>
      <c r="E103" s="5">
        <v>320</v>
      </c>
      <c r="F103" s="1" t="s">
        <v>31</v>
      </c>
    </row>
    <row r="104" spans="1:6" x14ac:dyDescent="0.25">
      <c r="A104" s="3">
        <v>3</v>
      </c>
      <c r="B104" s="3" t="s">
        <v>261</v>
      </c>
      <c r="C104" s="1" t="s">
        <v>19</v>
      </c>
      <c r="D104" s="1">
        <v>29</v>
      </c>
      <c r="E104" s="5">
        <v>435</v>
      </c>
      <c r="F104" s="1" t="s">
        <v>31</v>
      </c>
    </row>
    <row r="105" spans="1:6" x14ac:dyDescent="0.25">
      <c r="A105" s="3">
        <v>4</v>
      </c>
      <c r="B105" s="3" t="s">
        <v>261</v>
      </c>
      <c r="C105" s="1" t="s">
        <v>267</v>
      </c>
      <c r="D105" s="1">
        <v>5</v>
      </c>
      <c r="E105" s="5">
        <v>1600</v>
      </c>
      <c r="F105" s="1" t="s">
        <v>31</v>
      </c>
    </row>
    <row r="106" spans="1:6" x14ac:dyDescent="0.25">
      <c r="A106" s="3">
        <v>5</v>
      </c>
      <c r="B106" s="3" t="s">
        <v>261</v>
      </c>
      <c r="C106" s="1" t="s">
        <v>22</v>
      </c>
      <c r="D106" s="1">
        <v>4</v>
      </c>
      <c r="E106" s="5">
        <v>440</v>
      </c>
      <c r="F106" s="1" t="s">
        <v>31</v>
      </c>
    </row>
    <row r="107" spans="1:6" x14ac:dyDescent="0.25">
      <c r="A107" s="3">
        <v>6</v>
      </c>
      <c r="B107" s="3" t="s">
        <v>261</v>
      </c>
      <c r="C107" s="1" t="s">
        <v>14</v>
      </c>
      <c r="D107" s="1">
        <v>1</v>
      </c>
      <c r="E107" s="5">
        <v>180</v>
      </c>
      <c r="F107" s="1" t="s">
        <v>31</v>
      </c>
    </row>
    <row r="108" spans="1:6" x14ac:dyDescent="0.25">
      <c r="A108" s="3">
        <v>7</v>
      </c>
      <c r="B108" s="3" t="s">
        <v>261</v>
      </c>
      <c r="C108" s="1" t="s">
        <v>33</v>
      </c>
      <c r="D108" s="1">
        <v>2</v>
      </c>
      <c r="E108" s="5">
        <v>50</v>
      </c>
      <c r="F108" s="1" t="s">
        <v>31</v>
      </c>
    </row>
    <row r="109" spans="1:6" x14ac:dyDescent="0.25">
      <c r="A109" s="3">
        <v>8</v>
      </c>
      <c r="B109" s="3" t="s">
        <v>261</v>
      </c>
      <c r="C109" s="1" t="s">
        <v>164</v>
      </c>
      <c r="D109" s="1">
        <v>4</v>
      </c>
      <c r="E109" s="5">
        <v>800</v>
      </c>
      <c r="F109" s="1" t="s">
        <v>31</v>
      </c>
    </row>
    <row r="110" spans="1:6" x14ac:dyDescent="0.25">
      <c r="A110" s="3">
        <v>9</v>
      </c>
      <c r="B110" s="3" t="s">
        <v>261</v>
      </c>
      <c r="C110" s="1" t="s">
        <v>50</v>
      </c>
      <c r="D110" s="1">
        <v>8</v>
      </c>
      <c r="E110" s="5">
        <v>540</v>
      </c>
      <c r="F110" s="1" t="s">
        <v>31</v>
      </c>
    </row>
    <row r="111" spans="1:6" x14ac:dyDescent="0.25">
      <c r="A111" s="3">
        <v>10</v>
      </c>
      <c r="B111" s="3" t="s">
        <v>261</v>
      </c>
      <c r="C111" s="1" t="s">
        <v>110</v>
      </c>
      <c r="D111" s="1">
        <v>1</v>
      </c>
      <c r="E111" s="5">
        <v>120</v>
      </c>
      <c r="F111" s="1" t="s">
        <v>31</v>
      </c>
    </row>
    <row r="112" spans="1:6" x14ac:dyDescent="0.25">
      <c r="A112" s="3">
        <v>11</v>
      </c>
      <c r="B112" s="3" t="s">
        <v>261</v>
      </c>
      <c r="C112" s="1" t="s">
        <v>102</v>
      </c>
      <c r="D112" s="1">
        <v>1</v>
      </c>
      <c r="E112" s="5">
        <v>120</v>
      </c>
      <c r="F112" s="1" t="s">
        <v>31</v>
      </c>
    </row>
    <row r="113" spans="1:6" x14ac:dyDescent="0.25">
      <c r="A113" s="3">
        <v>12</v>
      </c>
      <c r="B113" s="3" t="s">
        <v>261</v>
      </c>
      <c r="C113" s="1" t="s">
        <v>268</v>
      </c>
      <c r="D113" s="1">
        <v>1</v>
      </c>
      <c r="E113" s="5">
        <v>180</v>
      </c>
      <c r="F113" s="1" t="s">
        <v>31</v>
      </c>
    </row>
    <row r="114" spans="1:6" ht="15.75" thickBot="1" x14ac:dyDescent="0.3">
      <c r="A114" s="289" t="s">
        <v>41</v>
      </c>
      <c r="B114" s="290"/>
      <c r="C114" s="290"/>
      <c r="D114" s="291"/>
      <c r="E114" s="54">
        <f>SUM(E102:E113)</f>
        <v>5065</v>
      </c>
    </row>
    <row r="115" spans="1:6" ht="15.75" thickBot="1" x14ac:dyDescent="0.3">
      <c r="A115" s="292" t="s">
        <v>39</v>
      </c>
      <c r="B115" s="293"/>
      <c r="F115" s="14" t="s">
        <v>40</v>
      </c>
    </row>
    <row r="116" spans="1:6" ht="19.5" thickBot="1" x14ac:dyDescent="0.35">
      <c r="A116" s="10" t="s">
        <v>0</v>
      </c>
      <c r="B116" s="11" t="s">
        <v>3</v>
      </c>
      <c r="C116" s="11" t="s">
        <v>1</v>
      </c>
      <c r="D116" s="11" t="s">
        <v>26</v>
      </c>
      <c r="E116" s="11" t="s">
        <v>23</v>
      </c>
      <c r="F116" s="12" t="s">
        <v>27</v>
      </c>
    </row>
    <row r="117" spans="1:6" x14ac:dyDescent="0.25">
      <c r="A117" s="3">
        <v>1</v>
      </c>
      <c r="B117" s="3" t="s">
        <v>261</v>
      </c>
      <c r="C117" s="3" t="s">
        <v>22</v>
      </c>
      <c r="D117" s="3">
        <v>2</v>
      </c>
      <c r="E117" s="4">
        <v>400</v>
      </c>
      <c r="F117" s="3" t="s">
        <v>31</v>
      </c>
    </row>
    <row r="118" spans="1:6" x14ac:dyDescent="0.25">
      <c r="A118" s="3">
        <v>2</v>
      </c>
      <c r="B118" s="3" t="s">
        <v>261</v>
      </c>
      <c r="C118" s="1" t="s">
        <v>19</v>
      </c>
      <c r="D118" s="1">
        <v>7</v>
      </c>
      <c r="E118" s="5">
        <v>105</v>
      </c>
      <c r="F118" s="1" t="s">
        <v>31</v>
      </c>
    </row>
    <row r="119" spans="1:6" x14ac:dyDescent="0.25">
      <c r="A119" s="3">
        <v>3</v>
      </c>
      <c r="B119" s="3" t="s">
        <v>261</v>
      </c>
      <c r="C119" s="1" t="s">
        <v>50</v>
      </c>
      <c r="D119" s="1">
        <v>4</v>
      </c>
      <c r="E119" s="5">
        <v>280</v>
      </c>
      <c r="F119" s="1" t="s">
        <v>31</v>
      </c>
    </row>
    <row r="120" spans="1:6" ht="15.75" thickBot="1" x14ac:dyDescent="0.3">
      <c r="A120" s="6">
        <v>4</v>
      </c>
      <c r="B120" s="6" t="s">
        <v>261</v>
      </c>
      <c r="C120" s="7" t="s">
        <v>272</v>
      </c>
      <c r="D120" s="7"/>
      <c r="E120" s="8">
        <v>540</v>
      </c>
      <c r="F120" s="1" t="s">
        <v>31</v>
      </c>
    </row>
    <row r="121" spans="1:6" ht="15.75" thickBot="1" x14ac:dyDescent="0.3">
      <c r="A121" s="292" t="s">
        <v>41</v>
      </c>
      <c r="B121" s="297"/>
      <c r="C121" s="297"/>
      <c r="D121" s="293"/>
      <c r="E121" s="9">
        <f>SUM(E117:E120)</f>
        <v>1325</v>
      </c>
    </row>
    <row r="122" spans="1:6" ht="15.75" thickBot="1" x14ac:dyDescent="0.3">
      <c r="A122" s="292" t="s">
        <v>39</v>
      </c>
      <c r="B122" s="293"/>
      <c r="F122" s="14" t="s">
        <v>40</v>
      </c>
    </row>
    <row r="123" spans="1:6" ht="19.5" thickBot="1" x14ac:dyDescent="0.35">
      <c r="A123" s="10" t="s">
        <v>0</v>
      </c>
      <c r="B123" s="11" t="s">
        <v>3</v>
      </c>
      <c r="C123" s="11" t="s">
        <v>1</v>
      </c>
      <c r="D123" s="11" t="s">
        <v>26</v>
      </c>
      <c r="E123" s="11" t="s">
        <v>23</v>
      </c>
      <c r="F123" s="12" t="s">
        <v>27</v>
      </c>
    </row>
    <row r="124" spans="1:6" x14ac:dyDescent="0.25">
      <c r="A124" s="3">
        <v>1</v>
      </c>
      <c r="B124" s="3" t="s">
        <v>283</v>
      </c>
      <c r="C124" s="3" t="s">
        <v>19</v>
      </c>
      <c r="D124" s="3">
        <v>30</v>
      </c>
      <c r="E124" s="4">
        <v>450</v>
      </c>
      <c r="F124" s="3" t="s">
        <v>31</v>
      </c>
    </row>
    <row r="125" spans="1:6" x14ac:dyDescent="0.25">
      <c r="A125" s="3">
        <v>2</v>
      </c>
      <c r="B125" s="3" t="s">
        <v>283</v>
      </c>
      <c r="C125" s="1" t="s">
        <v>197</v>
      </c>
      <c r="D125" s="1">
        <v>10</v>
      </c>
      <c r="E125" s="5">
        <v>400</v>
      </c>
      <c r="F125" s="1" t="s">
        <v>31</v>
      </c>
    </row>
    <row r="126" spans="1:6" x14ac:dyDescent="0.25">
      <c r="A126" s="3">
        <v>3</v>
      </c>
      <c r="B126" s="3" t="s">
        <v>283</v>
      </c>
      <c r="C126" s="1" t="s">
        <v>198</v>
      </c>
      <c r="D126" s="1">
        <v>8</v>
      </c>
      <c r="E126" s="5">
        <v>560</v>
      </c>
      <c r="F126" s="1" t="s">
        <v>31</v>
      </c>
    </row>
    <row r="127" spans="1:6" x14ac:dyDescent="0.25">
      <c r="A127" s="3">
        <v>4</v>
      </c>
      <c r="B127" s="3" t="s">
        <v>283</v>
      </c>
      <c r="C127" s="1" t="s">
        <v>32</v>
      </c>
      <c r="D127" s="1" t="s">
        <v>289</v>
      </c>
      <c r="E127" s="5">
        <v>2400</v>
      </c>
      <c r="F127" s="1" t="s">
        <v>31</v>
      </c>
    </row>
    <row r="128" spans="1:6" x14ac:dyDescent="0.25">
      <c r="A128" s="3">
        <v>5</v>
      </c>
      <c r="B128" s="3" t="s">
        <v>283</v>
      </c>
      <c r="C128" s="1" t="s">
        <v>178</v>
      </c>
      <c r="D128" s="1" t="s">
        <v>290</v>
      </c>
      <c r="E128" s="5">
        <v>200</v>
      </c>
      <c r="F128" s="1" t="s">
        <v>31</v>
      </c>
    </row>
    <row r="129" spans="1:7" x14ac:dyDescent="0.25">
      <c r="A129" s="3">
        <v>6</v>
      </c>
      <c r="B129" s="3" t="s">
        <v>283</v>
      </c>
      <c r="C129" s="1" t="s">
        <v>33</v>
      </c>
      <c r="D129" s="1">
        <v>2</v>
      </c>
      <c r="E129" s="5">
        <v>50</v>
      </c>
      <c r="F129" s="1" t="s">
        <v>31</v>
      </c>
    </row>
    <row r="130" spans="1:7" x14ac:dyDescent="0.25">
      <c r="A130" s="3">
        <v>7</v>
      </c>
      <c r="B130" s="3" t="s">
        <v>283</v>
      </c>
      <c r="C130" s="1" t="s">
        <v>291</v>
      </c>
      <c r="D130" s="1">
        <v>3</v>
      </c>
      <c r="E130" s="5">
        <v>540</v>
      </c>
      <c r="F130" s="1" t="s">
        <v>31</v>
      </c>
    </row>
    <row r="131" spans="1:7" x14ac:dyDescent="0.25">
      <c r="A131" s="3">
        <v>8</v>
      </c>
      <c r="B131" s="3" t="s">
        <v>283</v>
      </c>
      <c r="C131" s="1" t="s">
        <v>50</v>
      </c>
      <c r="D131" s="1">
        <v>4</v>
      </c>
      <c r="E131" s="5">
        <v>280</v>
      </c>
      <c r="F131" s="1" t="s">
        <v>31</v>
      </c>
    </row>
    <row r="132" spans="1:7" x14ac:dyDescent="0.25">
      <c r="A132" s="3">
        <v>9</v>
      </c>
      <c r="B132" s="3" t="s">
        <v>283</v>
      </c>
      <c r="C132" s="1" t="s">
        <v>240</v>
      </c>
      <c r="D132" s="1">
        <v>3</v>
      </c>
      <c r="E132" s="5">
        <v>450</v>
      </c>
      <c r="F132" s="1" t="s">
        <v>31</v>
      </c>
    </row>
    <row r="133" spans="1:7" x14ac:dyDescent="0.25">
      <c r="A133" s="3">
        <v>10</v>
      </c>
      <c r="B133" s="3" t="s">
        <v>283</v>
      </c>
      <c r="C133" s="1" t="s">
        <v>292</v>
      </c>
      <c r="D133" s="1">
        <v>2</v>
      </c>
      <c r="E133" s="5">
        <v>180</v>
      </c>
      <c r="F133" s="1" t="s">
        <v>31</v>
      </c>
    </row>
    <row r="134" spans="1:7" x14ac:dyDescent="0.25">
      <c r="A134" s="3">
        <v>11</v>
      </c>
      <c r="B134" s="3" t="s">
        <v>283</v>
      </c>
      <c r="C134" s="1" t="s">
        <v>50</v>
      </c>
      <c r="D134" s="1" t="s">
        <v>293</v>
      </c>
      <c r="E134" s="5">
        <v>180</v>
      </c>
      <c r="F134" s="1" t="s">
        <v>31</v>
      </c>
    </row>
    <row r="135" spans="1:7" ht="15.75" thickBot="1" x14ac:dyDescent="0.3">
      <c r="A135" s="6">
        <v>12</v>
      </c>
      <c r="B135" s="6" t="s">
        <v>283</v>
      </c>
      <c r="C135" s="7" t="s">
        <v>88</v>
      </c>
      <c r="D135" s="7">
        <v>5</v>
      </c>
      <c r="E135" s="8">
        <v>175</v>
      </c>
      <c r="F135" s="1" t="s">
        <v>31</v>
      </c>
    </row>
    <row r="136" spans="1:7" ht="15.75" thickBot="1" x14ac:dyDescent="0.3">
      <c r="A136" s="292" t="s">
        <v>41</v>
      </c>
      <c r="B136" s="297"/>
      <c r="C136" s="297"/>
      <c r="D136" s="293"/>
      <c r="E136" s="9">
        <f>SUM(E124:E135)</f>
        <v>5865</v>
      </c>
    </row>
    <row r="137" spans="1:7" ht="15.75" thickBot="1" x14ac:dyDescent="0.3">
      <c r="A137" s="292" t="s">
        <v>39</v>
      </c>
      <c r="B137" s="293"/>
      <c r="F137" s="14" t="s">
        <v>40</v>
      </c>
    </row>
    <row r="138" spans="1:7" ht="19.5" thickBot="1" x14ac:dyDescent="0.35">
      <c r="A138" s="10" t="s">
        <v>0</v>
      </c>
      <c r="B138" s="11" t="s">
        <v>3</v>
      </c>
      <c r="C138" s="11" t="s">
        <v>1</v>
      </c>
      <c r="D138" s="11" t="s">
        <v>26</v>
      </c>
      <c r="E138" s="11" t="s">
        <v>23</v>
      </c>
      <c r="F138" s="12" t="s">
        <v>27</v>
      </c>
    </row>
    <row r="139" spans="1:7" x14ac:dyDescent="0.25">
      <c r="A139" s="3">
        <v>1</v>
      </c>
      <c r="B139" s="3" t="s">
        <v>309</v>
      </c>
      <c r="C139" s="3" t="s">
        <v>236</v>
      </c>
      <c r="D139" s="3">
        <v>5</v>
      </c>
      <c r="E139" s="4">
        <v>175</v>
      </c>
      <c r="F139" s="3" t="s">
        <v>31</v>
      </c>
    </row>
    <row r="140" spans="1:7" x14ac:dyDescent="0.25">
      <c r="A140" s="3">
        <v>2</v>
      </c>
      <c r="B140" s="3" t="s">
        <v>309</v>
      </c>
      <c r="C140" s="1" t="s">
        <v>88</v>
      </c>
      <c r="D140" s="1">
        <v>9</v>
      </c>
      <c r="E140" s="5">
        <v>315</v>
      </c>
      <c r="F140" s="1" t="s">
        <v>31</v>
      </c>
      <c r="G140" s="53"/>
    </row>
    <row r="141" spans="1:7" x14ac:dyDescent="0.25">
      <c r="A141" s="3">
        <v>3</v>
      </c>
      <c r="B141" s="3" t="s">
        <v>309</v>
      </c>
      <c r="C141" s="1" t="s">
        <v>322</v>
      </c>
      <c r="D141" s="1">
        <v>4</v>
      </c>
      <c r="E141" s="5">
        <v>200</v>
      </c>
      <c r="F141" s="1" t="s">
        <v>31</v>
      </c>
    </row>
    <row r="142" spans="1:7" x14ac:dyDescent="0.25">
      <c r="A142" s="3">
        <v>4</v>
      </c>
      <c r="B142" s="3" t="s">
        <v>309</v>
      </c>
      <c r="C142" s="1" t="s">
        <v>197</v>
      </c>
      <c r="D142" s="1">
        <v>7</v>
      </c>
      <c r="E142" s="5">
        <v>280</v>
      </c>
      <c r="F142" s="1" t="s">
        <v>31</v>
      </c>
    </row>
    <row r="143" spans="1:7" x14ac:dyDescent="0.25">
      <c r="A143" s="3">
        <v>5</v>
      </c>
      <c r="B143" s="3" t="s">
        <v>309</v>
      </c>
      <c r="C143" s="1" t="s">
        <v>323</v>
      </c>
      <c r="D143" s="1">
        <v>3</v>
      </c>
      <c r="E143" s="5">
        <v>540</v>
      </c>
      <c r="F143" s="1" t="s">
        <v>31</v>
      </c>
    </row>
    <row r="144" spans="1:7" x14ac:dyDescent="0.25">
      <c r="A144" s="3">
        <v>6</v>
      </c>
      <c r="B144" s="3" t="s">
        <v>309</v>
      </c>
      <c r="C144" s="1" t="s">
        <v>19</v>
      </c>
      <c r="D144" s="1">
        <v>35</v>
      </c>
      <c r="E144" s="5">
        <v>525</v>
      </c>
      <c r="F144" s="1" t="s">
        <v>31</v>
      </c>
    </row>
    <row r="145" spans="1:6" x14ac:dyDescent="0.25">
      <c r="A145" s="3">
        <v>7</v>
      </c>
      <c r="B145" s="3" t="s">
        <v>309</v>
      </c>
      <c r="C145" s="1" t="s">
        <v>33</v>
      </c>
      <c r="D145" s="1">
        <v>2</v>
      </c>
      <c r="E145" s="5">
        <v>50</v>
      </c>
      <c r="F145" s="1" t="s">
        <v>31</v>
      </c>
    </row>
    <row r="146" spans="1:6" x14ac:dyDescent="0.25">
      <c r="A146" s="3">
        <v>8</v>
      </c>
      <c r="B146" s="3" t="s">
        <v>309</v>
      </c>
      <c r="C146" s="1" t="s">
        <v>50</v>
      </c>
      <c r="D146" s="1">
        <v>2</v>
      </c>
      <c r="E146" s="5">
        <v>280</v>
      </c>
      <c r="F146" s="1" t="s">
        <v>31</v>
      </c>
    </row>
    <row r="147" spans="1:6" x14ac:dyDescent="0.25">
      <c r="A147" s="3">
        <v>9</v>
      </c>
      <c r="B147" s="3" t="s">
        <v>309</v>
      </c>
      <c r="C147" s="1" t="s">
        <v>198</v>
      </c>
      <c r="D147" s="1">
        <v>3</v>
      </c>
      <c r="E147" s="5">
        <v>210</v>
      </c>
      <c r="F147" s="1" t="s">
        <v>31</v>
      </c>
    </row>
    <row r="148" spans="1:6" ht="15.75" thickBot="1" x14ac:dyDescent="0.3">
      <c r="A148" s="3">
        <v>10</v>
      </c>
      <c r="B148" s="3" t="s">
        <v>309</v>
      </c>
      <c r="C148" s="1" t="s">
        <v>324</v>
      </c>
      <c r="D148" s="1">
        <v>1</v>
      </c>
      <c r="E148" s="5">
        <v>120</v>
      </c>
      <c r="F148" s="1" t="s">
        <v>31</v>
      </c>
    </row>
    <row r="149" spans="1:6" ht="15.75" thickBot="1" x14ac:dyDescent="0.3">
      <c r="A149" s="292" t="s">
        <v>41</v>
      </c>
      <c r="B149" s="297"/>
      <c r="C149" s="297"/>
      <c r="D149" s="293"/>
      <c r="E149" s="9">
        <f>SUM(E139:E148)</f>
        <v>2695</v>
      </c>
    </row>
    <row r="150" spans="1:6" ht="15.75" thickBot="1" x14ac:dyDescent="0.3">
      <c r="A150" s="292" t="s">
        <v>39</v>
      </c>
      <c r="B150" s="293"/>
      <c r="F150" s="14" t="s">
        <v>40</v>
      </c>
    </row>
    <row r="151" spans="1:6" ht="19.5" thickBot="1" x14ac:dyDescent="0.35">
      <c r="A151" s="10" t="s">
        <v>0</v>
      </c>
      <c r="B151" s="11" t="s">
        <v>3</v>
      </c>
      <c r="C151" s="11" t="s">
        <v>1</v>
      </c>
      <c r="D151" s="11" t="s">
        <v>26</v>
      </c>
      <c r="E151" s="11" t="s">
        <v>23</v>
      </c>
      <c r="F151" s="12" t="s">
        <v>27</v>
      </c>
    </row>
    <row r="152" spans="1:6" x14ac:dyDescent="0.25">
      <c r="A152" s="3">
        <v>1</v>
      </c>
      <c r="B152" s="3" t="s">
        <v>339</v>
      </c>
      <c r="C152" s="3" t="s">
        <v>344</v>
      </c>
      <c r="D152" s="3">
        <v>1</v>
      </c>
      <c r="E152" s="4">
        <v>250</v>
      </c>
      <c r="F152" s="3" t="s">
        <v>31</v>
      </c>
    </row>
    <row r="153" spans="1:6" x14ac:dyDescent="0.25">
      <c r="A153" s="3">
        <v>2</v>
      </c>
      <c r="B153" s="3" t="s">
        <v>339</v>
      </c>
      <c r="C153" s="1" t="s">
        <v>88</v>
      </c>
      <c r="D153" s="1">
        <v>5</v>
      </c>
      <c r="E153" s="5">
        <v>175</v>
      </c>
      <c r="F153" s="1" t="s">
        <v>31</v>
      </c>
    </row>
    <row r="154" spans="1:6" x14ac:dyDescent="0.25">
      <c r="A154" s="3">
        <v>3</v>
      </c>
      <c r="B154" s="3" t="s">
        <v>339</v>
      </c>
      <c r="C154" s="1" t="s">
        <v>322</v>
      </c>
      <c r="D154" s="1">
        <v>5</v>
      </c>
      <c r="E154" s="5">
        <v>250</v>
      </c>
      <c r="F154" s="1" t="s">
        <v>31</v>
      </c>
    </row>
    <row r="155" spans="1:6" x14ac:dyDescent="0.25">
      <c r="A155" s="3">
        <v>4</v>
      </c>
      <c r="B155" s="3" t="s">
        <v>339</v>
      </c>
      <c r="C155" s="1" t="s">
        <v>197</v>
      </c>
      <c r="D155" s="1">
        <v>5</v>
      </c>
      <c r="E155" s="5">
        <v>200</v>
      </c>
      <c r="F155" s="1" t="s">
        <v>31</v>
      </c>
    </row>
    <row r="156" spans="1:6" x14ac:dyDescent="0.25">
      <c r="A156" s="3">
        <v>5</v>
      </c>
      <c r="B156" s="3" t="s">
        <v>339</v>
      </c>
      <c r="C156" s="1" t="s">
        <v>198</v>
      </c>
      <c r="D156" s="1">
        <v>3</v>
      </c>
      <c r="E156" s="5">
        <v>210</v>
      </c>
      <c r="F156" s="1" t="s">
        <v>31</v>
      </c>
    </row>
    <row r="157" spans="1:6" x14ac:dyDescent="0.25">
      <c r="A157" s="3">
        <v>6</v>
      </c>
      <c r="B157" s="3" t="s">
        <v>339</v>
      </c>
      <c r="C157" s="1" t="s">
        <v>346</v>
      </c>
      <c r="D157" s="1" t="s">
        <v>345</v>
      </c>
      <c r="E157" s="5">
        <v>2400</v>
      </c>
      <c r="F157" s="1" t="s">
        <v>31</v>
      </c>
    </row>
    <row r="158" spans="1:6" x14ac:dyDescent="0.25">
      <c r="A158" s="3">
        <v>7</v>
      </c>
      <c r="B158" s="3" t="s">
        <v>339</v>
      </c>
      <c r="C158" s="1" t="s">
        <v>33</v>
      </c>
      <c r="D158" s="1">
        <v>4</v>
      </c>
      <c r="E158" s="5">
        <v>100</v>
      </c>
      <c r="F158" s="1" t="s">
        <v>31</v>
      </c>
    </row>
    <row r="159" spans="1:6" x14ac:dyDescent="0.25">
      <c r="A159" s="3">
        <v>8</v>
      </c>
      <c r="B159" s="3" t="s">
        <v>339</v>
      </c>
      <c r="C159" s="1" t="s">
        <v>90</v>
      </c>
      <c r="D159" s="1" t="s">
        <v>133</v>
      </c>
      <c r="E159" s="5">
        <v>400</v>
      </c>
      <c r="F159" s="1" t="s">
        <v>31</v>
      </c>
    </row>
    <row r="160" spans="1:6" x14ac:dyDescent="0.25">
      <c r="A160" s="3">
        <v>9</v>
      </c>
      <c r="B160" s="3" t="s">
        <v>339</v>
      </c>
      <c r="C160" s="1" t="s">
        <v>223</v>
      </c>
      <c r="D160" s="1">
        <v>8</v>
      </c>
      <c r="E160" s="5">
        <v>560</v>
      </c>
      <c r="F160" s="1" t="s">
        <v>31</v>
      </c>
    </row>
    <row r="161" spans="1:6" x14ac:dyDescent="0.25">
      <c r="A161" s="3">
        <v>10</v>
      </c>
      <c r="B161" s="3" t="s">
        <v>339</v>
      </c>
      <c r="C161" s="1" t="s">
        <v>347</v>
      </c>
      <c r="D161" s="1">
        <v>7</v>
      </c>
      <c r="E161" s="5">
        <v>2240</v>
      </c>
      <c r="F161" s="1" t="s">
        <v>31</v>
      </c>
    </row>
    <row r="162" spans="1:6" x14ac:dyDescent="0.25">
      <c r="A162" s="3">
        <v>11</v>
      </c>
      <c r="B162" s="3" t="s">
        <v>339</v>
      </c>
      <c r="C162" s="1" t="s">
        <v>32</v>
      </c>
      <c r="D162" s="1" t="s">
        <v>345</v>
      </c>
      <c r="E162" s="5">
        <v>2400</v>
      </c>
      <c r="F162" s="1" t="s">
        <v>31</v>
      </c>
    </row>
    <row r="163" spans="1:6" x14ac:dyDescent="0.25">
      <c r="A163" s="3">
        <v>12</v>
      </c>
      <c r="B163" s="3" t="s">
        <v>339</v>
      </c>
      <c r="C163" s="1" t="s">
        <v>348</v>
      </c>
      <c r="D163" s="1">
        <v>8</v>
      </c>
      <c r="E163" s="5">
        <v>1200</v>
      </c>
      <c r="F163" s="1" t="s">
        <v>31</v>
      </c>
    </row>
    <row r="164" spans="1:6" x14ac:dyDescent="0.25">
      <c r="A164" s="3">
        <v>13</v>
      </c>
      <c r="B164" s="3" t="s">
        <v>339</v>
      </c>
      <c r="C164" s="1" t="s">
        <v>15</v>
      </c>
      <c r="D164" s="1">
        <v>35</v>
      </c>
      <c r="E164" s="5">
        <v>525</v>
      </c>
      <c r="F164" s="1" t="s">
        <v>31</v>
      </c>
    </row>
    <row r="165" spans="1:6" x14ac:dyDescent="0.25">
      <c r="A165" s="3">
        <v>14</v>
      </c>
      <c r="B165" s="3" t="s">
        <v>339</v>
      </c>
      <c r="C165" s="1" t="s">
        <v>4</v>
      </c>
      <c r="D165" s="1">
        <v>5</v>
      </c>
      <c r="E165" s="5">
        <v>175</v>
      </c>
      <c r="F165" s="1" t="s">
        <v>31</v>
      </c>
    </row>
    <row r="166" spans="1:6" x14ac:dyDescent="0.25">
      <c r="A166" s="3">
        <v>15</v>
      </c>
      <c r="B166" s="3" t="s">
        <v>339</v>
      </c>
      <c r="C166" s="1" t="s">
        <v>349</v>
      </c>
      <c r="D166" s="1">
        <v>5</v>
      </c>
      <c r="E166" s="5">
        <v>900</v>
      </c>
      <c r="F166" s="1" t="s">
        <v>31</v>
      </c>
    </row>
    <row r="167" spans="1:6" x14ac:dyDescent="0.25">
      <c r="A167" s="3">
        <v>16</v>
      </c>
      <c r="B167" s="3" t="s">
        <v>339</v>
      </c>
      <c r="C167" s="1" t="s">
        <v>350</v>
      </c>
      <c r="D167" s="1">
        <v>5</v>
      </c>
      <c r="E167" s="5">
        <v>175</v>
      </c>
      <c r="F167" s="1" t="s">
        <v>31</v>
      </c>
    </row>
    <row r="168" spans="1:6" ht="15.75" thickBot="1" x14ac:dyDescent="0.3">
      <c r="A168" s="289" t="s">
        <v>41</v>
      </c>
      <c r="B168" s="290"/>
      <c r="C168" s="290"/>
      <c r="D168" s="291"/>
      <c r="E168" s="54">
        <f>SUM(E152:E167)</f>
        <v>12160</v>
      </c>
    </row>
    <row r="169" spans="1:6" ht="15.75" thickBot="1" x14ac:dyDescent="0.3">
      <c r="A169" s="292" t="s">
        <v>39</v>
      </c>
      <c r="B169" s="293"/>
      <c r="F169" s="14" t="s">
        <v>40</v>
      </c>
    </row>
    <row r="170" spans="1:6" ht="19.5" thickBot="1" x14ac:dyDescent="0.35">
      <c r="A170" s="10" t="s">
        <v>0</v>
      </c>
      <c r="B170" s="11" t="s">
        <v>3</v>
      </c>
      <c r="C170" s="11" t="s">
        <v>1</v>
      </c>
      <c r="D170" s="11" t="s">
        <v>26</v>
      </c>
      <c r="E170" s="11" t="s">
        <v>23</v>
      </c>
      <c r="F170" s="12" t="s">
        <v>27</v>
      </c>
    </row>
    <row r="171" spans="1:6" x14ac:dyDescent="0.25">
      <c r="A171" s="3">
        <v>1</v>
      </c>
      <c r="B171" s="3" t="s">
        <v>357</v>
      </c>
      <c r="C171" s="3" t="s">
        <v>236</v>
      </c>
      <c r="D171" s="3">
        <v>5</v>
      </c>
      <c r="E171" s="4">
        <f>D171*35</f>
        <v>175</v>
      </c>
      <c r="F171" s="3" t="s">
        <v>31</v>
      </c>
    </row>
    <row r="172" spans="1:6" x14ac:dyDescent="0.25">
      <c r="A172" s="3">
        <v>2</v>
      </c>
      <c r="B172" s="3" t="s">
        <v>357</v>
      </c>
      <c r="C172" s="1" t="s">
        <v>88</v>
      </c>
      <c r="D172" s="1">
        <v>10</v>
      </c>
      <c r="E172" s="5">
        <f>D172*35</f>
        <v>350</v>
      </c>
      <c r="F172" s="1" t="s">
        <v>31</v>
      </c>
    </row>
    <row r="173" spans="1:6" x14ac:dyDescent="0.25">
      <c r="A173" s="3">
        <v>3</v>
      </c>
      <c r="B173" s="3" t="s">
        <v>357</v>
      </c>
      <c r="C173" s="1" t="s">
        <v>196</v>
      </c>
      <c r="D173" s="1">
        <v>7</v>
      </c>
      <c r="E173" s="5">
        <f>D173*50</f>
        <v>350</v>
      </c>
      <c r="F173" s="1" t="s">
        <v>31</v>
      </c>
    </row>
    <row r="174" spans="1:6" x14ac:dyDescent="0.25">
      <c r="A174" s="3">
        <v>4</v>
      </c>
      <c r="B174" s="3" t="s">
        <v>357</v>
      </c>
      <c r="C174" s="1" t="s">
        <v>197</v>
      </c>
      <c r="D174" s="1">
        <v>7</v>
      </c>
      <c r="E174" s="5">
        <f>D174*40</f>
        <v>280</v>
      </c>
      <c r="F174" s="1" t="s">
        <v>31</v>
      </c>
    </row>
    <row r="175" spans="1:6" x14ac:dyDescent="0.25">
      <c r="A175" s="3">
        <v>5</v>
      </c>
      <c r="B175" s="3" t="s">
        <v>357</v>
      </c>
      <c r="C175" s="1" t="s">
        <v>198</v>
      </c>
      <c r="D175" s="1">
        <v>4</v>
      </c>
      <c r="E175" s="5">
        <f>D175*70</f>
        <v>280</v>
      </c>
      <c r="F175" s="1" t="s">
        <v>31</v>
      </c>
    </row>
    <row r="176" spans="1:6" x14ac:dyDescent="0.25">
      <c r="A176" s="3">
        <v>6</v>
      </c>
      <c r="B176" s="3" t="s">
        <v>357</v>
      </c>
      <c r="C176" s="1" t="s">
        <v>366</v>
      </c>
      <c r="D176" s="1">
        <v>8</v>
      </c>
      <c r="E176" s="5">
        <f>D176*180</f>
        <v>1440</v>
      </c>
      <c r="F176" s="1" t="s">
        <v>31</v>
      </c>
    </row>
    <row r="177" spans="1:6" x14ac:dyDescent="0.25">
      <c r="A177" s="3">
        <v>7</v>
      </c>
      <c r="B177" s="3" t="s">
        <v>357</v>
      </c>
      <c r="C177" s="1" t="s">
        <v>47</v>
      </c>
      <c r="D177" s="1">
        <v>3</v>
      </c>
      <c r="E177" s="5">
        <f>D177*80</f>
        <v>240</v>
      </c>
      <c r="F177" s="1" t="s">
        <v>31</v>
      </c>
    </row>
    <row r="178" spans="1:6" x14ac:dyDescent="0.25">
      <c r="A178" s="3">
        <v>8</v>
      </c>
      <c r="B178" s="3" t="s">
        <v>357</v>
      </c>
      <c r="C178" s="1" t="s">
        <v>43</v>
      </c>
      <c r="D178" s="1">
        <v>2</v>
      </c>
      <c r="E178" s="5">
        <f>D178*25</f>
        <v>50</v>
      </c>
      <c r="F178" s="1" t="s">
        <v>31</v>
      </c>
    </row>
    <row r="179" spans="1:6" x14ac:dyDescent="0.25">
      <c r="A179" s="3">
        <v>9</v>
      </c>
      <c r="B179" s="3" t="s">
        <v>357</v>
      </c>
      <c r="C179" s="1" t="s">
        <v>102</v>
      </c>
      <c r="D179" s="1">
        <v>5</v>
      </c>
      <c r="E179" s="5">
        <f>D179*120</f>
        <v>600</v>
      </c>
      <c r="F179" s="1" t="s">
        <v>31</v>
      </c>
    </row>
    <row r="180" spans="1:6" x14ac:dyDescent="0.25">
      <c r="A180" s="3">
        <v>10</v>
      </c>
      <c r="B180" s="3" t="s">
        <v>357</v>
      </c>
      <c r="C180" s="1" t="s">
        <v>50</v>
      </c>
      <c r="D180" s="1">
        <v>5</v>
      </c>
      <c r="E180" s="5">
        <f>D180*70</f>
        <v>350</v>
      </c>
      <c r="F180" s="1" t="s">
        <v>31</v>
      </c>
    </row>
    <row r="181" spans="1:6" x14ac:dyDescent="0.25">
      <c r="A181" s="3">
        <v>11</v>
      </c>
      <c r="B181" s="3" t="s">
        <v>357</v>
      </c>
      <c r="C181" s="1" t="s">
        <v>19</v>
      </c>
      <c r="D181" s="1">
        <v>40</v>
      </c>
      <c r="E181" s="5">
        <f>D181*15</f>
        <v>600</v>
      </c>
      <c r="F181" s="1" t="s">
        <v>31</v>
      </c>
    </row>
    <row r="182" spans="1:6" x14ac:dyDescent="0.25">
      <c r="A182" s="3">
        <v>12</v>
      </c>
      <c r="B182" s="3" t="s">
        <v>357</v>
      </c>
      <c r="C182" s="1" t="s">
        <v>240</v>
      </c>
      <c r="D182" s="1">
        <v>1</v>
      </c>
      <c r="E182" s="5">
        <f>D182*150</f>
        <v>150</v>
      </c>
      <c r="F182" s="1" t="s">
        <v>31</v>
      </c>
    </row>
    <row r="183" spans="1:6" x14ac:dyDescent="0.25">
      <c r="A183" s="3">
        <v>13</v>
      </c>
      <c r="B183" s="3" t="s">
        <v>357</v>
      </c>
      <c r="C183" s="1" t="s">
        <v>367</v>
      </c>
      <c r="D183" s="1">
        <v>1</v>
      </c>
      <c r="E183" s="5">
        <f>D183*250</f>
        <v>250</v>
      </c>
      <c r="F183" s="1" t="s">
        <v>31</v>
      </c>
    </row>
    <row r="184" spans="1:6" x14ac:dyDescent="0.25">
      <c r="A184" s="3">
        <v>14</v>
      </c>
      <c r="B184" s="3" t="s">
        <v>357</v>
      </c>
      <c r="C184" s="1" t="s">
        <v>178</v>
      </c>
      <c r="D184" s="1">
        <v>0.5</v>
      </c>
      <c r="E184" s="5">
        <f>D184*400</f>
        <v>200</v>
      </c>
      <c r="F184" s="1" t="s">
        <v>31</v>
      </c>
    </row>
    <row r="185" spans="1:6" x14ac:dyDescent="0.25">
      <c r="A185" s="3">
        <v>15</v>
      </c>
      <c r="B185" s="3" t="s">
        <v>357</v>
      </c>
      <c r="C185" s="1" t="s">
        <v>18</v>
      </c>
      <c r="D185" s="1">
        <v>1</v>
      </c>
      <c r="E185" s="5">
        <f>D185*80</f>
        <v>80</v>
      </c>
      <c r="F185" s="1" t="s">
        <v>31</v>
      </c>
    </row>
    <row r="186" spans="1:6" ht="15.75" thickBot="1" x14ac:dyDescent="0.3">
      <c r="A186" s="289" t="s">
        <v>41</v>
      </c>
      <c r="B186" s="290"/>
      <c r="C186" s="290"/>
      <c r="D186" s="291"/>
      <c r="E186" s="54">
        <f>SUM(E171:E185)</f>
        <v>5395</v>
      </c>
    </row>
    <row r="187" spans="1:6" ht="15.75" thickBot="1" x14ac:dyDescent="0.3">
      <c r="A187" s="292" t="s">
        <v>39</v>
      </c>
      <c r="B187" s="293"/>
      <c r="F187" s="14" t="s">
        <v>40</v>
      </c>
    </row>
    <row r="188" spans="1:6" ht="19.5" thickBot="1" x14ac:dyDescent="0.35">
      <c r="A188" s="10" t="s">
        <v>0</v>
      </c>
      <c r="B188" s="11" t="s">
        <v>3</v>
      </c>
      <c r="C188" s="11" t="s">
        <v>1</v>
      </c>
      <c r="D188" s="11" t="s">
        <v>26</v>
      </c>
      <c r="E188" s="11" t="s">
        <v>23</v>
      </c>
      <c r="F188" s="12" t="s">
        <v>27</v>
      </c>
    </row>
    <row r="189" spans="1:6" x14ac:dyDescent="0.25">
      <c r="A189" s="3">
        <v>1</v>
      </c>
      <c r="B189" s="3" t="s">
        <v>377</v>
      </c>
      <c r="C189" s="3" t="s">
        <v>378</v>
      </c>
      <c r="D189" s="3">
        <v>5</v>
      </c>
      <c r="E189" s="4">
        <f>D189*35</f>
        <v>175</v>
      </c>
      <c r="F189" s="3" t="s">
        <v>31</v>
      </c>
    </row>
    <row r="190" spans="1:6" x14ac:dyDescent="0.25">
      <c r="A190" s="3">
        <v>2</v>
      </c>
      <c r="B190" s="3" t="s">
        <v>377</v>
      </c>
      <c r="C190" s="1" t="s">
        <v>197</v>
      </c>
      <c r="D190" s="1">
        <v>3</v>
      </c>
      <c r="E190" s="5">
        <f>D190*40</f>
        <v>120</v>
      </c>
      <c r="F190" s="1" t="s">
        <v>31</v>
      </c>
    </row>
    <row r="191" spans="1:6" x14ac:dyDescent="0.25">
      <c r="A191" s="3">
        <v>3</v>
      </c>
      <c r="B191" s="3" t="s">
        <v>377</v>
      </c>
      <c r="C191" s="1" t="s">
        <v>198</v>
      </c>
      <c r="D191" s="1">
        <v>1</v>
      </c>
      <c r="E191" s="5">
        <v>70</v>
      </c>
      <c r="F191" s="1" t="s">
        <v>31</v>
      </c>
    </row>
    <row r="192" spans="1:6" x14ac:dyDescent="0.25">
      <c r="A192" s="3">
        <v>4</v>
      </c>
      <c r="B192" s="3" t="s">
        <v>377</v>
      </c>
      <c r="C192" s="1" t="s">
        <v>196</v>
      </c>
      <c r="D192" s="1">
        <v>7</v>
      </c>
      <c r="E192" s="5">
        <f>D192*50</f>
        <v>350</v>
      </c>
      <c r="F192" s="1" t="s">
        <v>31</v>
      </c>
    </row>
    <row r="193" spans="1:6" x14ac:dyDescent="0.25">
      <c r="A193" s="3">
        <v>5</v>
      </c>
      <c r="B193" s="3" t="s">
        <v>377</v>
      </c>
      <c r="C193" s="1" t="s">
        <v>198</v>
      </c>
      <c r="D193" s="1">
        <v>5</v>
      </c>
      <c r="E193" s="5">
        <f>D193*70</f>
        <v>350</v>
      </c>
      <c r="F193" s="1" t="s">
        <v>31</v>
      </c>
    </row>
    <row r="194" spans="1:6" x14ac:dyDescent="0.25">
      <c r="A194" s="3">
        <v>6</v>
      </c>
      <c r="B194" s="3" t="s">
        <v>377</v>
      </c>
      <c r="C194" s="1" t="s">
        <v>379</v>
      </c>
      <c r="D194" s="1">
        <v>4</v>
      </c>
      <c r="E194" s="5">
        <f>D194*35</f>
        <v>140</v>
      </c>
      <c r="F194" s="1" t="s">
        <v>31</v>
      </c>
    </row>
    <row r="195" spans="1:6" ht="15.75" thickBot="1" x14ac:dyDescent="0.3">
      <c r="A195" s="289" t="s">
        <v>41</v>
      </c>
      <c r="B195" s="290"/>
      <c r="C195" s="290"/>
      <c r="D195" s="291"/>
      <c r="E195" s="54">
        <f>SUM(E189:E194)</f>
        <v>1205</v>
      </c>
    </row>
    <row r="196" spans="1:6" ht="15.75" thickBot="1" x14ac:dyDescent="0.3">
      <c r="A196" s="292" t="s">
        <v>39</v>
      </c>
      <c r="B196" s="293"/>
      <c r="F196" s="14" t="s">
        <v>40</v>
      </c>
    </row>
    <row r="197" spans="1:6" ht="18.75" x14ac:dyDescent="0.3">
      <c r="A197" s="36" t="s">
        <v>0</v>
      </c>
      <c r="B197" s="36" t="s">
        <v>3</v>
      </c>
      <c r="C197" s="36" t="s">
        <v>1</v>
      </c>
      <c r="D197" s="36" t="s">
        <v>26</v>
      </c>
      <c r="E197" s="36" t="s">
        <v>23</v>
      </c>
      <c r="F197" s="36" t="s">
        <v>27</v>
      </c>
    </row>
    <row r="198" spans="1:6" x14ac:dyDescent="0.25">
      <c r="A198" s="1">
        <v>1</v>
      </c>
      <c r="B198" s="1" t="s">
        <v>377</v>
      </c>
      <c r="C198" s="1" t="s">
        <v>380</v>
      </c>
      <c r="D198" s="1">
        <v>5</v>
      </c>
      <c r="E198" s="5">
        <f>D198*50</f>
        <v>250</v>
      </c>
      <c r="F198" s="1" t="s">
        <v>31</v>
      </c>
    </row>
    <row r="199" spans="1:6" x14ac:dyDescent="0.25">
      <c r="A199" s="1">
        <v>2</v>
      </c>
      <c r="B199" s="1" t="s">
        <v>377</v>
      </c>
      <c r="C199" s="1" t="s">
        <v>240</v>
      </c>
      <c r="D199" s="1">
        <v>5</v>
      </c>
      <c r="E199" s="5">
        <f>D199*150</f>
        <v>750</v>
      </c>
      <c r="F199" s="1" t="s">
        <v>31</v>
      </c>
    </row>
    <row r="200" spans="1:6" x14ac:dyDescent="0.25">
      <c r="A200" s="1">
        <v>3</v>
      </c>
      <c r="B200" s="1" t="s">
        <v>377</v>
      </c>
      <c r="C200" s="1" t="s">
        <v>19</v>
      </c>
      <c r="D200" s="1">
        <v>11</v>
      </c>
      <c r="E200" s="5">
        <f>D200*15</f>
        <v>165</v>
      </c>
      <c r="F200" s="1" t="s">
        <v>31</v>
      </c>
    </row>
    <row r="201" spans="1:6" x14ac:dyDescent="0.25">
      <c r="A201" s="1">
        <v>4</v>
      </c>
      <c r="B201" s="1" t="s">
        <v>377</v>
      </c>
      <c r="C201" s="1" t="s">
        <v>33</v>
      </c>
      <c r="D201" s="1">
        <v>1</v>
      </c>
      <c r="E201" s="5">
        <v>20</v>
      </c>
      <c r="F201" s="1" t="s">
        <v>31</v>
      </c>
    </row>
    <row r="202" spans="1:6" x14ac:dyDescent="0.25">
      <c r="A202" s="1">
        <v>5</v>
      </c>
      <c r="B202" s="1" t="s">
        <v>377</v>
      </c>
      <c r="C202" s="1" t="s">
        <v>381</v>
      </c>
      <c r="D202" s="1">
        <v>1</v>
      </c>
      <c r="E202" s="5">
        <f>D202*150</f>
        <v>150</v>
      </c>
      <c r="F202" s="1" t="s">
        <v>31</v>
      </c>
    </row>
    <row r="203" spans="1:6" x14ac:dyDescent="0.25">
      <c r="A203" s="1">
        <v>6</v>
      </c>
      <c r="B203" s="1" t="s">
        <v>377</v>
      </c>
      <c r="C203" s="1" t="s">
        <v>197</v>
      </c>
      <c r="D203" s="1">
        <v>2</v>
      </c>
      <c r="E203" s="5">
        <f>D203*40</f>
        <v>80</v>
      </c>
      <c r="F203" s="1" t="s">
        <v>31</v>
      </c>
    </row>
    <row r="204" spans="1:6" x14ac:dyDescent="0.25">
      <c r="A204" s="1">
        <v>7</v>
      </c>
      <c r="B204" s="1" t="s">
        <v>377</v>
      </c>
      <c r="C204" s="24" t="s">
        <v>198</v>
      </c>
      <c r="D204" s="24">
        <v>1</v>
      </c>
      <c r="E204" s="5">
        <v>70</v>
      </c>
      <c r="F204" s="1" t="s">
        <v>31</v>
      </c>
    </row>
    <row r="205" spans="1:6" ht="15.75" thickBot="1" x14ac:dyDescent="0.3">
      <c r="A205" s="1">
        <v>8</v>
      </c>
      <c r="B205" s="1" t="s">
        <v>377</v>
      </c>
      <c r="C205" s="75" t="s">
        <v>50</v>
      </c>
      <c r="D205" s="75">
        <v>1</v>
      </c>
      <c r="E205" s="8">
        <v>110</v>
      </c>
      <c r="F205" s="1" t="s">
        <v>31</v>
      </c>
    </row>
    <row r="206" spans="1:6" ht="15.75" thickBot="1" x14ac:dyDescent="0.3">
      <c r="A206" s="295" t="s">
        <v>41</v>
      </c>
      <c r="B206" s="296"/>
      <c r="C206" s="296"/>
      <c r="D206" s="296"/>
      <c r="E206" s="76">
        <f>SUM(E198:E205)</f>
        <v>1595</v>
      </c>
      <c r="F206" s="74"/>
    </row>
    <row r="207" spans="1:6" ht="15.75" thickBot="1" x14ac:dyDescent="0.3">
      <c r="A207" s="292" t="s">
        <v>39</v>
      </c>
      <c r="B207" s="293"/>
      <c r="F207" s="14" t="s">
        <v>40</v>
      </c>
    </row>
    <row r="208" spans="1:6" ht="18.75" x14ac:dyDescent="0.3">
      <c r="A208" s="36" t="s">
        <v>0</v>
      </c>
      <c r="B208" s="36" t="s">
        <v>3</v>
      </c>
      <c r="C208" s="36" t="s">
        <v>1</v>
      </c>
      <c r="D208" s="36" t="s">
        <v>26</v>
      </c>
      <c r="E208" s="36" t="s">
        <v>23</v>
      </c>
      <c r="F208" s="36" t="s">
        <v>27</v>
      </c>
    </row>
    <row r="209" spans="1:6" x14ac:dyDescent="0.25">
      <c r="A209" s="1">
        <v>1</v>
      </c>
      <c r="B209" s="1" t="s">
        <v>377</v>
      </c>
      <c r="C209" s="1" t="s">
        <v>102</v>
      </c>
      <c r="D209" s="1">
        <v>4</v>
      </c>
      <c r="E209" s="5">
        <f>D209*120</f>
        <v>480</v>
      </c>
      <c r="F209" s="1" t="s">
        <v>31</v>
      </c>
    </row>
    <row r="210" spans="1:6" x14ac:dyDescent="0.25">
      <c r="A210" s="1">
        <v>2</v>
      </c>
      <c r="B210" s="1" t="s">
        <v>377</v>
      </c>
      <c r="C210" s="1" t="s">
        <v>379</v>
      </c>
      <c r="D210" s="1">
        <v>8</v>
      </c>
      <c r="E210" s="5">
        <f>D210*35</f>
        <v>280</v>
      </c>
      <c r="F210" s="1" t="s">
        <v>31</v>
      </c>
    </row>
    <row r="211" spans="1:6" x14ac:dyDescent="0.25">
      <c r="A211" s="1">
        <v>3</v>
      </c>
      <c r="B211" s="1" t="s">
        <v>377</v>
      </c>
      <c r="C211" s="1" t="s">
        <v>198</v>
      </c>
      <c r="D211" s="1">
        <v>5</v>
      </c>
      <c r="E211" s="5">
        <f>D211*70</f>
        <v>350</v>
      </c>
      <c r="F211" s="1" t="s">
        <v>31</v>
      </c>
    </row>
    <row r="212" spans="1:6" x14ac:dyDescent="0.25">
      <c r="A212" s="1">
        <v>4</v>
      </c>
      <c r="B212" s="1" t="s">
        <v>377</v>
      </c>
      <c r="C212" s="1" t="s">
        <v>197</v>
      </c>
      <c r="D212" s="1">
        <v>4</v>
      </c>
      <c r="E212" s="5">
        <f>D212*40</f>
        <v>160</v>
      </c>
      <c r="F212" s="1" t="s">
        <v>31</v>
      </c>
    </row>
    <row r="213" spans="1:6" x14ac:dyDescent="0.25">
      <c r="A213" s="1">
        <v>5</v>
      </c>
      <c r="B213" s="1" t="s">
        <v>377</v>
      </c>
      <c r="C213" s="1" t="s">
        <v>178</v>
      </c>
      <c r="D213" s="1">
        <v>0.5</v>
      </c>
      <c r="E213" s="5">
        <f>D213*400</f>
        <v>200</v>
      </c>
      <c r="F213" s="1" t="s">
        <v>31</v>
      </c>
    </row>
    <row r="214" spans="1:6" x14ac:dyDescent="0.25">
      <c r="A214" s="1">
        <v>6</v>
      </c>
      <c r="B214" s="1" t="s">
        <v>377</v>
      </c>
      <c r="C214" s="1" t="s">
        <v>19</v>
      </c>
      <c r="D214" s="1">
        <v>20</v>
      </c>
      <c r="E214" s="5">
        <f>D214*15</f>
        <v>300</v>
      </c>
      <c r="F214" s="1" t="s">
        <v>31</v>
      </c>
    </row>
    <row r="215" spans="1:6" ht="15.75" thickBot="1" x14ac:dyDescent="0.3">
      <c r="A215" s="1">
        <v>7</v>
      </c>
      <c r="B215" s="1" t="s">
        <v>377</v>
      </c>
      <c r="C215" s="24" t="s">
        <v>382</v>
      </c>
      <c r="D215" s="24">
        <v>1</v>
      </c>
      <c r="E215" s="5">
        <v>180</v>
      </c>
      <c r="F215" s="1" t="s">
        <v>31</v>
      </c>
    </row>
    <row r="216" spans="1:6" ht="15.75" thickBot="1" x14ac:dyDescent="0.3">
      <c r="A216" s="295" t="s">
        <v>41</v>
      </c>
      <c r="B216" s="296"/>
      <c r="C216" s="296"/>
      <c r="D216" s="296"/>
      <c r="E216" s="76">
        <f>SUM(E209:E215)</f>
        <v>1950</v>
      </c>
      <c r="F216" s="74"/>
    </row>
    <row r="217" spans="1:6" ht="15.75" thickBot="1" x14ac:dyDescent="0.3">
      <c r="A217" s="292" t="s">
        <v>39</v>
      </c>
      <c r="B217" s="293"/>
      <c r="F217" s="14" t="s">
        <v>40</v>
      </c>
    </row>
    <row r="218" spans="1:6" ht="19.5" thickBot="1" x14ac:dyDescent="0.35">
      <c r="A218" s="10" t="s">
        <v>0</v>
      </c>
      <c r="B218" s="11" t="s">
        <v>3</v>
      </c>
      <c r="C218" s="11" t="s">
        <v>1</v>
      </c>
      <c r="D218" s="11" t="s">
        <v>26</v>
      </c>
      <c r="E218" s="11" t="s">
        <v>23</v>
      </c>
      <c r="F218" s="12" t="s">
        <v>27</v>
      </c>
    </row>
    <row r="219" spans="1:6" x14ac:dyDescent="0.25">
      <c r="A219" s="3">
        <v>1</v>
      </c>
      <c r="B219" s="3" t="s">
        <v>387</v>
      </c>
      <c r="C219" s="3" t="s">
        <v>88</v>
      </c>
      <c r="D219" s="3">
        <v>7</v>
      </c>
      <c r="E219" s="4">
        <f>D219*35</f>
        <v>245</v>
      </c>
      <c r="F219" s="3" t="s">
        <v>31</v>
      </c>
    </row>
    <row r="220" spans="1:6" x14ac:dyDescent="0.25">
      <c r="A220" s="3">
        <v>2</v>
      </c>
      <c r="B220" s="3" t="s">
        <v>387</v>
      </c>
      <c r="C220" s="1" t="s">
        <v>196</v>
      </c>
      <c r="D220" s="1">
        <v>4</v>
      </c>
      <c r="E220" s="5">
        <f>D220*50</f>
        <v>200</v>
      </c>
      <c r="F220" s="1" t="s">
        <v>31</v>
      </c>
    </row>
    <row r="221" spans="1:6" x14ac:dyDescent="0.25">
      <c r="A221" s="3">
        <v>3</v>
      </c>
      <c r="B221" s="3" t="s">
        <v>387</v>
      </c>
      <c r="C221" s="1" t="s">
        <v>123</v>
      </c>
      <c r="D221" s="1">
        <v>5</v>
      </c>
      <c r="E221" s="5">
        <f>D221*225</f>
        <v>1125</v>
      </c>
      <c r="F221" s="1" t="s">
        <v>31</v>
      </c>
    </row>
    <row r="222" spans="1:6" x14ac:dyDescent="0.25">
      <c r="A222" s="3">
        <v>4</v>
      </c>
      <c r="B222" s="3" t="s">
        <v>387</v>
      </c>
      <c r="C222" s="1" t="s">
        <v>245</v>
      </c>
      <c r="D222" s="1">
        <v>2</v>
      </c>
      <c r="E222" s="5">
        <f>D222*110</f>
        <v>220</v>
      </c>
      <c r="F222" s="1" t="s">
        <v>31</v>
      </c>
    </row>
    <row r="223" spans="1:6" x14ac:dyDescent="0.25">
      <c r="A223" s="3">
        <v>5</v>
      </c>
      <c r="B223" s="3" t="s">
        <v>387</v>
      </c>
      <c r="C223" s="1" t="s">
        <v>19</v>
      </c>
      <c r="D223" s="1">
        <v>10</v>
      </c>
      <c r="E223" s="5">
        <f>D223*15</f>
        <v>150</v>
      </c>
      <c r="F223" s="1" t="s">
        <v>31</v>
      </c>
    </row>
    <row r="224" spans="1:6" x14ac:dyDescent="0.25">
      <c r="A224" s="3">
        <v>6</v>
      </c>
      <c r="B224" s="3" t="s">
        <v>387</v>
      </c>
      <c r="C224" s="1" t="s">
        <v>33</v>
      </c>
      <c r="D224" s="1">
        <v>1</v>
      </c>
      <c r="E224" s="5">
        <f>D224*25</f>
        <v>25</v>
      </c>
      <c r="F224" s="1" t="s">
        <v>31</v>
      </c>
    </row>
    <row r="225" spans="1:6" x14ac:dyDescent="0.25">
      <c r="A225" s="3">
        <v>7</v>
      </c>
      <c r="B225" s="3" t="s">
        <v>387</v>
      </c>
      <c r="C225" s="1" t="s">
        <v>50</v>
      </c>
      <c r="D225" s="1">
        <v>4</v>
      </c>
      <c r="E225" s="5">
        <f>D225*70</f>
        <v>280</v>
      </c>
      <c r="F225" s="1" t="s">
        <v>31</v>
      </c>
    </row>
    <row r="226" spans="1:6" x14ac:dyDescent="0.25">
      <c r="A226" s="3">
        <v>8</v>
      </c>
      <c r="B226" s="3" t="s">
        <v>387</v>
      </c>
      <c r="C226" s="1" t="s">
        <v>399</v>
      </c>
      <c r="D226" s="1">
        <v>3</v>
      </c>
      <c r="E226" s="5">
        <f>D226*150</f>
        <v>450</v>
      </c>
      <c r="F226" s="1" t="s">
        <v>31</v>
      </c>
    </row>
    <row r="227" spans="1:6" x14ac:dyDescent="0.25">
      <c r="A227" s="3">
        <v>9</v>
      </c>
      <c r="B227" s="3" t="s">
        <v>387</v>
      </c>
      <c r="C227" s="1" t="s">
        <v>197</v>
      </c>
      <c r="D227" s="1">
        <v>2</v>
      </c>
      <c r="E227" s="5">
        <f>D227*40</f>
        <v>80</v>
      </c>
      <c r="F227" s="1" t="s">
        <v>31</v>
      </c>
    </row>
    <row r="228" spans="1:6" x14ac:dyDescent="0.25">
      <c r="A228" s="3">
        <v>10</v>
      </c>
      <c r="B228" s="3" t="s">
        <v>387</v>
      </c>
      <c r="C228" s="1" t="s">
        <v>50</v>
      </c>
      <c r="D228" s="1">
        <v>1</v>
      </c>
      <c r="E228" s="5">
        <f>D228*180</f>
        <v>180</v>
      </c>
      <c r="F228" s="1" t="s">
        <v>31</v>
      </c>
    </row>
    <row r="229" spans="1:6" x14ac:dyDescent="0.25">
      <c r="A229" s="3">
        <v>11</v>
      </c>
      <c r="B229" s="3" t="s">
        <v>387</v>
      </c>
      <c r="C229" s="1" t="s">
        <v>19</v>
      </c>
      <c r="D229" s="1">
        <v>15</v>
      </c>
      <c r="E229" s="5">
        <f>D229*15</f>
        <v>225</v>
      </c>
      <c r="F229" s="1" t="s">
        <v>31</v>
      </c>
    </row>
    <row r="230" spans="1:6" x14ac:dyDescent="0.25">
      <c r="A230" s="3">
        <v>12</v>
      </c>
      <c r="B230" s="3" t="s">
        <v>387</v>
      </c>
      <c r="C230" s="1" t="s">
        <v>254</v>
      </c>
      <c r="D230" s="1" t="s">
        <v>400</v>
      </c>
      <c r="E230" s="5">
        <f>1600</f>
        <v>1600</v>
      </c>
      <c r="F230" s="1" t="s">
        <v>31</v>
      </c>
    </row>
    <row r="231" spans="1:6" x14ac:dyDescent="0.25">
      <c r="A231" s="3">
        <v>13</v>
      </c>
      <c r="B231" s="3" t="s">
        <v>387</v>
      </c>
      <c r="C231" s="1" t="s">
        <v>401</v>
      </c>
      <c r="D231" s="1">
        <v>5</v>
      </c>
      <c r="E231" s="5">
        <f>D231*35</f>
        <v>175</v>
      </c>
      <c r="F231" s="1" t="s">
        <v>31</v>
      </c>
    </row>
    <row r="232" spans="1:6" x14ac:dyDescent="0.25">
      <c r="A232" s="3">
        <v>14</v>
      </c>
      <c r="B232" s="3" t="s">
        <v>387</v>
      </c>
      <c r="C232" s="1" t="s">
        <v>402</v>
      </c>
      <c r="D232" s="1">
        <v>2</v>
      </c>
      <c r="E232" s="5">
        <f>D232*70</f>
        <v>140</v>
      </c>
      <c r="F232" s="1" t="s">
        <v>31</v>
      </c>
    </row>
    <row r="233" spans="1:6" ht="15.75" thickBot="1" x14ac:dyDescent="0.3">
      <c r="A233" s="289" t="s">
        <v>41</v>
      </c>
      <c r="B233" s="290"/>
      <c r="C233" s="290"/>
      <c r="D233" s="291"/>
      <c r="E233" s="54">
        <f>SUM(E219:E232)</f>
        <v>5095</v>
      </c>
    </row>
    <row r="234" spans="1:6" ht="15.75" thickBot="1" x14ac:dyDescent="0.3">
      <c r="A234" s="292" t="s">
        <v>39</v>
      </c>
      <c r="B234" s="293"/>
      <c r="F234" s="14" t="s">
        <v>40</v>
      </c>
    </row>
    <row r="235" spans="1:6" ht="19.5" thickBot="1" x14ac:dyDescent="0.35">
      <c r="A235" s="10" t="s">
        <v>0</v>
      </c>
      <c r="B235" s="11" t="s">
        <v>3</v>
      </c>
      <c r="C235" s="11" t="s">
        <v>1</v>
      </c>
      <c r="D235" s="11" t="s">
        <v>26</v>
      </c>
      <c r="E235" s="11" t="s">
        <v>23</v>
      </c>
      <c r="F235" s="12" t="s">
        <v>27</v>
      </c>
    </row>
    <row r="236" spans="1:6" x14ac:dyDescent="0.25">
      <c r="A236" s="3">
        <v>1</v>
      </c>
      <c r="B236" s="3" t="s">
        <v>398</v>
      </c>
      <c r="C236" s="3" t="s">
        <v>88</v>
      </c>
      <c r="D236" s="3">
        <v>8</v>
      </c>
      <c r="E236" s="4">
        <f>D236*35</f>
        <v>280</v>
      </c>
      <c r="F236" s="3" t="s">
        <v>31</v>
      </c>
    </row>
    <row r="237" spans="1:6" x14ac:dyDescent="0.25">
      <c r="A237" s="3">
        <v>2</v>
      </c>
      <c r="B237" s="3" t="s">
        <v>398</v>
      </c>
      <c r="C237" s="1" t="s">
        <v>196</v>
      </c>
      <c r="D237" s="1">
        <v>5</v>
      </c>
      <c r="E237" s="5">
        <f>D237*50</f>
        <v>250</v>
      </c>
      <c r="F237" s="1" t="s">
        <v>31</v>
      </c>
    </row>
    <row r="238" spans="1:6" x14ac:dyDescent="0.25">
      <c r="A238" s="3">
        <v>3</v>
      </c>
      <c r="B238" s="3" t="s">
        <v>398</v>
      </c>
      <c r="C238" s="1" t="s">
        <v>197</v>
      </c>
      <c r="D238" s="1">
        <v>4</v>
      </c>
      <c r="E238" s="5">
        <f>D238*40</f>
        <v>160</v>
      </c>
      <c r="F238" s="1" t="s">
        <v>31</v>
      </c>
    </row>
    <row r="239" spans="1:6" x14ac:dyDescent="0.25">
      <c r="A239" s="3">
        <v>4</v>
      </c>
      <c r="B239" s="3" t="s">
        <v>398</v>
      </c>
      <c r="C239" s="1" t="s">
        <v>178</v>
      </c>
      <c r="D239" s="1">
        <v>0.5</v>
      </c>
      <c r="E239" s="5">
        <f>D239*400</f>
        <v>200</v>
      </c>
      <c r="F239" s="1" t="s">
        <v>31</v>
      </c>
    </row>
    <row r="240" spans="1:6" x14ac:dyDescent="0.25">
      <c r="A240" s="3">
        <v>5</v>
      </c>
      <c r="B240" s="3" t="s">
        <v>398</v>
      </c>
      <c r="C240" s="1" t="s">
        <v>19</v>
      </c>
      <c r="D240" s="1">
        <v>25</v>
      </c>
      <c r="E240" s="5">
        <f>D240*15</f>
        <v>375</v>
      </c>
      <c r="F240" s="1" t="s">
        <v>31</v>
      </c>
    </row>
    <row r="241" spans="1:6" x14ac:dyDescent="0.25">
      <c r="A241" s="3">
        <v>6</v>
      </c>
      <c r="B241" s="3" t="s">
        <v>398</v>
      </c>
      <c r="C241" s="1" t="s">
        <v>47</v>
      </c>
      <c r="D241" s="1">
        <v>2</v>
      </c>
      <c r="E241" s="5">
        <f>D241*80</f>
        <v>160</v>
      </c>
      <c r="F241" s="1" t="s">
        <v>31</v>
      </c>
    </row>
    <row r="242" spans="1:6" x14ac:dyDescent="0.25">
      <c r="A242" s="3">
        <v>7</v>
      </c>
      <c r="B242" s="3" t="s">
        <v>398</v>
      </c>
      <c r="C242" s="1" t="s">
        <v>43</v>
      </c>
      <c r="D242" s="1">
        <v>1</v>
      </c>
      <c r="E242" s="5">
        <v>20</v>
      </c>
      <c r="F242" s="1" t="s">
        <v>31</v>
      </c>
    </row>
    <row r="243" spans="1:6" ht="60" x14ac:dyDescent="0.25">
      <c r="A243" s="3">
        <v>8</v>
      </c>
      <c r="B243" s="19" t="s">
        <v>398</v>
      </c>
      <c r="C243" s="18" t="s">
        <v>416</v>
      </c>
      <c r="D243" s="20" t="s">
        <v>417</v>
      </c>
      <c r="E243" s="21">
        <v>2560</v>
      </c>
      <c r="F243" s="18" t="s">
        <v>31</v>
      </c>
    </row>
    <row r="244" spans="1:6" x14ac:dyDescent="0.25">
      <c r="A244" s="3">
        <v>9</v>
      </c>
      <c r="B244" s="3" t="s">
        <v>398</v>
      </c>
      <c r="C244" s="1" t="s">
        <v>50</v>
      </c>
      <c r="D244" s="1">
        <v>7</v>
      </c>
      <c r="E244" s="5">
        <f>D244*70</f>
        <v>490</v>
      </c>
      <c r="F244" s="1" t="s">
        <v>31</v>
      </c>
    </row>
    <row r="245" spans="1:6" x14ac:dyDescent="0.25">
      <c r="A245" s="3">
        <v>10</v>
      </c>
      <c r="B245" s="3" t="s">
        <v>398</v>
      </c>
      <c r="C245" s="1" t="s">
        <v>402</v>
      </c>
      <c r="D245" s="1">
        <v>8</v>
      </c>
      <c r="E245" s="5">
        <f>D245*70</f>
        <v>560</v>
      </c>
      <c r="F245" s="1" t="s">
        <v>31</v>
      </c>
    </row>
    <row r="246" spans="1:6" x14ac:dyDescent="0.25">
      <c r="A246" s="3">
        <v>11</v>
      </c>
      <c r="B246" s="3" t="s">
        <v>398</v>
      </c>
      <c r="C246" s="1" t="s">
        <v>418</v>
      </c>
      <c r="D246" s="1">
        <v>1</v>
      </c>
      <c r="E246" s="5">
        <v>180</v>
      </c>
      <c r="F246" s="1" t="s">
        <v>31</v>
      </c>
    </row>
    <row r="247" spans="1:6" x14ac:dyDescent="0.25">
      <c r="A247" s="3">
        <v>12</v>
      </c>
      <c r="B247" s="3" t="s">
        <v>398</v>
      </c>
      <c r="C247" s="24" t="s">
        <v>419</v>
      </c>
      <c r="D247" s="24">
        <v>0.5</v>
      </c>
      <c r="E247" s="5">
        <f>D247*450</f>
        <v>225</v>
      </c>
      <c r="F247" s="1" t="s">
        <v>31</v>
      </c>
    </row>
    <row r="248" spans="1:6" ht="15.75" thickBot="1" x14ac:dyDescent="0.3">
      <c r="A248" s="289" t="s">
        <v>41</v>
      </c>
      <c r="B248" s="290"/>
      <c r="C248" s="290"/>
      <c r="D248" s="291"/>
      <c r="E248" s="54">
        <f>SUM(E236:E247)</f>
        <v>5460</v>
      </c>
    </row>
    <row r="249" spans="1:6" ht="15.75" thickBot="1" x14ac:dyDescent="0.3">
      <c r="A249" s="292" t="s">
        <v>39</v>
      </c>
      <c r="B249" s="293"/>
      <c r="F249" s="14" t="s">
        <v>40</v>
      </c>
    </row>
    <row r="250" spans="1:6" ht="19.5" thickBot="1" x14ac:dyDescent="0.35">
      <c r="A250" s="10" t="s">
        <v>0</v>
      </c>
      <c r="B250" s="11" t="s">
        <v>3</v>
      </c>
      <c r="C250" s="11" t="s">
        <v>1</v>
      </c>
      <c r="D250" s="11" t="s">
        <v>26</v>
      </c>
      <c r="E250" s="11" t="s">
        <v>23</v>
      </c>
      <c r="F250" s="12" t="s">
        <v>27</v>
      </c>
    </row>
    <row r="251" spans="1:6" x14ac:dyDescent="0.25">
      <c r="A251" s="3">
        <v>1</v>
      </c>
      <c r="B251" s="3" t="s">
        <v>423</v>
      </c>
      <c r="C251" s="3" t="s">
        <v>88</v>
      </c>
      <c r="D251" s="3">
        <v>8</v>
      </c>
      <c r="E251" s="4">
        <f>D251*35</f>
        <v>280</v>
      </c>
      <c r="F251" s="3" t="s">
        <v>31</v>
      </c>
    </row>
    <row r="252" spans="1:6" x14ac:dyDescent="0.25">
      <c r="A252" s="3">
        <v>2</v>
      </c>
      <c r="B252" s="3" t="s">
        <v>423</v>
      </c>
      <c r="C252" s="1" t="s">
        <v>196</v>
      </c>
      <c r="D252" s="1">
        <v>6</v>
      </c>
      <c r="E252" s="5">
        <f>D252*50</f>
        <v>300</v>
      </c>
      <c r="F252" s="1" t="s">
        <v>31</v>
      </c>
    </row>
    <row r="253" spans="1:6" x14ac:dyDescent="0.25">
      <c r="A253" s="3">
        <v>3</v>
      </c>
      <c r="B253" s="3" t="s">
        <v>423</v>
      </c>
      <c r="C253" s="1" t="s">
        <v>197</v>
      </c>
      <c r="D253" s="1">
        <v>8</v>
      </c>
      <c r="E253" s="5">
        <f>D253*80</f>
        <v>640</v>
      </c>
      <c r="F253" s="1" t="s">
        <v>31</v>
      </c>
    </row>
    <row r="254" spans="1:6" x14ac:dyDescent="0.25">
      <c r="A254" s="3">
        <v>4</v>
      </c>
      <c r="B254" s="3" t="s">
        <v>423</v>
      </c>
      <c r="C254" s="1" t="s">
        <v>179</v>
      </c>
      <c r="D254" s="1">
        <v>9</v>
      </c>
      <c r="E254" s="5">
        <f>D254*70</f>
        <v>630</v>
      </c>
      <c r="F254" s="1" t="s">
        <v>31</v>
      </c>
    </row>
    <row r="255" spans="1:6" x14ac:dyDescent="0.25">
      <c r="A255" s="3">
        <v>5</v>
      </c>
      <c r="B255" s="3" t="s">
        <v>423</v>
      </c>
      <c r="C255" s="1" t="s">
        <v>178</v>
      </c>
      <c r="D255" s="1">
        <v>1.5</v>
      </c>
      <c r="E255" s="5">
        <f>D255*400</f>
        <v>600</v>
      </c>
      <c r="F255" s="1" t="s">
        <v>31</v>
      </c>
    </row>
    <row r="256" spans="1:6" x14ac:dyDescent="0.25">
      <c r="A256" s="3">
        <v>6</v>
      </c>
      <c r="B256" s="3" t="s">
        <v>423</v>
      </c>
      <c r="C256" s="1" t="s">
        <v>43</v>
      </c>
      <c r="D256" s="1">
        <v>2</v>
      </c>
      <c r="E256" s="5">
        <f>D256*30</f>
        <v>60</v>
      </c>
      <c r="F256" s="1" t="s">
        <v>31</v>
      </c>
    </row>
    <row r="257" spans="1:6" x14ac:dyDescent="0.25">
      <c r="A257" s="3">
        <v>7</v>
      </c>
      <c r="B257" s="3" t="s">
        <v>423</v>
      </c>
      <c r="C257" s="1" t="s">
        <v>292</v>
      </c>
      <c r="D257" s="1">
        <v>1</v>
      </c>
      <c r="E257" s="5">
        <v>90</v>
      </c>
      <c r="F257" s="1" t="s">
        <v>31</v>
      </c>
    </row>
    <row r="258" spans="1:6" x14ac:dyDescent="0.25">
      <c r="A258" s="3">
        <v>8</v>
      </c>
      <c r="B258" s="3" t="s">
        <v>423</v>
      </c>
      <c r="C258" s="18" t="s">
        <v>254</v>
      </c>
      <c r="D258" s="20">
        <v>2</v>
      </c>
      <c r="E258" s="21">
        <f>D258*225</f>
        <v>450</v>
      </c>
      <c r="F258" s="18" t="s">
        <v>31</v>
      </c>
    </row>
    <row r="259" spans="1:6" x14ac:dyDescent="0.25">
      <c r="A259" s="3">
        <v>9</v>
      </c>
      <c r="B259" s="3" t="s">
        <v>423</v>
      </c>
      <c r="C259" s="1" t="s">
        <v>433</v>
      </c>
      <c r="D259" s="1" t="s">
        <v>434</v>
      </c>
      <c r="E259" s="5">
        <f>350*12</f>
        <v>4200</v>
      </c>
      <c r="F259" s="1" t="s">
        <v>31</v>
      </c>
    </row>
    <row r="260" spans="1:6" x14ac:dyDescent="0.25">
      <c r="A260" s="3">
        <v>10</v>
      </c>
      <c r="B260" s="3" t="s">
        <v>423</v>
      </c>
      <c r="C260" s="1" t="s">
        <v>435</v>
      </c>
      <c r="D260" s="1">
        <v>1</v>
      </c>
      <c r="E260" s="5">
        <v>150</v>
      </c>
      <c r="F260" s="1" t="s">
        <v>31</v>
      </c>
    </row>
    <row r="261" spans="1:6" x14ac:dyDescent="0.25">
      <c r="A261" s="3">
        <v>11</v>
      </c>
      <c r="B261" s="3" t="s">
        <v>423</v>
      </c>
      <c r="C261" s="1" t="s">
        <v>399</v>
      </c>
      <c r="D261" s="1">
        <v>4</v>
      </c>
      <c r="E261" s="5">
        <f>D261*120</f>
        <v>480</v>
      </c>
      <c r="F261" s="1" t="s">
        <v>31</v>
      </c>
    </row>
    <row r="262" spans="1:6" x14ac:dyDescent="0.25">
      <c r="A262" s="3">
        <v>12</v>
      </c>
      <c r="B262" s="3" t="s">
        <v>423</v>
      </c>
      <c r="C262" s="24" t="s">
        <v>402</v>
      </c>
      <c r="D262" s="24">
        <v>9</v>
      </c>
      <c r="E262" s="5">
        <f>D262*70</f>
        <v>630</v>
      </c>
      <c r="F262" s="1" t="s">
        <v>31</v>
      </c>
    </row>
    <row r="263" spans="1:6" x14ac:dyDescent="0.25">
      <c r="A263" s="3">
        <v>13</v>
      </c>
      <c r="B263" s="3" t="s">
        <v>423</v>
      </c>
      <c r="C263" s="24" t="s">
        <v>197</v>
      </c>
      <c r="D263" s="24">
        <v>8</v>
      </c>
      <c r="E263" s="5">
        <f>D263*40</f>
        <v>320</v>
      </c>
      <c r="F263" s="1" t="s">
        <v>31</v>
      </c>
    </row>
    <row r="264" spans="1:6" x14ac:dyDescent="0.25">
      <c r="A264" s="3">
        <v>14</v>
      </c>
      <c r="B264" s="3" t="s">
        <v>423</v>
      </c>
      <c r="C264" s="24" t="s">
        <v>436</v>
      </c>
      <c r="D264" s="24">
        <v>5</v>
      </c>
      <c r="E264" s="5">
        <f>D264*35</f>
        <v>175</v>
      </c>
      <c r="F264" s="1" t="s">
        <v>31</v>
      </c>
    </row>
    <row r="265" spans="1:6" x14ac:dyDescent="0.25">
      <c r="A265" s="3">
        <v>15</v>
      </c>
      <c r="B265" s="3" t="s">
        <v>423</v>
      </c>
      <c r="C265" s="24" t="s">
        <v>102</v>
      </c>
      <c r="D265" s="24">
        <v>3</v>
      </c>
      <c r="E265" s="5">
        <f>D265*120</f>
        <v>360</v>
      </c>
      <c r="F265" s="1" t="s">
        <v>31</v>
      </c>
    </row>
    <row r="266" spans="1:6" x14ac:dyDescent="0.25">
      <c r="A266" s="3">
        <v>16</v>
      </c>
      <c r="B266" s="3" t="s">
        <v>423</v>
      </c>
      <c r="C266" s="24" t="s">
        <v>236</v>
      </c>
      <c r="D266" s="24">
        <v>5</v>
      </c>
      <c r="E266" s="5">
        <f>D266*35</f>
        <v>175</v>
      </c>
      <c r="F266" s="1" t="s">
        <v>31</v>
      </c>
    </row>
    <row r="267" spans="1:6" ht="15.75" thickBot="1" x14ac:dyDescent="0.3">
      <c r="A267" s="289" t="s">
        <v>41</v>
      </c>
      <c r="B267" s="290"/>
      <c r="C267" s="290"/>
      <c r="D267" s="291"/>
      <c r="E267" s="54">
        <f>SUM(E251:E266)</f>
        <v>9540</v>
      </c>
    </row>
    <row r="268" spans="1:6" ht="15.75" thickBot="1" x14ac:dyDescent="0.3">
      <c r="A268" s="292" t="s">
        <v>39</v>
      </c>
      <c r="B268" s="293"/>
      <c r="F268" s="14" t="s">
        <v>40</v>
      </c>
    </row>
    <row r="269" spans="1:6" ht="19.5" thickBot="1" x14ac:dyDescent="0.35">
      <c r="A269" s="10" t="s">
        <v>0</v>
      </c>
      <c r="B269" s="11" t="s">
        <v>3</v>
      </c>
      <c r="C269" s="11" t="s">
        <v>1</v>
      </c>
      <c r="D269" s="11" t="s">
        <v>26</v>
      </c>
      <c r="E269" s="11" t="s">
        <v>23</v>
      </c>
      <c r="F269" s="12" t="s">
        <v>27</v>
      </c>
    </row>
    <row r="270" spans="1:6" x14ac:dyDescent="0.25">
      <c r="A270" s="3">
        <v>1</v>
      </c>
      <c r="B270" s="67">
        <v>46023</v>
      </c>
      <c r="C270" s="3" t="s">
        <v>88</v>
      </c>
      <c r="D270" s="3">
        <v>8</v>
      </c>
      <c r="E270" s="4">
        <f>D270*35</f>
        <v>280</v>
      </c>
      <c r="F270" s="3" t="s">
        <v>31</v>
      </c>
    </row>
    <row r="271" spans="1:6" x14ac:dyDescent="0.25">
      <c r="A271" s="3">
        <v>2</v>
      </c>
      <c r="B271" s="67">
        <v>46023</v>
      </c>
      <c r="C271" s="1" t="s">
        <v>196</v>
      </c>
      <c r="D271" s="1">
        <v>11</v>
      </c>
      <c r="E271" s="5">
        <f>D271*50</f>
        <v>550</v>
      </c>
      <c r="F271" s="1" t="s">
        <v>31</v>
      </c>
    </row>
    <row r="272" spans="1:6" x14ac:dyDescent="0.25">
      <c r="A272" s="3">
        <v>3</v>
      </c>
      <c r="B272" s="67">
        <v>46023</v>
      </c>
      <c r="C272" s="1" t="s">
        <v>197</v>
      </c>
      <c r="D272" s="1">
        <v>5</v>
      </c>
      <c r="E272" s="5">
        <f>D272*40</f>
        <v>200</v>
      </c>
      <c r="F272" s="1" t="s">
        <v>31</v>
      </c>
    </row>
    <row r="273" spans="1:6" x14ac:dyDescent="0.25">
      <c r="A273" s="3">
        <v>4</v>
      </c>
      <c r="B273" s="67">
        <v>46023</v>
      </c>
      <c r="C273" s="1" t="s">
        <v>22</v>
      </c>
      <c r="D273" s="1">
        <v>12</v>
      </c>
      <c r="E273" s="5">
        <f>D273*225</f>
        <v>2700</v>
      </c>
      <c r="F273" s="1" t="s">
        <v>31</v>
      </c>
    </row>
    <row r="274" spans="1:6" x14ac:dyDescent="0.25">
      <c r="A274" s="3">
        <v>5</v>
      </c>
      <c r="B274" s="67">
        <v>46023</v>
      </c>
      <c r="C274" s="1" t="s">
        <v>463</v>
      </c>
      <c r="D274" s="1">
        <v>3</v>
      </c>
      <c r="E274" s="5">
        <f>D274*180</f>
        <v>540</v>
      </c>
      <c r="F274" s="1" t="s">
        <v>31</v>
      </c>
    </row>
    <row r="275" spans="1:6" x14ac:dyDescent="0.25">
      <c r="A275" s="3">
        <v>6</v>
      </c>
      <c r="B275" s="67">
        <v>46023</v>
      </c>
      <c r="C275" s="1" t="s">
        <v>43</v>
      </c>
      <c r="D275" s="1">
        <v>2</v>
      </c>
      <c r="E275" s="5">
        <f>D275*25</f>
        <v>50</v>
      </c>
      <c r="F275" s="1" t="s">
        <v>31</v>
      </c>
    </row>
    <row r="276" spans="1:6" x14ac:dyDescent="0.25">
      <c r="A276" s="3">
        <v>7</v>
      </c>
      <c r="B276" s="67">
        <v>46023</v>
      </c>
      <c r="C276" s="1" t="s">
        <v>464</v>
      </c>
      <c r="D276" s="1">
        <v>9</v>
      </c>
      <c r="E276" s="5">
        <f>D276*70</f>
        <v>630</v>
      </c>
      <c r="F276" s="1" t="s">
        <v>31</v>
      </c>
    </row>
    <row r="277" spans="1:6" x14ac:dyDescent="0.25">
      <c r="A277" s="3">
        <v>8</v>
      </c>
      <c r="B277" s="67">
        <v>46023</v>
      </c>
      <c r="C277" s="18" t="s">
        <v>402</v>
      </c>
      <c r="D277" s="20">
        <v>2</v>
      </c>
      <c r="E277" s="21">
        <f>D277*70</f>
        <v>140</v>
      </c>
      <c r="F277" s="18" t="s">
        <v>31</v>
      </c>
    </row>
    <row r="278" spans="1:6" x14ac:dyDescent="0.25">
      <c r="A278" s="3">
        <v>9</v>
      </c>
      <c r="B278" s="67">
        <v>46023</v>
      </c>
      <c r="C278" s="1" t="s">
        <v>197</v>
      </c>
      <c r="D278" s="1">
        <v>3</v>
      </c>
      <c r="E278" s="5">
        <f>D278*40</f>
        <v>120</v>
      </c>
      <c r="F278" s="1" t="s">
        <v>31</v>
      </c>
    </row>
    <row r="279" spans="1:6" x14ac:dyDescent="0.25">
      <c r="A279" s="3">
        <v>10</v>
      </c>
      <c r="B279" s="67">
        <v>46023</v>
      </c>
      <c r="C279" s="1" t="s">
        <v>292</v>
      </c>
      <c r="D279" s="1">
        <v>2</v>
      </c>
      <c r="E279" s="5">
        <f>D279*90</f>
        <v>180</v>
      </c>
      <c r="F279" s="1" t="s">
        <v>31</v>
      </c>
    </row>
    <row r="280" spans="1:6" x14ac:dyDescent="0.25">
      <c r="A280" s="3">
        <v>11</v>
      </c>
      <c r="B280" s="67">
        <v>46023</v>
      </c>
      <c r="C280" s="1" t="s">
        <v>399</v>
      </c>
      <c r="D280" s="1">
        <v>6</v>
      </c>
      <c r="E280" s="5">
        <f>D280*120</f>
        <v>720</v>
      </c>
      <c r="F280" s="1" t="s">
        <v>31</v>
      </c>
    </row>
    <row r="281" spans="1:6" ht="15.75" thickBot="1" x14ac:dyDescent="0.3">
      <c r="A281" s="289" t="s">
        <v>41</v>
      </c>
      <c r="B281" s="290"/>
      <c r="C281" s="290"/>
      <c r="D281" s="291"/>
      <c r="E281" s="54">
        <f>SUM(E270:E280)</f>
        <v>6110</v>
      </c>
    </row>
    <row r="282" spans="1:6" ht="15.75" thickBot="1" x14ac:dyDescent="0.3">
      <c r="A282" s="292" t="s">
        <v>39</v>
      </c>
      <c r="B282" s="293"/>
      <c r="F282" s="14" t="s">
        <v>40</v>
      </c>
    </row>
    <row r="283" spans="1:6" ht="19.5" thickBot="1" x14ac:dyDescent="0.35">
      <c r="A283" s="10" t="s">
        <v>0</v>
      </c>
      <c r="B283" s="11" t="s">
        <v>3</v>
      </c>
      <c r="C283" s="11" t="s">
        <v>1</v>
      </c>
      <c r="D283" s="11" t="s">
        <v>26</v>
      </c>
      <c r="E283" s="11" t="s">
        <v>23</v>
      </c>
      <c r="F283" s="12" t="s">
        <v>27</v>
      </c>
    </row>
    <row r="284" spans="1:6" x14ac:dyDescent="0.25">
      <c r="A284" s="3">
        <v>1</v>
      </c>
      <c r="B284" s="67">
        <v>46024</v>
      </c>
      <c r="C284" s="3" t="s">
        <v>198</v>
      </c>
      <c r="D284" s="3">
        <v>5</v>
      </c>
      <c r="E284" s="4">
        <f>D284*35</f>
        <v>175</v>
      </c>
      <c r="F284" s="3" t="s">
        <v>31</v>
      </c>
    </row>
    <row r="285" spans="1:6" x14ac:dyDescent="0.25">
      <c r="A285" s="3">
        <v>2</v>
      </c>
      <c r="B285" s="67">
        <v>46024</v>
      </c>
      <c r="C285" s="1" t="s">
        <v>196</v>
      </c>
      <c r="D285" s="1">
        <v>5</v>
      </c>
      <c r="E285" s="5">
        <f>D285*50</f>
        <v>250</v>
      </c>
      <c r="F285" s="1" t="s">
        <v>31</v>
      </c>
    </row>
    <row r="286" spans="1:6" x14ac:dyDescent="0.25">
      <c r="A286" s="3">
        <v>3</v>
      </c>
      <c r="B286" s="67">
        <v>46024</v>
      </c>
      <c r="C286" s="1" t="s">
        <v>197</v>
      </c>
      <c r="D286" s="1">
        <v>8</v>
      </c>
      <c r="E286" s="5">
        <f>D286*40</f>
        <v>320</v>
      </c>
      <c r="F286" s="1" t="s">
        <v>31</v>
      </c>
    </row>
    <row r="287" spans="1:6" x14ac:dyDescent="0.25">
      <c r="A287" s="3">
        <v>4</v>
      </c>
      <c r="B287" s="67">
        <v>46024</v>
      </c>
      <c r="C287" s="1" t="s">
        <v>487</v>
      </c>
      <c r="D287" s="1">
        <v>1</v>
      </c>
      <c r="E287" s="5">
        <f>D287*1600</f>
        <v>1600</v>
      </c>
      <c r="F287" s="1" t="s">
        <v>31</v>
      </c>
    </row>
    <row r="288" spans="1:6" x14ac:dyDescent="0.25">
      <c r="A288" s="3">
        <v>5</v>
      </c>
      <c r="B288" s="67">
        <v>46024</v>
      </c>
      <c r="C288" s="1" t="s">
        <v>178</v>
      </c>
      <c r="D288" s="1" t="s">
        <v>400</v>
      </c>
      <c r="E288" s="5">
        <f>1*400</f>
        <v>400</v>
      </c>
      <c r="F288" s="1" t="s">
        <v>31</v>
      </c>
    </row>
    <row r="289" spans="1:6" x14ac:dyDescent="0.25">
      <c r="A289" s="3">
        <v>6</v>
      </c>
      <c r="B289" s="67">
        <v>46024</v>
      </c>
      <c r="C289" s="1" t="s">
        <v>50</v>
      </c>
      <c r="D289" s="1">
        <v>9</v>
      </c>
      <c r="E289" s="5">
        <f>D289*70</f>
        <v>630</v>
      </c>
      <c r="F289" s="1" t="s">
        <v>31</v>
      </c>
    </row>
    <row r="290" spans="1:6" x14ac:dyDescent="0.25">
      <c r="A290" s="3">
        <v>7</v>
      </c>
      <c r="B290" s="67">
        <v>46024</v>
      </c>
      <c r="C290" s="1" t="s">
        <v>197</v>
      </c>
      <c r="D290" s="1">
        <v>4</v>
      </c>
      <c r="E290" s="5">
        <f>D290*40</f>
        <v>160</v>
      </c>
      <c r="F290" s="1" t="s">
        <v>31</v>
      </c>
    </row>
    <row r="291" spans="1:6" x14ac:dyDescent="0.25">
      <c r="A291" s="3">
        <v>8</v>
      </c>
      <c r="B291" s="67">
        <v>46024</v>
      </c>
      <c r="C291" s="18" t="s">
        <v>33</v>
      </c>
      <c r="D291" s="20">
        <v>3</v>
      </c>
      <c r="E291" s="21">
        <f>D291*30</f>
        <v>90</v>
      </c>
      <c r="F291" s="18" t="s">
        <v>31</v>
      </c>
    </row>
    <row r="292" spans="1:6" x14ac:dyDescent="0.25">
      <c r="A292" s="3">
        <v>9</v>
      </c>
      <c r="B292" s="67">
        <v>46024</v>
      </c>
      <c r="C292" s="1" t="s">
        <v>488</v>
      </c>
      <c r="D292" s="1">
        <v>9</v>
      </c>
      <c r="E292" s="5">
        <f>D292*320</f>
        <v>2880</v>
      </c>
      <c r="F292" s="1" t="s">
        <v>31</v>
      </c>
    </row>
    <row r="293" spans="1:6" x14ac:dyDescent="0.25">
      <c r="A293" s="3">
        <v>10</v>
      </c>
      <c r="B293" s="67">
        <v>46024</v>
      </c>
      <c r="C293" s="1" t="s">
        <v>102</v>
      </c>
      <c r="D293" s="1">
        <v>4</v>
      </c>
      <c r="E293" s="5">
        <f>D293*120</f>
        <v>480</v>
      </c>
      <c r="F293" s="1" t="s">
        <v>31</v>
      </c>
    </row>
    <row r="294" spans="1:6" x14ac:dyDescent="0.25">
      <c r="A294" s="3">
        <v>11</v>
      </c>
      <c r="B294" s="66">
        <v>46024</v>
      </c>
      <c r="C294" s="1" t="s">
        <v>399</v>
      </c>
      <c r="D294" s="1">
        <v>4</v>
      </c>
      <c r="E294" s="5">
        <f>D294*120</f>
        <v>480</v>
      </c>
      <c r="F294" s="1" t="s">
        <v>31</v>
      </c>
    </row>
    <row r="295" spans="1:6" x14ac:dyDescent="0.25">
      <c r="A295" s="3">
        <v>12</v>
      </c>
      <c r="B295" s="66">
        <v>46024</v>
      </c>
      <c r="C295" s="24" t="s">
        <v>489</v>
      </c>
      <c r="D295" s="24">
        <v>5</v>
      </c>
      <c r="E295" s="5">
        <f>D295*35</f>
        <v>175</v>
      </c>
      <c r="F295" s="1" t="s">
        <v>31</v>
      </c>
    </row>
    <row r="296" spans="1:6" x14ac:dyDescent="0.25">
      <c r="A296" s="3">
        <v>13</v>
      </c>
      <c r="B296" s="66">
        <v>46024</v>
      </c>
      <c r="C296" s="24" t="s">
        <v>198</v>
      </c>
      <c r="D296" s="24">
        <v>3</v>
      </c>
      <c r="E296" s="5">
        <f>D296*70</f>
        <v>210</v>
      </c>
      <c r="F296" s="1" t="s">
        <v>31</v>
      </c>
    </row>
    <row r="297" spans="1:6" x14ac:dyDescent="0.25">
      <c r="A297" s="3">
        <v>14</v>
      </c>
      <c r="B297" s="66">
        <v>46024</v>
      </c>
      <c r="C297" s="24" t="s">
        <v>226</v>
      </c>
      <c r="D297" s="24">
        <v>6</v>
      </c>
      <c r="E297" s="5">
        <f>D297*20</f>
        <v>120</v>
      </c>
      <c r="F297" s="1" t="s">
        <v>31</v>
      </c>
    </row>
    <row r="298" spans="1:6" x14ac:dyDescent="0.25">
      <c r="A298" s="3">
        <v>15</v>
      </c>
      <c r="B298" s="66">
        <v>46024</v>
      </c>
      <c r="C298" s="24" t="s">
        <v>490</v>
      </c>
      <c r="D298" s="24">
        <v>5</v>
      </c>
      <c r="E298" s="5">
        <f>D298*20</f>
        <v>100</v>
      </c>
      <c r="F298" s="1" t="s">
        <v>31</v>
      </c>
    </row>
    <row r="299" spans="1:6" x14ac:dyDescent="0.25">
      <c r="A299" s="3">
        <v>16</v>
      </c>
      <c r="B299" s="66">
        <v>46024</v>
      </c>
      <c r="C299" s="24" t="s">
        <v>236</v>
      </c>
      <c r="D299" s="24">
        <v>5</v>
      </c>
      <c r="E299" s="5">
        <f>D299*35</f>
        <v>175</v>
      </c>
      <c r="F299" s="1" t="s">
        <v>31</v>
      </c>
    </row>
    <row r="300" spans="1:6" x14ac:dyDescent="0.25">
      <c r="A300" s="3">
        <v>17</v>
      </c>
      <c r="B300" s="66">
        <v>46024</v>
      </c>
      <c r="C300" s="24" t="s">
        <v>491</v>
      </c>
      <c r="D300" s="24">
        <v>1</v>
      </c>
      <c r="E300" s="5">
        <v>100</v>
      </c>
      <c r="F300" s="1" t="s">
        <v>31</v>
      </c>
    </row>
    <row r="301" spans="1:6" ht="15.75" thickBot="1" x14ac:dyDescent="0.3">
      <c r="A301" s="289" t="s">
        <v>41</v>
      </c>
      <c r="B301" s="290"/>
      <c r="C301" s="290"/>
      <c r="D301" s="291"/>
      <c r="E301" s="54">
        <f>SUM(E284:E300)</f>
        <v>8345</v>
      </c>
    </row>
    <row r="302" spans="1:6" ht="15.75" thickBot="1" x14ac:dyDescent="0.3">
      <c r="A302" s="292" t="s">
        <v>39</v>
      </c>
      <c r="B302" s="293"/>
      <c r="F302" s="14" t="s">
        <v>40</v>
      </c>
    </row>
    <row r="303" spans="1:6" ht="19.5" thickBot="1" x14ac:dyDescent="0.35">
      <c r="A303" s="10" t="s">
        <v>0</v>
      </c>
      <c r="B303" s="11" t="s">
        <v>3</v>
      </c>
      <c r="C303" s="11" t="s">
        <v>1</v>
      </c>
      <c r="D303" s="11" t="s">
        <v>26</v>
      </c>
      <c r="E303" s="11" t="s">
        <v>23</v>
      </c>
      <c r="F303" s="12" t="s">
        <v>27</v>
      </c>
    </row>
    <row r="304" spans="1:6" x14ac:dyDescent="0.25">
      <c r="A304" s="3">
        <v>1</v>
      </c>
      <c r="B304" s="67">
        <v>46025</v>
      </c>
      <c r="C304" s="3" t="s">
        <v>88</v>
      </c>
      <c r="D304" s="3">
        <v>10</v>
      </c>
      <c r="E304" s="4">
        <f>D304*35</f>
        <v>350</v>
      </c>
      <c r="F304" s="3" t="s">
        <v>31</v>
      </c>
    </row>
    <row r="305" spans="1:6" x14ac:dyDescent="0.25">
      <c r="A305" s="3">
        <v>2</v>
      </c>
      <c r="B305" s="67">
        <v>46025</v>
      </c>
      <c r="C305" s="1" t="s">
        <v>196</v>
      </c>
      <c r="D305" s="1">
        <v>8</v>
      </c>
      <c r="E305" s="5">
        <f>D305*50</f>
        <v>400</v>
      </c>
      <c r="F305" s="1" t="s">
        <v>31</v>
      </c>
    </row>
    <row r="306" spans="1:6" x14ac:dyDescent="0.25">
      <c r="A306" s="3">
        <v>3</v>
      </c>
      <c r="B306" s="67">
        <v>46025</v>
      </c>
      <c r="C306" s="1" t="s">
        <v>509</v>
      </c>
      <c r="D306" s="1">
        <v>5</v>
      </c>
      <c r="E306" s="5">
        <f>D306*35</f>
        <v>175</v>
      </c>
      <c r="F306" s="1" t="s">
        <v>31</v>
      </c>
    </row>
    <row r="307" spans="1:6" x14ac:dyDescent="0.25">
      <c r="A307" s="3">
        <v>4</v>
      </c>
      <c r="B307" s="67">
        <v>46025</v>
      </c>
      <c r="C307" s="1" t="s">
        <v>50</v>
      </c>
      <c r="D307" s="1">
        <v>6</v>
      </c>
      <c r="E307" s="5">
        <f>D307*70</f>
        <v>420</v>
      </c>
      <c r="F307" s="1" t="s">
        <v>31</v>
      </c>
    </row>
    <row r="308" spans="1:6" x14ac:dyDescent="0.25">
      <c r="A308" s="3">
        <v>5</v>
      </c>
      <c r="B308" s="67">
        <v>46025</v>
      </c>
      <c r="C308" s="1" t="s">
        <v>292</v>
      </c>
      <c r="D308" s="1">
        <v>2</v>
      </c>
      <c r="E308" s="5">
        <f>D308*120</f>
        <v>240</v>
      </c>
      <c r="F308" s="1" t="s">
        <v>31</v>
      </c>
    </row>
    <row r="309" spans="1:6" x14ac:dyDescent="0.25">
      <c r="A309" s="3">
        <v>6</v>
      </c>
      <c r="B309" s="67">
        <v>46025</v>
      </c>
      <c r="C309" s="1" t="s">
        <v>510</v>
      </c>
      <c r="D309" s="1">
        <v>2</v>
      </c>
      <c r="E309" s="5">
        <f>D309*220</f>
        <v>440</v>
      </c>
      <c r="F309" s="1" t="s">
        <v>31</v>
      </c>
    </row>
    <row r="310" spans="1:6" x14ac:dyDescent="0.25">
      <c r="A310" s="3">
        <v>7</v>
      </c>
      <c r="B310" s="67">
        <v>46025</v>
      </c>
      <c r="C310" s="1" t="s">
        <v>19</v>
      </c>
      <c r="D310" s="1">
        <v>8</v>
      </c>
      <c r="E310" s="5">
        <f>D310*15</f>
        <v>120</v>
      </c>
      <c r="F310" s="1" t="s">
        <v>31</v>
      </c>
    </row>
    <row r="311" spans="1:6" x14ac:dyDescent="0.25">
      <c r="A311" s="3">
        <v>8</v>
      </c>
      <c r="B311" s="67">
        <v>46025</v>
      </c>
      <c r="C311" s="18" t="s">
        <v>509</v>
      </c>
      <c r="D311" s="20">
        <v>5</v>
      </c>
      <c r="E311" s="21">
        <f>D311*35</f>
        <v>175</v>
      </c>
      <c r="F311" s="18" t="s">
        <v>31</v>
      </c>
    </row>
    <row r="312" spans="1:6" x14ac:dyDescent="0.25">
      <c r="A312" s="3">
        <v>9</v>
      </c>
      <c r="B312" s="67">
        <v>46025</v>
      </c>
      <c r="C312" s="1" t="s">
        <v>198</v>
      </c>
      <c r="D312" s="1">
        <v>6</v>
      </c>
      <c r="E312" s="5">
        <f>D312*70</f>
        <v>420</v>
      </c>
      <c r="F312" s="1" t="s">
        <v>31</v>
      </c>
    </row>
    <row r="313" spans="1:6" x14ac:dyDescent="0.25">
      <c r="A313" s="3">
        <v>10</v>
      </c>
      <c r="B313" s="67">
        <v>46025</v>
      </c>
      <c r="C313" s="1" t="s">
        <v>197</v>
      </c>
      <c r="D313" s="1">
        <v>4</v>
      </c>
      <c r="E313" s="5">
        <f>D313*40</f>
        <v>160</v>
      </c>
      <c r="F313" s="1" t="s">
        <v>31</v>
      </c>
    </row>
    <row r="314" spans="1:6" x14ac:dyDescent="0.25">
      <c r="A314" s="3">
        <v>11</v>
      </c>
      <c r="B314" s="67">
        <v>46025</v>
      </c>
      <c r="C314" s="1" t="s">
        <v>509</v>
      </c>
      <c r="D314" s="1">
        <v>6</v>
      </c>
      <c r="E314" s="5">
        <f>D314*35</f>
        <v>210</v>
      </c>
      <c r="F314" s="1" t="s">
        <v>31</v>
      </c>
    </row>
    <row r="315" spans="1:6" x14ac:dyDescent="0.25">
      <c r="A315" s="3">
        <v>12</v>
      </c>
      <c r="B315" s="67">
        <v>46025</v>
      </c>
      <c r="C315" s="24" t="s">
        <v>263</v>
      </c>
      <c r="D315" s="24">
        <v>7</v>
      </c>
      <c r="E315" s="5">
        <f>D315*120</f>
        <v>840</v>
      </c>
      <c r="F315" s="1" t="s">
        <v>31</v>
      </c>
    </row>
    <row r="316" spans="1:6" x14ac:dyDescent="0.25">
      <c r="A316" s="3">
        <v>13</v>
      </c>
      <c r="B316" s="67">
        <v>46025</v>
      </c>
      <c r="C316" s="24" t="s">
        <v>102</v>
      </c>
      <c r="D316" s="24">
        <v>4</v>
      </c>
      <c r="E316" s="5">
        <f>D316*120</f>
        <v>480</v>
      </c>
      <c r="F316" s="1" t="s">
        <v>31</v>
      </c>
    </row>
    <row r="317" spans="1:6" x14ac:dyDescent="0.25">
      <c r="A317" s="3">
        <v>14</v>
      </c>
      <c r="B317" s="67">
        <v>46025</v>
      </c>
      <c r="C317" s="24" t="s">
        <v>236</v>
      </c>
      <c r="D317" s="24">
        <v>7</v>
      </c>
      <c r="E317" s="5">
        <f>D317*35</f>
        <v>245</v>
      </c>
      <c r="F317" s="1" t="s">
        <v>31</v>
      </c>
    </row>
    <row r="318" spans="1:6" x14ac:dyDescent="0.25">
      <c r="A318" s="3">
        <v>15</v>
      </c>
      <c r="B318" s="67">
        <v>46025</v>
      </c>
      <c r="C318" s="24" t="s">
        <v>19</v>
      </c>
      <c r="D318" s="24">
        <v>25</v>
      </c>
      <c r="E318" s="5">
        <f>D318*15</f>
        <v>375</v>
      </c>
      <c r="F318" s="1" t="s">
        <v>31</v>
      </c>
    </row>
    <row r="319" spans="1:6" x14ac:dyDescent="0.25">
      <c r="A319" s="3">
        <v>16</v>
      </c>
      <c r="B319" s="67">
        <v>46025</v>
      </c>
      <c r="C319" s="24" t="s">
        <v>178</v>
      </c>
      <c r="D319" s="24">
        <v>0.5</v>
      </c>
      <c r="E319" s="5">
        <f>D319*400</f>
        <v>200</v>
      </c>
      <c r="F319" s="1" t="s">
        <v>31</v>
      </c>
    </row>
    <row r="320" spans="1:6" x14ac:dyDescent="0.25">
      <c r="A320" s="3">
        <v>17</v>
      </c>
      <c r="B320" s="67">
        <v>46025</v>
      </c>
      <c r="C320" s="24" t="s">
        <v>511</v>
      </c>
      <c r="D320" s="24">
        <v>0.5</v>
      </c>
      <c r="E320" s="5">
        <f>D320*480</f>
        <v>240</v>
      </c>
      <c r="F320" s="1" t="s">
        <v>31</v>
      </c>
    </row>
    <row r="321" spans="1:6" x14ac:dyDescent="0.25">
      <c r="A321" s="1">
        <v>18</v>
      </c>
      <c r="B321" s="66">
        <v>46025</v>
      </c>
      <c r="C321" s="24" t="s">
        <v>50</v>
      </c>
      <c r="D321" s="24">
        <v>2</v>
      </c>
      <c r="E321" s="5">
        <f>D321*70</f>
        <v>140</v>
      </c>
      <c r="F321" s="1" t="s">
        <v>31</v>
      </c>
    </row>
    <row r="322" spans="1:6" x14ac:dyDescent="0.25">
      <c r="A322" s="1">
        <v>19</v>
      </c>
      <c r="B322" s="66">
        <v>46025</v>
      </c>
      <c r="C322" s="24" t="s">
        <v>236</v>
      </c>
      <c r="D322" s="24">
        <v>5</v>
      </c>
      <c r="E322" s="5">
        <f>D322*35</f>
        <v>175</v>
      </c>
      <c r="F322" s="1" t="s">
        <v>31</v>
      </c>
    </row>
    <row r="323" spans="1:6" ht="15.75" thickBot="1" x14ac:dyDescent="0.3">
      <c r="A323" s="289" t="s">
        <v>41</v>
      </c>
      <c r="B323" s="290"/>
      <c r="C323" s="290"/>
      <c r="D323" s="291"/>
      <c r="E323" s="54">
        <f>SUM(E304:E322)</f>
        <v>5805</v>
      </c>
    </row>
    <row r="324" spans="1:6" ht="15.75" thickBot="1" x14ac:dyDescent="0.3">
      <c r="A324" s="292" t="s">
        <v>39</v>
      </c>
      <c r="B324" s="293"/>
      <c r="F324" s="14" t="s">
        <v>40</v>
      </c>
    </row>
    <row r="325" spans="1:6" ht="19.5" thickBot="1" x14ac:dyDescent="0.35">
      <c r="A325" s="10" t="s">
        <v>0</v>
      </c>
      <c r="B325" s="11" t="s">
        <v>3</v>
      </c>
      <c r="C325" s="11" t="s">
        <v>1</v>
      </c>
      <c r="D325" s="11" t="s">
        <v>26</v>
      </c>
      <c r="E325" s="11" t="s">
        <v>23</v>
      </c>
      <c r="F325" s="12" t="s">
        <v>27</v>
      </c>
    </row>
    <row r="326" spans="1:6" x14ac:dyDescent="0.25">
      <c r="A326" s="3">
        <v>1</v>
      </c>
      <c r="B326" s="67">
        <v>46027</v>
      </c>
      <c r="C326" s="3" t="s">
        <v>224</v>
      </c>
      <c r="D326" s="3" t="s">
        <v>400</v>
      </c>
      <c r="E326" s="4">
        <v>1600</v>
      </c>
      <c r="F326" s="3" t="s">
        <v>31</v>
      </c>
    </row>
    <row r="327" spans="1:6" x14ac:dyDescent="0.25">
      <c r="A327" s="3">
        <v>2</v>
      </c>
      <c r="B327" s="67">
        <v>46027</v>
      </c>
      <c r="C327" s="1" t="s">
        <v>19</v>
      </c>
      <c r="D327" s="1">
        <v>10</v>
      </c>
      <c r="E327" s="5">
        <f>15*10</f>
        <v>150</v>
      </c>
      <c r="F327" s="1" t="s">
        <v>31</v>
      </c>
    </row>
    <row r="328" spans="1:6" x14ac:dyDescent="0.25">
      <c r="A328" s="3">
        <v>3</v>
      </c>
      <c r="B328" s="67">
        <v>46027</v>
      </c>
      <c r="C328" s="1" t="s">
        <v>33</v>
      </c>
      <c r="D328" s="1">
        <v>1</v>
      </c>
      <c r="E328" s="5">
        <v>25</v>
      </c>
      <c r="F328" s="1" t="s">
        <v>31</v>
      </c>
    </row>
    <row r="329" spans="1:6" x14ac:dyDescent="0.25">
      <c r="A329" s="3">
        <v>4</v>
      </c>
      <c r="B329" s="67">
        <v>46027</v>
      </c>
      <c r="C329" s="1" t="s">
        <v>178</v>
      </c>
      <c r="D329" s="1">
        <v>0.5</v>
      </c>
      <c r="E329" s="5">
        <f>D329*400</f>
        <v>200</v>
      </c>
      <c r="F329" s="1" t="s">
        <v>31</v>
      </c>
    </row>
    <row r="330" spans="1:6" x14ac:dyDescent="0.25">
      <c r="A330" s="3">
        <v>5</v>
      </c>
      <c r="B330" s="67">
        <v>46027</v>
      </c>
      <c r="C330" s="1" t="s">
        <v>236</v>
      </c>
      <c r="D330" s="1">
        <v>5</v>
      </c>
      <c r="E330" s="5">
        <f>D330*35</f>
        <v>175</v>
      </c>
      <c r="F330" s="1" t="s">
        <v>31</v>
      </c>
    </row>
    <row r="331" spans="1:6" x14ac:dyDescent="0.25">
      <c r="A331" s="3">
        <v>6</v>
      </c>
      <c r="B331" s="67">
        <v>46027</v>
      </c>
      <c r="C331" s="1" t="s">
        <v>560</v>
      </c>
      <c r="D331" s="1">
        <v>1</v>
      </c>
      <c r="E331" s="5">
        <v>320</v>
      </c>
      <c r="F331" s="1" t="s">
        <v>31</v>
      </c>
    </row>
    <row r="332" spans="1:6" ht="15.75" thickBot="1" x14ac:dyDescent="0.3">
      <c r="A332" s="289" t="s">
        <v>41</v>
      </c>
      <c r="B332" s="290"/>
      <c r="C332" s="290"/>
      <c r="D332" s="291"/>
      <c r="E332" s="54">
        <f>SUM(E326:E331)</f>
        <v>2470</v>
      </c>
    </row>
    <row r="333" spans="1:6" ht="15.75" thickBot="1" x14ac:dyDescent="0.3">
      <c r="A333" s="292" t="s">
        <v>39</v>
      </c>
      <c r="B333" s="293"/>
      <c r="F333" s="14" t="s">
        <v>40</v>
      </c>
    </row>
    <row r="334" spans="1:6" ht="19.5" thickBot="1" x14ac:dyDescent="0.35">
      <c r="A334" s="10" t="s">
        <v>0</v>
      </c>
      <c r="B334" s="11" t="s">
        <v>3</v>
      </c>
      <c r="C334" s="11" t="s">
        <v>1</v>
      </c>
      <c r="D334" s="11" t="s">
        <v>26</v>
      </c>
      <c r="E334" s="11" t="s">
        <v>23</v>
      </c>
      <c r="F334" s="12" t="s">
        <v>27</v>
      </c>
    </row>
    <row r="335" spans="1:6" x14ac:dyDescent="0.25">
      <c r="A335" s="3">
        <v>1</v>
      </c>
      <c r="B335" s="67">
        <v>46027</v>
      </c>
      <c r="C335" s="3" t="s">
        <v>88</v>
      </c>
      <c r="D335" s="3">
        <v>8</v>
      </c>
      <c r="E335" s="4">
        <f>D335*35</f>
        <v>280</v>
      </c>
      <c r="F335" s="3" t="s">
        <v>31</v>
      </c>
    </row>
    <row r="336" spans="1:6" x14ac:dyDescent="0.25">
      <c r="A336" s="3">
        <v>2</v>
      </c>
      <c r="B336" s="67">
        <v>46027</v>
      </c>
      <c r="C336" s="1" t="s">
        <v>196</v>
      </c>
      <c r="D336" s="1">
        <v>3</v>
      </c>
      <c r="E336" s="5">
        <f>D336*50</f>
        <v>150</v>
      </c>
      <c r="F336" s="1" t="s">
        <v>31</v>
      </c>
    </row>
    <row r="337" spans="1:6" x14ac:dyDescent="0.25">
      <c r="A337" s="3">
        <v>3</v>
      </c>
      <c r="B337" s="67">
        <v>46027</v>
      </c>
      <c r="C337" s="1" t="s">
        <v>509</v>
      </c>
      <c r="D337" s="1">
        <v>7</v>
      </c>
      <c r="E337" s="5">
        <f>D337*35</f>
        <v>245</v>
      </c>
      <c r="F337" s="1" t="s">
        <v>31</v>
      </c>
    </row>
    <row r="338" spans="1:6" x14ac:dyDescent="0.25">
      <c r="A338" s="3">
        <v>4</v>
      </c>
      <c r="B338" s="67">
        <v>46027</v>
      </c>
      <c r="C338" s="1" t="s">
        <v>50</v>
      </c>
      <c r="D338" s="1">
        <v>5</v>
      </c>
      <c r="E338" s="5">
        <f>D338*70</f>
        <v>350</v>
      </c>
      <c r="F338" s="1" t="s">
        <v>31</v>
      </c>
    </row>
    <row r="339" spans="1:6" x14ac:dyDescent="0.25">
      <c r="A339" s="3">
        <v>5</v>
      </c>
      <c r="B339" s="67">
        <v>46027</v>
      </c>
      <c r="C339" s="1" t="s">
        <v>33</v>
      </c>
      <c r="D339" s="1">
        <v>2</v>
      </c>
      <c r="E339" s="5">
        <f>D339*30</f>
        <v>60</v>
      </c>
      <c r="F339" s="1" t="s">
        <v>31</v>
      </c>
    </row>
    <row r="340" spans="1:6" x14ac:dyDescent="0.25">
      <c r="A340" s="3">
        <v>6</v>
      </c>
      <c r="B340" s="67">
        <v>46027</v>
      </c>
      <c r="C340" s="1" t="s">
        <v>360</v>
      </c>
      <c r="D340" s="1">
        <v>3</v>
      </c>
      <c r="E340" s="5">
        <f>D340*220</f>
        <v>660</v>
      </c>
      <c r="F340" s="1" t="s">
        <v>31</v>
      </c>
    </row>
    <row r="341" spans="1:6" x14ac:dyDescent="0.25">
      <c r="A341" s="3">
        <v>7</v>
      </c>
      <c r="B341" s="67">
        <v>46027</v>
      </c>
      <c r="C341" s="1" t="s">
        <v>19</v>
      </c>
      <c r="D341" s="1">
        <v>14</v>
      </c>
      <c r="E341" s="5">
        <f>D341*15</f>
        <v>210</v>
      </c>
      <c r="F341" s="1" t="s">
        <v>31</v>
      </c>
    </row>
    <row r="342" spans="1:6" x14ac:dyDescent="0.25">
      <c r="A342" s="3">
        <v>8</v>
      </c>
      <c r="B342" s="67">
        <v>46027</v>
      </c>
      <c r="C342" s="1" t="s">
        <v>198</v>
      </c>
      <c r="D342" s="1">
        <v>6</v>
      </c>
      <c r="E342" s="5">
        <f>D342*70</f>
        <v>420</v>
      </c>
      <c r="F342" s="1" t="s">
        <v>31</v>
      </c>
    </row>
    <row r="343" spans="1:6" x14ac:dyDescent="0.25">
      <c r="A343" s="3">
        <v>9</v>
      </c>
      <c r="B343" s="67">
        <v>46027</v>
      </c>
      <c r="C343" s="1" t="s">
        <v>197</v>
      </c>
      <c r="D343" s="1">
        <v>10</v>
      </c>
      <c r="E343" s="5">
        <f>D343*40</f>
        <v>400</v>
      </c>
      <c r="F343" s="1" t="s">
        <v>31</v>
      </c>
    </row>
    <row r="344" spans="1:6" x14ac:dyDescent="0.25">
      <c r="A344" s="3">
        <v>10</v>
      </c>
      <c r="B344" s="67">
        <v>46027</v>
      </c>
      <c r="C344" s="24" t="s">
        <v>570</v>
      </c>
      <c r="D344" s="24">
        <v>3</v>
      </c>
      <c r="E344" s="5">
        <f>D344*120</f>
        <v>360</v>
      </c>
      <c r="F344" s="1"/>
    </row>
    <row r="345" spans="1:6" ht="15.75" thickBot="1" x14ac:dyDescent="0.3">
      <c r="A345" s="289" t="s">
        <v>41</v>
      </c>
      <c r="B345" s="290"/>
      <c r="C345" s="290"/>
      <c r="D345" s="291"/>
      <c r="E345" s="54">
        <f>SUM(E335:E344)</f>
        <v>3135</v>
      </c>
    </row>
    <row r="346" spans="1:6" ht="15.75" thickBot="1" x14ac:dyDescent="0.3">
      <c r="A346" s="292" t="s">
        <v>39</v>
      </c>
      <c r="B346" s="293"/>
      <c r="F346" s="14" t="s">
        <v>40</v>
      </c>
    </row>
    <row r="347" spans="1:6" ht="19.5" thickBot="1" x14ac:dyDescent="0.35">
      <c r="A347" s="10" t="s">
        <v>0</v>
      </c>
      <c r="B347" s="11" t="s">
        <v>3</v>
      </c>
      <c r="C347" s="11" t="s">
        <v>1</v>
      </c>
      <c r="D347" s="11" t="s">
        <v>26</v>
      </c>
      <c r="E347" s="11" t="s">
        <v>23</v>
      </c>
      <c r="F347" s="12" t="s">
        <v>27</v>
      </c>
    </row>
    <row r="348" spans="1:6" x14ac:dyDescent="0.25">
      <c r="A348" s="3">
        <v>1</v>
      </c>
      <c r="B348" s="67">
        <v>46028</v>
      </c>
      <c r="C348" s="3" t="s">
        <v>239</v>
      </c>
      <c r="D348" s="3" t="s">
        <v>400</v>
      </c>
      <c r="E348" s="4">
        <v>600</v>
      </c>
      <c r="F348" s="3" t="s">
        <v>31</v>
      </c>
    </row>
    <row r="349" spans="1:6" x14ac:dyDescent="0.25">
      <c r="A349" s="3">
        <v>2</v>
      </c>
      <c r="B349" s="67">
        <v>46028</v>
      </c>
      <c r="C349" s="1" t="s">
        <v>571</v>
      </c>
      <c r="D349" s="1">
        <v>1</v>
      </c>
      <c r="E349" s="5">
        <v>100</v>
      </c>
      <c r="F349" s="1" t="s">
        <v>31</v>
      </c>
    </row>
    <row r="350" spans="1:6" x14ac:dyDescent="0.25">
      <c r="A350" s="3">
        <v>3</v>
      </c>
      <c r="B350" s="67">
        <v>46028</v>
      </c>
      <c r="C350" s="1" t="s">
        <v>511</v>
      </c>
      <c r="D350" s="1">
        <v>1</v>
      </c>
      <c r="E350" s="5">
        <v>500</v>
      </c>
      <c r="F350" s="1" t="s">
        <v>31</v>
      </c>
    </row>
    <row r="351" spans="1:6" x14ac:dyDescent="0.25">
      <c r="A351" s="3">
        <v>4</v>
      </c>
      <c r="B351" s="67">
        <v>46028</v>
      </c>
      <c r="C351" s="1" t="s">
        <v>50</v>
      </c>
      <c r="D351" s="1">
        <v>4</v>
      </c>
      <c r="E351" s="5">
        <f>D351*90</f>
        <v>360</v>
      </c>
      <c r="F351" s="1" t="s">
        <v>31</v>
      </c>
    </row>
    <row r="352" spans="1:6" x14ac:dyDescent="0.25">
      <c r="A352" s="3">
        <v>5</v>
      </c>
      <c r="B352" s="67">
        <v>46028</v>
      </c>
      <c r="C352" s="1" t="s">
        <v>33</v>
      </c>
      <c r="D352" s="1">
        <v>1</v>
      </c>
      <c r="E352" s="5">
        <f>D352*30</f>
        <v>30</v>
      </c>
      <c r="F352" s="1" t="s">
        <v>31</v>
      </c>
    </row>
    <row r="353" spans="1:6" x14ac:dyDescent="0.25">
      <c r="A353" s="3">
        <v>6</v>
      </c>
      <c r="B353" s="67">
        <v>46028</v>
      </c>
      <c r="C353" s="1" t="s">
        <v>47</v>
      </c>
      <c r="D353" s="1">
        <v>3</v>
      </c>
      <c r="E353" s="5">
        <f>D353*80</f>
        <v>240</v>
      </c>
      <c r="F353" s="1" t="s">
        <v>31</v>
      </c>
    </row>
    <row r="354" spans="1:6" x14ac:dyDescent="0.25">
      <c r="A354" s="3">
        <v>7</v>
      </c>
      <c r="B354" s="67">
        <v>46028</v>
      </c>
      <c r="C354" s="1" t="s">
        <v>19</v>
      </c>
      <c r="D354" s="1">
        <v>4</v>
      </c>
      <c r="E354" s="5">
        <f>D354*15</f>
        <v>60</v>
      </c>
      <c r="F354" s="1" t="s">
        <v>31</v>
      </c>
    </row>
    <row r="355" spans="1:6" ht="15.75" thickBot="1" x14ac:dyDescent="0.3">
      <c r="A355" s="289" t="s">
        <v>41</v>
      </c>
      <c r="B355" s="290"/>
      <c r="C355" s="290"/>
      <c r="D355" s="291"/>
      <c r="E355" s="54">
        <f>SUM(E348:E354)</f>
        <v>1890</v>
      </c>
    </row>
    <row r="356" spans="1:6" ht="15.75" thickBot="1" x14ac:dyDescent="0.3">
      <c r="A356" s="292" t="s">
        <v>39</v>
      </c>
      <c r="B356" s="293"/>
      <c r="F356" s="14" t="s">
        <v>40</v>
      </c>
    </row>
    <row r="357" spans="1:6" ht="19.5" thickBot="1" x14ac:dyDescent="0.35">
      <c r="A357" s="10" t="s">
        <v>0</v>
      </c>
      <c r="B357" s="11" t="s">
        <v>3</v>
      </c>
      <c r="C357" s="11" t="s">
        <v>1</v>
      </c>
      <c r="D357" s="11" t="s">
        <v>26</v>
      </c>
      <c r="E357" s="11" t="s">
        <v>23</v>
      </c>
      <c r="F357" s="12" t="s">
        <v>27</v>
      </c>
    </row>
    <row r="358" spans="1:6" x14ac:dyDescent="0.25">
      <c r="A358" s="3">
        <v>1</v>
      </c>
      <c r="B358" s="67">
        <v>46028</v>
      </c>
      <c r="C358" s="3" t="s">
        <v>88</v>
      </c>
      <c r="D358" s="3">
        <v>8</v>
      </c>
      <c r="E358" s="4">
        <f>D358*35</f>
        <v>280</v>
      </c>
      <c r="F358" s="3" t="s">
        <v>31</v>
      </c>
    </row>
    <row r="359" spans="1:6" x14ac:dyDescent="0.25">
      <c r="A359" s="3">
        <v>2</v>
      </c>
      <c r="B359" s="67">
        <v>46028</v>
      </c>
      <c r="C359" s="1" t="s">
        <v>196</v>
      </c>
      <c r="D359" s="1">
        <v>5</v>
      </c>
      <c r="E359" s="5">
        <f>D359*50</f>
        <v>250</v>
      </c>
      <c r="F359" s="1" t="s">
        <v>31</v>
      </c>
    </row>
    <row r="360" spans="1:6" x14ac:dyDescent="0.25">
      <c r="A360" s="3">
        <v>3</v>
      </c>
      <c r="B360" s="67">
        <v>46028</v>
      </c>
      <c r="C360" s="1" t="s">
        <v>197</v>
      </c>
      <c r="D360" s="1">
        <v>6</v>
      </c>
      <c r="E360" s="5">
        <f>D360*40</f>
        <v>240</v>
      </c>
      <c r="F360" s="1" t="s">
        <v>31</v>
      </c>
    </row>
    <row r="361" spans="1:6" x14ac:dyDescent="0.25">
      <c r="A361" s="3">
        <v>4</v>
      </c>
      <c r="B361" s="67">
        <v>46028</v>
      </c>
      <c r="C361" s="1" t="s">
        <v>198</v>
      </c>
      <c r="D361" s="1">
        <v>5</v>
      </c>
      <c r="E361" s="5">
        <f>D361*70</f>
        <v>350</v>
      </c>
      <c r="F361" s="1" t="s">
        <v>31</v>
      </c>
    </row>
    <row r="362" spans="1:6" x14ac:dyDescent="0.25">
      <c r="A362" s="3">
        <v>5</v>
      </c>
      <c r="B362" s="67">
        <v>46028</v>
      </c>
      <c r="C362" s="1" t="s">
        <v>254</v>
      </c>
      <c r="D362" s="1" t="s">
        <v>400</v>
      </c>
      <c r="E362" s="5">
        <f>1*1600</f>
        <v>1600</v>
      </c>
      <c r="F362" s="1" t="s">
        <v>31</v>
      </c>
    </row>
    <row r="363" spans="1:6" x14ac:dyDescent="0.25">
      <c r="A363" s="3">
        <v>6</v>
      </c>
      <c r="B363" s="67">
        <v>46028</v>
      </c>
      <c r="C363" s="1" t="s">
        <v>109</v>
      </c>
      <c r="D363" s="1">
        <v>5</v>
      </c>
      <c r="E363" s="5">
        <f>D363*180</f>
        <v>900</v>
      </c>
      <c r="F363" s="1" t="s">
        <v>31</v>
      </c>
    </row>
    <row r="364" spans="1:6" x14ac:dyDescent="0.25">
      <c r="A364" s="3">
        <v>7</v>
      </c>
      <c r="B364" s="67">
        <v>46028</v>
      </c>
      <c r="C364" s="1" t="s">
        <v>33</v>
      </c>
      <c r="D364" s="1">
        <v>2</v>
      </c>
      <c r="E364" s="5">
        <f>D364*30</f>
        <v>60</v>
      </c>
      <c r="F364" s="1" t="s">
        <v>31</v>
      </c>
    </row>
    <row r="365" spans="1:6" x14ac:dyDescent="0.25">
      <c r="A365" s="3">
        <v>8</v>
      </c>
      <c r="B365" s="67">
        <v>46028</v>
      </c>
      <c r="C365" s="24" t="s">
        <v>19</v>
      </c>
      <c r="D365" s="24">
        <v>15</v>
      </c>
      <c r="E365" s="5">
        <f>D365*15</f>
        <v>225</v>
      </c>
      <c r="F365" s="1" t="s">
        <v>31</v>
      </c>
    </row>
    <row r="366" spans="1:6" x14ac:dyDescent="0.25">
      <c r="A366" s="3">
        <v>9</v>
      </c>
      <c r="B366" s="67">
        <v>46028</v>
      </c>
      <c r="C366" s="24" t="s">
        <v>50</v>
      </c>
      <c r="D366" s="24">
        <v>9</v>
      </c>
      <c r="E366" s="5">
        <f>D366*70</f>
        <v>630</v>
      </c>
      <c r="F366" s="1" t="s">
        <v>31</v>
      </c>
    </row>
    <row r="367" spans="1:6" x14ac:dyDescent="0.25">
      <c r="A367" s="3">
        <v>10</v>
      </c>
      <c r="B367" s="67">
        <v>46028</v>
      </c>
      <c r="C367" s="24" t="s">
        <v>509</v>
      </c>
      <c r="D367" s="24">
        <v>6</v>
      </c>
      <c r="E367" s="5">
        <f>D367*35</f>
        <v>210</v>
      </c>
      <c r="F367" s="1" t="s">
        <v>31</v>
      </c>
    </row>
    <row r="368" spans="1:6" x14ac:dyDescent="0.25">
      <c r="A368" s="3">
        <v>11</v>
      </c>
      <c r="B368" s="67">
        <v>46028</v>
      </c>
      <c r="C368" s="24" t="s">
        <v>102</v>
      </c>
      <c r="D368" s="24">
        <v>4</v>
      </c>
      <c r="E368" s="5">
        <f>D368*120</f>
        <v>480</v>
      </c>
      <c r="F368" s="1" t="s">
        <v>31</v>
      </c>
    </row>
    <row r="369" spans="1:6" ht="15.75" thickBot="1" x14ac:dyDescent="0.3">
      <c r="A369" s="289" t="s">
        <v>41</v>
      </c>
      <c r="B369" s="290"/>
      <c r="C369" s="290"/>
      <c r="D369" s="291"/>
      <c r="E369" s="54">
        <f>SUM(E358:E368)</f>
        <v>5225</v>
      </c>
    </row>
    <row r="370" spans="1:6" ht="15.75" thickBot="1" x14ac:dyDescent="0.3">
      <c r="A370" s="292" t="s">
        <v>39</v>
      </c>
      <c r="B370" s="293"/>
      <c r="F370" s="14" t="s">
        <v>40</v>
      </c>
    </row>
    <row r="371" spans="1:6" ht="19.5" thickBot="1" x14ac:dyDescent="0.35">
      <c r="A371" s="10" t="s">
        <v>0</v>
      </c>
      <c r="B371" s="11" t="s">
        <v>3</v>
      </c>
      <c r="C371" s="11" t="s">
        <v>1</v>
      </c>
      <c r="D371" s="11" t="s">
        <v>26</v>
      </c>
      <c r="E371" s="11" t="s">
        <v>23</v>
      </c>
      <c r="F371" s="12" t="s">
        <v>27</v>
      </c>
    </row>
    <row r="372" spans="1:6" x14ac:dyDescent="0.25">
      <c r="A372" s="3">
        <v>1</v>
      </c>
      <c r="B372" s="67">
        <v>46029</v>
      </c>
      <c r="C372" s="3" t="s">
        <v>178</v>
      </c>
      <c r="D372" s="3">
        <v>0.5</v>
      </c>
      <c r="E372" s="4">
        <f>D372*400</f>
        <v>200</v>
      </c>
      <c r="F372" s="3" t="s">
        <v>31</v>
      </c>
    </row>
    <row r="373" spans="1:6" x14ac:dyDescent="0.25">
      <c r="A373" s="3">
        <v>2</v>
      </c>
      <c r="B373" s="67">
        <v>46029</v>
      </c>
      <c r="C373" s="1" t="s">
        <v>587</v>
      </c>
      <c r="D373" s="1">
        <v>4</v>
      </c>
      <c r="E373" s="5">
        <f>D373*320</f>
        <v>1280</v>
      </c>
      <c r="F373" s="1" t="s">
        <v>31</v>
      </c>
    </row>
    <row r="374" spans="1:6" x14ac:dyDescent="0.25">
      <c r="A374" s="3">
        <v>3</v>
      </c>
      <c r="B374" s="67">
        <v>46029</v>
      </c>
      <c r="C374" s="1" t="s">
        <v>19</v>
      </c>
      <c r="D374" s="1">
        <v>2</v>
      </c>
      <c r="E374" s="5">
        <f>D374*15</f>
        <v>30</v>
      </c>
      <c r="F374" s="1" t="s">
        <v>31</v>
      </c>
    </row>
    <row r="375" spans="1:6" x14ac:dyDescent="0.25">
      <c r="A375" s="3">
        <v>4</v>
      </c>
      <c r="B375" s="67">
        <v>46029</v>
      </c>
      <c r="C375" s="1" t="s">
        <v>50</v>
      </c>
      <c r="D375" s="1">
        <v>3</v>
      </c>
      <c r="E375" s="5">
        <f>D375*70</f>
        <v>210</v>
      </c>
      <c r="F375" s="1" t="s">
        <v>31</v>
      </c>
    </row>
    <row r="376" spans="1:6" ht="15.75" thickBot="1" x14ac:dyDescent="0.3">
      <c r="A376" s="289" t="s">
        <v>41</v>
      </c>
      <c r="B376" s="290"/>
      <c r="C376" s="290"/>
      <c r="D376" s="291"/>
      <c r="E376" s="54">
        <f>SUM(E372:E375)</f>
        <v>1720</v>
      </c>
    </row>
    <row r="377" spans="1:6" ht="15.75" thickBot="1" x14ac:dyDescent="0.3">
      <c r="A377" s="292" t="s">
        <v>39</v>
      </c>
      <c r="B377" s="293"/>
      <c r="F377" s="14" t="s">
        <v>40</v>
      </c>
    </row>
    <row r="378" spans="1:6" ht="19.5" thickBot="1" x14ac:dyDescent="0.35">
      <c r="A378" s="10" t="s">
        <v>0</v>
      </c>
      <c r="B378" s="11" t="s">
        <v>3</v>
      </c>
      <c r="C378" s="11" t="s">
        <v>1</v>
      </c>
      <c r="D378" s="11" t="s">
        <v>26</v>
      </c>
      <c r="E378" s="11" t="s">
        <v>23</v>
      </c>
      <c r="F378" s="12" t="s">
        <v>27</v>
      </c>
    </row>
    <row r="379" spans="1:6" x14ac:dyDescent="0.25">
      <c r="A379" s="3">
        <v>1</v>
      </c>
      <c r="B379" s="67">
        <v>46029</v>
      </c>
      <c r="C379" s="3" t="s">
        <v>88</v>
      </c>
      <c r="D379" s="3">
        <v>10</v>
      </c>
      <c r="E379" s="4">
        <f>D379*35</f>
        <v>350</v>
      </c>
      <c r="F379" s="3" t="s">
        <v>31</v>
      </c>
    </row>
    <row r="380" spans="1:6" x14ac:dyDescent="0.25">
      <c r="A380" s="3">
        <v>2</v>
      </c>
      <c r="B380" s="67">
        <v>46029</v>
      </c>
      <c r="C380" s="1" t="s">
        <v>196</v>
      </c>
      <c r="D380" s="1">
        <v>7</v>
      </c>
      <c r="E380" s="5">
        <f>D380*50</f>
        <v>350</v>
      </c>
      <c r="F380" s="1" t="s">
        <v>31</v>
      </c>
    </row>
    <row r="381" spans="1:6" x14ac:dyDescent="0.25">
      <c r="A381" s="3">
        <v>3</v>
      </c>
      <c r="B381" s="67">
        <v>46029</v>
      </c>
      <c r="C381" s="1" t="s">
        <v>197</v>
      </c>
      <c r="D381" s="1">
        <v>3</v>
      </c>
      <c r="E381" s="5">
        <f>D381*40</f>
        <v>120</v>
      </c>
      <c r="F381" s="1" t="s">
        <v>31</v>
      </c>
    </row>
    <row r="382" spans="1:6" x14ac:dyDescent="0.25">
      <c r="A382" s="3">
        <v>4</v>
      </c>
      <c r="B382" s="67">
        <v>46029</v>
      </c>
      <c r="C382" s="1" t="s">
        <v>198</v>
      </c>
      <c r="D382" s="1">
        <v>3</v>
      </c>
      <c r="E382" s="5">
        <f>D382*70</f>
        <v>210</v>
      </c>
      <c r="F382" s="1" t="s">
        <v>31</v>
      </c>
    </row>
    <row r="383" spans="1:6" x14ac:dyDescent="0.25">
      <c r="A383" s="3">
        <v>5</v>
      </c>
      <c r="B383" s="67">
        <v>46029</v>
      </c>
      <c r="C383" s="1" t="s">
        <v>50</v>
      </c>
      <c r="D383" s="1">
        <v>7</v>
      </c>
      <c r="E383" s="5">
        <f>D383*70</f>
        <v>490</v>
      </c>
      <c r="F383" s="1" t="s">
        <v>31</v>
      </c>
    </row>
    <row r="384" spans="1:6" x14ac:dyDescent="0.25">
      <c r="A384" s="3">
        <v>6</v>
      </c>
      <c r="B384" s="67">
        <v>46029</v>
      </c>
      <c r="C384" s="1" t="s">
        <v>178</v>
      </c>
      <c r="D384" s="1" t="s">
        <v>400</v>
      </c>
      <c r="E384" s="5">
        <f>1*400</f>
        <v>400</v>
      </c>
      <c r="F384" s="1" t="s">
        <v>31</v>
      </c>
    </row>
    <row r="385" spans="1:6" x14ac:dyDescent="0.25">
      <c r="A385" s="3">
        <v>7</v>
      </c>
      <c r="B385" s="67">
        <v>46029</v>
      </c>
      <c r="C385" s="1" t="s">
        <v>33</v>
      </c>
      <c r="D385" s="1">
        <v>2</v>
      </c>
      <c r="E385" s="5">
        <f>D385*30</f>
        <v>60</v>
      </c>
      <c r="F385" s="1" t="s">
        <v>31</v>
      </c>
    </row>
    <row r="386" spans="1:6" x14ac:dyDescent="0.25">
      <c r="A386" s="3">
        <v>8</v>
      </c>
      <c r="B386" s="67">
        <v>46029</v>
      </c>
      <c r="C386" s="24" t="s">
        <v>587</v>
      </c>
      <c r="D386" s="24">
        <v>10</v>
      </c>
      <c r="E386" s="5">
        <f>D386*320</f>
        <v>3200</v>
      </c>
      <c r="F386" s="1" t="s">
        <v>31</v>
      </c>
    </row>
    <row r="387" spans="1:6" x14ac:dyDescent="0.25">
      <c r="A387" s="3">
        <v>9</v>
      </c>
      <c r="B387" s="67">
        <v>46029</v>
      </c>
      <c r="C387" s="24" t="s">
        <v>509</v>
      </c>
      <c r="D387" s="24">
        <v>6</v>
      </c>
      <c r="E387" s="5">
        <f>D387*35</f>
        <v>210</v>
      </c>
      <c r="F387" s="1" t="s">
        <v>31</v>
      </c>
    </row>
    <row r="388" spans="1:6" x14ac:dyDescent="0.25">
      <c r="A388" s="3">
        <v>10</v>
      </c>
      <c r="B388" s="67">
        <v>46029</v>
      </c>
      <c r="C388" s="24" t="s">
        <v>588</v>
      </c>
      <c r="D388" s="24">
        <v>5</v>
      </c>
      <c r="E388" s="5">
        <f>D388*50</f>
        <v>250</v>
      </c>
      <c r="F388" s="1" t="s">
        <v>31</v>
      </c>
    </row>
    <row r="389" spans="1:6" x14ac:dyDescent="0.25">
      <c r="A389" s="3">
        <v>11</v>
      </c>
      <c r="B389" s="66">
        <v>46029</v>
      </c>
      <c r="C389" s="24" t="s">
        <v>19</v>
      </c>
      <c r="D389" s="24">
        <v>8</v>
      </c>
      <c r="E389" s="5">
        <f>D389*15</f>
        <v>120</v>
      </c>
      <c r="F389" s="1" t="s">
        <v>31</v>
      </c>
    </row>
    <row r="390" spans="1:6" x14ac:dyDescent="0.25">
      <c r="A390" s="3">
        <v>12</v>
      </c>
      <c r="B390" s="66">
        <v>46029</v>
      </c>
      <c r="C390" s="24" t="s">
        <v>589</v>
      </c>
      <c r="D390" s="24" t="s">
        <v>400</v>
      </c>
      <c r="E390" s="5">
        <v>1600</v>
      </c>
      <c r="F390" s="1" t="s">
        <v>31</v>
      </c>
    </row>
    <row r="391" spans="1:6" x14ac:dyDescent="0.25">
      <c r="A391" s="3">
        <v>13</v>
      </c>
      <c r="B391" s="66">
        <v>46029</v>
      </c>
      <c r="C391" s="24" t="s">
        <v>590</v>
      </c>
      <c r="D391" s="24">
        <v>1</v>
      </c>
      <c r="E391" s="5">
        <v>480</v>
      </c>
      <c r="F391" s="1" t="s">
        <v>31</v>
      </c>
    </row>
    <row r="392" spans="1:6" x14ac:dyDescent="0.25">
      <c r="A392" s="3">
        <v>14</v>
      </c>
      <c r="B392" s="66">
        <v>46029</v>
      </c>
      <c r="C392" s="24" t="s">
        <v>240</v>
      </c>
      <c r="D392" s="24">
        <v>2</v>
      </c>
      <c r="E392" s="5">
        <f>D392*120</f>
        <v>240</v>
      </c>
      <c r="F392" s="1" t="s">
        <v>31</v>
      </c>
    </row>
    <row r="393" spans="1:6" x14ac:dyDescent="0.25">
      <c r="A393" s="3">
        <v>15</v>
      </c>
      <c r="B393" s="66">
        <v>46029</v>
      </c>
      <c r="C393" s="24" t="s">
        <v>50</v>
      </c>
      <c r="D393" s="24">
        <v>1.5</v>
      </c>
      <c r="E393" s="5">
        <v>180</v>
      </c>
      <c r="F393" s="1" t="s">
        <v>31</v>
      </c>
    </row>
    <row r="394" spans="1:6" x14ac:dyDescent="0.25">
      <c r="A394" s="3">
        <v>16</v>
      </c>
      <c r="B394" s="66">
        <v>46029</v>
      </c>
      <c r="C394" s="24" t="s">
        <v>341</v>
      </c>
      <c r="D394" s="24">
        <v>6</v>
      </c>
      <c r="E394" s="5">
        <f>D394*30</f>
        <v>180</v>
      </c>
      <c r="F394" s="1" t="s">
        <v>31</v>
      </c>
    </row>
    <row r="395" spans="1:6" x14ac:dyDescent="0.25">
      <c r="A395" s="3">
        <v>17</v>
      </c>
      <c r="B395" s="66">
        <v>46029</v>
      </c>
      <c r="C395" s="24" t="s">
        <v>236</v>
      </c>
      <c r="D395" s="24">
        <v>6</v>
      </c>
      <c r="E395" s="5">
        <f>D395*35</f>
        <v>210</v>
      </c>
      <c r="F395" s="1" t="s">
        <v>31</v>
      </c>
    </row>
    <row r="396" spans="1:6" x14ac:dyDescent="0.25">
      <c r="A396" s="3">
        <v>18</v>
      </c>
      <c r="B396" s="66">
        <v>46029</v>
      </c>
      <c r="C396" s="24" t="s">
        <v>110</v>
      </c>
      <c r="D396" s="24">
        <v>1</v>
      </c>
      <c r="E396" s="5">
        <f>D396*120</f>
        <v>120</v>
      </c>
      <c r="F396" s="1" t="s">
        <v>31</v>
      </c>
    </row>
    <row r="397" spans="1:6" ht="15.75" thickBot="1" x14ac:dyDescent="0.3">
      <c r="A397" s="289" t="s">
        <v>41</v>
      </c>
      <c r="B397" s="290"/>
      <c r="C397" s="290"/>
      <c r="D397" s="291"/>
      <c r="E397" s="54">
        <f>SUM(E379:E396)</f>
        <v>8770</v>
      </c>
    </row>
    <row r="398" spans="1:6" ht="15.75" thickBot="1" x14ac:dyDescent="0.3">
      <c r="A398" s="292" t="s">
        <v>39</v>
      </c>
      <c r="B398" s="293"/>
      <c r="F398" s="14" t="s">
        <v>40</v>
      </c>
    </row>
    <row r="399" spans="1:6" ht="19.5" thickBot="1" x14ac:dyDescent="0.35">
      <c r="A399" s="10" t="s">
        <v>0</v>
      </c>
      <c r="B399" s="11" t="s">
        <v>3</v>
      </c>
      <c r="C399" s="11" t="s">
        <v>1</v>
      </c>
      <c r="D399" s="11" t="s">
        <v>26</v>
      </c>
      <c r="E399" s="11" t="s">
        <v>23</v>
      </c>
      <c r="F399" s="12" t="s">
        <v>27</v>
      </c>
    </row>
    <row r="400" spans="1:6" x14ac:dyDescent="0.25">
      <c r="A400" s="3">
        <v>1</v>
      </c>
      <c r="B400" s="67">
        <v>46030</v>
      </c>
      <c r="C400" s="3" t="s">
        <v>616</v>
      </c>
      <c r="D400" s="3">
        <v>3</v>
      </c>
      <c r="E400" s="4">
        <f>D400*250</f>
        <v>750</v>
      </c>
      <c r="F400" s="3" t="s">
        <v>31</v>
      </c>
    </row>
    <row r="401" spans="1:6" x14ac:dyDescent="0.25">
      <c r="A401" s="3">
        <v>2</v>
      </c>
      <c r="B401" s="67">
        <v>46030</v>
      </c>
      <c r="C401" s="1" t="s">
        <v>19</v>
      </c>
      <c r="D401" s="1">
        <v>8</v>
      </c>
      <c r="E401" s="5">
        <f>D401*15</f>
        <v>120</v>
      </c>
      <c r="F401" s="1" t="s">
        <v>31</v>
      </c>
    </row>
    <row r="402" spans="1:6" x14ac:dyDescent="0.25">
      <c r="A402" s="3">
        <v>3</v>
      </c>
      <c r="B402" s="67">
        <v>46030</v>
      </c>
      <c r="C402" s="1" t="s">
        <v>618</v>
      </c>
      <c r="D402" s="1">
        <v>1</v>
      </c>
      <c r="E402" s="5">
        <v>200</v>
      </c>
      <c r="F402" s="1" t="s">
        <v>31</v>
      </c>
    </row>
    <row r="403" spans="1:6" ht="15.75" thickBot="1" x14ac:dyDescent="0.3">
      <c r="A403" s="289" t="s">
        <v>41</v>
      </c>
      <c r="B403" s="290"/>
      <c r="C403" s="290"/>
      <c r="D403" s="291"/>
      <c r="E403" s="54">
        <f>SUM(E400:E402)</f>
        <v>1070</v>
      </c>
    </row>
    <row r="404" spans="1:6" ht="15.75" thickBot="1" x14ac:dyDescent="0.3">
      <c r="A404" s="292" t="s">
        <v>39</v>
      </c>
      <c r="B404" s="293"/>
      <c r="F404" s="14" t="s">
        <v>40</v>
      </c>
    </row>
    <row r="405" spans="1:6" ht="19.5" thickBot="1" x14ac:dyDescent="0.35">
      <c r="A405" s="10" t="s">
        <v>0</v>
      </c>
      <c r="B405" s="11" t="s">
        <v>3</v>
      </c>
      <c r="C405" s="11" t="s">
        <v>1</v>
      </c>
      <c r="D405" s="11" t="s">
        <v>26</v>
      </c>
      <c r="E405" s="11" t="s">
        <v>23</v>
      </c>
      <c r="F405" s="12" t="s">
        <v>27</v>
      </c>
    </row>
    <row r="406" spans="1:6" x14ac:dyDescent="0.25">
      <c r="A406" s="3">
        <v>1</v>
      </c>
      <c r="B406" s="67">
        <v>46030</v>
      </c>
      <c r="C406" s="3" t="s">
        <v>88</v>
      </c>
      <c r="D406" s="3">
        <v>8</v>
      </c>
      <c r="E406" s="4">
        <f>D406*35</f>
        <v>280</v>
      </c>
      <c r="F406" s="3" t="s">
        <v>31</v>
      </c>
    </row>
    <row r="407" spans="1:6" x14ac:dyDescent="0.25">
      <c r="A407" s="3">
        <v>2</v>
      </c>
      <c r="B407" s="67">
        <v>46030</v>
      </c>
      <c r="C407" s="1" t="s">
        <v>222</v>
      </c>
      <c r="D407" s="1">
        <v>7</v>
      </c>
      <c r="E407" s="5">
        <f>D407*50</f>
        <v>350</v>
      </c>
      <c r="F407" s="1" t="s">
        <v>31</v>
      </c>
    </row>
    <row r="408" spans="1:6" x14ac:dyDescent="0.25">
      <c r="A408" s="3">
        <v>3</v>
      </c>
      <c r="B408" s="67">
        <v>46030</v>
      </c>
      <c r="C408" s="1" t="s">
        <v>619</v>
      </c>
      <c r="D408" s="1">
        <v>2</v>
      </c>
      <c r="E408" s="5">
        <f>D408*60</f>
        <v>120</v>
      </c>
      <c r="F408" s="1" t="s">
        <v>31</v>
      </c>
    </row>
    <row r="409" spans="1:6" x14ac:dyDescent="0.25">
      <c r="A409" s="3">
        <v>4</v>
      </c>
      <c r="B409" s="67">
        <v>46030</v>
      </c>
      <c r="C409" s="1" t="s">
        <v>198</v>
      </c>
      <c r="D409" s="1">
        <v>8</v>
      </c>
      <c r="E409" s="5">
        <f>D409*70</f>
        <v>560</v>
      </c>
      <c r="F409" s="1" t="s">
        <v>31</v>
      </c>
    </row>
    <row r="410" spans="1:6" x14ac:dyDescent="0.25">
      <c r="A410" s="3">
        <v>5</v>
      </c>
      <c r="B410" s="67">
        <v>46030</v>
      </c>
      <c r="C410" s="1" t="s">
        <v>50</v>
      </c>
      <c r="D410" s="1">
        <v>3</v>
      </c>
      <c r="E410" s="5">
        <f>D410*70</f>
        <v>210</v>
      </c>
      <c r="F410" s="1" t="s">
        <v>31</v>
      </c>
    </row>
    <row r="411" spans="1:6" x14ac:dyDescent="0.25">
      <c r="A411" s="3">
        <v>6</v>
      </c>
      <c r="B411" s="67">
        <v>46030</v>
      </c>
      <c r="C411" s="1" t="s">
        <v>620</v>
      </c>
      <c r="D411" s="1">
        <v>1</v>
      </c>
      <c r="E411" s="5">
        <v>100</v>
      </c>
      <c r="F411" s="1" t="s">
        <v>31</v>
      </c>
    </row>
    <row r="412" spans="1:6" x14ac:dyDescent="0.25">
      <c r="A412" s="3">
        <v>7</v>
      </c>
      <c r="B412" s="67">
        <v>46030</v>
      </c>
      <c r="C412" s="1" t="s">
        <v>33</v>
      </c>
      <c r="D412" s="1">
        <v>1</v>
      </c>
      <c r="E412" s="5">
        <f>D412*30</f>
        <v>30</v>
      </c>
      <c r="F412" s="1" t="s">
        <v>31</v>
      </c>
    </row>
    <row r="413" spans="1:6" x14ac:dyDescent="0.25">
      <c r="A413" s="3">
        <v>8</v>
      </c>
      <c r="B413" s="67">
        <v>46030</v>
      </c>
      <c r="C413" s="24" t="s">
        <v>587</v>
      </c>
      <c r="D413" s="24">
        <v>6</v>
      </c>
      <c r="E413" s="5">
        <f>D413*320</f>
        <v>1920</v>
      </c>
      <c r="F413" s="1" t="s">
        <v>31</v>
      </c>
    </row>
    <row r="414" spans="1:6" x14ac:dyDescent="0.25">
      <c r="A414" s="3">
        <v>9</v>
      </c>
      <c r="B414" s="67">
        <v>46030</v>
      </c>
      <c r="C414" s="24" t="s">
        <v>509</v>
      </c>
      <c r="D414" s="24">
        <v>16</v>
      </c>
      <c r="E414" s="5">
        <f>D414*35</f>
        <v>560</v>
      </c>
      <c r="F414" s="1" t="s">
        <v>31</v>
      </c>
    </row>
    <row r="415" spans="1:6" x14ac:dyDescent="0.25">
      <c r="A415" s="3">
        <v>10</v>
      </c>
      <c r="B415" s="67">
        <v>46030</v>
      </c>
      <c r="C415" s="24" t="s">
        <v>19</v>
      </c>
      <c r="D415" s="24">
        <v>15</v>
      </c>
      <c r="E415" s="5">
        <f>D415*15</f>
        <v>225</v>
      </c>
      <c r="F415" s="1" t="s">
        <v>31</v>
      </c>
    </row>
    <row r="416" spans="1:6" x14ac:dyDescent="0.25">
      <c r="A416" s="3">
        <v>11</v>
      </c>
      <c r="B416" s="67">
        <v>46030</v>
      </c>
      <c r="C416" s="24" t="s">
        <v>86</v>
      </c>
      <c r="D416" s="24">
        <v>5</v>
      </c>
      <c r="E416" s="5">
        <f>D416*220</f>
        <v>1100</v>
      </c>
      <c r="F416" s="1" t="s">
        <v>31</v>
      </c>
    </row>
    <row r="417" spans="1:6" x14ac:dyDescent="0.25">
      <c r="A417" s="3">
        <v>12</v>
      </c>
      <c r="B417" s="67">
        <v>46030</v>
      </c>
      <c r="C417" s="24" t="s">
        <v>348</v>
      </c>
      <c r="D417" s="24">
        <v>1</v>
      </c>
      <c r="E417" s="5">
        <f>D417*240</f>
        <v>240</v>
      </c>
      <c r="F417" s="1" t="s">
        <v>31</v>
      </c>
    </row>
    <row r="418" spans="1:6" x14ac:dyDescent="0.25">
      <c r="A418" s="3">
        <v>13</v>
      </c>
      <c r="B418" s="67">
        <v>46030</v>
      </c>
      <c r="C418" s="24" t="s">
        <v>622</v>
      </c>
      <c r="D418" s="24"/>
      <c r="E418" s="5">
        <v>200</v>
      </c>
      <c r="F418" s="1" t="s">
        <v>31</v>
      </c>
    </row>
    <row r="419" spans="1:6" x14ac:dyDescent="0.25">
      <c r="A419" s="3">
        <v>14</v>
      </c>
      <c r="B419" s="67">
        <v>46030</v>
      </c>
      <c r="C419" s="24" t="s">
        <v>50</v>
      </c>
      <c r="D419" s="24">
        <v>1</v>
      </c>
      <c r="E419" s="5">
        <v>180</v>
      </c>
      <c r="F419" s="1" t="s">
        <v>31</v>
      </c>
    </row>
    <row r="420" spans="1:6" x14ac:dyDescent="0.25">
      <c r="A420" s="3">
        <v>15</v>
      </c>
      <c r="B420" s="67">
        <v>46030</v>
      </c>
      <c r="C420" s="24" t="s">
        <v>506</v>
      </c>
      <c r="D420" s="24">
        <v>12</v>
      </c>
      <c r="E420" s="5">
        <v>200</v>
      </c>
      <c r="F420" s="1" t="s">
        <v>31</v>
      </c>
    </row>
    <row r="421" spans="1:6" x14ac:dyDescent="0.25">
      <c r="A421" s="3">
        <v>16</v>
      </c>
      <c r="B421" s="67">
        <v>46030</v>
      </c>
      <c r="C421" s="24" t="s">
        <v>621</v>
      </c>
      <c r="D421" s="24">
        <v>4</v>
      </c>
      <c r="E421" s="5">
        <f>D421*40</f>
        <v>160</v>
      </c>
      <c r="F421" s="1" t="s">
        <v>31</v>
      </c>
    </row>
    <row r="422" spans="1:6" x14ac:dyDescent="0.25">
      <c r="A422" s="3">
        <v>17</v>
      </c>
      <c r="B422" s="67">
        <v>46030</v>
      </c>
      <c r="C422" s="24" t="s">
        <v>593</v>
      </c>
      <c r="D422" s="24">
        <v>3</v>
      </c>
      <c r="E422" s="5">
        <f>D422*120</f>
        <v>360</v>
      </c>
      <c r="F422" s="1" t="s">
        <v>31</v>
      </c>
    </row>
    <row r="423" spans="1:6" ht="15.75" thickBot="1" x14ac:dyDescent="0.3">
      <c r="A423" s="289" t="s">
        <v>41</v>
      </c>
      <c r="B423" s="290"/>
      <c r="C423" s="290"/>
      <c r="D423" s="291"/>
      <c r="E423" s="54">
        <f>SUM(E406:E422)</f>
        <v>6795</v>
      </c>
    </row>
    <row r="424" spans="1:6" ht="15.75" thickBot="1" x14ac:dyDescent="0.3">
      <c r="A424" s="292" t="s">
        <v>39</v>
      </c>
      <c r="B424" s="293"/>
      <c r="F424" s="14" t="s">
        <v>40</v>
      </c>
    </row>
    <row r="425" spans="1:6" ht="19.5" thickBot="1" x14ac:dyDescent="0.35">
      <c r="A425" s="10" t="s">
        <v>0</v>
      </c>
      <c r="B425" s="11" t="s">
        <v>3</v>
      </c>
      <c r="C425" s="11" t="s">
        <v>1</v>
      </c>
      <c r="D425" s="11" t="s">
        <v>26</v>
      </c>
      <c r="E425" s="11" t="s">
        <v>23</v>
      </c>
      <c r="F425" s="12" t="s">
        <v>27</v>
      </c>
    </row>
    <row r="426" spans="1:6" x14ac:dyDescent="0.25">
      <c r="A426" s="3">
        <v>1</v>
      </c>
      <c r="B426" s="67">
        <v>46031</v>
      </c>
      <c r="C426" s="1" t="s">
        <v>332</v>
      </c>
      <c r="D426" s="1">
        <v>4</v>
      </c>
      <c r="E426" s="5">
        <f>D426*50</f>
        <v>200</v>
      </c>
      <c r="F426" s="1" t="s">
        <v>31</v>
      </c>
    </row>
    <row r="427" spans="1:6" x14ac:dyDescent="0.25">
      <c r="A427" s="3">
        <v>2</v>
      </c>
      <c r="B427" s="67">
        <v>46031</v>
      </c>
      <c r="C427" s="1" t="s">
        <v>272</v>
      </c>
      <c r="D427" s="1"/>
      <c r="E427" s="5">
        <v>420</v>
      </c>
      <c r="F427" s="1" t="s">
        <v>31</v>
      </c>
    </row>
    <row r="428" spans="1:6" x14ac:dyDescent="0.25">
      <c r="A428" s="3">
        <v>3</v>
      </c>
      <c r="B428" s="67">
        <v>46031</v>
      </c>
      <c r="C428" s="1" t="s">
        <v>641</v>
      </c>
      <c r="D428" s="1"/>
      <c r="E428" s="5">
        <v>680</v>
      </c>
      <c r="F428" s="1" t="s">
        <v>31</v>
      </c>
    </row>
    <row r="429" spans="1:6" x14ac:dyDescent="0.25">
      <c r="A429" s="3">
        <v>4</v>
      </c>
      <c r="B429" s="67">
        <v>46031</v>
      </c>
      <c r="C429" s="1" t="s">
        <v>50</v>
      </c>
      <c r="D429" s="1">
        <v>10</v>
      </c>
      <c r="E429" s="5">
        <f>D429*70</f>
        <v>700</v>
      </c>
      <c r="F429" s="1" t="s">
        <v>31</v>
      </c>
    </row>
    <row r="430" spans="1:6" x14ac:dyDescent="0.25">
      <c r="A430" s="3">
        <v>5</v>
      </c>
      <c r="B430" s="67">
        <v>46031</v>
      </c>
      <c r="C430" s="1" t="s">
        <v>90</v>
      </c>
      <c r="D430" s="1">
        <v>1</v>
      </c>
      <c r="E430" s="5">
        <v>100</v>
      </c>
      <c r="F430" s="1" t="s">
        <v>31</v>
      </c>
    </row>
    <row r="431" spans="1:6" x14ac:dyDescent="0.25">
      <c r="A431" s="3">
        <v>6</v>
      </c>
      <c r="B431" s="67">
        <v>46031</v>
      </c>
      <c r="C431" s="1" t="s">
        <v>33</v>
      </c>
      <c r="D431" s="1">
        <v>4</v>
      </c>
      <c r="E431" s="5">
        <f>D431*35</f>
        <v>140</v>
      </c>
      <c r="F431" s="1" t="s">
        <v>31</v>
      </c>
    </row>
    <row r="432" spans="1:6" x14ac:dyDescent="0.25">
      <c r="A432" s="3">
        <v>7</v>
      </c>
      <c r="B432" s="67">
        <v>46031</v>
      </c>
      <c r="C432" s="24" t="s">
        <v>433</v>
      </c>
      <c r="D432" s="24">
        <v>10</v>
      </c>
      <c r="E432" s="5">
        <f>D432*320</f>
        <v>3200</v>
      </c>
      <c r="F432" s="1" t="s">
        <v>31</v>
      </c>
    </row>
    <row r="433" spans="1:6" x14ac:dyDescent="0.25">
      <c r="A433" s="3">
        <v>8</v>
      </c>
      <c r="B433" s="67">
        <v>46031</v>
      </c>
      <c r="C433" s="24" t="s">
        <v>509</v>
      </c>
      <c r="D433" s="24">
        <v>22</v>
      </c>
      <c r="E433" s="5">
        <f>D433*35</f>
        <v>770</v>
      </c>
      <c r="F433" s="1" t="s">
        <v>31</v>
      </c>
    </row>
    <row r="434" spans="1:6" x14ac:dyDescent="0.25">
      <c r="A434" s="3">
        <v>9</v>
      </c>
      <c r="B434" s="67">
        <v>46031</v>
      </c>
      <c r="C434" s="24" t="s">
        <v>642</v>
      </c>
      <c r="D434" s="24" t="s">
        <v>400</v>
      </c>
      <c r="E434" s="5">
        <v>600</v>
      </c>
      <c r="F434" s="1" t="s">
        <v>31</v>
      </c>
    </row>
    <row r="435" spans="1:6" x14ac:dyDescent="0.25">
      <c r="A435" s="3">
        <v>10</v>
      </c>
      <c r="B435" s="67">
        <v>46031</v>
      </c>
      <c r="C435" s="24" t="s">
        <v>240</v>
      </c>
      <c r="D435" s="24">
        <v>4</v>
      </c>
      <c r="E435" s="5">
        <f>D435*120</f>
        <v>480</v>
      </c>
      <c r="F435" s="1" t="s">
        <v>31</v>
      </c>
    </row>
    <row r="436" spans="1:6" x14ac:dyDescent="0.25">
      <c r="A436" s="3">
        <v>11</v>
      </c>
      <c r="B436" s="67">
        <v>46031</v>
      </c>
      <c r="C436" s="24" t="s">
        <v>643</v>
      </c>
      <c r="D436" s="24">
        <v>1</v>
      </c>
      <c r="E436" s="5">
        <f>D436*180</f>
        <v>180</v>
      </c>
      <c r="F436" s="1" t="s">
        <v>31</v>
      </c>
    </row>
    <row r="437" spans="1:6" x14ac:dyDescent="0.25">
      <c r="A437" s="3">
        <v>12</v>
      </c>
      <c r="B437" s="67">
        <v>46031</v>
      </c>
      <c r="C437" s="24" t="s">
        <v>620</v>
      </c>
      <c r="D437" s="24">
        <v>2</v>
      </c>
      <c r="E437" s="5">
        <f>D437*100</f>
        <v>200</v>
      </c>
      <c r="F437" s="1" t="s">
        <v>31</v>
      </c>
    </row>
    <row r="438" spans="1:6" ht="15.75" thickBot="1" x14ac:dyDescent="0.3">
      <c r="A438" s="289" t="s">
        <v>41</v>
      </c>
      <c r="B438" s="290"/>
      <c r="C438" s="290"/>
      <c r="D438" s="291"/>
      <c r="E438" s="54">
        <f>SUM(E426:E437)</f>
        <v>7670</v>
      </c>
    </row>
    <row r="439" spans="1:6" ht="15.75" thickBot="1" x14ac:dyDescent="0.3">
      <c r="A439" s="292" t="s">
        <v>39</v>
      </c>
      <c r="B439" s="293"/>
      <c r="F439" s="14" t="s">
        <v>40</v>
      </c>
    </row>
    <row r="440" spans="1:6" ht="19.5" thickBot="1" x14ac:dyDescent="0.35">
      <c r="A440" s="10" t="s">
        <v>0</v>
      </c>
      <c r="B440" s="11" t="s">
        <v>3</v>
      </c>
      <c r="C440" s="11" t="s">
        <v>1</v>
      </c>
      <c r="D440" s="11" t="s">
        <v>26</v>
      </c>
      <c r="E440" s="11" t="s">
        <v>23</v>
      </c>
      <c r="F440" s="12" t="s">
        <v>27</v>
      </c>
    </row>
    <row r="441" spans="1:6" x14ac:dyDescent="0.25">
      <c r="A441" s="3">
        <v>1</v>
      </c>
      <c r="B441" s="67">
        <v>46032</v>
      </c>
      <c r="C441" s="1" t="s">
        <v>9</v>
      </c>
      <c r="D441" s="1">
        <v>10</v>
      </c>
      <c r="E441" s="5">
        <f>D441*35</f>
        <v>350</v>
      </c>
      <c r="F441" s="1" t="s">
        <v>31</v>
      </c>
    </row>
    <row r="442" spans="1:6" x14ac:dyDescent="0.25">
      <c r="A442" s="3">
        <v>2</v>
      </c>
      <c r="B442" s="67">
        <v>46032</v>
      </c>
      <c r="C442" s="1" t="s">
        <v>222</v>
      </c>
      <c r="D442" s="1">
        <v>6</v>
      </c>
      <c r="E442" s="5">
        <f>D442*50</f>
        <v>300</v>
      </c>
      <c r="F442" s="1" t="s">
        <v>31</v>
      </c>
    </row>
    <row r="443" spans="1:6" x14ac:dyDescent="0.25">
      <c r="A443" s="3">
        <v>3</v>
      </c>
      <c r="B443" s="67">
        <v>46032</v>
      </c>
      <c r="C443" s="1" t="s">
        <v>660</v>
      </c>
      <c r="D443" s="1"/>
      <c r="E443" s="5">
        <v>1000</v>
      </c>
      <c r="F443" s="1" t="s">
        <v>31</v>
      </c>
    </row>
    <row r="444" spans="1:6" x14ac:dyDescent="0.25">
      <c r="A444" s="3">
        <v>4</v>
      </c>
      <c r="B444" s="67">
        <v>46032</v>
      </c>
      <c r="C444" s="1" t="s">
        <v>197</v>
      </c>
      <c r="D444" s="1">
        <v>14</v>
      </c>
      <c r="E444" s="5">
        <f>D444*40</f>
        <v>560</v>
      </c>
      <c r="F444" s="1" t="s">
        <v>31</v>
      </c>
    </row>
    <row r="445" spans="1:6" x14ac:dyDescent="0.25">
      <c r="A445" s="3">
        <v>5</v>
      </c>
      <c r="B445" s="67">
        <v>46032</v>
      </c>
      <c r="C445" s="1" t="s">
        <v>236</v>
      </c>
      <c r="D445" s="1">
        <v>18</v>
      </c>
      <c r="E445" s="5">
        <f>D445*35</f>
        <v>630</v>
      </c>
      <c r="F445" s="1" t="s">
        <v>31</v>
      </c>
    </row>
    <row r="446" spans="1:6" x14ac:dyDescent="0.25">
      <c r="A446" s="3">
        <v>6</v>
      </c>
      <c r="B446" s="67">
        <v>46032</v>
      </c>
      <c r="C446" s="1" t="s">
        <v>658</v>
      </c>
      <c r="D446" s="1" t="s">
        <v>400</v>
      </c>
      <c r="E446" s="5">
        <v>1600</v>
      </c>
      <c r="F446" s="1" t="s">
        <v>31</v>
      </c>
    </row>
    <row r="447" spans="1:6" x14ac:dyDescent="0.25">
      <c r="A447" s="3">
        <v>7</v>
      </c>
      <c r="B447" s="67">
        <v>46032</v>
      </c>
      <c r="C447" s="24" t="s">
        <v>332</v>
      </c>
      <c r="D447" s="24">
        <v>4</v>
      </c>
      <c r="E447" s="5">
        <f>D447*50</f>
        <v>200</v>
      </c>
      <c r="F447" s="1" t="s">
        <v>31</v>
      </c>
    </row>
    <row r="448" spans="1:6" x14ac:dyDescent="0.25">
      <c r="A448" s="3">
        <v>8</v>
      </c>
      <c r="B448" s="67">
        <v>46032</v>
      </c>
      <c r="C448" s="24" t="s">
        <v>659</v>
      </c>
      <c r="D448" s="24">
        <v>10</v>
      </c>
      <c r="E448" s="5">
        <f>D448*70</f>
        <v>700</v>
      </c>
      <c r="F448" s="1" t="s">
        <v>31</v>
      </c>
    </row>
    <row r="449" spans="1:6" x14ac:dyDescent="0.25">
      <c r="A449" s="3">
        <v>9</v>
      </c>
      <c r="B449" s="67">
        <v>46032</v>
      </c>
      <c r="C449" s="24" t="s">
        <v>19</v>
      </c>
      <c r="D449" s="24">
        <v>66</v>
      </c>
      <c r="E449" s="5">
        <f>D449*15</f>
        <v>990</v>
      </c>
      <c r="F449" s="1" t="s">
        <v>31</v>
      </c>
    </row>
    <row r="450" spans="1:6" x14ac:dyDescent="0.25">
      <c r="A450" s="3">
        <v>10</v>
      </c>
      <c r="B450" s="67">
        <v>46032</v>
      </c>
      <c r="C450" s="24" t="s">
        <v>360</v>
      </c>
      <c r="D450" s="24">
        <v>7</v>
      </c>
      <c r="E450" s="5">
        <f>D450*220</f>
        <v>1540</v>
      </c>
      <c r="F450" s="1" t="s">
        <v>31</v>
      </c>
    </row>
    <row r="451" spans="1:6" x14ac:dyDescent="0.25">
      <c r="A451" s="3">
        <v>11</v>
      </c>
      <c r="B451" s="67">
        <v>46032</v>
      </c>
      <c r="C451" s="24" t="s">
        <v>33</v>
      </c>
      <c r="D451" s="24">
        <v>2</v>
      </c>
      <c r="E451" s="5">
        <f>D451*30</f>
        <v>60</v>
      </c>
      <c r="F451" s="1" t="s">
        <v>31</v>
      </c>
    </row>
    <row r="452" spans="1:6" x14ac:dyDescent="0.25">
      <c r="A452" s="3">
        <v>12</v>
      </c>
      <c r="B452" s="67">
        <v>46032</v>
      </c>
      <c r="C452" s="24" t="s">
        <v>348</v>
      </c>
      <c r="D452" s="24">
        <v>2</v>
      </c>
      <c r="E452" s="5">
        <f>D452*70</f>
        <v>140</v>
      </c>
      <c r="F452" s="1" t="s">
        <v>31</v>
      </c>
    </row>
    <row r="453" spans="1:6" x14ac:dyDescent="0.25">
      <c r="A453" s="3">
        <v>13</v>
      </c>
      <c r="B453" s="66">
        <v>46032</v>
      </c>
      <c r="C453" s="24" t="s">
        <v>198</v>
      </c>
      <c r="D453" s="24">
        <v>7</v>
      </c>
      <c r="E453" s="5">
        <f>D453*70</f>
        <v>490</v>
      </c>
      <c r="F453" s="1" t="s">
        <v>31</v>
      </c>
    </row>
    <row r="454" spans="1:6" x14ac:dyDescent="0.25">
      <c r="A454" s="3">
        <v>14</v>
      </c>
      <c r="B454" s="66">
        <v>46032</v>
      </c>
      <c r="C454" s="24" t="s">
        <v>240</v>
      </c>
      <c r="D454" s="24">
        <v>1</v>
      </c>
      <c r="E454" s="5">
        <f>D454*120</f>
        <v>120</v>
      </c>
      <c r="F454" s="1" t="s">
        <v>31</v>
      </c>
    </row>
    <row r="455" spans="1:6" ht="15.75" thickBot="1" x14ac:dyDescent="0.3">
      <c r="A455" s="289" t="s">
        <v>41</v>
      </c>
      <c r="B455" s="290"/>
      <c r="C455" s="290"/>
      <c r="D455" s="291"/>
      <c r="E455" s="54">
        <f>SUM(E441:E454)</f>
        <v>8680</v>
      </c>
    </row>
    <row r="456" spans="1:6" ht="15.75" thickBot="1" x14ac:dyDescent="0.3">
      <c r="A456" s="292" t="s">
        <v>39</v>
      </c>
      <c r="B456" s="293"/>
      <c r="F456" s="14" t="s">
        <v>40</v>
      </c>
    </row>
    <row r="457" spans="1:6" ht="19.5" thickBot="1" x14ac:dyDescent="0.35">
      <c r="A457" s="10" t="s">
        <v>0</v>
      </c>
      <c r="B457" s="11" t="s">
        <v>3</v>
      </c>
      <c r="C457" s="11" t="s">
        <v>1</v>
      </c>
      <c r="D457" s="11" t="s">
        <v>26</v>
      </c>
      <c r="E457" s="11" t="s">
        <v>23</v>
      </c>
      <c r="F457" s="12" t="s">
        <v>27</v>
      </c>
    </row>
    <row r="458" spans="1:6" x14ac:dyDescent="0.25">
      <c r="A458" s="3">
        <v>1</v>
      </c>
      <c r="B458" s="67">
        <v>46033</v>
      </c>
      <c r="C458" s="1" t="s">
        <v>191</v>
      </c>
      <c r="D458" s="1">
        <v>2</v>
      </c>
      <c r="E458" s="5">
        <f>D458*80</f>
        <v>160</v>
      </c>
      <c r="F458" s="1" t="s">
        <v>31</v>
      </c>
    </row>
    <row r="459" spans="1:6" x14ac:dyDescent="0.25">
      <c r="A459" s="3">
        <v>2</v>
      </c>
      <c r="B459" s="67">
        <v>46033</v>
      </c>
      <c r="C459" s="1" t="s">
        <v>671</v>
      </c>
      <c r="D459" s="1">
        <v>2</v>
      </c>
      <c r="E459" s="5">
        <f>D459*500</f>
        <v>1000</v>
      </c>
      <c r="F459" s="1" t="s">
        <v>31</v>
      </c>
    </row>
    <row r="460" spans="1:6" x14ac:dyDescent="0.25">
      <c r="A460" s="3">
        <v>3</v>
      </c>
      <c r="B460" s="67">
        <v>46033</v>
      </c>
      <c r="C460" s="1" t="s">
        <v>37</v>
      </c>
      <c r="D460" s="1">
        <v>13</v>
      </c>
      <c r="E460" s="5">
        <f>D460*35</f>
        <v>455</v>
      </c>
      <c r="F460" s="1" t="s">
        <v>31</v>
      </c>
    </row>
    <row r="461" spans="1:6" x14ac:dyDescent="0.25">
      <c r="A461" s="3">
        <v>4</v>
      </c>
      <c r="B461" s="67">
        <v>46033</v>
      </c>
      <c r="C461" s="1" t="s">
        <v>197</v>
      </c>
      <c r="D461" s="1">
        <v>4</v>
      </c>
      <c r="E461" s="5">
        <f>D461*40</f>
        <v>160</v>
      </c>
      <c r="F461" s="1" t="s">
        <v>31</v>
      </c>
    </row>
    <row r="462" spans="1:6" x14ac:dyDescent="0.25">
      <c r="A462" s="3">
        <v>5</v>
      </c>
      <c r="B462" s="67">
        <v>46033</v>
      </c>
      <c r="C462" s="24" t="s">
        <v>672</v>
      </c>
      <c r="D462" s="24">
        <v>1</v>
      </c>
      <c r="E462" s="5">
        <f>D462*180</f>
        <v>180</v>
      </c>
      <c r="F462" s="1" t="s">
        <v>31</v>
      </c>
    </row>
    <row r="463" spans="1:6" x14ac:dyDescent="0.25">
      <c r="A463" s="3">
        <v>6</v>
      </c>
      <c r="B463" s="67">
        <v>46033</v>
      </c>
      <c r="C463" s="24" t="s">
        <v>102</v>
      </c>
      <c r="D463" s="24">
        <v>1</v>
      </c>
      <c r="E463" s="5">
        <f>D463*120</f>
        <v>120</v>
      </c>
      <c r="F463" s="1" t="s">
        <v>31</v>
      </c>
    </row>
    <row r="464" spans="1:6" x14ac:dyDescent="0.25">
      <c r="A464" s="29">
        <v>7</v>
      </c>
      <c r="B464" s="123">
        <v>46033</v>
      </c>
      <c r="C464" s="24" t="s">
        <v>676</v>
      </c>
      <c r="D464" s="24" t="s">
        <v>133</v>
      </c>
      <c r="E464" s="31">
        <v>1500</v>
      </c>
      <c r="F464" s="24" t="s">
        <v>31</v>
      </c>
    </row>
    <row r="465" spans="1:6" x14ac:dyDescent="0.25">
      <c r="A465" s="3">
        <v>8</v>
      </c>
      <c r="B465" s="67">
        <v>46033</v>
      </c>
      <c r="C465" s="24" t="s">
        <v>178</v>
      </c>
      <c r="D465" s="24">
        <v>0.5</v>
      </c>
      <c r="E465" s="5">
        <f>D465*400</f>
        <v>200</v>
      </c>
      <c r="F465" s="1" t="s">
        <v>31</v>
      </c>
    </row>
    <row r="466" spans="1:6" x14ac:dyDescent="0.25">
      <c r="A466" s="3">
        <v>9</v>
      </c>
      <c r="B466" s="67">
        <v>46033</v>
      </c>
      <c r="C466" s="24" t="s">
        <v>198</v>
      </c>
      <c r="D466" s="24">
        <v>2</v>
      </c>
      <c r="E466" s="5">
        <f>D466*70</f>
        <v>140</v>
      </c>
      <c r="F466" s="1" t="s">
        <v>31</v>
      </c>
    </row>
    <row r="467" spans="1:6" ht="15.75" thickBot="1" x14ac:dyDescent="0.3">
      <c r="A467" s="289" t="s">
        <v>41</v>
      </c>
      <c r="B467" s="290"/>
      <c r="C467" s="290"/>
      <c r="D467" s="291"/>
      <c r="E467" s="54">
        <f>SUM(E458:E466)</f>
        <v>3915</v>
      </c>
    </row>
    <row r="468" spans="1:6" ht="15.75" thickBot="1" x14ac:dyDescent="0.3">
      <c r="A468" s="292" t="s">
        <v>39</v>
      </c>
      <c r="B468" s="293"/>
      <c r="F468" s="14" t="s">
        <v>40</v>
      </c>
    </row>
    <row r="469" spans="1:6" ht="19.5" thickBot="1" x14ac:dyDescent="0.35">
      <c r="A469" s="10" t="s">
        <v>0</v>
      </c>
      <c r="B469" s="11" t="s">
        <v>3</v>
      </c>
      <c r="C469" s="11" t="s">
        <v>1</v>
      </c>
      <c r="D469" s="11" t="s">
        <v>26</v>
      </c>
      <c r="E469" s="11" t="s">
        <v>23</v>
      </c>
      <c r="F469" s="12" t="s">
        <v>27</v>
      </c>
    </row>
    <row r="470" spans="1:6" x14ac:dyDescent="0.25">
      <c r="A470" s="3">
        <v>1</v>
      </c>
      <c r="B470" s="67">
        <v>46034</v>
      </c>
      <c r="C470" s="1" t="s">
        <v>9</v>
      </c>
      <c r="D470" s="1">
        <v>8</v>
      </c>
      <c r="E470" s="5">
        <f>D470*35</f>
        <v>280</v>
      </c>
      <c r="F470" s="1" t="s">
        <v>31</v>
      </c>
    </row>
    <row r="471" spans="1:6" x14ac:dyDescent="0.25">
      <c r="A471" s="3">
        <v>2</v>
      </c>
      <c r="B471" s="67">
        <v>46034</v>
      </c>
      <c r="C471" s="1" t="s">
        <v>196</v>
      </c>
      <c r="D471" s="1">
        <v>6</v>
      </c>
      <c r="E471" s="5">
        <f>D471*50</f>
        <v>300</v>
      </c>
      <c r="F471" s="1" t="s">
        <v>31</v>
      </c>
    </row>
    <row r="472" spans="1:6" x14ac:dyDescent="0.25">
      <c r="A472" s="3">
        <v>3</v>
      </c>
      <c r="B472" s="67">
        <v>46034</v>
      </c>
      <c r="C472" s="1" t="s">
        <v>332</v>
      </c>
      <c r="D472" s="1">
        <v>4</v>
      </c>
      <c r="E472" s="5">
        <f>D472*50</f>
        <v>200</v>
      </c>
      <c r="F472" s="1" t="s">
        <v>31</v>
      </c>
    </row>
    <row r="473" spans="1:6" x14ac:dyDescent="0.25">
      <c r="A473" s="3">
        <v>4</v>
      </c>
      <c r="B473" s="67">
        <v>46034</v>
      </c>
      <c r="C473" s="1" t="s">
        <v>624</v>
      </c>
      <c r="D473" s="1">
        <v>2</v>
      </c>
      <c r="E473" s="5">
        <f>D473*80</f>
        <v>160</v>
      </c>
      <c r="F473" s="1" t="s">
        <v>31</v>
      </c>
    </row>
    <row r="474" spans="1:6" x14ac:dyDescent="0.25">
      <c r="A474" s="3">
        <v>5</v>
      </c>
      <c r="B474" s="67">
        <v>46034</v>
      </c>
      <c r="C474" s="1" t="s">
        <v>197</v>
      </c>
      <c r="D474" s="1">
        <v>7</v>
      </c>
      <c r="E474" s="5">
        <f>D474*40</f>
        <v>280</v>
      </c>
      <c r="F474" s="1" t="s">
        <v>31</v>
      </c>
    </row>
    <row r="475" spans="1:6" x14ac:dyDescent="0.25">
      <c r="A475" s="3">
        <v>6</v>
      </c>
      <c r="B475" s="67">
        <v>46034</v>
      </c>
      <c r="C475" s="1" t="s">
        <v>236</v>
      </c>
      <c r="D475" s="1">
        <v>6</v>
      </c>
      <c r="E475" s="5">
        <f>D475*35</f>
        <v>210</v>
      </c>
      <c r="F475" s="1" t="s">
        <v>31</v>
      </c>
    </row>
    <row r="476" spans="1:6" x14ac:dyDescent="0.25">
      <c r="A476" s="3">
        <v>7</v>
      </c>
      <c r="B476" s="67">
        <v>46034</v>
      </c>
      <c r="C476" s="1" t="s">
        <v>614</v>
      </c>
      <c r="D476" s="1">
        <v>3</v>
      </c>
      <c r="E476" s="5">
        <f>D476*220</f>
        <v>660</v>
      </c>
      <c r="F476" s="1" t="s">
        <v>31</v>
      </c>
    </row>
    <row r="477" spans="1:6" x14ac:dyDescent="0.25">
      <c r="A477" s="3">
        <v>8</v>
      </c>
      <c r="B477" s="67">
        <v>46034</v>
      </c>
      <c r="C477" s="24" t="s">
        <v>369</v>
      </c>
      <c r="D477" s="24">
        <v>3</v>
      </c>
      <c r="E477" s="5">
        <f>D477*110</f>
        <v>330</v>
      </c>
      <c r="F477" s="1" t="s">
        <v>31</v>
      </c>
    </row>
    <row r="478" spans="1:6" x14ac:dyDescent="0.25">
      <c r="A478" s="3">
        <v>9</v>
      </c>
      <c r="B478" s="67">
        <v>46034</v>
      </c>
      <c r="C478" s="24" t="s">
        <v>659</v>
      </c>
      <c r="D478" s="24">
        <v>4</v>
      </c>
      <c r="E478" s="5">
        <f>D478*70</f>
        <v>280</v>
      </c>
      <c r="F478" s="1" t="s">
        <v>31</v>
      </c>
    </row>
    <row r="479" spans="1:6" x14ac:dyDescent="0.25">
      <c r="A479" s="3">
        <v>10</v>
      </c>
      <c r="B479" s="67">
        <v>46034</v>
      </c>
      <c r="C479" s="24" t="s">
        <v>19</v>
      </c>
      <c r="D479" s="24">
        <v>24</v>
      </c>
      <c r="E479" s="5">
        <f>D479*15</f>
        <v>360</v>
      </c>
      <c r="F479" s="1" t="s">
        <v>31</v>
      </c>
    </row>
    <row r="480" spans="1:6" x14ac:dyDescent="0.25">
      <c r="A480" s="3">
        <v>11</v>
      </c>
      <c r="B480" s="67">
        <v>46034</v>
      </c>
      <c r="C480" s="24" t="s">
        <v>110</v>
      </c>
      <c r="D480" s="24">
        <v>3</v>
      </c>
      <c r="E480" s="5">
        <f>D480*120</f>
        <v>360</v>
      </c>
      <c r="F480" s="1" t="s">
        <v>31</v>
      </c>
    </row>
    <row r="481" spans="1:6" x14ac:dyDescent="0.25">
      <c r="A481" s="3">
        <v>12</v>
      </c>
      <c r="B481" s="67">
        <v>46034</v>
      </c>
      <c r="C481" s="24" t="s">
        <v>33</v>
      </c>
      <c r="D481" s="24">
        <v>2</v>
      </c>
      <c r="E481" s="5">
        <f>D481*30</f>
        <v>60</v>
      </c>
      <c r="F481" s="1" t="s">
        <v>31</v>
      </c>
    </row>
    <row r="482" spans="1:6" x14ac:dyDescent="0.25">
      <c r="A482" s="3">
        <v>13</v>
      </c>
      <c r="B482" s="67">
        <v>46034</v>
      </c>
      <c r="C482" s="24" t="s">
        <v>109</v>
      </c>
      <c r="D482" s="24">
        <v>5</v>
      </c>
      <c r="E482" s="5">
        <f>D482*170</f>
        <v>850</v>
      </c>
      <c r="F482" s="1" t="s">
        <v>31</v>
      </c>
    </row>
    <row r="483" spans="1:6" x14ac:dyDescent="0.25">
      <c r="A483" s="3">
        <v>14</v>
      </c>
      <c r="B483" s="67">
        <v>46034</v>
      </c>
      <c r="C483" s="24" t="s">
        <v>198</v>
      </c>
      <c r="D483" s="24">
        <v>9</v>
      </c>
      <c r="E483" s="5">
        <f>D483*70</f>
        <v>630</v>
      </c>
      <c r="F483" s="1" t="s">
        <v>31</v>
      </c>
    </row>
    <row r="484" spans="1:6" x14ac:dyDescent="0.25">
      <c r="A484" s="3">
        <v>15</v>
      </c>
      <c r="B484" s="66">
        <v>46034</v>
      </c>
      <c r="C484" s="24" t="s">
        <v>102</v>
      </c>
      <c r="D484" s="24">
        <v>3</v>
      </c>
      <c r="E484" s="5">
        <f>D484*120</f>
        <v>360</v>
      </c>
      <c r="F484" s="1" t="s">
        <v>31</v>
      </c>
    </row>
    <row r="485" spans="1:6" x14ac:dyDescent="0.25">
      <c r="A485" s="3">
        <v>16</v>
      </c>
      <c r="B485" s="66">
        <v>46034</v>
      </c>
      <c r="C485" s="24" t="s">
        <v>90</v>
      </c>
      <c r="D485" s="24">
        <v>0.5</v>
      </c>
      <c r="E485" s="5">
        <f>D485*400</f>
        <v>200</v>
      </c>
      <c r="F485" s="1" t="s">
        <v>31</v>
      </c>
    </row>
    <row r="486" spans="1:6" ht="15.75" thickBot="1" x14ac:dyDescent="0.3">
      <c r="A486" s="289" t="s">
        <v>41</v>
      </c>
      <c r="B486" s="290"/>
      <c r="C486" s="290"/>
      <c r="D486" s="291"/>
      <c r="E486" s="54">
        <f>SUM(E470:E485)</f>
        <v>5520</v>
      </c>
    </row>
    <row r="487" spans="1:6" ht="15.75" thickBot="1" x14ac:dyDescent="0.3">
      <c r="A487" s="292" t="s">
        <v>39</v>
      </c>
      <c r="B487" s="293"/>
      <c r="F487" s="14" t="s">
        <v>40</v>
      </c>
    </row>
    <row r="488" spans="1:6" ht="18.75" x14ac:dyDescent="0.3">
      <c r="A488" s="26" t="s">
        <v>0</v>
      </c>
      <c r="B488" s="27" t="s">
        <v>3</v>
      </c>
      <c r="C488" s="27" t="s">
        <v>1</v>
      </c>
      <c r="D488" s="27" t="s">
        <v>26</v>
      </c>
      <c r="E488" s="27" t="s">
        <v>23</v>
      </c>
      <c r="F488" s="28" t="s">
        <v>27</v>
      </c>
    </row>
    <row r="489" spans="1:6" x14ac:dyDescent="0.25">
      <c r="A489" s="1">
        <v>1</v>
      </c>
      <c r="B489" s="66">
        <v>46035</v>
      </c>
      <c r="C489" s="1" t="s">
        <v>9</v>
      </c>
      <c r="D489" s="1">
        <v>8</v>
      </c>
      <c r="E489" s="5">
        <f>D489*35</f>
        <v>280</v>
      </c>
      <c r="F489" s="1" t="s">
        <v>31</v>
      </c>
    </row>
    <row r="490" spans="1:6" x14ac:dyDescent="0.25">
      <c r="A490" s="1">
        <v>2</v>
      </c>
      <c r="B490" s="66">
        <v>46035</v>
      </c>
      <c r="C490" s="1" t="s">
        <v>196</v>
      </c>
      <c r="D490" s="1">
        <v>5</v>
      </c>
      <c r="E490" s="5">
        <f>D490*50</f>
        <v>250</v>
      </c>
      <c r="F490" s="1" t="s">
        <v>31</v>
      </c>
    </row>
    <row r="491" spans="1:6" x14ac:dyDescent="0.25">
      <c r="A491" s="1">
        <v>3</v>
      </c>
      <c r="B491" s="66">
        <v>46035</v>
      </c>
      <c r="C491" s="1" t="s">
        <v>332</v>
      </c>
      <c r="D491" s="1">
        <v>4</v>
      </c>
      <c r="E491" s="5">
        <f>D491*50</f>
        <v>200</v>
      </c>
      <c r="F491" s="1" t="s">
        <v>31</v>
      </c>
    </row>
    <row r="492" spans="1:6" x14ac:dyDescent="0.25">
      <c r="A492" s="1">
        <v>4</v>
      </c>
      <c r="B492" s="66">
        <v>46035</v>
      </c>
      <c r="C492" s="1" t="s">
        <v>197</v>
      </c>
      <c r="D492" s="1">
        <v>13</v>
      </c>
      <c r="E492" s="5">
        <f>D492*40</f>
        <v>520</v>
      </c>
      <c r="F492" s="1" t="s">
        <v>31</v>
      </c>
    </row>
    <row r="493" spans="1:6" x14ac:dyDescent="0.25">
      <c r="A493" s="1">
        <v>5</v>
      </c>
      <c r="B493" s="66">
        <v>46035</v>
      </c>
      <c r="C493" s="1" t="s">
        <v>723</v>
      </c>
      <c r="D493" s="1">
        <v>5</v>
      </c>
      <c r="E493" s="5">
        <f>D493*35</f>
        <v>175</v>
      </c>
      <c r="F493" s="1" t="s">
        <v>31</v>
      </c>
    </row>
    <row r="494" spans="1:6" x14ac:dyDescent="0.25">
      <c r="A494" s="1">
        <v>6</v>
      </c>
      <c r="B494" s="66">
        <v>46035</v>
      </c>
      <c r="C494" s="1" t="s">
        <v>720</v>
      </c>
      <c r="D494" s="1">
        <v>9</v>
      </c>
      <c r="E494" s="5">
        <f>D494*250</f>
        <v>2250</v>
      </c>
      <c r="F494" s="1" t="s">
        <v>31</v>
      </c>
    </row>
    <row r="495" spans="1:6" x14ac:dyDescent="0.25">
      <c r="A495" s="1">
        <v>7</v>
      </c>
      <c r="B495" s="66">
        <v>46035</v>
      </c>
      <c r="C495" s="24" t="s">
        <v>511</v>
      </c>
      <c r="D495" s="24">
        <v>1</v>
      </c>
      <c r="E495" s="5">
        <f>D495*500</f>
        <v>500</v>
      </c>
      <c r="F495" s="1" t="s">
        <v>31</v>
      </c>
    </row>
    <row r="496" spans="1:6" x14ac:dyDescent="0.25">
      <c r="A496" s="1">
        <v>8</v>
      </c>
      <c r="B496" s="66">
        <v>46035</v>
      </c>
      <c r="C496" s="24" t="s">
        <v>659</v>
      </c>
      <c r="D496" s="24">
        <v>8</v>
      </c>
      <c r="E496" s="5">
        <f>D496*70</f>
        <v>560</v>
      </c>
      <c r="F496" s="1" t="s">
        <v>31</v>
      </c>
    </row>
    <row r="497" spans="1:6" x14ac:dyDescent="0.25">
      <c r="A497" s="1">
        <v>9</v>
      </c>
      <c r="B497" s="66">
        <v>46035</v>
      </c>
      <c r="C497" s="24" t="s">
        <v>19</v>
      </c>
      <c r="D497" s="24">
        <v>12</v>
      </c>
      <c r="E497" s="5">
        <f>D497*15</f>
        <v>180</v>
      </c>
      <c r="F497" s="1" t="s">
        <v>31</v>
      </c>
    </row>
    <row r="498" spans="1:6" x14ac:dyDescent="0.25">
      <c r="A498" s="1">
        <v>10</v>
      </c>
      <c r="B498" s="66">
        <v>46035</v>
      </c>
      <c r="C498" s="24" t="s">
        <v>33</v>
      </c>
      <c r="D498" s="24">
        <v>2</v>
      </c>
      <c r="E498" s="5">
        <f>D498*30</f>
        <v>60</v>
      </c>
      <c r="F498" s="1" t="s">
        <v>31</v>
      </c>
    </row>
    <row r="499" spans="1:6" x14ac:dyDescent="0.25">
      <c r="A499" s="1">
        <v>11</v>
      </c>
      <c r="B499" s="66">
        <v>46035</v>
      </c>
      <c r="C499" s="24" t="s">
        <v>291</v>
      </c>
      <c r="D499" s="24">
        <v>2</v>
      </c>
      <c r="E499" s="5">
        <f>D499*180</f>
        <v>360</v>
      </c>
      <c r="F499" s="1" t="s">
        <v>31</v>
      </c>
    </row>
    <row r="500" spans="1:6" x14ac:dyDescent="0.25">
      <c r="A500" s="1">
        <v>12</v>
      </c>
      <c r="B500" s="66">
        <v>46035</v>
      </c>
      <c r="C500" s="24" t="s">
        <v>198</v>
      </c>
      <c r="D500" s="24">
        <v>11</v>
      </c>
      <c r="E500" s="5">
        <f>D500*70</f>
        <v>770</v>
      </c>
      <c r="F500" s="1" t="s">
        <v>31</v>
      </c>
    </row>
    <row r="501" spans="1:6" x14ac:dyDescent="0.25">
      <c r="A501" s="1">
        <v>13</v>
      </c>
      <c r="B501" s="66">
        <v>46035</v>
      </c>
      <c r="C501" s="24" t="s">
        <v>178</v>
      </c>
      <c r="D501" s="24">
        <v>1</v>
      </c>
      <c r="E501" s="5">
        <f>D501*400</f>
        <v>400</v>
      </c>
      <c r="F501" s="1" t="s">
        <v>31</v>
      </c>
    </row>
    <row r="502" spans="1:6" x14ac:dyDescent="0.25">
      <c r="A502" s="1">
        <v>14</v>
      </c>
      <c r="B502" s="66">
        <v>46035</v>
      </c>
      <c r="C502" s="24" t="s">
        <v>721</v>
      </c>
      <c r="D502" s="24">
        <v>1</v>
      </c>
      <c r="E502" s="5">
        <v>200</v>
      </c>
      <c r="F502" s="1" t="s">
        <v>31</v>
      </c>
    </row>
    <row r="503" spans="1:6" x14ac:dyDescent="0.25">
      <c r="A503" s="1">
        <v>15</v>
      </c>
      <c r="B503" s="66">
        <v>46035</v>
      </c>
      <c r="C503" s="24" t="s">
        <v>722</v>
      </c>
      <c r="D503" s="24"/>
      <c r="E503" s="5">
        <v>500</v>
      </c>
      <c r="F503" s="1" t="s">
        <v>31</v>
      </c>
    </row>
    <row r="504" spans="1:6" ht="15.75" thickBot="1" x14ac:dyDescent="0.3">
      <c r="A504" s="289" t="s">
        <v>41</v>
      </c>
      <c r="B504" s="290"/>
      <c r="C504" s="290"/>
      <c r="D504" s="291"/>
      <c r="E504" s="54">
        <f>SUM(E489:E503)</f>
        <v>7205</v>
      </c>
    </row>
    <row r="505" spans="1:6" ht="15.75" thickBot="1" x14ac:dyDescent="0.3">
      <c r="A505" s="292" t="s">
        <v>39</v>
      </c>
      <c r="B505" s="293"/>
      <c r="F505" s="14" t="s">
        <v>40</v>
      </c>
    </row>
    <row r="506" spans="1:6" ht="18.75" x14ac:dyDescent="0.3">
      <c r="A506" s="26" t="s">
        <v>0</v>
      </c>
      <c r="B506" s="27" t="s">
        <v>3</v>
      </c>
      <c r="C506" s="27" t="s">
        <v>1</v>
      </c>
      <c r="D506" s="27" t="s">
        <v>26</v>
      </c>
      <c r="E506" s="27" t="s">
        <v>23</v>
      </c>
      <c r="F506" s="28" t="s">
        <v>27</v>
      </c>
    </row>
    <row r="507" spans="1:6" x14ac:dyDescent="0.25">
      <c r="A507" s="1">
        <v>1</v>
      </c>
      <c r="B507" s="66">
        <v>46036</v>
      </c>
      <c r="C507" s="1" t="s">
        <v>9</v>
      </c>
      <c r="D507" s="1">
        <v>7</v>
      </c>
      <c r="E507" s="5">
        <f>D507*35</f>
        <v>245</v>
      </c>
      <c r="F507" s="1" t="s">
        <v>31</v>
      </c>
    </row>
    <row r="508" spans="1:6" x14ac:dyDescent="0.25">
      <c r="A508" s="1">
        <v>2</v>
      </c>
      <c r="B508" s="66">
        <v>46036</v>
      </c>
      <c r="C508" s="1" t="s">
        <v>196</v>
      </c>
      <c r="D508" s="1">
        <v>5</v>
      </c>
      <c r="E508" s="5">
        <f>D508*50</f>
        <v>250</v>
      </c>
      <c r="F508" s="1" t="s">
        <v>31</v>
      </c>
    </row>
    <row r="509" spans="1:6" x14ac:dyDescent="0.25">
      <c r="A509" s="1">
        <v>3</v>
      </c>
      <c r="B509" s="66">
        <v>46036</v>
      </c>
      <c r="C509" s="1" t="s">
        <v>197</v>
      </c>
      <c r="D509" s="1">
        <v>2</v>
      </c>
      <c r="E509" s="5">
        <f>D509*50</f>
        <v>100</v>
      </c>
      <c r="F509" s="1" t="s">
        <v>31</v>
      </c>
    </row>
    <row r="510" spans="1:6" x14ac:dyDescent="0.25">
      <c r="A510" s="1">
        <v>4</v>
      </c>
      <c r="B510" s="66">
        <v>46036</v>
      </c>
      <c r="C510" s="1" t="s">
        <v>197</v>
      </c>
      <c r="D510" s="1">
        <v>6</v>
      </c>
      <c r="E510" s="5">
        <f>D510*40</f>
        <v>240</v>
      </c>
      <c r="F510" s="1" t="s">
        <v>31</v>
      </c>
    </row>
    <row r="511" spans="1:6" x14ac:dyDescent="0.25">
      <c r="A511" s="1">
        <v>5</v>
      </c>
      <c r="B511" s="66">
        <v>46036</v>
      </c>
      <c r="C511" s="1" t="s">
        <v>740</v>
      </c>
      <c r="D511" s="1">
        <v>3</v>
      </c>
      <c r="E511" s="5">
        <f>D511*320</f>
        <v>960</v>
      </c>
      <c r="F511" s="1" t="s">
        <v>31</v>
      </c>
    </row>
    <row r="512" spans="1:6" x14ac:dyDescent="0.25">
      <c r="A512" s="1">
        <v>6</v>
      </c>
      <c r="B512" s="66">
        <v>46036</v>
      </c>
      <c r="C512" s="24" t="s">
        <v>19</v>
      </c>
      <c r="D512" s="24">
        <v>34</v>
      </c>
      <c r="E512" s="5">
        <f>D512*15</f>
        <v>510</v>
      </c>
      <c r="F512" s="1" t="s">
        <v>31</v>
      </c>
    </row>
    <row r="513" spans="1:6" x14ac:dyDescent="0.25">
      <c r="A513" s="1">
        <v>7</v>
      </c>
      <c r="B513" s="66">
        <v>46036</v>
      </c>
      <c r="C513" s="24" t="s">
        <v>33</v>
      </c>
      <c r="D513" s="24">
        <v>2</v>
      </c>
      <c r="E513" s="5">
        <f>D513*30</f>
        <v>60</v>
      </c>
      <c r="F513" s="1" t="s">
        <v>31</v>
      </c>
    </row>
    <row r="514" spans="1:6" x14ac:dyDescent="0.25">
      <c r="A514" s="1">
        <v>8</v>
      </c>
      <c r="B514" s="66">
        <v>46036</v>
      </c>
      <c r="C514" s="24" t="s">
        <v>463</v>
      </c>
      <c r="D514" s="24">
        <v>4</v>
      </c>
      <c r="E514" s="5">
        <f>D514*180</f>
        <v>720</v>
      </c>
      <c r="F514" s="1" t="s">
        <v>31</v>
      </c>
    </row>
    <row r="515" spans="1:6" x14ac:dyDescent="0.25">
      <c r="A515" s="1">
        <v>9</v>
      </c>
      <c r="B515" s="66">
        <v>46036</v>
      </c>
      <c r="C515" s="24" t="s">
        <v>414</v>
      </c>
      <c r="D515" s="24">
        <v>1</v>
      </c>
      <c r="E515" s="5">
        <f>D515*80</f>
        <v>80</v>
      </c>
      <c r="F515" s="1" t="s">
        <v>31</v>
      </c>
    </row>
    <row r="516" spans="1:6" x14ac:dyDescent="0.25">
      <c r="A516" s="1">
        <v>10</v>
      </c>
      <c r="B516" s="66">
        <v>46036</v>
      </c>
      <c r="C516" s="24" t="s">
        <v>291</v>
      </c>
      <c r="D516" s="24">
        <v>3</v>
      </c>
      <c r="E516" s="5">
        <f>D516*180</f>
        <v>540</v>
      </c>
      <c r="F516" s="1" t="s">
        <v>31</v>
      </c>
    </row>
    <row r="517" spans="1:6" x14ac:dyDescent="0.25">
      <c r="A517" s="1">
        <v>11</v>
      </c>
      <c r="B517" s="66">
        <v>46036</v>
      </c>
      <c r="C517" s="24" t="s">
        <v>198</v>
      </c>
      <c r="D517" s="24">
        <v>10</v>
      </c>
      <c r="E517" s="5">
        <f>D517*70</f>
        <v>700</v>
      </c>
      <c r="F517" s="1" t="s">
        <v>31</v>
      </c>
    </row>
    <row r="518" spans="1:6" x14ac:dyDescent="0.25">
      <c r="A518" s="1">
        <v>12</v>
      </c>
      <c r="B518" s="66">
        <v>46036</v>
      </c>
      <c r="C518" s="24" t="s">
        <v>624</v>
      </c>
      <c r="D518" s="24">
        <v>2</v>
      </c>
      <c r="E518" s="5">
        <f>D518*80</f>
        <v>160</v>
      </c>
      <c r="F518" s="1" t="s">
        <v>31</v>
      </c>
    </row>
    <row r="519" spans="1:6" x14ac:dyDescent="0.25">
      <c r="A519" s="1">
        <v>13</v>
      </c>
      <c r="B519" s="66">
        <v>46036</v>
      </c>
      <c r="C519" s="24" t="s">
        <v>743</v>
      </c>
      <c r="D519" s="24">
        <v>4</v>
      </c>
      <c r="E519" s="5">
        <f>D519*120</f>
        <v>480</v>
      </c>
      <c r="F519" s="1" t="s">
        <v>31</v>
      </c>
    </row>
    <row r="520" spans="1:6" x14ac:dyDescent="0.25">
      <c r="A520" s="1">
        <v>14</v>
      </c>
      <c r="B520" s="66">
        <v>46036</v>
      </c>
      <c r="C520" s="24" t="s">
        <v>741</v>
      </c>
      <c r="D520" s="24">
        <v>0.5</v>
      </c>
      <c r="E520" s="5">
        <f>D520*200</f>
        <v>100</v>
      </c>
      <c r="F520" s="1" t="s">
        <v>31</v>
      </c>
    </row>
    <row r="521" spans="1:6" x14ac:dyDescent="0.25">
      <c r="A521" s="1">
        <v>15</v>
      </c>
      <c r="B521" s="66">
        <v>46036</v>
      </c>
      <c r="C521" s="24" t="s">
        <v>722</v>
      </c>
      <c r="D521" s="24">
        <v>1</v>
      </c>
      <c r="E521" s="5">
        <f>D521*100</f>
        <v>100</v>
      </c>
      <c r="F521" s="1" t="s">
        <v>31</v>
      </c>
    </row>
    <row r="522" spans="1:6" x14ac:dyDescent="0.25">
      <c r="A522" s="1">
        <v>16</v>
      </c>
      <c r="B522" s="66">
        <v>46036</v>
      </c>
      <c r="C522" s="24" t="s">
        <v>176</v>
      </c>
      <c r="D522" s="24">
        <v>2</v>
      </c>
      <c r="E522" s="5">
        <f>D522*100</f>
        <v>200</v>
      </c>
      <c r="F522" s="1" t="s">
        <v>31</v>
      </c>
    </row>
    <row r="523" spans="1:6" x14ac:dyDescent="0.25">
      <c r="A523" s="1">
        <v>17</v>
      </c>
      <c r="B523" s="66">
        <v>46036</v>
      </c>
      <c r="C523" s="24" t="s">
        <v>742</v>
      </c>
      <c r="D523" s="24">
        <v>2</v>
      </c>
      <c r="E523" s="5">
        <f>D523*50</f>
        <v>100</v>
      </c>
      <c r="F523" s="1" t="s">
        <v>31</v>
      </c>
    </row>
    <row r="524" spans="1:6" x14ac:dyDescent="0.25">
      <c r="A524" s="1">
        <v>18</v>
      </c>
      <c r="B524" s="66">
        <v>46036</v>
      </c>
      <c r="C524" s="24" t="s">
        <v>50</v>
      </c>
      <c r="D524" s="24">
        <v>4</v>
      </c>
      <c r="E524" s="5">
        <f>D524*70</f>
        <v>280</v>
      </c>
      <c r="F524" s="1" t="s">
        <v>31</v>
      </c>
    </row>
    <row r="525" spans="1:6" x14ac:dyDescent="0.25">
      <c r="A525" s="1">
        <v>19</v>
      </c>
      <c r="B525" s="66">
        <v>46036</v>
      </c>
      <c r="C525" s="24" t="s">
        <v>753</v>
      </c>
      <c r="D525" s="24">
        <v>3</v>
      </c>
      <c r="E525" s="5">
        <f>D525*90</f>
        <v>270</v>
      </c>
      <c r="F525" s="1" t="s">
        <v>31</v>
      </c>
    </row>
    <row r="526" spans="1:6" ht="15.75" thickBot="1" x14ac:dyDescent="0.3">
      <c r="A526" s="294" t="s">
        <v>41</v>
      </c>
      <c r="B526" s="294"/>
      <c r="C526" s="294"/>
      <c r="D526" s="294"/>
      <c r="E526" s="5">
        <f>SUM(E507:E525)</f>
        <v>6095</v>
      </c>
      <c r="F526" s="1"/>
    </row>
    <row r="527" spans="1:6" ht="15.75" thickBot="1" x14ac:dyDescent="0.3">
      <c r="A527" s="292" t="s">
        <v>39</v>
      </c>
      <c r="B527" s="293"/>
      <c r="F527" s="14" t="s">
        <v>40</v>
      </c>
    </row>
    <row r="528" spans="1:6" ht="18.75" x14ac:dyDescent="0.3">
      <c r="A528" s="26" t="s">
        <v>0</v>
      </c>
      <c r="B528" s="27" t="s">
        <v>3</v>
      </c>
      <c r="C528" s="27" t="s">
        <v>1</v>
      </c>
      <c r="D528" s="27" t="s">
        <v>26</v>
      </c>
      <c r="E528" s="27" t="s">
        <v>23</v>
      </c>
      <c r="F528" s="28" t="s">
        <v>27</v>
      </c>
    </row>
    <row r="529" spans="1:6" x14ac:dyDescent="0.25">
      <c r="A529" s="1">
        <v>1</v>
      </c>
      <c r="B529" s="66">
        <v>46037</v>
      </c>
      <c r="C529" s="1" t="s">
        <v>9</v>
      </c>
      <c r="D529" s="1">
        <v>8</v>
      </c>
      <c r="E529" s="5">
        <f>D529*35</f>
        <v>280</v>
      </c>
      <c r="F529" s="1" t="s">
        <v>31</v>
      </c>
    </row>
    <row r="530" spans="1:6" x14ac:dyDescent="0.25">
      <c r="A530" s="1">
        <v>2</v>
      </c>
      <c r="B530" s="66">
        <v>46037</v>
      </c>
      <c r="C530" s="1" t="s">
        <v>196</v>
      </c>
      <c r="D530" s="1">
        <v>6</v>
      </c>
      <c r="E530" s="5">
        <f>D530*50</f>
        <v>300</v>
      </c>
      <c r="F530" s="1" t="s">
        <v>31</v>
      </c>
    </row>
    <row r="531" spans="1:6" x14ac:dyDescent="0.25">
      <c r="A531" s="1">
        <v>3</v>
      </c>
      <c r="B531" s="66">
        <v>46037</v>
      </c>
      <c r="C531" s="1" t="s">
        <v>332</v>
      </c>
      <c r="D531" s="1">
        <v>4</v>
      </c>
      <c r="E531" s="5">
        <f>D531*50</f>
        <v>200</v>
      </c>
      <c r="F531" s="1" t="s">
        <v>31</v>
      </c>
    </row>
    <row r="532" spans="1:6" x14ac:dyDescent="0.25">
      <c r="A532" s="1">
        <v>4</v>
      </c>
      <c r="B532" s="66">
        <v>46037</v>
      </c>
      <c r="C532" s="1" t="s">
        <v>197</v>
      </c>
      <c r="D532" s="1">
        <v>4</v>
      </c>
      <c r="E532" s="5">
        <f>D532*40</f>
        <v>160</v>
      </c>
      <c r="F532" s="1" t="s">
        <v>31</v>
      </c>
    </row>
    <row r="533" spans="1:6" x14ac:dyDescent="0.25">
      <c r="A533" s="1">
        <v>5</v>
      </c>
      <c r="B533" s="66">
        <v>46037</v>
      </c>
      <c r="C533" s="1" t="s">
        <v>759</v>
      </c>
      <c r="D533" s="1">
        <v>8</v>
      </c>
      <c r="E533" s="5">
        <f>D533*320</f>
        <v>2560</v>
      </c>
      <c r="F533" s="1" t="s">
        <v>31</v>
      </c>
    </row>
    <row r="534" spans="1:6" x14ac:dyDescent="0.25">
      <c r="A534" s="1">
        <v>6</v>
      </c>
      <c r="B534" s="66">
        <v>46037</v>
      </c>
      <c r="C534" s="24" t="s">
        <v>19</v>
      </c>
      <c r="D534" s="24">
        <f>15+25+15</f>
        <v>55</v>
      </c>
      <c r="E534" s="5">
        <f>D534*15</f>
        <v>825</v>
      </c>
      <c r="F534" s="1" t="s">
        <v>31</v>
      </c>
    </row>
    <row r="535" spans="1:6" x14ac:dyDescent="0.25">
      <c r="A535" s="1">
        <v>7</v>
      </c>
      <c r="B535" s="66">
        <v>46037</v>
      </c>
      <c r="C535" s="24" t="s">
        <v>33</v>
      </c>
      <c r="D535" s="24">
        <v>7</v>
      </c>
      <c r="E535" s="5">
        <f>D535*30</f>
        <v>210</v>
      </c>
      <c r="F535" s="1" t="s">
        <v>31</v>
      </c>
    </row>
    <row r="536" spans="1:6" x14ac:dyDescent="0.25">
      <c r="A536" s="1">
        <v>8</v>
      </c>
      <c r="B536" s="66">
        <v>46037</v>
      </c>
      <c r="C536" s="24" t="s">
        <v>463</v>
      </c>
      <c r="D536" s="24">
        <v>13</v>
      </c>
      <c r="E536" s="5">
        <f>D536*180</f>
        <v>2340</v>
      </c>
      <c r="F536" s="1" t="s">
        <v>31</v>
      </c>
    </row>
    <row r="537" spans="1:6" x14ac:dyDescent="0.25">
      <c r="A537" s="1">
        <v>9</v>
      </c>
      <c r="B537" s="66">
        <v>46037</v>
      </c>
      <c r="C537" s="24" t="s">
        <v>758</v>
      </c>
      <c r="D537" s="24">
        <v>5</v>
      </c>
      <c r="E537" s="5">
        <f>D537*80</f>
        <v>400</v>
      </c>
      <c r="F537" s="1" t="s">
        <v>31</v>
      </c>
    </row>
    <row r="538" spans="1:6" x14ac:dyDescent="0.25">
      <c r="A538" s="1">
        <v>10</v>
      </c>
      <c r="B538" s="66">
        <v>46037</v>
      </c>
      <c r="C538" s="24" t="s">
        <v>178</v>
      </c>
      <c r="D538" s="24">
        <v>1</v>
      </c>
      <c r="E538" s="5">
        <f>D538*400</f>
        <v>400</v>
      </c>
      <c r="F538" s="1" t="s">
        <v>31</v>
      </c>
    </row>
    <row r="539" spans="1:6" x14ac:dyDescent="0.25">
      <c r="A539" s="1">
        <v>11</v>
      </c>
      <c r="B539" s="66">
        <v>46037</v>
      </c>
      <c r="C539" s="24" t="s">
        <v>198</v>
      </c>
      <c r="D539" s="24">
        <v>8</v>
      </c>
      <c r="E539" s="5">
        <f>D539*70</f>
        <v>560</v>
      </c>
      <c r="F539" s="1" t="s">
        <v>31</v>
      </c>
    </row>
    <row r="540" spans="1:6" x14ac:dyDescent="0.25">
      <c r="A540" s="1">
        <v>12</v>
      </c>
      <c r="B540" s="66">
        <v>46037</v>
      </c>
      <c r="C540" s="24" t="s">
        <v>761</v>
      </c>
      <c r="D540" s="59">
        <v>0.5</v>
      </c>
      <c r="E540" s="5">
        <f>D540*220</f>
        <v>110</v>
      </c>
      <c r="F540" s="1" t="s">
        <v>31</v>
      </c>
    </row>
    <row r="541" spans="1:6" x14ac:dyDescent="0.25">
      <c r="A541" s="1">
        <v>13</v>
      </c>
      <c r="B541" s="66">
        <v>46037</v>
      </c>
      <c r="C541" s="24" t="s">
        <v>743</v>
      </c>
      <c r="D541" s="24">
        <v>7</v>
      </c>
      <c r="E541" s="5">
        <f>D541*120</f>
        <v>840</v>
      </c>
      <c r="F541" s="1" t="s">
        <v>31</v>
      </c>
    </row>
    <row r="542" spans="1:6" x14ac:dyDescent="0.25">
      <c r="A542" s="1">
        <v>14</v>
      </c>
      <c r="B542" s="66">
        <v>46037</v>
      </c>
      <c r="C542" s="24" t="s">
        <v>102</v>
      </c>
      <c r="D542" s="24">
        <v>5</v>
      </c>
      <c r="E542" s="5">
        <f>D542*120</f>
        <v>600</v>
      </c>
      <c r="F542" s="1" t="s">
        <v>31</v>
      </c>
    </row>
    <row r="543" spans="1:6" x14ac:dyDescent="0.25">
      <c r="A543" s="1">
        <v>15</v>
      </c>
      <c r="B543" s="66">
        <v>46037</v>
      </c>
      <c r="C543" s="24" t="s">
        <v>194</v>
      </c>
      <c r="D543" s="24">
        <v>1</v>
      </c>
      <c r="E543" s="5">
        <v>600</v>
      </c>
      <c r="F543" s="1" t="s">
        <v>31</v>
      </c>
    </row>
    <row r="544" spans="1:6" x14ac:dyDescent="0.25">
      <c r="A544" s="1">
        <v>16</v>
      </c>
      <c r="B544" s="66">
        <v>46037</v>
      </c>
      <c r="C544" s="24" t="s">
        <v>722</v>
      </c>
      <c r="D544" s="24">
        <v>6</v>
      </c>
      <c r="E544" s="5">
        <f>D544*100</f>
        <v>600</v>
      </c>
      <c r="F544" s="1" t="s">
        <v>31</v>
      </c>
    </row>
    <row r="545" spans="1:6" x14ac:dyDescent="0.25">
      <c r="A545" s="1">
        <v>17</v>
      </c>
      <c r="B545" s="66">
        <v>46037</v>
      </c>
      <c r="C545" s="24" t="s">
        <v>176</v>
      </c>
      <c r="D545" s="24">
        <v>1</v>
      </c>
      <c r="E545" s="5">
        <f>D545*100</f>
        <v>100</v>
      </c>
      <c r="F545" s="1" t="s">
        <v>31</v>
      </c>
    </row>
    <row r="546" spans="1:6" x14ac:dyDescent="0.25">
      <c r="A546" s="1">
        <v>18</v>
      </c>
      <c r="B546" s="66">
        <v>46037</v>
      </c>
      <c r="C546" s="24" t="s">
        <v>742</v>
      </c>
      <c r="D546" s="24">
        <v>1</v>
      </c>
      <c r="E546" s="5">
        <v>250</v>
      </c>
      <c r="F546" s="1" t="s">
        <v>31</v>
      </c>
    </row>
    <row r="547" spans="1:6" x14ac:dyDescent="0.25">
      <c r="A547" s="1">
        <v>19</v>
      </c>
      <c r="B547" s="66">
        <v>46037</v>
      </c>
      <c r="C547" s="24" t="s">
        <v>760</v>
      </c>
      <c r="D547" s="24">
        <v>2</v>
      </c>
      <c r="E547" s="5">
        <f>D547*180</f>
        <v>360</v>
      </c>
      <c r="F547" s="1" t="s">
        <v>31</v>
      </c>
    </row>
    <row r="548" spans="1:6" x14ac:dyDescent="0.25">
      <c r="A548" s="1">
        <v>20</v>
      </c>
      <c r="B548" s="66">
        <v>46037</v>
      </c>
      <c r="C548" s="24" t="s">
        <v>50</v>
      </c>
      <c r="D548" s="24">
        <v>13</v>
      </c>
      <c r="E548" s="5">
        <f>D548*70</f>
        <v>910</v>
      </c>
      <c r="F548" s="1" t="s">
        <v>31</v>
      </c>
    </row>
    <row r="549" spans="1:6" x14ac:dyDescent="0.25">
      <c r="A549" s="1">
        <v>21</v>
      </c>
      <c r="B549" s="66">
        <v>46037</v>
      </c>
      <c r="C549" s="24" t="s">
        <v>511</v>
      </c>
      <c r="D549" s="24">
        <v>1</v>
      </c>
      <c r="E549" s="5">
        <f>D549*500</f>
        <v>500</v>
      </c>
      <c r="F549" s="1" t="s">
        <v>31</v>
      </c>
    </row>
    <row r="550" spans="1:6" x14ac:dyDescent="0.25">
      <c r="A550" s="1">
        <v>22</v>
      </c>
      <c r="B550" s="66">
        <v>46037</v>
      </c>
      <c r="C550" s="24" t="s">
        <v>753</v>
      </c>
      <c r="D550" s="24">
        <v>2</v>
      </c>
      <c r="E550" s="5">
        <f>D550*120</f>
        <v>240</v>
      </c>
      <c r="F550" s="1" t="s">
        <v>31</v>
      </c>
    </row>
    <row r="551" spans="1:6" ht="15.75" thickBot="1" x14ac:dyDescent="0.3">
      <c r="A551" s="294" t="s">
        <v>41</v>
      </c>
      <c r="B551" s="294"/>
      <c r="C551" s="294"/>
      <c r="D551" s="294"/>
      <c r="E551" s="5">
        <f>SUM(E529:E550)</f>
        <v>13345</v>
      </c>
      <c r="F551" s="1"/>
    </row>
    <row r="552" spans="1:6" ht="15.75" thickBot="1" x14ac:dyDescent="0.3">
      <c r="A552" s="292" t="s">
        <v>39</v>
      </c>
      <c r="B552" s="293"/>
      <c r="F552" s="14" t="s">
        <v>40</v>
      </c>
    </row>
    <row r="553" spans="1:6" ht="18.75" x14ac:dyDescent="0.3">
      <c r="A553" s="26" t="s">
        <v>0</v>
      </c>
      <c r="B553" s="27" t="s">
        <v>3</v>
      </c>
      <c r="C553" s="27" t="s">
        <v>1</v>
      </c>
      <c r="D553" s="27" t="s">
        <v>26</v>
      </c>
      <c r="E553" s="27" t="s">
        <v>23</v>
      </c>
      <c r="F553" s="28" t="s">
        <v>27</v>
      </c>
    </row>
    <row r="554" spans="1:6" x14ac:dyDescent="0.25">
      <c r="A554" s="1">
        <v>1</v>
      </c>
      <c r="B554" s="66">
        <v>46038</v>
      </c>
      <c r="C554" s="1" t="s">
        <v>9</v>
      </c>
      <c r="D554" s="1">
        <v>8</v>
      </c>
      <c r="E554" s="5">
        <f>D554*35</f>
        <v>280</v>
      </c>
      <c r="F554" s="1" t="s">
        <v>31</v>
      </c>
    </row>
    <row r="555" spans="1:6" x14ac:dyDescent="0.25">
      <c r="A555" s="1">
        <v>2</v>
      </c>
      <c r="B555" s="66">
        <v>46038</v>
      </c>
      <c r="C555" s="1" t="s">
        <v>222</v>
      </c>
      <c r="D555" s="1">
        <v>12</v>
      </c>
      <c r="E555" s="5">
        <f>D555*50</f>
        <v>600</v>
      </c>
      <c r="F555" s="1" t="s">
        <v>31</v>
      </c>
    </row>
    <row r="556" spans="1:6" x14ac:dyDescent="0.25">
      <c r="A556" s="1">
        <v>3</v>
      </c>
      <c r="B556" s="66">
        <v>46038</v>
      </c>
      <c r="C556" s="1" t="s">
        <v>197</v>
      </c>
      <c r="D556" s="1">
        <v>7</v>
      </c>
      <c r="E556" s="5">
        <f>D556*40</f>
        <v>280</v>
      </c>
      <c r="F556" s="1" t="s">
        <v>31</v>
      </c>
    </row>
    <row r="557" spans="1:6" x14ac:dyDescent="0.25">
      <c r="A557" s="1">
        <v>4</v>
      </c>
      <c r="B557" s="66">
        <v>46038</v>
      </c>
      <c r="C557" s="1" t="s">
        <v>759</v>
      </c>
      <c r="D557" s="1">
        <v>19</v>
      </c>
      <c r="E557" s="5">
        <f>D557*320</f>
        <v>6080</v>
      </c>
      <c r="F557" s="1" t="s">
        <v>31</v>
      </c>
    </row>
    <row r="558" spans="1:6" x14ac:dyDescent="0.25">
      <c r="A558" s="1">
        <v>5</v>
      </c>
      <c r="B558" s="66">
        <v>46038</v>
      </c>
      <c r="C558" s="24" t="s">
        <v>19</v>
      </c>
      <c r="D558" s="24">
        <v>12</v>
      </c>
      <c r="E558" s="5">
        <f>D558*15</f>
        <v>180</v>
      </c>
      <c r="F558" s="1" t="s">
        <v>31</v>
      </c>
    </row>
    <row r="559" spans="1:6" x14ac:dyDescent="0.25">
      <c r="A559" s="1">
        <v>6</v>
      </c>
      <c r="B559" s="66">
        <v>46038</v>
      </c>
      <c r="C559" s="24" t="s">
        <v>33</v>
      </c>
      <c r="D559" s="24">
        <v>3</v>
      </c>
      <c r="E559" s="5">
        <f>D559*30</f>
        <v>90</v>
      </c>
      <c r="F559" s="1" t="s">
        <v>31</v>
      </c>
    </row>
    <row r="560" spans="1:6" x14ac:dyDescent="0.25">
      <c r="A560" s="1">
        <v>7</v>
      </c>
      <c r="B560" s="66">
        <v>46038</v>
      </c>
      <c r="C560" s="24" t="s">
        <v>226</v>
      </c>
      <c r="D560" s="24">
        <v>3</v>
      </c>
      <c r="E560" s="5">
        <f>D560*20</f>
        <v>60</v>
      </c>
      <c r="F560" s="1" t="s">
        <v>31</v>
      </c>
    </row>
    <row r="561" spans="1:9" x14ac:dyDescent="0.25">
      <c r="A561" s="1">
        <v>8</v>
      </c>
      <c r="B561" s="66">
        <v>46038</v>
      </c>
      <c r="C561" s="24" t="s">
        <v>236</v>
      </c>
      <c r="D561" s="24">
        <v>12</v>
      </c>
      <c r="E561" s="5">
        <f>D561*35</f>
        <v>420</v>
      </c>
      <c r="F561" s="1" t="s">
        <v>31</v>
      </c>
    </row>
    <row r="562" spans="1:9" x14ac:dyDescent="0.25">
      <c r="A562" s="1">
        <v>9</v>
      </c>
      <c r="B562" s="66">
        <v>46038</v>
      </c>
      <c r="C562" s="24" t="s">
        <v>178</v>
      </c>
      <c r="D562" s="24">
        <v>1</v>
      </c>
      <c r="E562" s="5">
        <f>D562*400</f>
        <v>400</v>
      </c>
      <c r="F562" s="1" t="s">
        <v>31</v>
      </c>
    </row>
    <row r="563" spans="1:9" x14ac:dyDescent="0.25">
      <c r="A563" s="1">
        <v>10</v>
      </c>
      <c r="B563" s="66">
        <v>46038</v>
      </c>
      <c r="C563" s="24" t="s">
        <v>198</v>
      </c>
      <c r="D563" s="24">
        <v>11</v>
      </c>
      <c r="E563" s="5">
        <f>D563*70</f>
        <v>770</v>
      </c>
      <c r="F563" s="1" t="s">
        <v>31</v>
      </c>
    </row>
    <row r="564" spans="1:9" x14ac:dyDescent="0.25">
      <c r="A564" s="1">
        <v>11</v>
      </c>
      <c r="B564" s="66">
        <v>46038</v>
      </c>
      <c r="C564" s="24" t="s">
        <v>743</v>
      </c>
      <c r="D564" s="24">
        <v>11</v>
      </c>
      <c r="E564" s="5">
        <f>D564*120</f>
        <v>1320</v>
      </c>
      <c r="F564" s="1" t="s">
        <v>31</v>
      </c>
      <c r="I564" s="53"/>
    </row>
    <row r="565" spans="1:9" x14ac:dyDescent="0.25">
      <c r="A565" s="1">
        <v>12</v>
      </c>
      <c r="B565" s="66">
        <v>46038</v>
      </c>
      <c r="C565" s="24" t="s">
        <v>102</v>
      </c>
      <c r="D565" s="24">
        <v>4</v>
      </c>
      <c r="E565" s="5">
        <f>D565*120</f>
        <v>480</v>
      </c>
      <c r="F565" s="1" t="s">
        <v>31</v>
      </c>
    </row>
    <row r="566" spans="1:9" x14ac:dyDescent="0.25">
      <c r="A566" s="1">
        <v>13</v>
      </c>
      <c r="B566" s="66">
        <v>46038</v>
      </c>
      <c r="C566" s="24" t="s">
        <v>194</v>
      </c>
      <c r="D566" s="24">
        <v>1</v>
      </c>
      <c r="E566" s="5">
        <v>500</v>
      </c>
      <c r="F566" s="1" t="s">
        <v>31</v>
      </c>
    </row>
    <row r="567" spans="1:9" x14ac:dyDescent="0.25">
      <c r="A567" s="1">
        <v>14</v>
      </c>
      <c r="B567" s="66">
        <v>46038</v>
      </c>
      <c r="C567" s="24" t="s">
        <v>722</v>
      </c>
      <c r="D567" s="24">
        <v>6</v>
      </c>
      <c r="E567" s="5">
        <f>D567*100</f>
        <v>600</v>
      </c>
      <c r="F567" s="1" t="s">
        <v>31</v>
      </c>
    </row>
    <row r="568" spans="1:9" x14ac:dyDescent="0.25">
      <c r="A568" s="1">
        <v>15</v>
      </c>
      <c r="B568" s="66">
        <v>46038</v>
      </c>
      <c r="C568" s="24" t="s">
        <v>176</v>
      </c>
      <c r="D568" s="24">
        <v>1</v>
      </c>
      <c r="E568" s="5">
        <f>D568*100</f>
        <v>100</v>
      </c>
      <c r="F568" s="1" t="s">
        <v>31</v>
      </c>
    </row>
    <row r="569" spans="1:9" x14ac:dyDescent="0.25">
      <c r="A569" s="1">
        <v>16</v>
      </c>
      <c r="B569" s="66">
        <v>46038</v>
      </c>
      <c r="C569" s="24" t="s">
        <v>772</v>
      </c>
      <c r="D569" s="24">
        <v>1</v>
      </c>
      <c r="E569" s="5">
        <v>250</v>
      </c>
      <c r="F569" s="1" t="s">
        <v>31</v>
      </c>
    </row>
    <row r="570" spans="1:9" x14ac:dyDescent="0.25">
      <c r="A570" s="1">
        <v>17</v>
      </c>
      <c r="B570" s="66">
        <v>46038</v>
      </c>
      <c r="C570" s="24" t="s">
        <v>50</v>
      </c>
      <c r="D570" s="24">
        <v>7</v>
      </c>
      <c r="E570" s="5">
        <f>D570*70</f>
        <v>490</v>
      </c>
      <c r="F570" s="1" t="s">
        <v>31</v>
      </c>
    </row>
    <row r="571" spans="1:9" x14ac:dyDescent="0.25">
      <c r="A571" s="1">
        <v>18</v>
      </c>
      <c r="B571" s="66">
        <v>46038</v>
      </c>
      <c r="C571" s="24" t="s">
        <v>753</v>
      </c>
      <c r="D571" s="24">
        <v>2</v>
      </c>
      <c r="E571" s="5">
        <f>D571*120</f>
        <v>240</v>
      </c>
      <c r="F571" s="1" t="s">
        <v>31</v>
      </c>
    </row>
    <row r="572" spans="1:9" ht="15.75" thickBot="1" x14ac:dyDescent="0.3">
      <c r="A572" s="294" t="s">
        <v>41</v>
      </c>
      <c r="B572" s="294"/>
      <c r="C572" s="294"/>
      <c r="D572" s="294"/>
      <c r="E572" s="5">
        <f>SUM(E554:E571)</f>
        <v>13140</v>
      </c>
      <c r="F572" s="1"/>
    </row>
    <row r="573" spans="1:9" ht="15.75" thickBot="1" x14ac:dyDescent="0.3">
      <c r="A573" s="292" t="s">
        <v>39</v>
      </c>
      <c r="B573" s="293"/>
      <c r="F573" s="14" t="s">
        <v>40</v>
      </c>
    </row>
    <row r="574" spans="1:9" ht="18.75" x14ac:dyDescent="0.3">
      <c r="A574" s="26" t="s">
        <v>0</v>
      </c>
      <c r="B574" s="27" t="s">
        <v>3</v>
      </c>
      <c r="C574" s="27" t="s">
        <v>1</v>
      </c>
      <c r="D574" s="27" t="s">
        <v>26</v>
      </c>
      <c r="E574" s="27" t="s">
        <v>23</v>
      </c>
      <c r="F574" s="28" t="s">
        <v>27</v>
      </c>
    </row>
    <row r="575" spans="1:9" x14ac:dyDescent="0.25">
      <c r="A575" s="1">
        <v>1</v>
      </c>
      <c r="B575" s="66">
        <v>46039</v>
      </c>
      <c r="C575" s="1" t="s">
        <v>9</v>
      </c>
      <c r="D575" s="1">
        <v>8</v>
      </c>
      <c r="E575" s="5">
        <f>D575*35</f>
        <v>280</v>
      </c>
      <c r="F575" s="1" t="s">
        <v>31</v>
      </c>
    </row>
    <row r="576" spans="1:9" x14ac:dyDescent="0.25">
      <c r="A576" s="1">
        <v>2</v>
      </c>
      <c r="B576" s="66">
        <v>46039</v>
      </c>
      <c r="C576" s="1" t="s">
        <v>222</v>
      </c>
      <c r="D576" s="1">
        <v>7</v>
      </c>
      <c r="E576" s="5">
        <f>D576*50</f>
        <v>350</v>
      </c>
      <c r="F576" s="1" t="s">
        <v>31</v>
      </c>
    </row>
    <row r="577" spans="1:6" x14ac:dyDescent="0.25">
      <c r="A577" s="1">
        <v>3</v>
      </c>
      <c r="B577" s="66">
        <v>46039</v>
      </c>
      <c r="C577" s="1" t="s">
        <v>197</v>
      </c>
      <c r="D577" s="1">
        <v>12</v>
      </c>
      <c r="E577" s="5">
        <f>D577*40</f>
        <v>480</v>
      </c>
      <c r="F577" s="1" t="s">
        <v>31</v>
      </c>
    </row>
    <row r="578" spans="1:6" x14ac:dyDescent="0.25">
      <c r="A578" s="1">
        <v>4</v>
      </c>
      <c r="B578" s="66">
        <v>46039</v>
      </c>
      <c r="C578" s="1" t="s">
        <v>254</v>
      </c>
      <c r="D578" s="1" t="s">
        <v>400</v>
      </c>
      <c r="E578" s="5">
        <v>1600</v>
      </c>
      <c r="F578" s="1" t="s">
        <v>31</v>
      </c>
    </row>
    <row r="579" spans="1:6" x14ac:dyDescent="0.25">
      <c r="A579" s="1">
        <v>5</v>
      </c>
      <c r="B579" s="66">
        <v>46039</v>
      </c>
      <c r="C579" s="24" t="s">
        <v>19</v>
      </c>
      <c r="D579" s="24">
        <v>39</v>
      </c>
      <c r="E579" s="5">
        <f>D579*15</f>
        <v>585</v>
      </c>
      <c r="F579" s="1" t="s">
        <v>31</v>
      </c>
    </row>
    <row r="580" spans="1:6" x14ac:dyDescent="0.25">
      <c r="A580" s="1">
        <v>6</v>
      </c>
      <c r="B580" s="66">
        <v>46039</v>
      </c>
      <c r="C580" s="24" t="s">
        <v>14</v>
      </c>
      <c r="D580" s="24">
        <v>6</v>
      </c>
      <c r="E580" s="5">
        <f>D580*80</f>
        <v>480</v>
      </c>
      <c r="F580" s="1" t="s">
        <v>31</v>
      </c>
    </row>
    <row r="581" spans="1:6" x14ac:dyDescent="0.25">
      <c r="A581" s="1">
        <v>7</v>
      </c>
      <c r="B581" s="66">
        <v>46039</v>
      </c>
      <c r="C581" s="24" t="s">
        <v>33</v>
      </c>
      <c r="D581" s="24">
        <v>3</v>
      </c>
      <c r="E581" s="5">
        <f>D581*30</f>
        <v>90</v>
      </c>
      <c r="F581" s="1" t="s">
        <v>31</v>
      </c>
    </row>
    <row r="582" spans="1:6" x14ac:dyDescent="0.25">
      <c r="A582" s="1">
        <v>8</v>
      </c>
      <c r="B582" s="66">
        <v>46039</v>
      </c>
      <c r="C582" s="24" t="s">
        <v>943</v>
      </c>
      <c r="D582" s="24">
        <v>3</v>
      </c>
      <c r="E582" s="5">
        <f>D582*220</f>
        <v>660</v>
      </c>
      <c r="F582" s="1" t="s">
        <v>31</v>
      </c>
    </row>
    <row r="583" spans="1:6" x14ac:dyDescent="0.25">
      <c r="A583" s="1">
        <v>9</v>
      </c>
      <c r="B583" s="66">
        <v>46039</v>
      </c>
      <c r="C583" s="24" t="s">
        <v>236</v>
      </c>
      <c r="D583" s="24">
        <v>11</v>
      </c>
      <c r="E583" s="5">
        <f>D583*35</f>
        <v>385</v>
      </c>
      <c r="F583" s="1" t="s">
        <v>31</v>
      </c>
    </row>
    <row r="584" spans="1:6" x14ac:dyDescent="0.25">
      <c r="A584" s="1">
        <v>10</v>
      </c>
      <c r="B584" s="66">
        <v>46039</v>
      </c>
      <c r="C584" s="24" t="s">
        <v>178</v>
      </c>
      <c r="D584" s="24">
        <v>0.75</v>
      </c>
      <c r="E584" s="5">
        <f>D584*400</f>
        <v>300</v>
      </c>
      <c r="F584" s="1" t="s">
        <v>31</v>
      </c>
    </row>
    <row r="585" spans="1:6" x14ac:dyDescent="0.25">
      <c r="A585" s="1">
        <v>11</v>
      </c>
      <c r="B585" s="66">
        <v>46039</v>
      </c>
      <c r="C585" s="24" t="s">
        <v>102</v>
      </c>
      <c r="D585" s="24">
        <v>3</v>
      </c>
      <c r="E585" s="5">
        <f>D585*120</f>
        <v>360</v>
      </c>
      <c r="F585" s="1" t="s">
        <v>31</v>
      </c>
    </row>
    <row r="586" spans="1:6" x14ac:dyDescent="0.25">
      <c r="A586" s="1">
        <v>12</v>
      </c>
      <c r="B586" s="66">
        <v>46039</v>
      </c>
      <c r="C586" s="24" t="s">
        <v>198</v>
      </c>
      <c r="D586" s="24">
        <v>2</v>
      </c>
      <c r="E586" s="5">
        <f>D586*70</f>
        <v>140</v>
      </c>
      <c r="F586" s="1" t="s">
        <v>31</v>
      </c>
    </row>
    <row r="587" spans="1:6" x14ac:dyDescent="0.25">
      <c r="A587" s="1">
        <v>13</v>
      </c>
      <c r="B587" s="66">
        <v>46039</v>
      </c>
      <c r="C587" s="24" t="s">
        <v>341</v>
      </c>
      <c r="D587" s="24">
        <v>5</v>
      </c>
      <c r="E587" s="5">
        <f>D587*30</f>
        <v>150</v>
      </c>
      <c r="F587" s="1" t="s">
        <v>31</v>
      </c>
    </row>
    <row r="588" spans="1:6" x14ac:dyDescent="0.25">
      <c r="A588" s="1">
        <v>14</v>
      </c>
      <c r="B588" s="66">
        <v>46039</v>
      </c>
      <c r="C588" s="24" t="s">
        <v>194</v>
      </c>
      <c r="D588" s="24">
        <v>1</v>
      </c>
      <c r="E588" s="5">
        <v>500</v>
      </c>
      <c r="F588" s="1" t="s">
        <v>31</v>
      </c>
    </row>
    <row r="589" spans="1:6" x14ac:dyDescent="0.25">
      <c r="A589" s="1">
        <v>15</v>
      </c>
      <c r="B589" s="66">
        <v>46039</v>
      </c>
      <c r="C589" s="24" t="s">
        <v>722</v>
      </c>
      <c r="D589" s="24">
        <v>2</v>
      </c>
      <c r="E589" s="5">
        <f>D589*100</f>
        <v>200</v>
      </c>
      <c r="F589" s="1" t="s">
        <v>31</v>
      </c>
    </row>
    <row r="590" spans="1:6" x14ac:dyDescent="0.25">
      <c r="A590" s="1">
        <v>16</v>
      </c>
      <c r="B590" s="66">
        <v>46039</v>
      </c>
      <c r="C590" s="24" t="s">
        <v>945</v>
      </c>
      <c r="D590" s="24">
        <v>1.5</v>
      </c>
      <c r="E590" s="5">
        <f>D590*500</f>
        <v>750</v>
      </c>
      <c r="F590" s="1" t="s">
        <v>31</v>
      </c>
    </row>
    <row r="591" spans="1:6" x14ac:dyDescent="0.25">
      <c r="A591" s="1">
        <v>17</v>
      </c>
      <c r="B591" s="66">
        <v>46039</v>
      </c>
      <c r="C591" s="24" t="s">
        <v>944</v>
      </c>
      <c r="D591" s="24">
        <v>1</v>
      </c>
      <c r="E591" s="5">
        <f>D591*180</f>
        <v>180</v>
      </c>
      <c r="F591" s="1" t="s">
        <v>31</v>
      </c>
    </row>
    <row r="592" spans="1:6" x14ac:dyDescent="0.25">
      <c r="A592" s="1">
        <v>18</v>
      </c>
      <c r="B592" s="66">
        <v>46039</v>
      </c>
      <c r="C592" s="24" t="s">
        <v>50</v>
      </c>
      <c r="D592" s="24">
        <v>22</v>
      </c>
      <c r="E592" s="5">
        <f>D592*70</f>
        <v>1540</v>
      </c>
      <c r="F592" s="1" t="s">
        <v>31</v>
      </c>
    </row>
    <row r="593" spans="1:6" x14ac:dyDescent="0.25">
      <c r="A593" s="1">
        <v>19</v>
      </c>
      <c r="B593" s="66">
        <v>46039</v>
      </c>
      <c r="C593" s="24" t="s">
        <v>753</v>
      </c>
      <c r="D593" s="24">
        <v>2</v>
      </c>
      <c r="E593" s="5">
        <f>D593*100</f>
        <v>200</v>
      </c>
      <c r="F593" s="1" t="s">
        <v>31</v>
      </c>
    </row>
    <row r="594" spans="1:6" x14ac:dyDescent="0.25">
      <c r="A594" s="294" t="s">
        <v>41</v>
      </c>
      <c r="B594" s="294"/>
      <c r="C594" s="294"/>
      <c r="D594" s="294"/>
      <c r="E594" s="5">
        <f>SUM(E575:E593)</f>
        <v>9230</v>
      </c>
      <c r="F594" s="1"/>
    </row>
    <row r="595" spans="1:6" ht="15.75" thickBot="1" x14ac:dyDescent="0.3"/>
    <row r="596" spans="1:6" ht="15.75" thickBot="1" x14ac:dyDescent="0.3">
      <c r="A596" s="292" t="s">
        <v>39</v>
      </c>
      <c r="B596" s="293"/>
      <c r="F596" s="14" t="s">
        <v>40</v>
      </c>
    </row>
    <row r="597" spans="1:6" ht="15.75" thickBot="1" x14ac:dyDescent="0.3"/>
    <row r="598" spans="1:6" ht="18.75" x14ac:dyDescent="0.3">
      <c r="A598" s="26" t="s">
        <v>0</v>
      </c>
      <c r="B598" s="27" t="s">
        <v>3</v>
      </c>
      <c r="C598" s="27" t="s">
        <v>1</v>
      </c>
      <c r="D598" s="27" t="s">
        <v>26</v>
      </c>
      <c r="E598" s="27" t="s">
        <v>23</v>
      </c>
      <c r="F598" s="28" t="s">
        <v>27</v>
      </c>
    </row>
    <row r="599" spans="1:6" x14ac:dyDescent="0.25">
      <c r="A599" s="1">
        <v>1</v>
      </c>
      <c r="B599" s="66">
        <v>46040</v>
      </c>
      <c r="C599" s="1" t="s">
        <v>222</v>
      </c>
      <c r="D599" s="1">
        <v>4</v>
      </c>
      <c r="E599" s="5">
        <f>D599*50</f>
        <v>200</v>
      </c>
      <c r="F599" s="1" t="s">
        <v>31</v>
      </c>
    </row>
    <row r="600" spans="1:6" x14ac:dyDescent="0.25">
      <c r="A600" s="1">
        <v>2</v>
      </c>
      <c r="B600" s="66">
        <v>46040</v>
      </c>
      <c r="C600" s="1" t="s">
        <v>197</v>
      </c>
      <c r="D600" s="1">
        <v>4</v>
      </c>
      <c r="E600" s="5">
        <f>D600*40</f>
        <v>160</v>
      </c>
      <c r="F600" s="1" t="s">
        <v>31</v>
      </c>
    </row>
    <row r="601" spans="1:6" x14ac:dyDescent="0.25">
      <c r="A601" s="1">
        <v>3</v>
      </c>
      <c r="B601" s="66">
        <v>46040</v>
      </c>
      <c r="C601" s="1" t="s">
        <v>962</v>
      </c>
      <c r="D601" s="1">
        <v>4</v>
      </c>
      <c r="E601" s="5">
        <f>D601*80</f>
        <v>320</v>
      </c>
      <c r="F601" s="1" t="s">
        <v>31</v>
      </c>
    </row>
    <row r="602" spans="1:6" x14ac:dyDescent="0.25">
      <c r="A602" s="1">
        <v>4</v>
      </c>
      <c r="B602" s="66">
        <v>46040</v>
      </c>
      <c r="C602" s="24" t="s">
        <v>19</v>
      </c>
      <c r="D602" s="24">
        <v>15</v>
      </c>
      <c r="E602" s="5">
        <f>D602*15</f>
        <v>225</v>
      </c>
      <c r="F602" s="1" t="s">
        <v>31</v>
      </c>
    </row>
    <row r="603" spans="1:6" x14ac:dyDescent="0.25">
      <c r="A603" s="1">
        <v>5</v>
      </c>
      <c r="B603" s="66">
        <v>46040</v>
      </c>
      <c r="C603" s="24" t="s">
        <v>178</v>
      </c>
      <c r="D603" s="24">
        <v>0.5</v>
      </c>
      <c r="E603" s="5">
        <f>D603*400</f>
        <v>200</v>
      </c>
      <c r="F603" s="1" t="s">
        <v>31</v>
      </c>
    </row>
    <row r="604" spans="1:6" x14ac:dyDescent="0.25">
      <c r="A604" s="1">
        <v>6</v>
      </c>
      <c r="B604" s="66">
        <v>46040</v>
      </c>
      <c r="C604" s="24" t="s">
        <v>560</v>
      </c>
      <c r="D604" s="24">
        <v>6</v>
      </c>
      <c r="E604" s="5">
        <f>D604*320</f>
        <v>1920</v>
      </c>
      <c r="F604" s="1" t="s">
        <v>31</v>
      </c>
    </row>
    <row r="605" spans="1:6" x14ac:dyDescent="0.25">
      <c r="A605" s="1">
        <v>7</v>
      </c>
      <c r="B605" s="66">
        <v>46040</v>
      </c>
      <c r="C605" s="24" t="s">
        <v>102</v>
      </c>
      <c r="D605" s="24">
        <v>4</v>
      </c>
      <c r="E605" s="5">
        <f>D605*120</f>
        <v>480</v>
      </c>
      <c r="F605" s="1" t="s">
        <v>31</v>
      </c>
    </row>
    <row r="606" spans="1:6" x14ac:dyDescent="0.25">
      <c r="A606" s="1">
        <v>8</v>
      </c>
      <c r="B606" s="66">
        <v>46040</v>
      </c>
      <c r="C606" s="24" t="s">
        <v>624</v>
      </c>
      <c r="D606" s="24">
        <v>1</v>
      </c>
      <c r="E606" s="5">
        <f>D606*80</f>
        <v>80</v>
      </c>
      <c r="F606" s="1" t="s">
        <v>31</v>
      </c>
    </row>
    <row r="607" spans="1:6" x14ac:dyDescent="0.25">
      <c r="A607" s="1">
        <v>9</v>
      </c>
      <c r="B607" s="66">
        <v>46040</v>
      </c>
      <c r="C607" s="24" t="s">
        <v>961</v>
      </c>
      <c r="D607" s="24">
        <v>2</v>
      </c>
      <c r="E607" s="5">
        <f>D607*100</f>
        <v>200</v>
      </c>
      <c r="F607" s="1" t="s">
        <v>31</v>
      </c>
    </row>
    <row r="608" spans="1:6" x14ac:dyDescent="0.25">
      <c r="A608" s="1">
        <v>10</v>
      </c>
      <c r="B608" s="66">
        <v>46040</v>
      </c>
      <c r="C608" s="24" t="s">
        <v>722</v>
      </c>
      <c r="D608" s="24">
        <v>4</v>
      </c>
      <c r="E608" s="5">
        <f>D608*100</f>
        <v>400</v>
      </c>
      <c r="F608" s="1" t="s">
        <v>31</v>
      </c>
    </row>
    <row r="609" spans="1:6" x14ac:dyDescent="0.25">
      <c r="A609" s="1">
        <v>11</v>
      </c>
      <c r="B609" s="66">
        <v>46040</v>
      </c>
      <c r="C609" s="24" t="s">
        <v>50</v>
      </c>
      <c r="D609" s="24">
        <v>3</v>
      </c>
      <c r="E609" s="5">
        <f>D609*70</f>
        <v>210</v>
      </c>
      <c r="F609" s="1" t="s">
        <v>31</v>
      </c>
    </row>
    <row r="610" spans="1:6" x14ac:dyDescent="0.25">
      <c r="A610" s="1">
        <v>12</v>
      </c>
      <c r="B610" s="66">
        <v>46040</v>
      </c>
      <c r="C610" s="24" t="s">
        <v>401</v>
      </c>
      <c r="D610" s="24">
        <v>6</v>
      </c>
      <c r="E610" s="5">
        <f>D610*35</f>
        <v>210</v>
      </c>
      <c r="F610" s="1" t="s">
        <v>31</v>
      </c>
    </row>
    <row r="611" spans="1:6" x14ac:dyDescent="0.25">
      <c r="A611" s="294" t="s">
        <v>41</v>
      </c>
      <c r="B611" s="294"/>
      <c r="C611" s="294"/>
      <c r="D611" s="294"/>
      <c r="E611" s="5">
        <f>SUM(E599:E610)</f>
        <v>4605</v>
      </c>
      <c r="F611" s="1"/>
    </row>
    <row r="612" spans="1:6" ht="15.75" thickBot="1" x14ac:dyDescent="0.3"/>
    <row r="613" spans="1:6" ht="15.75" thickBot="1" x14ac:dyDescent="0.3">
      <c r="A613" s="292" t="s">
        <v>39</v>
      </c>
      <c r="B613" s="293"/>
      <c r="F613" s="14" t="s">
        <v>40</v>
      </c>
    </row>
  </sheetData>
  <mergeCells count="83">
    <mergeCell ref="A346:B346"/>
    <mergeCell ref="A355:D355"/>
    <mergeCell ref="A234:B234"/>
    <mergeCell ref="A11:D11"/>
    <mergeCell ref="A34:D34"/>
    <mergeCell ref="A35:B35"/>
    <mergeCell ref="A14:F14"/>
    <mergeCell ref="A18:F18"/>
    <mergeCell ref="A28:F28"/>
    <mergeCell ref="A12:B12"/>
    <mergeCell ref="A121:D121"/>
    <mergeCell ref="A122:B122"/>
    <mergeCell ref="A136:D136"/>
    <mergeCell ref="A137:B137"/>
    <mergeCell ref="A149:D149"/>
    <mergeCell ref="A150:B150"/>
    <mergeCell ref="A55:B55"/>
    <mergeCell ref="A47:D47"/>
    <mergeCell ref="A48:B48"/>
    <mergeCell ref="A54:D54"/>
    <mergeCell ref="A345:D345"/>
    <mergeCell ref="A100:B100"/>
    <mergeCell ref="A114:D114"/>
    <mergeCell ref="A115:B115"/>
    <mergeCell ref="A86:D86"/>
    <mergeCell ref="A87:B87"/>
    <mergeCell ref="A72:D72"/>
    <mergeCell ref="A73:B73"/>
    <mergeCell ref="A99:D99"/>
    <mergeCell ref="A206:D206"/>
    <mergeCell ref="A168:D168"/>
    <mergeCell ref="A169:B169"/>
    <mergeCell ref="A186:D186"/>
    <mergeCell ref="A187:B187"/>
    <mergeCell ref="A195:D195"/>
    <mergeCell ref="A217:B217"/>
    <mergeCell ref="A196:B196"/>
    <mergeCell ref="A267:D267"/>
    <mergeCell ref="A268:B268"/>
    <mergeCell ref="A248:D248"/>
    <mergeCell ref="A249:B249"/>
    <mergeCell ref="A207:B207"/>
    <mergeCell ref="A216:D216"/>
    <mergeCell ref="A233:D233"/>
    <mergeCell ref="A281:D281"/>
    <mergeCell ref="A282:B282"/>
    <mergeCell ref="A332:D332"/>
    <mergeCell ref="A333:B333"/>
    <mergeCell ref="A323:D323"/>
    <mergeCell ref="A324:B324"/>
    <mergeCell ref="A301:D301"/>
    <mergeCell ref="A302:B302"/>
    <mergeCell ref="A397:D397"/>
    <mergeCell ref="A398:B398"/>
    <mergeCell ref="A467:D467"/>
    <mergeCell ref="A468:B468"/>
    <mergeCell ref="A403:D403"/>
    <mergeCell ref="A404:B404"/>
    <mergeCell ref="A423:D423"/>
    <mergeCell ref="A424:B424"/>
    <mergeCell ref="A455:D455"/>
    <mergeCell ref="A456:B456"/>
    <mergeCell ref="A438:D438"/>
    <mergeCell ref="A439:B439"/>
    <mergeCell ref="A356:B356"/>
    <mergeCell ref="A369:D369"/>
    <mergeCell ref="A370:B370"/>
    <mergeCell ref="A376:D376"/>
    <mergeCell ref="A377:B377"/>
    <mergeCell ref="A611:D611"/>
    <mergeCell ref="A613:B613"/>
    <mergeCell ref="A594:D594"/>
    <mergeCell ref="A596:B596"/>
    <mergeCell ref="A572:D572"/>
    <mergeCell ref="A573:B573"/>
    <mergeCell ref="A486:D486"/>
    <mergeCell ref="A487:B487"/>
    <mergeCell ref="A551:D551"/>
    <mergeCell ref="A552:B552"/>
    <mergeCell ref="A526:D526"/>
    <mergeCell ref="A527:B527"/>
    <mergeCell ref="A504:D504"/>
    <mergeCell ref="A505:B505"/>
  </mergeCells>
  <pageMargins left="0.70866141732283472" right="0.70866141732283472" top="0.74803149606299213" bottom="0.74803149606299213" header="0.31496062992125984" footer="0.31496062992125984"/>
  <pageSetup scale="98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zoomScale="115" zoomScaleNormal="115" workbookViewId="0">
      <selection activeCell="F13" sqref="F13"/>
    </sheetView>
  </sheetViews>
  <sheetFormatPr defaultRowHeight="15" x14ac:dyDescent="0.25"/>
  <cols>
    <col min="1" max="1" width="6.5703125" customWidth="1"/>
    <col min="2" max="2" width="20.5703125" bestFit="1" customWidth="1"/>
    <col min="3" max="3" width="10.5703125" bestFit="1" customWidth="1"/>
    <col min="4" max="4" width="12.28515625" bestFit="1" customWidth="1"/>
    <col min="5" max="5" width="20.85546875" bestFit="1" customWidth="1"/>
    <col min="6" max="6" width="12.28515625" bestFit="1" customWidth="1"/>
    <col min="7" max="7" width="33.7109375" bestFit="1" customWidth="1"/>
  </cols>
  <sheetData>
    <row r="1" spans="1:7" ht="21" x14ac:dyDescent="0.35">
      <c r="A1" s="288" t="s">
        <v>653</v>
      </c>
      <c r="B1" s="288"/>
      <c r="C1" s="288"/>
      <c r="D1" s="288"/>
      <c r="E1" s="288"/>
      <c r="F1" s="288"/>
      <c r="G1" s="288"/>
    </row>
    <row r="2" spans="1:7" ht="15.75" x14ac:dyDescent="0.25">
      <c r="A2" s="90" t="s">
        <v>0</v>
      </c>
      <c r="B2" s="90" t="s">
        <v>3</v>
      </c>
      <c r="C2" s="90" t="s">
        <v>24</v>
      </c>
      <c r="D2" s="90" t="s">
        <v>540</v>
      </c>
      <c r="E2" s="90" t="s">
        <v>8</v>
      </c>
      <c r="F2" s="90" t="s">
        <v>106</v>
      </c>
      <c r="G2" s="90" t="s">
        <v>455</v>
      </c>
    </row>
    <row r="3" spans="1:7" x14ac:dyDescent="0.25">
      <c r="A3" s="1">
        <v>1</v>
      </c>
      <c r="B3" s="66" t="s">
        <v>654</v>
      </c>
      <c r="C3" s="308" t="s">
        <v>655</v>
      </c>
      <c r="D3" s="308" t="s">
        <v>31</v>
      </c>
      <c r="E3" s="311">
        <v>181270</v>
      </c>
      <c r="F3" s="1"/>
      <c r="G3" s="1"/>
    </row>
    <row r="4" spans="1:7" x14ac:dyDescent="0.25">
      <c r="A4" s="1">
        <v>2</v>
      </c>
      <c r="B4" s="66" t="s">
        <v>654</v>
      </c>
      <c r="C4" s="309"/>
      <c r="D4" s="309"/>
      <c r="E4" s="312"/>
      <c r="F4" s="1"/>
      <c r="G4" s="1"/>
    </row>
    <row r="5" spans="1:7" x14ac:dyDescent="0.25">
      <c r="A5" s="1">
        <v>3</v>
      </c>
      <c r="B5" s="66" t="s">
        <v>654</v>
      </c>
      <c r="C5" s="309"/>
      <c r="D5" s="309"/>
      <c r="E5" s="312"/>
      <c r="F5" s="1"/>
      <c r="G5" s="1"/>
    </row>
    <row r="6" spans="1:7" x14ac:dyDescent="0.25">
      <c r="A6" s="1">
        <v>4</v>
      </c>
      <c r="B6" s="66" t="s">
        <v>654</v>
      </c>
      <c r="C6" s="310"/>
      <c r="D6" s="310"/>
      <c r="E6" s="313"/>
      <c r="F6" s="1"/>
      <c r="G6" s="1"/>
    </row>
    <row r="7" spans="1:7" ht="21.75" thickBot="1" x14ac:dyDescent="0.4">
      <c r="A7" s="314" t="s">
        <v>456</v>
      </c>
      <c r="B7" s="314"/>
      <c r="C7" s="314"/>
      <c r="D7" s="122"/>
      <c r="E7" s="91"/>
    </row>
    <row r="8" spans="1:7" ht="15.75" thickBot="1" x14ac:dyDescent="0.3">
      <c r="A8" s="119" t="s">
        <v>630</v>
      </c>
      <c r="B8" s="120"/>
      <c r="G8" s="14" t="s">
        <v>631</v>
      </c>
    </row>
    <row r="9" spans="1:7" ht="15.75" thickBot="1" x14ac:dyDescent="0.3"/>
    <row r="10" spans="1:7" ht="18.75" x14ac:dyDescent="0.3">
      <c r="A10" s="302" t="s">
        <v>953</v>
      </c>
      <c r="B10" s="303"/>
      <c r="C10" s="303"/>
      <c r="D10" s="303"/>
      <c r="E10" s="304"/>
    </row>
    <row r="11" spans="1:7" x14ac:dyDescent="0.25">
      <c r="A11" s="2" t="s">
        <v>0</v>
      </c>
      <c r="B11" s="2" t="s">
        <v>3</v>
      </c>
      <c r="C11" s="2" t="s">
        <v>24</v>
      </c>
      <c r="D11" s="2" t="s">
        <v>8</v>
      </c>
      <c r="E11" s="2" t="s">
        <v>540</v>
      </c>
    </row>
    <row r="12" spans="1:7" x14ac:dyDescent="0.25">
      <c r="A12" s="58">
        <v>1</v>
      </c>
      <c r="B12" s="106">
        <v>46032</v>
      </c>
      <c r="C12" s="1" t="s">
        <v>960</v>
      </c>
      <c r="D12" s="147">
        <f>'Steaching Dep'!E455</f>
        <v>8680</v>
      </c>
      <c r="E12" s="58" t="s">
        <v>31</v>
      </c>
    </row>
    <row r="13" spans="1:7" x14ac:dyDescent="0.25">
      <c r="A13" s="58">
        <v>2</v>
      </c>
      <c r="B13" s="106">
        <v>46033</v>
      </c>
      <c r="C13" s="1" t="s">
        <v>960</v>
      </c>
      <c r="D13" s="147">
        <f>'Steaching Dep'!E467</f>
        <v>3915</v>
      </c>
      <c r="E13" s="58" t="s">
        <v>31</v>
      </c>
    </row>
    <row r="14" spans="1:7" x14ac:dyDescent="0.25">
      <c r="A14" s="58">
        <v>3</v>
      </c>
      <c r="B14" s="106">
        <v>46034</v>
      </c>
      <c r="C14" s="1" t="s">
        <v>960</v>
      </c>
      <c r="D14" s="147">
        <f>'Steaching Dep'!E486</f>
        <v>5520</v>
      </c>
      <c r="E14" s="58" t="s">
        <v>31</v>
      </c>
    </row>
    <row r="15" spans="1:7" x14ac:dyDescent="0.25">
      <c r="A15" s="58">
        <v>4</v>
      </c>
      <c r="B15" s="106">
        <v>46035</v>
      </c>
      <c r="C15" s="1" t="s">
        <v>960</v>
      </c>
      <c r="D15" s="147">
        <f>'Steaching Dep'!E504</f>
        <v>7205</v>
      </c>
      <c r="E15" s="58" t="s">
        <v>31</v>
      </c>
    </row>
    <row r="16" spans="1:7" x14ac:dyDescent="0.25">
      <c r="A16" s="58">
        <v>5</v>
      </c>
      <c r="B16" s="106">
        <v>46036</v>
      </c>
      <c r="C16" s="1" t="s">
        <v>960</v>
      </c>
      <c r="D16" s="147">
        <f>'Steaching Dep'!E526</f>
        <v>6095</v>
      </c>
      <c r="E16" s="58" t="s">
        <v>31</v>
      </c>
    </row>
    <row r="17" spans="1:5" ht="15.75" thickBot="1" x14ac:dyDescent="0.3">
      <c r="A17" s="58">
        <v>6</v>
      </c>
      <c r="B17" s="196">
        <v>46037</v>
      </c>
      <c r="C17" s="1" t="s">
        <v>960</v>
      </c>
      <c r="D17" s="194">
        <f>'Steaching Dep'!E551</f>
        <v>13345</v>
      </c>
      <c r="E17" s="58" t="s">
        <v>31</v>
      </c>
    </row>
    <row r="18" spans="1:5" ht="19.5" thickBot="1" x14ac:dyDescent="0.35">
      <c r="A18" s="305" t="s">
        <v>25</v>
      </c>
      <c r="B18" s="306"/>
      <c r="C18" s="307"/>
      <c r="D18" s="197">
        <f>SUM(D12:D17)</f>
        <v>44760</v>
      </c>
      <c r="E18" s="200"/>
    </row>
    <row r="19" spans="1:5" ht="15.75" thickBot="1" x14ac:dyDescent="0.3">
      <c r="A19" s="292" t="s">
        <v>39</v>
      </c>
      <c r="B19" s="293"/>
      <c r="E19" s="14" t="s">
        <v>40</v>
      </c>
    </row>
    <row r="21" spans="1:5" ht="15.75" thickBot="1" x14ac:dyDescent="0.3"/>
    <row r="22" spans="1:5" ht="15.75" thickBot="1" x14ac:dyDescent="0.3">
      <c r="A22" s="292" t="s">
        <v>957</v>
      </c>
      <c r="B22" s="293"/>
    </row>
  </sheetData>
  <mergeCells count="9">
    <mergeCell ref="A10:E10"/>
    <mergeCell ref="A18:C18"/>
    <mergeCell ref="A19:B19"/>
    <mergeCell ref="A22:B22"/>
    <mergeCell ref="A1:G1"/>
    <mergeCell ref="C3:C6"/>
    <mergeCell ref="E3:E6"/>
    <mergeCell ref="A7:C7"/>
    <mergeCell ref="D3:D6"/>
  </mergeCells>
  <pageMargins left="0.70866141732283472" right="0.70866141732283472" top="0.74803149606299213" bottom="0.74803149606299213" header="0.31496062992125984" footer="0.31496062992125984"/>
  <pageSetup scale="130" orientation="landscape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topLeftCell="A79" zoomScaleNormal="100" zoomScaleSheetLayoutView="100" workbookViewId="0">
      <selection activeCell="A107" sqref="A107:F107"/>
    </sheetView>
  </sheetViews>
  <sheetFormatPr defaultRowHeight="15" x14ac:dyDescent="0.25"/>
  <cols>
    <col min="1" max="1" width="5.42578125" bestFit="1" customWidth="1"/>
    <col min="2" max="2" width="12" bestFit="1" customWidth="1"/>
    <col min="3" max="3" width="17.7109375" bestFit="1" customWidth="1"/>
    <col min="4" max="4" width="6.42578125" bestFit="1" customWidth="1"/>
    <col min="5" max="5" width="8.28515625" bestFit="1" customWidth="1"/>
    <col min="6" max="6" width="20.85546875" bestFit="1" customWidth="1"/>
  </cols>
  <sheetData>
    <row r="1" spans="1:6" ht="19.5" thickBot="1" x14ac:dyDescent="0.35">
      <c r="A1" s="10" t="s">
        <v>0</v>
      </c>
      <c r="B1" s="11" t="s">
        <v>3</v>
      </c>
      <c r="C1" s="11" t="s">
        <v>1</v>
      </c>
      <c r="D1" s="11" t="s">
        <v>26</v>
      </c>
      <c r="E1" s="11" t="s">
        <v>23</v>
      </c>
      <c r="F1" s="12" t="s">
        <v>27</v>
      </c>
    </row>
    <row r="2" spans="1:6" x14ac:dyDescent="0.25">
      <c r="A2" s="3">
        <v>1</v>
      </c>
      <c r="B2" s="1" t="s">
        <v>52</v>
      </c>
      <c r="C2" s="3" t="s">
        <v>18</v>
      </c>
      <c r="D2" s="3">
        <v>23</v>
      </c>
      <c r="E2" s="4">
        <v>1840</v>
      </c>
      <c r="F2" s="3" t="s">
        <v>31</v>
      </c>
    </row>
    <row r="3" spans="1:6" x14ac:dyDescent="0.25">
      <c r="A3" s="3">
        <v>2</v>
      </c>
      <c r="B3" s="1" t="s">
        <v>52</v>
      </c>
      <c r="C3" s="1" t="s">
        <v>19</v>
      </c>
      <c r="D3" s="1">
        <v>69</v>
      </c>
      <c r="E3" s="5">
        <v>1035</v>
      </c>
      <c r="F3" s="1" t="s">
        <v>31</v>
      </c>
    </row>
    <row r="4" spans="1:6" ht="15.75" thickBot="1" x14ac:dyDescent="0.3">
      <c r="A4" s="3">
        <v>3</v>
      </c>
      <c r="B4" s="1" t="s">
        <v>52</v>
      </c>
      <c r="C4" s="1" t="s">
        <v>37</v>
      </c>
      <c r="D4" s="1">
        <v>23</v>
      </c>
      <c r="E4" s="5">
        <v>805</v>
      </c>
      <c r="F4" s="1" t="s">
        <v>31</v>
      </c>
    </row>
    <row r="5" spans="1:6" ht="15.75" thickBot="1" x14ac:dyDescent="0.3">
      <c r="A5" s="292" t="s">
        <v>41</v>
      </c>
      <c r="B5" s="297"/>
      <c r="C5" s="297"/>
      <c r="D5" s="293"/>
      <c r="E5" s="9">
        <f>SUM(E2:E4)</f>
        <v>3680</v>
      </c>
    </row>
    <row r="6" spans="1:6" ht="15.75" thickBot="1" x14ac:dyDescent="0.3">
      <c r="A6" s="292" t="s">
        <v>39</v>
      </c>
      <c r="B6" s="293"/>
      <c r="F6" s="14" t="s">
        <v>40</v>
      </c>
    </row>
    <row r="7" spans="1:6" ht="19.5" thickBot="1" x14ac:dyDescent="0.35">
      <c r="A7" s="10" t="s">
        <v>0</v>
      </c>
      <c r="B7" s="11" t="s">
        <v>3</v>
      </c>
      <c r="C7" s="11" t="s">
        <v>1</v>
      </c>
      <c r="D7" s="11" t="s">
        <v>26</v>
      </c>
      <c r="E7" s="11" t="s">
        <v>23</v>
      </c>
      <c r="F7" s="12" t="s">
        <v>27</v>
      </c>
    </row>
    <row r="8" spans="1:6" x14ac:dyDescent="0.25">
      <c r="A8" s="3">
        <v>1</v>
      </c>
      <c r="B8" s="3" t="s">
        <v>108</v>
      </c>
      <c r="C8" s="3" t="s">
        <v>16</v>
      </c>
      <c r="D8" s="3">
        <v>18</v>
      </c>
      <c r="E8" s="4">
        <f>D8*35</f>
        <v>630</v>
      </c>
      <c r="F8" s="3" t="s">
        <v>31</v>
      </c>
    </row>
    <row r="9" spans="1:6" x14ac:dyDescent="0.25">
      <c r="A9" s="3">
        <v>2</v>
      </c>
      <c r="B9" s="3" t="s">
        <v>108</v>
      </c>
      <c r="C9" s="1" t="s">
        <v>14</v>
      </c>
      <c r="D9" s="1">
        <v>18</v>
      </c>
      <c r="E9" s="5">
        <f>D9*80</f>
        <v>1440</v>
      </c>
      <c r="F9" s="1" t="s">
        <v>31</v>
      </c>
    </row>
    <row r="10" spans="1:6" ht="15.75" thickBot="1" x14ac:dyDescent="0.3">
      <c r="A10" s="3">
        <v>3</v>
      </c>
      <c r="B10" s="3" t="s">
        <v>108</v>
      </c>
      <c r="C10" s="1" t="s">
        <v>15</v>
      </c>
      <c r="D10" s="1">
        <v>54</v>
      </c>
      <c r="E10" s="5">
        <f>D10*15</f>
        <v>810</v>
      </c>
      <c r="F10" s="1" t="s">
        <v>31</v>
      </c>
    </row>
    <row r="11" spans="1:6" ht="15.75" thickBot="1" x14ac:dyDescent="0.3">
      <c r="A11" s="292" t="s">
        <v>41</v>
      </c>
      <c r="B11" s="297"/>
      <c r="C11" s="297"/>
      <c r="D11" s="293"/>
      <c r="E11" s="9">
        <f>SUM(E8:E10)</f>
        <v>2880</v>
      </c>
    </row>
    <row r="12" spans="1:6" ht="15.75" thickBot="1" x14ac:dyDescent="0.3">
      <c r="A12" s="292" t="s">
        <v>39</v>
      </c>
      <c r="B12" s="293"/>
      <c r="F12" s="14" t="s">
        <v>40</v>
      </c>
    </row>
    <row r="13" spans="1:6" ht="19.5" thickBot="1" x14ac:dyDescent="0.35">
      <c r="A13" s="10" t="s">
        <v>0</v>
      </c>
      <c r="B13" s="11" t="s">
        <v>3</v>
      </c>
      <c r="C13" s="11" t="s">
        <v>1</v>
      </c>
      <c r="D13" s="11" t="s">
        <v>26</v>
      </c>
      <c r="E13" s="11" t="s">
        <v>23</v>
      </c>
      <c r="F13" s="12" t="s">
        <v>27</v>
      </c>
    </row>
    <row r="14" spans="1:6" x14ac:dyDescent="0.25">
      <c r="A14" s="3">
        <v>1</v>
      </c>
      <c r="B14" s="3" t="s">
        <v>309</v>
      </c>
      <c r="C14" s="3" t="s">
        <v>236</v>
      </c>
      <c r="D14" s="3">
        <v>1</v>
      </c>
      <c r="E14" s="4">
        <v>35</v>
      </c>
      <c r="F14" s="3" t="s">
        <v>31</v>
      </c>
    </row>
    <row r="15" spans="1:6" x14ac:dyDescent="0.25">
      <c r="A15" s="3">
        <v>2</v>
      </c>
      <c r="B15" s="3" t="s">
        <v>309</v>
      </c>
      <c r="C15" s="1" t="s">
        <v>19</v>
      </c>
      <c r="D15" s="1">
        <v>38</v>
      </c>
      <c r="E15" s="5">
        <v>570</v>
      </c>
      <c r="F15" s="1" t="s">
        <v>31</v>
      </c>
    </row>
    <row r="16" spans="1:6" ht="15.75" thickBot="1" x14ac:dyDescent="0.3">
      <c r="A16" s="3">
        <v>3</v>
      </c>
      <c r="B16" s="3" t="s">
        <v>309</v>
      </c>
      <c r="C16" s="1" t="s">
        <v>325</v>
      </c>
      <c r="D16" s="1">
        <v>18</v>
      </c>
      <c r="E16" s="5">
        <v>1980</v>
      </c>
      <c r="F16" s="1" t="s">
        <v>31</v>
      </c>
    </row>
    <row r="17" spans="1:6" ht="15.75" thickBot="1" x14ac:dyDescent="0.3">
      <c r="A17" s="292" t="s">
        <v>41</v>
      </c>
      <c r="B17" s="297"/>
      <c r="C17" s="297"/>
      <c r="D17" s="293"/>
      <c r="E17" s="9">
        <f>SUM(E14:E16)</f>
        <v>2585</v>
      </c>
    </row>
    <row r="18" spans="1:6" ht="15.75" thickBot="1" x14ac:dyDescent="0.3">
      <c r="A18" s="292" t="s">
        <v>39</v>
      </c>
      <c r="B18" s="293"/>
      <c r="F18" s="14" t="s">
        <v>40</v>
      </c>
    </row>
    <row r="19" spans="1:6" ht="19.5" thickBot="1" x14ac:dyDescent="0.35">
      <c r="A19" s="10" t="s">
        <v>0</v>
      </c>
      <c r="B19" s="11" t="s">
        <v>3</v>
      </c>
      <c r="C19" s="11" t="s">
        <v>1</v>
      </c>
      <c r="D19" s="11" t="s">
        <v>26</v>
      </c>
      <c r="E19" s="11" t="s">
        <v>23</v>
      </c>
      <c r="F19" s="12" t="s">
        <v>27</v>
      </c>
    </row>
    <row r="20" spans="1:6" ht="15.75" thickBot="1" x14ac:dyDescent="0.3">
      <c r="A20" s="3">
        <v>1</v>
      </c>
      <c r="B20" s="3" t="s">
        <v>339</v>
      </c>
      <c r="C20" s="3" t="s">
        <v>278</v>
      </c>
      <c r="D20" s="3">
        <v>15</v>
      </c>
      <c r="E20" s="4">
        <f>D20*120</f>
        <v>1800</v>
      </c>
      <c r="F20" s="3" t="s">
        <v>31</v>
      </c>
    </row>
    <row r="21" spans="1:6" ht="15.75" thickBot="1" x14ac:dyDescent="0.3">
      <c r="A21" s="292" t="s">
        <v>41</v>
      </c>
      <c r="B21" s="297"/>
      <c r="C21" s="297"/>
      <c r="D21" s="293"/>
      <c r="E21" s="9">
        <f>SUM(E20:E20)</f>
        <v>1800</v>
      </c>
    </row>
    <row r="22" spans="1:6" ht="15.75" thickBot="1" x14ac:dyDescent="0.3">
      <c r="A22" s="292" t="s">
        <v>39</v>
      </c>
      <c r="B22" s="293"/>
      <c r="F22" s="14" t="s">
        <v>40</v>
      </c>
    </row>
    <row r="23" spans="1:6" ht="19.5" thickBot="1" x14ac:dyDescent="0.35">
      <c r="A23" s="10" t="s">
        <v>0</v>
      </c>
      <c r="B23" s="11" t="s">
        <v>3</v>
      </c>
      <c r="C23" s="11" t="s">
        <v>1</v>
      </c>
      <c r="D23" s="11" t="s">
        <v>26</v>
      </c>
      <c r="E23" s="11" t="s">
        <v>23</v>
      </c>
      <c r="F23" s="12" t="s">
        <v>27</v>
      </c>
    </row>
    <row r="24" spans="1:6" x14ac:dyDescent="0.25">
      <c r="A24" s="3">
        <v>1</v>
      </c>
      <c r="B24" s="3" t="s">
        <v>357</v>
      </c>
      <c r="C24" s="3" t="s">
        <v>18</v>
      </c>
      <c r="D24" s="3">
        <v>17</v>
      </c>
      <c r="E24" s="4">
        <f>D24*80</f>
        <v>1360</v>
      </c>
      <c r="F24" s="3" t="s">
        <v>31</v>
      </c>
    </row>
    <row r="25" spans="1:6" x14ac:dyDescent="0.25">
      <c r="A25" s="3">
        <v>2</v>
      </c>
      <c r="B25" s="3" t="s">
        <v>357</v>
      </c>
      <c r="C25" s="1" t="s">
        <v>19</v>
      </c>
      <c r="D25" s="1">
        <v>51</v>
      </c>
      <c r="E25" s="5">
        <f>D25*15</f>
        <v>765</v>
      </c>
      <c r="F25" s="3" t="s">
        <v>31</v>
      </c>
    </row>
    <row r="26" spans="1:6" x14ac:dyDescent="0.25">
      <c r="A26" s="3">
        <v>3</v>
      </c>
      <c r="B26" s="3" t="s">
        <v>357</v>
      </c>
      <c r="C26" s="1" t="s">
        <v>236</v>
      </c>
      <c r="D26" s="1">
        <v>11</v>
      </c>
      <c r="E26" s="5">
        <f>D26*35</f>
        <v>385</v>
      </c>
      <c r="F26" s="3" t="s">
        <v>31</v>
      </c>
    </row>
    <row r="27" spans="1:6" ht="15.75" thickBot="1" x14ac:dyDescent="0.3">
      <c r="A27" s="289" t="s">
        <v>41</v>
      </c>
      <c r="B27" s="290"/>
      <c r="C27" s="290"/>
      <c r="D27" s="291"/>
      <c r="E27" s="54">
        <f>SUM(E24:E24)</f>
        <v>1360</v>
      </c>
    </row>
    <row r="28" spans="1:6" ht="15.75" thickBot="1" x14ac:dyDescent="0.3">
      <c r="A28" s="292" t="s">
        <v>39</v>
      </c>
      <c r="B28" s="293"/>
      <c r="F28" s="14" t="s">
        <v>40</v>
      </c>
    </row>
    <row r="29" spans="1:6" ht="19.5" thickBot="1" x14ac:dyDescent="0.35">
      <c r="A29" s="10" t="s">
        <v>0</v>
      </c>
      <c r="B29" s="11" t="s">
        <v>3</v>
      </c>
      <c r="C29" s="11" t="s">
        <v>1</v>
      </c>
      <c r="D29" s="11" t="s">
        <v>26</v>
      </c>
      <c r="E29" s="11" t="s">
        <v>23</v>
      </c>
      <c r="F29" s="12" t="s">
        <v>27</v>
      </c>
    </row>
    <row r="30" spans="1:6" x14ac:dyDescent="0.25">
      <c r="A30" s="3">
        <v>1</v>
      </c>
      <c r="B30" s="3" t="s">
        <v>387</v>
      </c>
      <c r="C30" s="3" t="s">
        <v>408</v>
      </c>
      <c r="D30" s="3">
        <v>17</v>
      </c>
      <c r="E30" s="4">
        <f>D30*80</f>
        <v>1360</v>
      </c>
      <c r="F30" s="3" t="s">
        <v>31</v>
      </c>
    </row>
    <row r="31" spans="1:6" x14ac:dyDescent="0.25">
      <c r="A31" s="3">
        <v>2</v>
      </c>
      <c r="B31" s="3" t="s">
        <v>387</v>
      </c>
      <c r="C31" s="1" t="s">
        <v>19</v>
      </c>
      <c r="D31" s="1">
        <v>51</v>
      </c>
      <c r="E31" s="5">
        <f>D31*15</f>
        <v>765</v>
      </c>
      <c r="F31" s="3" t="s">
        <v>31</v>
      </c>
    </row>
    <row r="32" spans="1:6" ht="15.75" thickBot="1" x14ac:dyDescent="0.3">
      <c r="A32" s="289" t="s">
        <v>41</v>
      </c>
      <c r="B32" s="290"/>
      <c r="C32" s="290"/>
      <c r="D32" s="291"/>
      <c r="E32" s="54">
        <f>SUM(E30:E31)</f>
        <v>2125</v>
      </c>
    </row>
    <row r="33" spans="1:6" ht="15.75" thickBot="1" x14ac:dyDescent="0.3">
      <c r="A33" s="292" t="s">
        <v>39</v>
      </c>
      <c r="B33" s="293"/>
      <c r="F33" s="14" t="s">
        <v>40</v>
      </c>
    </row>
    <row r="34" spans="1:6" ht="19.5" thickBot="1" x14ac:dyDescent="0.35">
      <c r="A34" s="10" t="s">
        <v>0</v>
      </c>
      <c r="B34" s="11" t="s">
        <v>3</v>
      </c>
      <c r="C34" s="11" t="s">
        <v>1</v>
      </c>
      <c r="D34" s="11" t="s">
        <v>26</v>
      </c>
      <c r="E34" s="11" t="s">
        <v>23</v>
      </c>
      <c r="F34" s="12" t="s">
        <v>27</v>
      </c>
    </row>
    <row r="35" spans="1:6" x14ac:dyDescent="0.25">
      <c r="A35" s="3">
        <v>1</v>
      </c>
      <c r="B35" s="3" t="s">
        <v>398</v>
      </c>
      <c r="C35" s="3" t="s">
        <v>18</v>
      </c>
      <c r="D35" s="3">
        <v>10</v>
      </c>
      <c r="E35" s="4">
        <f>D35*80</f>
        <v>800</v>
      </c>
      <c r="F35" s="3" t="s">
        <v>31</v>
      </c>
    </row>
    <row r="36" spans="1:6" x14ac:dyDescent="0.25">
      <c r="A36" s="3">
        <v>2</v>
      </c>
      <c r="B36" s="3" t="s">
        <v>398</v>
      </c>
      <c r="C36" s="1" t="s">
        <v>19</v>
      </c>
      <c r="D36" s="1">
        <v>30</v>
      </c>
      <c r="E36" s="5">
        <f>D36*15</f>
        <v>450</v>
      </c>
      <c r="F36" s="3" t="s">
        <v>31</v>
      </c>
    </row>
    <row r="37" spans="1:6" ht="15.75" thickBot="1" x14ac:dyDescent="0.3">
      <c r="A37" s="289" t="s">
        <v>41</v>
      </c>
      <c r="B37" s="290"/>
      <c r="C37" s="290"/>
      <c r="D37" s="291"/>
      <c r="E37" s="54">
        <f>SUM(E35:E36)</f>
        <v>1250</v>
      </c>
    </row>
    <row r="38" spans="1:6" ht="15.75" thickBot="1" x14ac:dyDescent="0.3">
      <c r="A38" s="292" t="s">
        <v>39</v>
      </c>
      <c r="B38" s="293"/>
      <c r="F38" s="14" t="s">
        <v>40</v>
      </c>
    </row>
    <row r="39" spans="1:6" ht="19.5" thickBot="1" x14ac:dyDescent="0.35">
      <c r="A39" s="10" t="s">
        <v>0</v>
      </c>
      <c r="B39" s="11" t="s">
        <v>3</v>
      </c>
      <c r="C39" s="11" t="s">
        <v>1</v>
      </c>
      <c r="D39" s="11" t="s">
        <v>26</v>
      </c>
      <c r="E39" s="11" t="s">
        <v>23</v>
      </c>
      <c r="F39" s="12" t="s">
        <v>27</v>
      </c>
    </row>
    <row r="40" spans="1:6" x14ac:dyDescent="0.25">
      <c r="A40" s="3">
        <v>1</v>
      </c>
      <c r="B40" s="66">
        <v>46022</v>
      </c>
      <c r="C40" s="3" t="s">
        <v>18</v>
      </c>
      <c r="D40" s="3">
        <v>8</v>
      </c>
      <c r="E40" s="4">
        <f>D40*80</f>
        <v>640</v>
      </c>
      <c r="F40" s="3" t="s">
        <v>31</v>
      </c>
    </row>
    <row r="41" spans="1:6" x14ac:dyDescent="0.25">
      <c r="A41" s="3">
        <v>2</v>
      </c>
      <c r="B41" s="66">
        <v>46022</v>
      </c>
      <c r="C41" s="1" t="s">
        <v>19</v>
      </c>
      <c r="D41" s="1">
        <v>24</v>
      </c>
      <c r="E41" s="5">
        <f>D41*15</f>
        <v>360</v>
      </c>
      <c r="F41" s="3" t="s">
        <v>31</v>
      </c>
    </row>
    <row r="42" spans="1:6" x14ac:dyDescent="0.25">
      <c r="A42" s="3">
        <v>3</v>
      </c>
      <c r="B42" s="66">
        <v>46022</v>
      </c>
      <c r="C42" s="1" t="s">
        <v>236</v>
      </c>
      <c r="D42" s="1">
        <v>8</v>
      </c>
      <c r="E42" s="5">
        <f>D42*35</f>
        <v>280</v>
      </c>
      <c r="F42" s="1"/>
    </row>
    <row r="43" spans="1:6" ht="15.75" thickBot="1" x14ac:dyDescent="0.3">
      <c r="A43" s="289" t="s">
        <v>41</v>
      </c>
      <c r="B43" s="290"/>
      <c r="C43" s="290"/>
      <c r="D43" s="291"/>
      <c r="E43" s="54">
        <f>SUM(E40:E42)</f>
        <v>1280</v>
      </c>
    </row>
    <row r="44" spans="1:6" ht="15.75" thickBot="1" x14ac:dyDescent="0.3">
      <c r="A44" s="292" t="s">
        <v>39</v>
      </c>
      <c r="B44" s="293"/>
      <c r="F44" s="14" t="s">
        <v>40</v>
      </c>
    </row>
    <row r="45" spans="1:6" ht="19.5" thickBot="1" x14ac:dyDescent="0.35">
      <c r="A45" s="10" t="s">
        <v>0</v>
      </c>
      <c r="B45" s="11" t="s">
        <v>3</v>
      </c>
      <c r="C45" s="11" t="s">
        <v>1</v>
      </c>
      <c r="D45" s="11" t="s">
        <v>26</v>
      </c>
      <c r="E45" s="11" t="s">
        <v>23</v>
      </c>
      <c r="F45" s="12" t="s">
        <v>27</v>
      </c>
    </row>
    <row r="46" spans="1:6" x14ac:dyDescent="0.25">
      <c r="A46" s="3">
        <v>1</v>
      </c>
      <c r="B46" s="66">
        <v>46023</v>
      </c>
      <c r="C46" s="3" t="s">
        <v>369</v>
      </c>
      <c r="D46" s="3">
        <v>42</v>
      </c>
      <c r="E46" s="4">
        <f>D46*110</f>
        <v>4620</v>
      </c>
      <c r="F46" s="3" t="s">
        <v>31</v>
      </c>
    </row>
    <row r="47" spans="1:6" x14ac:dyDescent="0.25">
      <c r="A47" s="3">
        <v>2</v>
      </c>
      <c r="B47" s="66">
        <v>46023</v>
      </c>
      <c r="C47" s="1" t="s">
        <v>19</v>
      </c>
      <c r="D47" s="1">
        <f>42*3</f>
        <v>126</v>
      </c>
      <c r="E47" s="5">
        <f>D47*15</f>
        <v>1890</v>
      </c>
      <c r="F47" s="3" t="s">
        <v>31</v>
      </c>
    </row>
    <row r="48" spans="1:6" x14ac:dyDescent="0.25">
      <c r="A48" s="3">
        <v>3</v>
      </c>
      <c r="B48" s="66">
        <v>46023</v>
      </c>
      <c r="C48" s="1" t="s">
        <v>236</v>
      </c>
      <c r="D48" s="1">
        <v>38</v>
      </c>
      <c r="E48" s="5">
        <f>D48*35</f>
        <v>1330</v>
      </c>
      <c r="F48" s="3" t="s">
        <v>31</v>
      </c>
    </row>
    <row r="49" spans="1:6" ht="15.75" thickBot="1" x14ac:dyDescent="0.3">
      <c r="A49" s="289" t="s">
        <v>41</v>
      </c>
      <c r="B49" s="290"/>
      <c r="C49" s="290"/>
      <c r="D49" s="291"/>
      <c r="E49" s="54">
        <f>SUM(E46:E48)</f>
        <v>7840</v>
      </c>
    </row>
    <row r="50" spans="1:6" ht="15.75" thickBot="1" x14ac:dyDescent="0.3">
      <c r="A50" s="292" t="s">
        <v>39</v>
      </c>
      <c r="B50" s="293"/>
      <c r="F50" s="14" t="s">
        <v>40</v>
      </c>
    </row>
    <row r="51" spans="1:6" ht="19.5" thickBot="1" x14ac:dyDescent="0.35">
      <c r="A51" s="10" t="s">
        <v>0</v>
      </c>
      <c r="B51" s="11" t="s">
        <v>3</v>
      </c>
      <c r="C51" s="11" t="s">
        <v>1</v>
      </c>
      <c r="D51" s="11" t="s">
        <v>26</v>
      </c>
      <c r="E51" s="11" t="s">
        <v>23</v>
      </c>
      <c r="F51" s="12" t="s">
        <v>27</v>
      </c>
    </row>
    <row r="52" spans="1:6" x14ac:dyDescent="0.25">
      <c r="A52" s="3">
        <v>1</v>
      </c>
      <c r="B52" s="66">
        <v>46024</v>
      </c>
      <c r="C52" s="3" t="s">
        <v>278</v>
      </c>
      <c r="D52" s="3">
        <v>22</v>
      </c>
      <c r="E52" s="4">
        <f>D52*110</f>
        <v>2420</v>
      </c>
      <c r="F52" s="3" t="s">
        <v>31</v>
      </c>
    </row>
    <row r="53" spans="1:6" x14ac:dyDescent="0.25">
      <c r="A53" s="3">
        <v>2</v>
      </c>
      <c r="B53" s="66">
        <v>46024</v>
      </c>
      <c r="C53" s="1" t="s">
        <v>236</v>
      </c>
      <c r="D53" s="1">
        <v>22</v>
      </c>
      <c r="E53" s="5">
        <f>D53*15</f>
        <v>330</v>
      </c>
      <c r="F53" s="3" t="s">
        <v>31</v>
      </c>
    </row>
    <row r="54" spans="1:6" ht="15.75" thickBot="1" x14ac:dyDescent="0.3">
      <c r="A54" s="289" t="s">
        <v>41</v>
      </c>
      <c r="B54" s="290"/>
      <c r="C54" s="290"/>
      <c r="D54" s="291"/>
      <c r="E54" s="54">
        <f>SUM(E52:E53)</f>
        <v>2750</v>
      </c>
    </row>
    <row r="55" spans="1:6" ht="15.75" thickBot="1" x14ac:dyDescent="0.3">
      <c r="A55" s="292" t="s">
        <v>39</v>
      </c>
      <c r="B55" s="293"/>
      <c r="F55" s="14" t="s">
        <v>40</v>
      </c>
    </row>
    <row r="56" spans="1:6" ht="18.75" x14ac:dyDescent="0.3">
      <c r="A56" s="26" t="s">
        <v>0</v>
      </c>
      <c r="B56" s="27" t="s">
        <v>3</v>
      </c>
      <c r="C56" s="27" t="s">
        <v>1</v>
      </c>
      <c r="D56" s="27" t="s">
        <v>26</v>
      </c>
      <c r="E56" s="27" t="s">
        <v>23</v>
      </c>
      <c r="F56" s="28" t="s">
        <v>27</v>
      </c>
    </row>
    <row r="57" spans="1:6" x14ac:dyDescent="0.25">
      <c r="A57" s="1">
        <v>1</v>
      </c>
      <c r="B57" s="66">
        <v>46028</v>
      </c>
      <c r="C57" s="1" t="s">
        <v>18</v>
      </c>
      <c r="D57" s="1">
        <v>5</v>
      </c>
      <c r="E57" s="5">
        <f>D57*80</f>
        <v>400</v>
      </c>
      <c r="F57" s="1" t="s">
        <v>31</v>
      </c>
    </row>
    <row r="58" spans="1:6" x14ac:dyDescent="0.25">
      <c r="A58" s="1">
        <v>2</v>
      </c>
      <c r="B58" s="66">
        <v>46028</v>
      </c>
      <c r="C58" s="1" t="s">
        <v>19</v>
      </c>
      <c r="D58" s="1">
        <v>15</v>
      </c>
      <c r="E58" s="5">
        <f>D58*15</f>
        <v>225</v>
      </c>
      <c r="F58" s="1" t="s">
        <v>31</v>
      </c>
    </row>
    <row r="59" spans="1:6" x14ac:dyDescent="0.25">
      <c r="A59" s="1">
        <v>3</v>
      </c>
      <c r="B59" s="66">
        <v>46028</v>
      </c>
      <c r="C59" s="1" t="s">
        <v>37</v>
      </c>
      <c r="D59" s="1">
        <v>5</v>
      </c>
      <c r="E59" s="5">
        <f>D59*30</f>
        <v>150</v>
      </c>
      <c r="F59" s="1" t="s">
        <v>31</v>
      </c>
    </row>
    <row r="60" spans="1:6" ht="15.75" thickBot="1" x14ac:dyDescent="0.3">
      <c r="A60" s="289" t="s">
        <v>41</v>
      </c>
      <c r="B60" s="290"/>
      <c r="C60" s="290"/>
      <c r="D60" s="291"/>
      <c r="E60" s="25">
        <f>SUM(E57:E59)</f>
        <v>775</v>
      </c>
    </row>
    <row r="61" spans="1:6" ht="15.75" thickBot="1" x14ac:dyDescent="0.3">
      <c r="A61" s="292" t="s">
        <v>39</v>
      </c>
      <c r="B61" s="293"/>
      <c r="F61" s="14" t="s">
        <v>40</v>
      </c>
    </row>
    <row r="62" spans="1:6" ht="19.5" thickBot="1" x14ac:dyDescent="0.35">
      <c r="A62" s="10" t="s">
        <v>0</v>
      </c>
      <c r="B62" s="11" t="s">
        <v>3</v>
      </c>
      <c r="C62" s="11" t="s">
        <v>1</v>
      </c>
      <c r="D62" s="11" t="s">
        <v>26</v>
      </c>
      <c r="E62" s="11" t="s">
        <v>23</v>
      </c>
      <c r="F62" s="12" t="s">
        <v>27</v>
      </c>
    </row>
    <row r="63" spans="1:6" x14ac:dyDescent="0.25">
      <c r="A63" s="3">
        <v>1</v>
      </c>
      <c r="B63" s="67">
        <v>46030</v>
      </c>
      <c r="C63" s="3" t="s">
        <v>406</v>
      </c>
      <c r="D63" s="3">
        <v>21</v>
      </c>
      <c r="E63" s="4">
        <f>D63*110</f>
        <v>2310</v>
      </c>
      <c r="F63" s="3" t="s">
        <v>31</v>
      </c>
    </row>
    <row r="64" spans="1:6" ht="15.75" thickBot="1" x14ac:dyDescent="0.3">
      <c r="A64" s="315" t="s">
        <v>41</v>
      </c>
      <c r="B64" s="316"/>
      <c r="C64" s="316"/>
      <c r="D64" s="317"/>
      <c r="E64" s="54">
        <f>SUM(E63:E63)</f>
        <v>2310</v>
      </c>
    </row>
    <row r="65" spans="1:6" ht="15.75" thickBot="1" x14ac:dyDescent="0.3">
      <c r="A65" s="292" t="s">
        <v>39</v>
      </c>
      <c r="B65" s="293"/>
      <c r="F65" s="14" t="s">
        <v>40</v>
      </c>
    </row>
    <row r="66" spans="1:6" ht="19.5" thickBot="1" x14ac:dyDescent="0.35">
      <c r="A66" s="10" t="s">
        <v>0</v>
      </c>
      <c r="B66" s="11" t="s">
        <v>3</v>
      </c>
      <c r="C66" s="11" t="s">
        <v>1</v>
      </c>
      <c r="D66" s="11" t="s">
        <v>26</v>
      </c>
      <c r="E66" s="11" t="s">
        <v>23</v>
      </c>
      <c r="F66" s="12" t="s">
        <v>27</v>
      </c>
    </row>
    <row r="67" spans="1:6" x14ac:dyDescent="0.25">
      <c r="A67" s="3">
        <v>1</v>
      </c>
      <c r="B67" s="67">
        <v>46030</v>
      </c>
      <c r="C67" s="3" t="s">
        <v>626</v>
      </c>
      <c r="D67" s="3">
        <v>6</v>
      </c>
      <c r="E67" s="4">
        <f>D67*220</f>
        <v>1320</v>
      </c>
      <c r="F67" s="3" t="s">
        <v>31</v>
      </c>
    </row>
    <row r="68" spans="1:6" x14ac:dyDescent="0.25">
      <c r="A68" s="3">
        <v>2</v>
      </c>
      <c r="B68" s="67">
        <v>46030</v>
      </c>
      <c r="C68" s="1" t="s">
        <v>19</v>
      </c>
      <c r="D68" s="1">
        <v>18</v>
      </c>
      <c r="E68" s="5">
        <f>D68*15</f>
        <v>270</v>
      </c>
      <c r="F68" s="1" t="s">
        <v>31</v>
      </c>
    </row>
    <row r="69" spans="1:6" x14ac:dyDescent="0.25">
      <c r="A69" s="3">
        <v>3</v>
      </c>
      <c r="B69" s="67">
        <v>46030</v>
      </c>
      <c r="C69" s="1" t="s">
        <v>37</v>
      </c>
      <c r="D69" s="1">
        <v>6</v>
      </c>
      <c r="E69" s="5">
        <f>D69*35</f>
        <v>210</v>
      </c>
      <c r="F69" s="1" t="s">
        <v>31</v>
      </c>
    </row>
    <row r="70" spans="1:6" ht="15.75" thickBot="1" x14ac:dyDescent="0.3">
      <c r="A70" s="289" t="s">
        <v>41</v>
      </c>
      <c r="B70" s="290"/>
      <c r="C70" s="290"/>
      <c r="D70" s="291"/>
      <c r="E70" s="54">
        <f>SUM(E67:E69)</f>
        <v>1800</v>
      </c>
    </row>
    <row r="71" spans="1:6" ht="15.75" thickBot="1" x14ac:dyDescent="0.3">
      <c r="A71" s="292" t="s">
        <v>39</v>
      </c>
      <c r="B71" s="293"/>
      <c r="F71" s="14" t="s">
        <v>40</v>
      </c>
    </row>
    <row r="72" spans="1:6" ht="19.5" thickBot="1" x14ac:dyDescent="0.35">
      <c r="A72" s="10" t="s">
        <v>0</v>
      </c>
      <c r="B72" s="11" t="s">
        <v>3</v>
      </c>
      <c r="C72" s="11" t="s">
        <v>1</v>
      </c>
      <c r="D72" s="11" t="s">
        <v>26</v>
      </c>
      <c r="E72" s="11" t="s">
        <v>23</v>
      </c>
      <c r="F72" s="12" t="s">
        <v>27</v>
      </c>
    </row>
    <row r="73" spans="1:6" x14ac:dyDescent="0.25">
      <c r="A73" s="3">
        <v>1</v>
      </c>
      <c r="B73" s="67">
        <v>46031</v>
      </c>
      <c r="C73" s="3" t="s">
        <v>18</v>
      </c>
      <c r="D73" s="3">
        <v>21</v>
      </c>
      <c r="E73" s="4">
        <f>D73*80</f>
        <v>1680</v>
      </c>
      <c r="F73" s="3" t="s">
        <v>31</v>
      </c>
    </row>
    <row r="74" spans="1:6" x14ac:dyDescent="0.25">
      <c r="A74" s="3">
        <v>2</v>
      </c>
      <c r="B74" s="67">
        <v>46031</v>
      </c>
      <c r="C74" s="1" t="s">
        <v>19</v>
      </c>
      <c r="D74" s="1">
        <f>D73*3</f>
        <v>63</v>
      </c>
      <c r="E74" s="5">
        <f>D74*15</f>
        <v>945</v>
      </c>
      <c r="F74" s="1" t="s">
        <v>31</v>
      </c>
    </row>
    <row r="75" spans="1:6" ht="15.75" thickBot="1" x14ac:dyDescent="0.3">
      <c r="A75" s="289" t="s">
        <v>41</v>
      </c>
      <c r="B75" s="290"/>
      <c r="C75" s="290"/>
      <c r="D75" s="291"/>
      <c r="E75" s="54">
        <f>SUM(E73:E74)</f>
        <v>2625</v>
      </c>
    </row>
    <row r="76" spans="1:6" ht="15.75" thickBot="1" x14ac:dyDescent="0.3">
      <c r="A76" s="292" t="s">
        <v>39</v>
      </c>
      <c r="B76" s="293"/>
      <c r="F76" s="14" t="s">
        <v>40</v>
      </c>
    </row>
    <row r="77" spans="1:6" ht="19.5" thickBot="1" x14ac:dyDescent="0.35">
      <c r="A77" s="10" t="s">
        <v>0</v>
      </c>
      <c r="B77" s="11" t="s">
        <v>3</v>
      </c>
      <c r="C77" s="11" t="s">
        <v>1</v>
      </c>
      <c r="D77" s="11" t="s">
        <v>26</v>
      </c>
      <c r="E77" s="11" t="s">
        <v>23</v>
      </c>
      <c r="F77" s="12" t="s">
        <v>27</v>
      </c>
    </row>
    <row r="78" spans="1:6" x14ac:dyDescent="0.25">
      <c r="A78" s="3">
        <v>1</v>
      </c>
      <c r="B78" s="67">
        <v>46031</v>
      </c>
      <c r="C78" s="3" t="s">
        <v>18</v>
      </c>
      <c r="D78" s="3">
        <v>18</v>
      </c>
      <c r="E78" s="4">
        <f>D78*80</f>
        <v>1440</v>
      </c>
      <c r="F78" s="3" t="s">
        <v>31</v>
      </c>
    </row>
    <row r="79" spans="1:6" x14ac:dyDescent="0.25">
      <c r="A79" s="3">
        <v>2</v>
      </c>
      <c r="B79" s="67">
        <v>46031</v>
      </c>
      <c r="C79" s="1" t="s">
        <v>19</v>
      </c>
      <c r="D79" s="1">
        <f>D78*3</f>
        <v>54</v>
      </c>
      <c r="E79" s="5">
        <f>D79*15</f>
        <v>810</v>
      </c>
      <c r="F79" s="1" t="s">
        <v>31</v>
      </c>
    </row>
    <row r="80" spans="1:6" x14ac:dyDescent="0.25">
      <c r="A80" s="3">
        <v>3</v>
      </c>
      <c r="B80" s="67">
        <v>46031</v>
      </c>
      <c r="C80" s="1" t="s">
        <v>37</v>
      </c>
      <c r="D80" s="1">
        <v>21</v>
      </c>
      <c r="E80" s="5">
        <f>D80*30</f>
        <v>630</v>
      </c>
      <c r="F80" s="1" t="s">
        <v>31</v>
      </c>
    </row>
    <row r="81" spans="1:6" ht="15.75" thickBot="1" x14ac:dyDescent="0.3">
      <c r="A81" s="289" t="s">
        <v>41</v>
      </c>
      <c r="B81" s="290"/>
      <c r="C81" s="290"/>
      <c r="D81" s="291"/>
      <c r="E81" s="54">
        <f>SUM(E78:E80)</f>
        <v>2880</v>
      </c>
    </row>
    <row r="82" spans="1:6" ht="15.75" thickBot="1" x14ac:dyDescent="0.3">
      <c r="A82" s="292" t="s">
        <v>39</v>
      </c>
      <c r="B82" s="293"/>
      <c r="F82" s="14" t="s">
        <v>40</v>
      </c>
    </row>
    <row r="83" spans="1:6" ht="19.5" thickBot="1" x14ac:dyDescent="0.35">
      <c r="A83" s="10" t="s">
        <v>0</v>
      </c>
      <c r="B83" s="11" t="s">
        <v>3</v>
      </c>
      <c r="C83" s="11" t="s">
        <v>1</v>
      </c>
      <c r="D83" s="11" t="s">
        <v>26</v>
      </c>
      <c r="E83" s="11" t="s">
        <v>23</v>
      </c>
      <c r="F83" s="12" t="s">
        <v>27</v>
      </c>
    </row>
    <row r="84" spans="1:6" x14ac:dyDescent="0.25">
      <c r="A84" s="3">
        <v>1</v>
      </c>
      <c r="B84" s="67">
        <v>46032</v>
      </c>
      <c r="C84" s="3" t="s">
        <v>14</v>
      </c>
      <c r="D84" s="3">
        <v>14</v>
      </c>
      <c r="E84" s="4">
        <f>D84*80</f>
        <v>1120</v>
      </c>
      <c r="F84" s="3" t="s">
        <v>31</v>
      </c>
    </row>
    <row r="85" spans="1:6" x14ac:dyDescent="0.25">
      <c r="A85" s="3">
        <v>2</v>
      </c>
      <c r="B85" s="67">
        <v>46032</v>
      </c>
      <c r="C85" s="1" t="s">
        <v>19</v>
      </c>
      <c r="D85" s="1">
        <f>D84*3</f>
        <v>42</v>
      </c>
      <c r="E85" s="5">
        <f>D85*15</f>
        <v>630</v>
      </c>
      <c r="F85" s="1" t="s">
        <v>31</v>
      </c>
    </row>
    <row r="86" spans="1:6" ht="15.75" thickBot="1" x14ac:dyDescent="0.3">
      <c r="A86" s="289" t="s">
        <v>41</v>
      </c>
      <c r="B86" s="290"/>
      <c r="C86" s="290"/>
      <c r="D86" s="291"/>
      <c r="E86" s="54">
        <f>SUM(E84:E85)</f>
        <v>1750</v>
      </c>
    </row>
    <row r="87" spans="1:6" ht="15.75" thickBot="1" x14ac:dyDescent="0.3">
      <c r="A87" s="292" t="s">
        <v>39</v>
      </c>
      <c r="B87" s="293"/>
      <c r="F87" s="14" t="s">
        <v>40</v>
      </c>
    </row>
    <row r="88" spans="1:6" ht="19.5" thickBot="1" x14ac:dyDescent="0.35">
      <c r="A88" s="10" t="s">
        <v>0</v>
      </c>
      <c r="B88" s="11" t="s">
        <v>3</v>
      </c>
      <c r="C88" s="11" t="s">
        <v>1</v>
      </c>
      <c r="D88" s="11" t="s">
        <v>26</v>
      </c>
      <c r="E88" s="11" t="s">
        <v>23</v>
      </c>
      <c r="F88" s="12" t="s">
        <v>27</v>
      </c>
    </row>
    <row r="89" spans="1:6" x14ac:dyDescent="0.25">
      <c r="A89" s="3">
        <v>1</v>
      </c>
      <c r="B89" s="67">
        <v>46036</v>
      </c>
      <c r="C89" s="3" t="s">
        <v>433</v>
      </c>
      <c r="D89" s="3">
        <v>22</v>
      </c>
      <c r="E89" s="4">
        <f>D89*120</f>
        <v>2640</v>
      </c>
      <c r="F89" s="3" t="s">
        <v>31</v>
      </c>
    </row>
    <row r="90" spans="1:6" ht="15.75" thickBot="1" x14ac:dyDescent="0.3">
      <c r="A90" s="289" t="s">
        <v>41</v>
      </c>
      <c r="B90" s="290"/>
      <c r="C90" s="290"/>
      <c r="D90" s="291"/>
      <c r="E90" s="54">
        <f>SUM(E89:E89)</f>
        <v>2640</v>
      </c>
    </row>
    <row r="91" spans="1:6" ht="15.75" thickBot="1" x14ac:dyDescent="0.3">
      <c r="A91" s="292" t="s">
        <v>39</v>
      </c>
      <c r="B91" s="293"/>
      <c r="F91" s="14" t="s">
        <v>40</v>
      </c>
    </row>
    <row r="92" spans="1:6" ht="19.5" thickBot="1" x14ac:dyDescent="0.35">
      <c r="A92" s="10" t="s">
        <v>0</v>
      </c>
      <c r="B92" s="11" t="s">
        <v>3</v>
      </c>
      <c r="C92" s="11" t="s">
        <v>1</v>
      </c>
      <c r="D92" s="11" t="s">
        <v>26</v>
      </c>
      <c r="E92" s="11" t="s">
        <v>23</v>
      </c>
      <c r="F92" s="12" t="s">
        <v>27</v>
      </c>
    </row>
    <row r="93" spans="1:6" x14ac:dyDescent="0.25">
      <c r="A93" s="3">
        <v>1</v>
      </c>
      <c r="B93" s="67">
        <v>46037</v>
      </c>
      <c r="C93" s="3" t="s">
        <v>124</v>
      </c>
      <c r="D93" s="3">
        <v>13</v>
      </c>
      <c r="E93" s="4">
        <f>D93*110</f>
        <v>1430</v>
      </c>
      <c r="F93" s="3" t="s">
        <v>31</v>
      </c>
    </row>
    <row r="94" spans="1:6" x14ac:dyDescent="0.25">
      <c r="A94" s="3">
        <v>2</v>
      </c>
      <c r="B94" s="67">
        <v>46037</v>
      </c>
      <c r="C94" s="1" t="s">
        <v>19</v>
      </c>
      <c r="D94" s="1">
        <f>13*3</f>
        <v>39</v>
      </c>
      <c r="E94" s="5">
        <f>D94*15</f>
        <v>585</v>
      </c>
      <c r="F94" s="3" t="s">
        <v>31</v>
      </c>
    </row>
    <row r="95" spans="1:6" x14ac:dyDescent="0.25">
      <c r="A95" s="3">
        <v>3</v>
      </c>
      <c r="B95" s="67">
        <v>46037</v>
      </c>
      <c r="C95" s="24" t="s">
        <v>37</v>
      </c>
      <c r="D95" s="1">
        <v>13</v>
      </c>
      <c r="E95" s="5">
        <f>D95*30</f>
        <v>390</v>
      </c>
      <c r="F95" s="3" t="s">
        <v>31</v>
      </c>
    </row>
    <row r="96" spans="1:6" ht="15.75" thickBot="1" x14ac:dyDescent="0.3">
      <c r="A96" s="289" t="s">
        <v>41</v>
      </c>
      <c r="B96" s="290"/>
      <c r="C96" s="290"/>
      <c r="D96" s="291"/>
      <c r="E96" s="54">
        <f>SUM(E93:E95)</f>
        <v>2405</v>
      </c>
    </row>
    <row r="97" spans="1:6" ht="15.75" thickBot="1" x14ac:dyDescent="0.3">
      <c r="A97" s="292" t="s">
        <v>39</v>
      </c>
      <c r="B97" s="293"/>
      <c r="F97" s="14" t="s">
        <v>40</v>
      </c>
    </row>
    <row r="98" spans="1:6" ht="19.5" thickBot="1" x14ac:dyDescent="0.35">
      <c r="A98" s="10" t="s">
        <v>0</v>
      </c>
      <c r="B98" s="11" t="s">
        <v>3</v>
      </c>
      <c r="C98" s="11" t="s">
        <v>1</v>
      </c>
      <c r="D98" s="11" t="s">
        <v>26</v>
      </c>
      <c r="E98" s="11" t="s">
        <v>23</v>
      </c>
      <c r="F98" s="12" t="s">
        <v>27</v>
      </c>
    </row>
    <row r="99" spans="1:6" x14ac:dyDescent="0.25">
      <c r="A99" s="3">
        <v>1</v>
      </c>
      <c r="B99" s="67">
        <v>46037</v>
      </c>
      <c r="C99" s="3" t="s">
        <v>124</v>
      </c>
      <c r="D99" s="3">
        <v>25</v>
      </c>
      <c r="E99" s="4">
        <f>D99*110</f>
        <v>2750</v>
      </c>
      <c r="F99" s="3" t="s">
        <v>31</v>
      </c>
    </row>
    <row r="100" spans="1:6" x14ac:dyDescent="0.25">
      <c r="A100" s="3">
        <v>2</v>
      </c>
      <c r="B100" s="67">
        <v>46037</v>
      </c>
      <c r="C100" s="1" t="s">
        <v>19</v>
      </c>
      <c r="D100" s="1">
        <f>25*3</f>
        <v>75</v>
      </c>
      <c r="E100" s="5">
        <f>D100*15</f>
        <v>1125</v>
      </c>
      <c r="F100" s="3" t="s">
        <v>31</v>
      </c>
    </row>
    <row r="101" spans="1:6" ht="15.75" thickBot="1" x14ac:dyDescent="0.3">
      <c r="A101" s="289" t="s">
        <v>41</v>
      </c>
      <c r="B101" s="290"/>
      <c r="C101" s="290"/>
      <c r="D101" s="291"/>
      <c r="E101" s="54">
        <f>SUM(E99:E100)</f>
        <v>3875</v>
      </c>
    </row>
    <row r="102" spans="1:6" ht="15.75" thickBot="1" x14ac:dyDescent="0.3">
      <c r="A102" s="292" t="s">
        <v>39</v>
      </c>
      <c r="B102" s="293"/>
      <c r="F102" s="14" t="s">
        <v>40</v>
      </c>
    </row>
    <row r="103" spans="1:6" ht="19.5" thickBot="1" x14ac:dyDescent="0.35">
      <c r="A103" s="10" t="s">
        <v>0</v>
      </c>
      <c r="B103" s="11" t="s">
        <v>3</v>
      </c>
      <c r="C103" s="11" t="s">
        <v>1</v>
      </c>
      <c r="D103" s="11" t="s">
        <v>26</v>
      </c>
      <c r="E103" s="11" t="s">
        <v>23</v>
      </c>
      <c r="F103" s="12" t="s">
        <v>27</v>
      </c>
    </row>
    <row r="104" spans="1:6" x14ac:dyDescent="0.25">
      <c r="A104" s="3">
        <v>1</v>
      </c>
      <c r="B104" s="67">
        <v>46039</v>
      </c>
      <c r="C104" s="3" t="s">
        <v>18</v>
      </c>
      <c r="D104" s="3">
        <v>25</v>
      </c>
      <c r="E104" s="4">
        <f>D104*80</f>
        <v>2000</v>
      </c>
      <c r="F104" s="3" t="s">
        <v>31</v>
      </c>
    </row>
    <row r="105" spans="1:6" x14ac:dyDescent="0.25">
      <c r="A105" s="3">
        <v>2</v>
      </c>
      <c r="B105" s="67">
        <v>46039</v>
      </c>
      <c r="C105" s="1" t="s">
        <v>19</v>
      </c>
      <c r="D105" s="1">
        <f>D104*3</f>
        <v>75</v>
      </c>
      <c r="E105" s="5">
        <f>D105*15</f>
        <v>1125</v>
      </c>
      <c r="F105" s="3" t="s">
        <v>31</v>
      </c>
    </row>
    <row r="106" spans="1:6" ht="15.75" thickBot="1" x14ac:dyDescent="0.3">
      <c r="A106" s="289" t="s">
        <v>41</v>
      </c>
      <c r="B106" s="290"/>
      <c r="C106" s="290"/>
      <c r="D106" s="291"/>
      <c r="E106" s="54">
        <f>SUM(E104:E105)</f>
        <v>3125</v>
      </c>
    </row>
    <row r="107" spans="1:6" ht="15.75" thickBot="1" x14ac:dyDescent="0.3">
      <c r="A107" s="292" t="s">
        <v>39</v>
      </c>
      <c r="B107" s="293"/>
      <c r="F107" s="14" t="s">
        <v>40</v>
      </c>
    </row>
  </sheetData>
  <mergeCells count="40">
    <mergeCell ref="A33:B33"/>
    <mergeCell ref="A5:D5"/>
    <mergeCell ref="A6:B6"/>
    <mergeCell ref="A11:D11"/>
    <mergeCell ref="A12:B12"/>
    <mergeCell ref="A18:B18"/>
    <mergeCell ref="A17:D17"/>
    <mergeCell ref="A21:D21"/>
    <mergeCell ref="A22:B22"/>
    <mergeCell ref="A27:D27"/>
    <mergeCell ref="A28:B28"/>
    <mergeCell ref="A32:D32"/>
    <mergeCell ref="A44:B44"/>
    <mergeCell ref="A37:D37"/>
    <mergeCell ref="A38:B38"/>
    <mergeCell ref="A43:D43"/>
    <mergeCell ref="A50:B50"/>
    <mergeCell ref="A49:D49"/>
    <mergeCell ref="A54:D54"/>
    <mergeCell ref="A55:B55"/>
    <mergeCell ref="A60:D60"/>
    <mergeCell ref="A61:B61"/>
    <mergeCell ref="A64:D64"/>
    <mergeCell ref="A71:B71"/>
    <mergeCell ref="A65:B65"/>
    <mergeCell ref="A75:D75"/>
    <mergeCell ref="A76:B76"/>
    <mergeCell ref="A82:B82"/>
    <mergeCell ref="A81:D81"/>
    <mergeCell ref="A70:D70"/>
    <mergeCell ref="A86:D86"/>
    <mergeCell ref="A87:B87"/>
    <mergeCell ref="A90:D90"/>
    <mergeCell ref="A91:B91"/>
    <mergeCell ref="A96:D96"/>
    <mergeCell ref="A106:D106"/>
    <mergeCell ref="A107:B107"/>
    <mergeCell ref="A97:B97"/>
    <mergeCell ref="A101:D101"/>
    <mergeCell ref="A102:B102"/>
  </mergeCells>
  <pageMargins left="0.70866141732283472" right="0.70866141732283472" top="0.74803149606299213" bottom="0.74803149606299213" header="0.31496062992125984" footer="0.31496062992125984"/>
  <pageSetup scale="121" orientation="portrait" horizontalDpi="4294967295" verticalDpi="4294967295" r:id="rId1"/>
  <rowBreaks count="3" manualBreakCount="3">
    <brk id="33" max="16383" man="1"/>
    <brk id="61" max="16383" man="1"/>
    <brk id="9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zoomScale="160" zoomScaleNormal="160" workbookViewId="0">
      <selection sqref="A1:E18"/>
    </sheetView>
  </sheetViews>
  <sheetFormatPr defaultRowHeight="15" x14ac:dyDescent="0.25"/>
  <cols>
    <col min="1" max="1" width="7.28515625" bestFit="1" customWidth="1"/>
    <col min="2" max="2" width="11.28515625" bestFit="1" customWidth="1"/>
    <col min="3" max="3" width="11.85546875" bestFit="1" customWidth="1"/>
    <col min="4" max="4" width="14.5703125" bestFit="1" customWidth="1"/>
    <col min="5" max="5" width="20.85546875" bestFit="1" customWidth="1"/>
  </cols>
  <sheetData>
    <row r="1" spans="1:5" ht="19.5" thickBot="1" x14ac:dyDescent="0.35">
      <c r="A1" s="318" t="s">
        <v>953</v>
      </c>
      <c r="B1" s="319"/>
      <c r="C1" s="319"/>
      <c r="D1" s="319"/>
      <c r="E1" s="320"/>
    </row>
    <row r="2" spans="1:5" x14ac:dyDescent="0.25">
      <c r="A2" s="40" t="s">
        <v>0</v>
      </c>
      <c r="B2" s="40" t="s">
        <v>3</v>
      </c>
      <c r="C2" s="40" t="s">
        <v>24</v>
      </c>
      <c r="D2" s="40" t="s">
        <v>8</v>
      </c>
      <c r="E2" s="40" t="s">
        <v>540</v>
      </c>
    </row>
    <row r="3" spans="1:5" x14ac:dyDescent="0.25">
      <c r="A3" s="58">
        <v>1</v>
      </c>
      <c r="B3" s="106">
        <v>46023</v>
      </c>
      <c r="C3" s="1" t="s">
        <v>541</v>
      </c>
      <c r="D3" s="5">
        <v>7840</v>
      </c>
      <c r="E3" s="58" t="s">
        <v>31</v>
      </c>
    </row>
    <row r="4" spans="1:5" x14ac:dyDescent="0.25">
      <c r="A4" s="58">
        <v>2</v>
      </c>
      <c r="B4" s="106">
        <v>46024</v>
      </c>
      <c r="C4" s="1" t="s">
        <v>541</v>
      </c>
      <c r="D4" s="5">
        <v>2750</v>
      </c>
      <c r="E4" s="58" t="s">
        <v>31</v>
      </c>
    </row>
    <row r="5" spans="1:5" x14ac:dyDescent="0.25">
      <c r="A5" s="58">
        <v>3</v>
      </c>
      <c r="B5" s="106">
        <v>46028</v>
      </c>
      <c r="C5" s="1" t="s">
        <v>541</v>
      </c>
      <c r="D5" s="147">
        <v>775</v>
      </c>
      <c r="E5" s="58" t="s">
        <v>31</v>
      </c>
    </row>
    <row r="6" spans="1:5" x14ac:dyDescent="0.25">
      <c r="A6" s="58">
        <v>4</v>
      </c>
      <c r="B6" s="106">
        <v>46030</v>
      </c>
      <c r="C6" s="1" t="s">
        <v>541</v>
      </c>
      <c r="D6" s="147">
        <v>2310</v>
      </c>
      <c r="E6" s="58" t="s">
        <v>31</v>
      </c>
    </row>
    <row r="7" spans="1:5" x14ac:dyDescent="0.25">
      <c r="A7" s="58">
        <v>5</v>
      </c>
      <c r="B7" s="106">
        <v>46030</v>
      </c>
      <c r="C7" s="1" t="s">
        <v>541</v>
      </c>
      <c r="D7" s="147">
        <v>1800</v>
      </c>
      <c r="E7" s="58" t="s">
        <v>31</v>
      </c>
    </row>
    <row r="8" spans="1:5" x14ac:dyDescent="0.25">
      <c r="A8" s="58">
        <v>6</v>
      </c>
      <c r="B8" s="106">
        <v>46031</v>
      </c>
      <c r="C8" s="1" t="s">
        <v>541</v>
      </c>
      <c r="D8" s="147">
        <v>2880</v>
      </c>
      <c r="E8" s="58" t="s">
        <v>31</v>
      </c>
    </row>
    <row r="9" spans="1:5" x14ac:dyDescent="0.25">
      <c r="A9" s="58">
        <v>7</v>
      </c>
      <c r="B9" s="106">
        <v>46031</v>
      </c>
      <c r="C9" s="1" t="s">
        <v>541</v>
      </c>
      <c r="D9" s="147">
        <v>2625</v>
      </c>
      <c r="E9" s="58" t="s">
        <v>31</v>
      </c>
    </row>
    <row r="10" spans="1:5" x14ac:dyDescent="0.25">
      <c r="A10" s="58">
        <v>8</v>
      </c>
      <c r="B10" s="106">
        <v>46032</v>
      </c>
      <c r="C10" s="1" t="s">
        <v>541</v>
      </c>
      <c r="D10" s="147">
        <v>1750</v>
      </c>
      <c r="E10" s="58" t="s">
        <v>31</v>
      </c>
    </row>
    <row r="11" spans="1:5" x14ac:dyDescent="0.25">
      <c r="A11" s="58">
        <v>9</v>
      </c>
      <c r="B11" s="106">
        <v>46036</v>
      </c>
      <c r="C11" s="1" t="s">
        <v>541</v>
      </c>
      <c r="D11" s="147">
        <v>2640</v>
      </c>
      <c r="E11" s="58" t="s">
        <v>31</v>
      </c>
    </row>
    <row r="12" spans="1:5" x14ac:dyDescent="0.25">
      <c r="A12" s="58">
        <v>10</v>
      </c>
      <c r="B12" s="106">
        <v>46037</v>
      </c>
      <c r="C12" s="1" t="s">
        <v>541</v>
      </c>
      <c r="D12" s="147">
        <v>3875</v>
      </c>
      <c r="E12" s="58" t="s">
        <v>31</v>
      </c>
    </row>
    <row r="13" spans="1:5" ht="15.75" thickBot="1" x14ac:dyDescent="0.3">
      <c r="A13" s="195">
        <v>11</v>
      </c>
      <c r="B13" s="196">
        <v>46037</v>
      </c>
      <c r="C13" s="7" t="s">
        <v>541</v>
      </c>
      <c r="D13" s="194">
        <v>2405</v>
      </c>
      <c r="E13" s="58" t="s">
        <v>31</v>
      </c>
    </row>
    <row r="14" spans="1:5" ht="19.5" thickBot="1" x14ac:dyDescent="0.35">
      <c r="A14" s="305" t="s">
        <v>25</v>
      </c>
      <c r="B14" s="306"/>
      <c r="C14" s="307"/>
      <c r="D14" s="197">
        <f>SUM(D3:D13)</f>
        <v>31650</v>
      </c>
    </row>
    <row r="15" spans="1:5" ht="15.75" thickBot="1" x14ac:dyDescent="0.3">
      <c r="A15" s="292" t="s">
        <v>39</v>
      </c>
      <c r="B15" s="293"/>
      <c r="E15" s="14" t="s">
        <v>40</v>
      </c>
    </row>
    <row r="17" spans="1:2" ht="15.75" thickBot="1" x14ac:dyDescent="0.3"/>
    <row r="18" spans="1:2" ht="15.75" thickBot="1" x14ac:dyDescent="0.3">
      <c r="A18" s="292" t="s">
        <v>957</v>
      </c>
      <c r="B18" s="293"/>
    </row>
  </sheetData>
  <mergeCells count="4">
    <mergeCell ref="A1:E1"/>
    <mergeCell ref="A14:C14"/>
    <mergeCell ref="A15:B15"/>
    <mergeCell ref="A18:B18"/>
  </mergeCells>
  <pageMargins left="0.70866141732283472" right="0.70866141732283472" top="0.74803149606299213" bottom="0.74803149606299213" header="0.31496062992125984" footer="0.31496062992125984"/>
  <pageSetup scale="124"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2"/>
  <sheetViews>
    <sheetView topLeftCell="A331" zoomScale="130" zoomScaleNormal="130" workbookViewId="0">
      <selection activeCell="A340" sqref="A340:F340"/>
    </sheetView>
  </sheetViews>
  <sheetFormatPr defaultRowHeight="15" x14ac:dyDescent="0.25"/>
  <cols>
    <col min="1" max="1" width="5.42578125" bestFit="1" customWidth="1"/>
    <col min="2" max="2" width="11.5703125" customWidth="1"/>
    <col min="3" max="3" width="23.7109375" bestFit="1" customWidth="1"/>
    <col min="4" max="4" width="8.42578125" bestFit="1" customWidth="1"/>
    <col min="5" max="5" width="8.28515625" bestFit="1" customWidth="1"/>
    <col min="6" max="6" width="20.85546875" customWidth="1"/>
    <col min="7" max="7" width="15.28515625" bestFit="1" customWidth="1"/>
  </cols>
  <sheetData>
    <row r="1" spans="1:6" ht="19.5" thickBot="1" x14ac:dyDescent="0.35">
      <c r="A1" s="10" t="s">
        <v>0</v>
      </c>
      <c r="B1" s="11" t="s">
        <v>3</v>
      </c>
      <c r="C1" s="11" t="s">
        <v>1</v>
      </c>
      <c r="D1" s="11" t="s">
        <v>26</v>
      </c>
      <c r="E1" s="11" t="s">
        <v>23</v>
      </c>
      <c r="F1" s="12" t="s">
        <v>27</v>
      </c>
    </row>
    <row r="2" spans="1:6" x14ac:dyDescent="0.25">
      <c r="A2" s="3">
        <v>1</v>
      </c>
      <c r="B2" s="3" t="s">
        <v>5</v>
      </c>
      <c r="C2" s="3" t="s">
        <v>22</v>
      </c>
      <c r="D2" s="3" t="s">
        <v>42</v>
      </c>
      <c r="E2" s="4">
        <v>200</v>
      </c>
      <c r="F2" s="3" t="s">
        <v>126</v>
      </c>
    </row>
    <row r="3" spans="1:6" x14ac:dyDescent="0.25">
      <c r="A3" s="3">
        <v>2</v>
      </c>
      <c r="B3" s="1" t="s">
        <v>5</v>
      </c>
      <c r="C3" s="1" t="s">
        <v>14</v>
      </c>
      <c r="D3" s="1" t="s">
        <v>42</v>
      </c>
      <c r="E3" s="5">
        <v>80</v>
      </c>
      <c r="F3" s="3" t="s">
        <v>126</v>
      </c>
    </row>
    <row r="4" spans="1:6" x14ac:dyDescent="0.25">
      <c r="A4" s="3">
        <v>3</v>
      </c>
      <c r="B4" s="1" t="s">
        <v>5</v>
      </c>
      <c r="C4" s="1" t="s">
        <v>19</v>
      </c>
      <c r="D4" s="1">
        <v>5</v>
      </c>
      <c r="E4" s="5">
        <v>90</v>
      </c>
      <c r="F4" s="3" t="s">
        <v>126</v>
      </c>
    </row>
    <row r="5" spans="1:6" ht="15.75" thickBot="1" x14ac:dyDescent="0.3">
      <c r="A5" s="3">
        <v>4</v>
      </c>
      <c r="B5" s="1" t="s">
        <v>5</v>
      </c>
      <c r="C5" s="1" t="s">
        <v>43</v>
      </c>
      <c r="D5" s="1"/>
      <c r="E5" s="5"/>
      <c r="F5" s="3" t="s">
        <v>126</v>
      </c>
    </row>
    <row r="6" spans="1:6" ht="15.75" thickBot="1" x14ac:dyDescent="0.3">
      <c r="A6" s="292" t="s">
        <v>41</v>
      </c>
      <c r="B6" s="297"/>
      <c r="C6" s="297"/>
      <c r="D6" s="293"/>
      <c r="E6" s="9">
        <f>SUM(E2:E5)</f>
        <v>370</v>
      </c>
    </row>
    <row r="7" spans="1:6" ht="15.75" thickBot="1" x14ac:dyDescent="0.3"/>
    <row r="8" spans="1:6" ht="15.75" thickBot="1" x14ac:dyDescent="0.3">
      <c r="A8" s="292" t="s">
        <v>39</v>
      </c>
      <c r="B8" s="293"/>
      <c r="F8" s="14" t="s">
        <v>40</v>
      </c>
    </row>
    <row r="10" spans="1:6" ht="15.75" thickBot="1" x14ac:dyDescent="0.3"/>
    <row r="11" spans="1:6" ht="19.5" thickBot="1" x14ac:dyDescent="0.35">
      <c r="A11" s="10" t="s">
        <v>0</v>
      </c>
      <c r="B11" s="11" t="s">
        <v>3</v>
      </c>
      <c r="C11" s="11" t="s">
        <v>1</v>
      </c>
      <c r="D11" s="11" t="s">
        <v>26</v>
      </c>
      <c r="E11" s="11" t="s">
        <v>23</v>
      </c>
      <c r="F11" s="12" t="s">
        <v>27</v>
      </c>
    </row>
    <row r="12" spans="1:6" x14ac:dyDescent="0.25">
      <c r="A12" s="3">
        <v>1</v>
      </c>
      <c r="B12" s="3" t="s">
        <v>52</v>
      </c>
      <c r="C12" s="3" t="s">
        <v>22</v>
      </c>
      <c r="D12" s="3" t="s">
        <v>34</v>
      </c>
      <c r="E12" s="4">
        <v>400</v>
      </c>
      <c r="F12" s="3" t="s">
        <v>126</v>
      </c>
    </row>
    <row r="13" spans="1:6" x14ac:dyDescent="0.25">
      <c r="A13" s="3">
        <v>2</v>
      </c>
      <c r="B13" s="3" t="s">
        <v>52</v>
      </c>
      <c r="C13" s="1" t="s">
        <v>50</v>
      </c>
      <c r="D13" s="1">
        <v>1</v>
      </c>
      <c r="E13" s="5">
        <v>70</v>
      </c>
      <c r="F13" s="3" t="s">
        <v>126</v>
      </c>
    </row>
    <row r="14" spans="1:6" x14ac:dyDescent="0.25">
      <c r="A14" s="3">
        <v>3</v>
      </c>
      <c r="B14" s="3" t="s">
        <v>52</v>
      </c>
      <c r="C14" s="1" t="s">
        <v>19</v>
      </c>
      <c r="D14" s="1">
        <v>6</v>
      </c>
      <c r="E14" s="5">
        <v>90</v>
      </c>
      <c r="F14" s="3" t="s">
        <v>126</v>
      </c>
    </row>
    <row r="15" spans="1:6" ht="15.75" thickBot="1" x14ac:dyDescent="0.3">
      <c r="A15" s="3">
        <v>4</v>
      </c>
      <c r="B15" s="3" t="s">
        <v>52</v>
      </c>
      <c r="C15" s="1" t="s">
        <v>43</v>
      </c>
      <c r="D15" s="1">
        <v>1</v>
      </c>
      <c r="E15" s="5">
        <v>20</v>
      </c>
      <c r="F15" s="3" t="s">
        <v>126</v>
      </c>
    </row>
    <row r="16" spans="1:6" ht="15.75" thickBot="1" x14ac:dyDescent="0.3">
      <c r="A16" s="292" t="s">
        <v>41</v>
      </c>
      <c r="B16" s="297"/>
      <c r="C16" s="297"/>
      <c r="D16" s="293"/>
      <c r="E16" s="9">
        <f>SUM(E12:E15)</f>
        <v>580</v>
      </c>
    </row>
    <row r="17" spans="1:6" ht="15.75" thickBot="1" x14ac:dyDescent="0.3"/>
    <row r="18" spans="1:6" ht="15.75" thickBot="1" x14ac:dyDescent="0.3">
      <c r="A18" s="292" t="s">
        <v>39</v>
      </c>
      <c r="B18" s="293"/>
      <c r="F18" s="14" t="s">
        <v>40</v>
      </c>
    </row>
    <row r="20" spans="1:6" ht="15.75" thickBot="1" x14ac:dyDescent="0.3"/>
    <row r="21" spans="1:6" ht="19.5" thickBot="1" x14ac:dyDescent="0.35">
      <c r="A21" s="10" t="s">
        <v>0</v>
      </c>
      <c r="B21" s="11" t="s">
        <v>3</v>
      </c>
      <c r="C21" s="11" t="s">
        <v>1</v>
      </c>
      <c r="D21" s="11" t="s">
        <v>26</v>
      </c>
      <c r="E21" s="11" t="s">
        <v>23</v>
      </c>
      <c r="F21" s="12" t="s">
        <v>27</v>
      </c>
    </row>
    <row r="22" spans="1:6" x14ac:dyDescent="0.25">
      <c r="A22" s="3">
        <v>1</v>
      </c>
      <c r="B22" s="3" t="s">
        <v>108</v>
      </c>
      <c r="C22" s="3" t="s">
        <v>127</v>
      </c>
      <c r="D22" s="3" t="s">
        <v>42</v>
      </c>
      <c r="E22" s="4">
        <v>200</v>
      </c>
      <c r="F22" s="3" t="s">
        <v>126</v>
      </c>
    </row>
    <row r="23" spans="1:6" x14ac:dyDescent="0.25">
      <c r="A23" s="3">
        <v>2</v>
      </c>
      <c r="B23" s="3" t="s">
        <v>108</v>
      </c>
      <c r="C23" s="1" t="s">
        <v>19</v>
      </c>
      <c r="D23" s="1">
        <v>3</v>
      </c>
      <c r="E23" s="5">
        <v>45</v>
      </c>
      <c r="F23" s="3" t="s">
        <v>126</v>
      </c>
    </row>
    <row r="24" spans="1:6" x14ac:dyDescent="0.25">
      <c r="A24" s="3">
        <v>3</v>
      </c>
      <c r="B24" s="3" t="s">
        <v>108</v>
      </c>
      <c r="C24" s="1" t="s">
        <v>43</v>
      </c>
      <c r="D24" s="1">
        <v>1</v>
      </c>
      <c r="E24" s="5">
        <v>20</v>
      </c>
      <c r="F24" s="3" t="s">
        <v>126</v>
      </c>
    </row>
    <row r="25" spans="1:6" ht="15.75" thickBot="1" x14ac:dyDescent="0.3">
      <c r="A25" s="3"/>
      <c r="B25" s="3"/>
      <c r="C25" s="1"/>
      <c r="D25" s="1"/>
      <c r="E25" s="5"/>
      <c r="F25" s="3"/>
    </row>
    <row r="26" spans="1:6" ht="15.75" thickBot="1" x14ac:dyDescent="0.3">
      <c r="A26" s="292" t="s">
        <v>41</v>
      </c>
      <c r="B26" s="297"/>
      <c r="C26" s="297"/>
      <c r="D26" s="293"/>
      <c r="E26" s="9">
        <f>SUM(E22:E25)</f>
        <v>265</v>
      </c>
    </row>
    <row r="27" spans="1:6" ht="15.75" thickBot="1" x14ac:dyDescent="0.3"/>
    <row r="28" spans="1:6" ht="15.75" thickBot="1" x14ac:dyDescent="0.3">
      <c r="A28" s="292" t="s">
        <v>39</v>
      </c>
      <c r="B28" s="293"/>
      <c r="F28" s="14" t="s">
        <v>40</v>
      </c>
    </row>
    <row r="29" spans="1:6" ht="15.75" thickBot="1" x14ac:dyDescent="0.3"/>
    <row r="30" spans="1:6" ht="19.5" thickBot="1" x14ac:dyDescent="0.35">
      <c r="A30" s="10" t="s">
        <v>0</v>
      </c>
      <c r="B30" s="11" t="s">
        <v>3</v>
      </c>
      <c r="C30" s="11" t="s">
        <v>1</v>
      </c>
      <c r="D30" s="11" t="s">
        <v>26</v>
      </c>
      <c r="E30" s="11" t="s">
        <v>23</v>
      </c>
      <c r="F30" s="12" t="s">
        <v>27</v>
      </c>
    </row>
    <row r="31" spans="1:6" x14ac:dyDescent="0.25">
      <c r="A31" s="3">
        <v>1</v>
      </c>
      <c r="B31" s="3" t="s">
        <v>119</v>
      </c>
      <c r="C31" s="3" t="s">
        <v>32</v>
      </c>
      <c r="D31" s="3">
        <v>5</v>
      </c>
      <c r="E31" s="4">
        <v>900</v>
      </c>
      <c r="F31" s="3" t="s">
        <v>126</v>
      </c>
    </row>
    <row r="32" spans="1:6" x14ac:dyDescent="0.25">
      <c r="A32" s="3">
        <v>2</v>
      </c>
      <c r="B32" s="3" t="s">
        <v>119</v>
      </c>
      <c r="C32" s="1" t="s">
        <v>33</v>
      </c>
      <c r="D32" s="1">
        <v>2</v>
      </c>
      <c r="E32" s="5">
        <v>50</v>
      </c>
      <c r="F32" s="3" t="s">
        <v>126</v>
      </c>
    </row>
    <row r="33" spans="1:6" x14ac:dyDescent="0.25">
      <c r="A33" s="3">
        <v>3</v>
      </c>
      <c r="B33" s="3" t="s">
        <v>119</v>
      </c>
      <c r="C33" s="1" t="s">
        <v>90</v>
      </c>
      <c r="D33" s="1">
        <v>1</v>
      </c>
      <c r="E33" s="5">
        <v>50</v>
      </c>
      <c r="F33" s="3" t="s">
        <v>126</v>
      </c>
    </row>
    <row r="34" spans="1:6" x14ac:dyDescent="0.25">
      <c r="A34" s="3">
        <v>4</v>
      </c>
      <c r="B34" s="3" t="s">
        <v>119</v>
      </c>
      <c r="C34" s="1" t="s">
        <v>190</v>
      </c>
      <c r="D34" s="1">
        <v>2</v>
      </c>
      <c r="E34" s="5">
        <v>140</v>
      </c>
      <c r="F34" s="3" t="s">
        <v>126</v>
      </c>
    </row>
    <row r="35" spans="1:6" x14ac:dyDescent="0.25">
      <c r="A35" s="3">
        <v>5</v>
      </c>
      <c r="B35" s="3" t="s">
        <v>119</v>
      </c>
      <c r="C35" s="1" t="s">
        <v>110</v>
      </c>
      <c r="D35" s="1">
        <v>2</v>
      </c>
      <c r="E35" s="5">
        <v>240</v>
      </c>
      <c r="F35" s="3" t="s">
        <v>126</v>
      </c>
    </row>
    <row r="36" spans="1:6" ht="15.75" thickBot="1" x14ac:dyDescent="0.3">
      <c r="A36" s="289" t="s">
        <v>41</v>
      </c>
      <c r="B36" s="290"/>
      <c r="C36" s="290"/>
      <c r="D36" s="291"/>
      <c r="E36" s="54">
        <f>SUM(E31:E35)</f>
        <v>1380</v>
      </c>
    </row>
    <row r="37" spans="1:6" ht="15.75" thickBot="1" x14ac:dyDescent="0.3"/>
    <row r="38" spans="1:6" ht="15.75" thickBot="1" x14ac:dyDescent="0.3">
      <c r="A38" s="292" t="s">
        <v>39</v>
      </c>
      <c r="B38" s="293"/>
      <c r="F38" s="14" t="s">
        <v>40</v>
      </c>
    </row>
    <row r="40" spans="1:6" ht="15.75" thickBot="1" x14ac:dyDescent="0.3"/>
    <row r="41" spans="1:6" ht="19.5" thickBot="1" x14ac:dyDescent="0.35">
      <c r="A41" s="10" t="s">
        <v>0</v>
      </c>
      <c r="B41" s="11" t="s">
        <v>3</v>
      </c>
      <c r="C41" s="11" t="s">
        <v>1</v>
      </c>
      <c r="D41" s="11" t="s">
        <v>26</v>
      </c>
      <c r="E41" s="11" t="s">
        <v>23</v>
      </c>
      <c r="F41" s="12" t="s">
        <v>27</v>
      </c>
    </row>
    <row r="42" spans="1:6" x14ac:dyDescent="0.25">
      <c r="A42" s="3">
        <v>1</v>
      </c>
      <c r="B42" s="3" t="s">
        <v>177</v>
      </c>
      <c r="C42" s="3" t="s">
        <v>110</v>
      </c>
      <c r="D42" s="3">
        <v>1</v>
      </c>
      <c r="E42" s="4">
        <v>120</v>
      </c>
      <c r="F42" s="3" t="s">
        <v>126</v>
      </c>
    </row>
    <row r="43" spans="1:6" x14ac:dyDescent="0.25">
      <c r="A43" s="3">
        <v>2</v>
      </c>
      <c r="B43" s="3" t="s">
        <v>177</v>
      </c>
      <c r="C43" s="1" t="s">
        <v>197</v>
      </c>
      <c r="D43" s="1">
        <v>3</v>
      </c>
      <c r="E43" s="5">
        <v>120</v>
      </c>
      <c r="F43" s="3" t="s">
        <v>126</v>
      </c>
    </row>
    <row r="44" spans="1:6" x14ac:dyDescent="0.25">
      <c r="A44" s="3">
        <v>3</v>
      </c>
      <c r="B44" s="3"/>
      <c r="C44" s="1"/>
      <c r="D44" s="1"/>
      <c r="E44" s="5"/>
      <c r="F44" s="3"/>
    </row>
    <row r="45" spans="1:6" x14ac:dyDescent="0.25">
      <c r="A45" s="3">
        <v>4</v>
      </c>
      <c r="B45" s="3"/>
      <c r="C45" s="1"/>
      <c r="D45" s="1"/>
      <c r="E45" s="5"/>
      <c r="F45" s="3"/>
    </row>
    <row r="46" spans="1:6" x14ac:dyDescent="0.25">
      <c r="A46" s="3">
        <v>5</v>
      </c>
      <c r="B46" s="3"/>
      <c r="C46" s="1"/>
      <c r="D46" s="1"/>
      <c r="E46" s="5"/>
      <c r="F46" s="3"/>
    </row>
    <row r="47" spans="1:6" ht="15.75" thickBot="1" x14ac:dyDescent="0.3">
      <c r="A47" s="289" t="s">
        <v>41</v>
      </c>
      <c r="B47" s="290"/>
      <c r="C47" s="290"/>
      <c r="D47" s="291"/>
      <c r="E47" s="54">
        <f>SUM(E42:E46)</f>
        <v>240</v>
      </c>
    </row>
    <row r="48" spans="1:6" ht="15.75" thickBot="1" x14ac:dyDescent="0.3"/>
    <row r="49" spans="1:6" ht="15.75" thickBot="1" x14ac:dyDescent="0.3">
      <c r="A49" s="292" t="s">
        <v>39</v>
      </c>
      <c r="B49" s="293"/>
      <c r="F49" s="14" t="s">
        <v>40</v>
      </c>
    </row>
    <row r="51" spans="1:6" ht="15.75" thickBot="1" x14ac:dyDescent="0.3"/>
    <row r="52" spans="1:6" ht="19.5" thickBot="1" x14ac:dyDescent="0.35">
      <c r="A52" s="10" t="s">
        <v>0</v>
      </c>
      <c r="B52" s="11" t="s">
        <v>3</v>
      </c>
      <c r="C52" s="11" t="s">
        <v>1</v>
      </c>
      <c r="D52" s="11" t="s">
        <v>26</v>
      </c>
      <c r="E52" s="11" t="s">
        <v>23</v>
      </c>
      <c r="F52" s="12" t="s">
        <v>27</v>
      </c>
    </row>
    <row r="53" spans="1:6" x14ac:dyDescent="0.25">
      <c r="A53" s="3">
        <v>1</v>
      </c>
      <c r="B53" s="3" t="s">
        <v>233</v>
      </c>
      <c r="C53" s="3" t="s">
        <v>248</v>
      </c>
      <c r="D53" s="3">
        <v>1</v>
      </c>
      <c r="E53" s="4">
        <v>200</v>
      </c>
      <c r="F53" s="3" t="s">
        <v>126</v>
      </c>
    </row>
    <row r="54" spans="1:6" x14ac:dyDescent="0.25">
      <c r="A54" s="3">
        <v>2</v>
      </c>
      <c r="B54" s="3" t="s">
        <v>233</v>
      </c>
      <c r="C54" s="1" t="s">
        <v>249</v>
      </c>
      <c r="D54" s="1">
        <v>1</v>
      </c>
      <c r="E54" s="5">
        <v>110</v>
      </c>
      <c r="F54" s="3" t="s">
        <v>126</v>
      </c>
    </row>
    <row r="55" spans="1:6" x14ac:dyDescent="0.25">
      <c r="A55" s="3">
        <v>3</v>
      </c>
      <c r="B55" s="3" t="s">
        <v>233</v>
      </c>
      <c r="C55" s="1" t="s">
        <v>19</v>
      </c>
      <c r="D55" s="1">
        <v>5</v>
      </c>
      <c r="E55" s="5">
        <f>D55*15</f>
        <v>75</v>
      </c>
      <c r="F55" s="3" t="s">
        <v>126</v>
      </c>
    </row>
    <row r="56" spans="1:6" x14ac:dyDescent="0.25">
      <c r="A56" s="3">
        <v>4</v>
      </c>
      <c r="B56" s="3" t="s">
        <v>233</v>
      </c>
      <c r="C56" s="1" t="s">
        <v>179</v>
      </c>
      <c r="D56" s="1">
        <v>1</v>
      </c>
      <c r="E56" s="5">
        <v>70</v>
      </c>
      <c r="F56" s="3" t="s">
        <v>126</v>
      </c>
    </row>
    <row r="57" spans="1:6" ht="15.75" thickBot="1" x14ac:dyDescent="0.3">
      <c r="A57" s="289" t="s">
        <v>41</v>
      </c>
      <c r="B57" s="290"/>
      <c r="C57" s="290"/>
      <c r="D57" s="291"/>
      <c r="E57" s="54">
        <f>SUM(E53:E56)</f>
        <v>455</v>
      </c>
    </row>
    <row r="58" spans="1:6" ht="15.75" thickBot="1" x14ac:dyDescent="0.3"/>
    <row r="59" spans="1:6" ht="15.75" thickBot="1" x14ac:dyDescent="0.3">
      <c r="A59" s="292" t="s">
        <v>39</v>
      </c>
      <c r="B59" s="293"/>
      <c r="F59" s="14" t="s">
        <v>40</v>
      </c>
    </row>
    <row r="60" spans="1:6" ht="15.75" thickBot="1" x14ac:dyDescent="0.3"/>
    <row r="61" spans="1:6" ht="19.5" thickBot="1" x14ac:dyDescent="0.35">
      <c r="A61" s="10" t="s">
        <v>0</v>
      </c>
      <c r="B61" s="11" t="s">
        <v>3</v>
      </c>
      <c r="C61" s="11" t="s">
        <v>1</v>
      </c>
      <c r="D61" s="11" t="s">
        <v>26</v>
      </c>
      <c r="E61" s="11" t="s">
        <v>23</v>
      </c>
      <c r="F61" s="12" t="s">
        <v>27</v>
      </c>
    </row>
    <row r="62" spans="1:6" x14ac:dyDescent="0.25">
      <c r="A62" s="3">
        <v>1</v>
      </c>
      <c r="B62" s="3" t="s">
        <v>261</v>
      </c>
      <c r="C62" s="3" t="s">
        <v>273</v>
      </c>
      <c r="D62" s="3">
        <v>1</v>
      </c>
      <c r="E62" s="4">
        <v>200</v>
      </c>
      <c r="F62" s="3" t="s">
        <v>126</v>
      </c>
    </row>
    <row r="63" spans="1:6" x14ac:dyDescent="0.25">
      <c r="A63" s="3">
        <v>2</v>
      </c>
      <c r="B63" s="3" t="s">
        <v>261</v>
      </c>
      <c r="C63" s="1" t="s">
        <v>179</v>
      </c>
      <c r="D63" s="1">
        <v>2</v>
      </c>
      <c r="E63" s="5">
        <v>140</v>
      </c>
      <c r="F63" s="3" t="s">
        <v>126</v>
      </c>
    </row>
    <row r="64" spans="1:6" ht="15.75" thickBot="1" x14ac:dyDescent="0.3">
      <c r="A64" s="289" t="s">
        <v>41</v>
      </c>
      <c r="B64" s="290"/>
      <c r="C64" s="290"/>
      <c r="D64" s="291"/>
      <c r="E64" s="54">
        <f>SUM(E62:E63)</f>
        <v>340</v>
      </c>
    </row>
    <row r="65" spans="1:6" ht="15.75" thickBot="1" x14ac:dyDescent="0.3"/>
    <row r="66" spans="1:6" ht="15.75" thickBot="1" x14ac:dyDescent="0.3">
      <c r="A66" s="292" t="s">
        <v>39</v>
      </c>
      <c r="B66" s="293"/>
      <c r="F66" s="14" t="s">
        <v>40</v>
      </c>
    </row>
    <row r="68" spans="1:6" ht="15.75" thickBot="1" x14ac:dyDescent="0.3"/>
    <row r="69" spans="1:6" ht="19.5" thickBot="1" x14ac:dyDescent="0.35">
      <c r="A69" s="10" t="s">
        <v>0</v>
      </c>
      <c r="B69" s="11" t="s">
        <v>3</v>
      </c>
      <c r="C69" s="11" t="s">
        <v>1</v>
      </c>
      <c r="D69" s="11" t="s">
        <v>26</v>
      </c>
      <c r="E69" s="11" t="s">
        <v>23</v>
      </c>
      <c r="F69" s="12" t="s">
        <v>27</v>
      </c>
    </row>
    <row r="70" spans="1:6" x14ac:dyDescent="0.25">
      <c r="A70" s="3">
        <v>1</v>
      </c>
      <c r="B70" s="3" t="s">
        <v>283</v>
      </c>
      <c r="C70" s="3" t="s">
        <v>102</v>
      </c>
      <c r="D70" s="3">
        <v>2</v>
      </c>
      <c r="E70" s="4">
        <v>240</v>
      </c>
      <c r="F70" s="3" t="s">
        <v>126</v>
      </c>
    </row>
    <row r="71" spans="1:6" x14ac:dyDescent="0.25">
      <c r="A71" s="3">
        <v>2</v>
      </c>
      <c r="B71" s="3" t="s">
        <v>283</v>
      </c>
      <c r="C71" s="1" t="s">
        <v>19</v>
      </c>
      <c r="D71" s="1">
        <v>10</v>
      </c>
      <c r="E71" s="5">
        <v>150</v>
      </c>
      <c r="F71" s="3" t="s">
        <v>126</v>
      </c>
    </row>
    <row r="72" spans="1:6" x14ac:dyDescent="0.25">
      <c r="A72" s="3">
        <v>3</v>
      </c>
      <c r="B72" s="3" t="s">
        <v>283</v>
      </c>
      <c r="C72" s="1" t="s">
        <v>300</v>
      </c>
      <c r="D72" s="1">
        <v>3</v>
      </c>
      <c r="E72" s="5">
        <v>660</v>
      </c>
      <c r="F72" s="3" t="s">
        <v>126</v>
      </c>
    </row>
    <row r="73" spans="1:6" ht="15.75" thickBot="1" x14ac:dyDescent="0.3">
      <c r="A73" s="289" t="s">
        <v>41</v>
      </c>
      <c r="B73" s="290"/>
      <c r="C73" s="290"/>
      <c r="D73" s="291"/>
      <c r="E73" s="54">
        <f>SUM(E70:E72)</f>
        <v>1050</v>
      </c>
    </row>
    <row r="74" spans="1:6" ht="15.75" thickBot="1" x14ac:dyDescent="0.3"/>
    <row r="75" spans="1:6" ht="15.75" thickBot="1" x14ac:dyDescent="0.3">
      <c r="A75" s="292" t="s">
        <v>39</v>
      </c>
      <c r="B75" s="293"/>
      <c r="F75" s="14" t="s">
        <v>40</v>
      </c>
    </row>
    <row r="76" spans="1:6" ht="15.75" thickBot="1" x14ac:dyDescent="0.3"/>
    <row r="77" spans="1:6" ht="19.5" thickBot="1" x14ac:dyDescent="0.35">
      <c r="A77" s="10" t="s">
        <v>0</v>
      </c>
      <c r="B77" s="11" t="s">
        <v>3</v>
      </c>
      <c r="C77" s="11" t="s">
        <v>1</v>
      </c>
      <c r="D77" s="11" t="s">
        <v>26</v>
      </c>
      <c r="E77" s="11" t="s">
        <v>23</v>
      </c>
      <c r="F77" s="12" t="s">
        <v>27</v>
      </c>
    </row>
    <row r="78" spans="1:6" x14ac:dyDescent="0.25">
      <c r="A78" s="3">
        <v>1</v>
      </c>
      <c r="B78" s="3" t="s">
        <v>309</v>
      </c>
      <c r="C78" s="3" t="s">
        <v>248</v>
      </c>
      <c r="D78" s="3" t="s">
        <v>326</v>
      </c>
      <c r="E78" s="4">
        <v>4800</v>
      </c>
      <c r="F78" s="3" t="s">
        <v>126</v>
      </c>
    </row>
    <row r="79" spans="1:6" x14ac:dyDescent="0.25">
      <c r="A79" s="3">
        <v>2</v>
      </c>
      <c r="B79" s="3" t="s">
        <v>309</v>
      </c>
      <c r="C79" s="1" t="s">
        <v>19</v>
      </c>
      <c r="D79" s="1">
        <v>37</v>
      </c>
      <c r="E79" s="5">
        <v>555</v>
      </c>
      <c r="F79" s="3" t="s">
        <v>126</v>
      </c>
    </row>
    <row r="80" spans="1:6" x14ac:dyDescent="0.25">
      <c r="A80" s="3">
        <v>3</v>
      </c>
      <c r="B80" s="3" t="s">
        <v>309</v>
      </c>
      <c r="C80" s="1" t="s">
        <v>327</v>
      </c>
      <c r="D80" s="1">
        <v>1</v>
      </c>
      <c r="E80" s="5">
        <v>200</v>
      </c>
      <c r="F80" s="3" t="s">
        <v>126</v>
      </c>
    </row>
    <row r="81" spans="1:6" x14ac:dyDescent="0.25">
      <c r="A81" s="3">
        <v>4</v>
      </c>
      <c r="B81" s="3" t="s">
        <v>309</v>
      </c>
      <c r="C81" s="1" t="s">
        <v>328</v>
      </c>
      <c r="D81" s="1">
        <v>10</v>
      </c>
      <c r="E81" s="5">
        <v>400</v>
      </c>
      <c r="F81" s="3" t="s">
        <v>126</v>
      </c>
    </row>
    <row r="82" spans="1:6" x14ac:dyDescent="0.25">
      <c r="A82" s="3">
        <v>5</v>
      </c>
      <c r="B82" s="3" t="s">
        <v>309</v>
      </c>
      <c r="C82" s="1" t="s">
        <v>323</v>
      </c>
      <c r="D82" s="1">
        <v>8</v>
      </c>
      <c r="E82" s="5">
        <v>1760</v>
      </c>
      <c r="F82" s="3" t="s">
        <v>126</v>
      </c>
    </row>
    <row r="83" spans="1:6" x14ac:dyDescent="0.25">
      <c r="A83" s="3">
        <v>6</v>
      </c>
      <c r="B83" s="3" t="s">
        <v>309</v>
      </c>
      <c r="C83" s="1" t="s">
        <v>178</v>
      </c>
      <c r="D83" s="1" t="s">
        <v>329</v>
      </c>
      <c r="E83" s="5">
        <v>200</v>
      </c>
      <c r="F83" s="3" t="s">
        <v>126</v>
      </c>
    </row>
    <row r="84" spans="1:6" x14ac:dyDescent="0.25">
      <c r="A84" s="3">
        <v>7</v>
      </c>
      <c r="B84" s="3" t="s">
        <v>309</v>
      </c>
      <c r="C84" s="1" t="s">
        <v>330</v>
      </c>
      <c r="D84" s="1">
        <v>1</v>
      </c>
      <c r="E84" s="5">
        <v>220</v>
      </c>
      <c r="F84" s="3" t="s">
        <v>126</v>
      </c>
    </row>
    <row r="85" spans="1:6" ht="15.75" thickBot="1" x14ac:dyDescent="0.3">
      <c r="A85" s="289" t="s">
        <v>41</v>
      </c>
      <c r="B85" s="290"/>
      <c r="C85" s="290"/>
      <c r="D85" s="291"/>
      <c r="E85" s="54">
        <f>SUM(E78:E84)</f>
        <v>8135</v>
      </c>
    </row>
    <row r="86" spans="1:6" ht="15.75" thickBot="1" x14ac:dyDescent="0.3"/>
    <row r="87" spans="1:6" ht="15.75" thickBot="1" x14ac:dyDescent="0.3">
      <c r="A87" s="292" t="s">
        <v>39</v>
      </c>
      <c r="B87" s="293"/>
      <c r="F87" s="14" t="s">
        <v>40</v>
      </c>
    </row>
    <row r="88" spans="1:6" ht="15.75" thickBot="1" x14ac:dyDescent="0.3"/>
    <row r="89" spans="1:6" ht="19.5" thickBot="1" x14ac:dyDescent="0.35">
      <c r="A89" s="10" t="s">
        <v>0</v>
      </c>
      <c r="B89" s="11" t="s">
        <v>3</v>
      </c>
      <c r="C89" s="11" t="s">
        <v>1</v>
      </c>
      <c r="D89" s="11" t="s">
        <v>26</v>
      </c>
      <c r="E89" s="11" t="s">
        <v>23</v>
      </c>
      <c r="F89" s="12" t="s">
        <v>27</v>
      </c>
    </row>
    <row r="90" spans="1:6" x14ac:dyDescent="0.25">
      <c r="A90" s="3">
        <v>1</v>
      </c>
      <c r="B90" s="3" t="s">
        <v>339</v>
      </c>
      <c r="C90" s="3" t="s">
        <v>340</v>
      </c>
      <c r="D90" s="3">
        <v>5</v>
      </c>
      <c r="E90" s="4">
        <f>320*5</f>
        <v>1600</v>
      </c>
      <c r="F90" s="3" t="s">
        <v>126</v>
      </c>
    </row>
    <row r="91" spans="1:6" x14ac:dyDescent="0.25">
      <c r="A91" s="3">
        <v>2</v>
      </c>
      <c r="B91" s="3" t="s">
        <v>339</v>
      </c>
      <c r="C91" s="1" t="s">
        <v>33</v>
      </c>
      <c r="D91" s="1">
        <v>5</v>
      </c>
      <c r="E91" s="5">
        <v>100</v>
      </c>
      <c r="F91" s="3" t="s">
        <v>126</v>
      </c>
    </row>
    <row r="92" spans="1:6" ht="15.75" thickBot="1" x14ac:dyDescent="0.3">
      <c r="A92" s="289" t="s">
        <v>41</v>
      </c>
      <c r="B92" s="290"/>
      <c r="C92" s="290"/>
      <c r="D92" s="291"/>
      <c r="E92" s="54">
        <f>SUM(E90:E91)</f>
        <v>1700</v>
      </c>
    </row>
    <row r="93" spans="1:6" ht="15.75" thickBot="1" x14ac:dyDescent="0.3"/>
    <row r="94" spans="1:6" ht="15.75" thickBot="1" x14ac:dyDescent="0.3">
      <c r="A94" s="292" t="s">
        <v>39</v>
      </c>
      <c r="B94" s="293"/>
      <c r="F94" s="14" t="s">
        <v>40</v>
      </c>
    </row>
    <row r="95" spans="1:6" ht="15.75" thickBot="1" x14ac:dyDescent="0.3"/>
    <row r="96" spans="1:6" ht="19.5" thickBot="1" x14ac:dyDescent="0.35">
      <c r="A96" s="10" t="s">
        <v>0</v>
      </c>
      <c r="B96" s="11" t="s">
        <v>3</v>
      </c>
      <c r="C96" s="11" t="s">
        <v>1</v>
      </c>
      <c r="D96" s="11" t="s">
        <v>26</v>
      </c>
      <c r="E96" s="11" t="s">
        <v>23</v>
      </c>
      <c r="F96" s="12" t="s">
        <v>27</v>
      </c>
    </row>
    <row r="97" spans="1:6" x14ac:dyDescent="0.25">
      <c r="A97" s="3">
        <v>1</v>
      </c>
      <c r="B97" s="3" t="s">
        <v>357</v>
      </c>
      <c r="C97" s="3" t="s">
        <v>360</v>
      </c>
      <c r="D97" s="3">
        <v>5</v>
      </c>
      <c r="E97" s="4">
        <f>D97*180</f>
        <v>900</v>
      </c>
      <c r="F97" s="3" t="s">
        <v>126</v>
      </c>
    </row>
    <row r="98" spans="1:6" x14ac:dyDescent="0.25">
      <c r="A98" s="3">
        <v>2</v>
      </c>
      <c r="B98" s="3" t="s">
        <v>357</v>
      </c>
      <c r="C98" s="1" t="s">
        <v>19</v>
      </c>
      <c r="D98" s="1">
        <v>15</v>
      </c>
      <c r="E98" s="5">
        <f>D98*15</f>
        <v>225</v>
      </c>
      <c r="F98" s="3" t="s">
        <v>126</v>
      </c>
    </row>
    <row r="99" spans="1:6" ht="15.75" thickBot="1" x14ac:dyDescent="0.3">
      <c r="A99" s="289" t="s">
        <v>41</v>
      </c>
      <c r="B99" s="290"/>
      <c r="C99" s="290"/>
      <c r="D99" s="291"/>
      <c r="E99" s="54">
        <f>SUM(E97:E98)</f>
        <v>1125</v>
      </c>
    </row>
    <row r="100" spans="1:6" ht="15.75" thickBot="1" x14ac:dyDescent="0.3"/>
    <row r="101" spans="1:6" ht="15.75" thickBot="1" x14ac:dyDescent="0.3">
      <c r="A101" s="292" t="s">
        <v>39</v>
      </c>
      <c r="B101" s="293"/>
      <c r="F101" s="14" t="s">
        <v>40</v>
      </c>
    </row>
    <row r="102" spans="1:6" ht="15.75" thickBot="1" x14ac:dyDescent="0.3"/>
    <row r="103" spans="1:6" ht="19.5" thickBot="1" x14ac:dyDescent="0.35">
      <c r="A103" s="10" t="s">
        <v>0</v>
      </c>
      <c r="B103" s="11" t="s">
        <v>3</v>
      </c>
      <c r="C103" s="11" t="s">
        <v>1</v>
      </c>
      <c r="D103" s="11" t="s">
        <v>26</v>
      </c>
      <c r="E103" s="11" t="s">
        <v>23</v>
      </c>
      <c r="F103" s="12" t="s">
        <v>27</v>
      </c>
    </row>
    <row r="104" spans="1:6" x14ac:dyDescent="0.25">
      <c r="A104" s="3">
        <v>1</v>
      </c>
      <c r="B104" s="3" t="s">
        <v>357</v>
      </c>
      <c r="C104" s="3" t="s">
        <v>369</v>
      </c>
      <c r="D104" s="3">
        <v>3</v>
      </c>
      <c r="E104" s="4">
        <f>D104*180</f>
        <v>540</v>
      </c>
      <c r="F104" s="3" t="s">
        <v>126</v>
      </c>
    </row>
    <row r="105" spans="1:6" x14ac:dyDescent="0.25">
      <c r="A105" s="3">
        <v>2</v>
      </c>
      <c r="B105" s="3" t="s">
        <v>357</v>
      </c>
      <c r="C105" s="1" t="s">
        <v>19</v>
      </c>
      <c r="D105" s="1">
        <v>20</v>
      </c>
      <c r="E105" s="5">
        <f>D105*15</f>
        <v>300</v>
      </c>
      <c r="F105" s="3" t="s">
        <v>126</v>
      </c>
    </row>
    <row r="106" spans="1:6" x14ac:dyDescent="0.25">
      <c r="A106" s="3">
        <v>3</v>
      </c>
      <c r="B106" s="3" t="s">
        <v>357</v>
      </c>
      <c r="C106" s="1" t="s">
        <v>328</v>
      </c>
      <c r="D106" s="1">
        <v>2</v>
      </c>
      <c r="E106" s="5">
        <f>D106*25</f>
        <v>50</v>
      </c>
      <c r="F106" s="3" t="s">
        <v>126</v>
      </c>
    </row>
    <row r="107" spans="1:6" x14ac:dyDescent="0.25">
      <c r="A107" s="3">
        <v>4</v>
      </c>
      <c r="B107" s="3" t="s">
        <v>357</v>
      </c>
      <c r="C107" s="1" t="s">
        <v>50</v>
      </c>
      <c r="D107" s="1">
        <v>1</v>
      </c>
      <c r="E107" s="5">
        <f>D107*70</f>
        <v>70</v>
      </c>
      <c r="F107" s="3" t="s">
        <v>126</v>
      </c>
    </row>
    <row r="108" spans="1:6" x14ac:dyDescent="0.25">
      <c r="A108" s="3">
        <v>5</v>
      </c>
      <c r="B108" s="3" t="s">
        <v>357</v>
      </c>
      <c r="C108" s="1" t="s">
        <v>341</v>
      </c>
      <c r="D108" s="1">
        <v>4</v>
      </c>
      <c r="E108" s="5">
        <f>D108*30</f>
        <v>120</v>
      </c>
      <c r="F108" s="3" t="s">
        <v>126</v>
      </c>
    </row>
    <row r="109" spans="1:6" x14ac:dyDescent="0.25">
      <c r="A109" s="3">
        <v>6</v>
      </c>
      <c r="B109" s="3" t="s">
        <v>357</v>
      </c>
      <c r="C109" s="1" t="s">
        <v>18</v>
      </c>
      <c r="D109" s="1">
        <v>3</v>
      </c>
      <c r="E109" s="5">
        <f>D109*80</f>
        <v>240</v>
      </c>
      <c r="F109" s="3" t="s">
        <v>126</v>
      </c>
    </row>
    <row r="110" spans="1:6" ht="15.75" thickBot="1" x14ac:dyDescent="0.3">
      <c r="A110" s="289" t="s">
        <v>41</v>
      </c>
      <c r="B110" s="290"/>
      <c r="C110" s="290"/>
      <c r="D110" s="291"/>
      <c r="E110" s="54">
        <f>SUM(E104:E109)</f>
        <v>1320</v>
      </c>
    </row>
    <row r="111" spans="1:6" ht="15.75" thickBot="1" x14ac:dyDescent="0.3"/>
    <row r="112" spans="1:6" ht="15.75" thickBot="1" x14ac:dyDescent="0.3">
      <c r="A112" s="292" t="s">
        <v>39</v>
      </c>
      <c r="B112" s="293"/>
      <c r="F112" s="14" t="s">
        <v>40</v>
      </c>
    </row>
    <row r="113" spans="1:6" ht="15.75" thickBot="1" x14ac:dyDescent="0.3"/>
    <row r="114" spans="1:6" ht="19.5" thickBot="1" x14ac:dyDescent="0.35">
      <c r="A114" s="10" t="s">
        <v>0</v>
      </c>
      <c r="B114" s="11" t="s">
        <v>3</v>
      </c>
      <c r="C114" s="11" t="s">
        <v>1</v>
      </c>
      <c r="D114" s="11" t="s">
        <v>26</v>
      </c>
      <c r="E114" s="11" t="s">
        <v>23</v>
      </c>
      <c r="F114" s="12" t="s">
        <v>27</v>
      </c>
    </row>
    <row r="115" spans="1:6" x14ac:dyDescent="0.25">
      <c r="A115" s="3">
        <v>1</v>
      </c>
      <c r="B115" s="3" t="s">
        <v>387</v>
      </c>
      <c r="C115" s="3" t="s">
        <v>403</v>
      </c>
      <c r="D115" s="3">
        <v>4</v>
      </c>
      <c r="E115" s="4">
        <f>D115*225</f>
        <v>900</v>
      </c>
      <c r="F115" s="3" t="s">
        <v>126</v>
      </c>
    </row>
    <row r="116" spans="1:6" x14ac:dyDescent="0.25">
      <c r="A116" s="3">
        <v>2</v>
      </c>
      <c r="B116" s="3" t="s">
        <v>387</v>
      </c>
      <c r="C116" s="1" t="s">
        <v>404</v>
      </c>
      <c r="D116" s="1">
        <v>4</v>
      </c>
      <c r="E116" s="5">
        <f>D116*20</f>
        <v>80</v>
      </c>
      <c r="F116" s="3" t="s">
        <v>126</v>
      </c>
    </row>
    <row r="117" spans="1:6" x14ac:dyDescent="0.25">
      <c r="A117" s="3">
        <v>3</v>
      </c>
      <c r="B117" s="3" t="s">
        <v>387</v>
      </c>
      <c r="C117" s="1" t="s">
        <v>19</v>
      </c>
      <c r="D117" s="1">
        <v>15</v>
      </c>
      <c r="E117" s="5">
        <f>D117*15</f>
        <v>225</v>
      </c>
      <c r="F117" s="3" t="s">
        <v>126</v>
      </c>
    </row>
    <row r="118" spans="1:6" x14ac:dyDescent="0.25">
      <c r="A118" s="3">
        <v>4</v>
      </c>
      <c r="B118" s="3" t="s">
        <v>387</v>
      </c>
      <c r="C118" s="1" t="s">
        <v>405</v>
      </c>
      <c r="D118" s="1">
        <v>6</v>
      </c>
      <c r="E118" s="5">
        <f>D118*50</f>
        <v>300</v>
      </c>
      <c r="F118" s="3" t="s">
        <v>126</v>
      </c>
    </row>
    <row r="119" spans="1:6" x14ac:dyDescent="0.25">
      <c r="A119" s="3">
        <v>5</v>
      </c>
      <c r="B119" s="3" t="s">
        <v>387</v>
      </c>
      <c r="C119" s="1" t="s">
        <v>406</v>
      </c>
      <c r="D119" s="1">
        <v>1</v>
      </c>
      <c r="E119" s="5">
        <f>D119*110</f>
        <v>110</v>
      </c>
      <c r="F119" s="3" t="s">
        <v>126</v>
      </c>
    </row>
    <row r="120" spans="1:6" x14ac:dyDescent="0.25">
      <c r="A120" s="3">
        <v>6</v>
      </c>
      <c r="B120" s="3" t="s">
        <v>387</v>
      </c>
      <c r="C120" s="1" t="s">
        <v>178</v>
      </c>
      <c r="D120" s="1">
        <v>1</v>
      </c>
      <c r="E120" s="5">
        <f>D120*50</f>
        <v>50</v>
      </c>
      <c r="F120" s="3" t="s">
        <v>126</v>
      </c>
    </row>
    <row r="121" spans="1:6" ht="15.75" thickBot="1" x14ac:dyDescent="0.3">
      <c r="A121" s="289" t="s">
        <v>41</v>
      </c>
      <c r="B121" s="290"/>
      <c r="C121" s="290"/>
      <c r="D121" s="291"/>
      <c r="E121" s="54">
        <f>SUM(E115:E120)</f>
        <v>1665</v>
      </c>
    </row>
    <row r="122" spans="1:6" ht="15.75" thickBot="1" x14ac:dyDescent="0.3"/>
    <row r="123" spans="1:6" ht="15.75" thickBot="1" x14ac:dyDescent="0.3">
      <c r="A123" s="292" t="s">
        <v>39</v>
      </c>
      <c r="B123" s="293"/>
      <c r="F123" s="14" t="s">
        <v>40</v>
      </c>
    </row>
    <row r="124" spans="1:6" ht="15.75" thickBot="1" x14ac:dyDescent="0.3"/>
    <row r="125" spans="1:6" ht="19.5" thickBot="1" x14ac:dyDescent="0.35">
      <c r="A125" s="10" t="s">
        <v>0</v>
      </c>
      <c r="B125" s="11" t="s">
        <v>3</v>
      </c>
      <c r="C125" s="11" t="s">
        <v>1</v>
      </c>
      <c r="D125" s="11" t="s">
        <v>26</v>
      </c>
      <c r="E125" s="11" t="s">
        <v>23</v>
      </c>
      <c r="F125" s="12" t="s">
        <v>27</v>
      </c>
    </row>
    <row r="126" spans="1:6" x14ac:dyDescent="0.25">
      <c r="A126" s="3">
        <v>1</v>
      </c>
      <c r="B126" s="3" t="s">
        <v>387</v>
      </c>
      <c r="C126" s="3" t="s">
        <v>403</v>
      </c>
      <c r="D126" s="3">
        <v>1</v>
      </c>
      <c r="E126" s="4">
        <f>D126*225</f>
        <v>225</v>
      </c>
      <c r="F126" s="3" t="s">
        <v>126</v>
      </c>
    </row>
    <row r="127" spans="1:6" x14ac:dyDescent="0.25">
      <c r="A127" s="3">
        <v>2</v>
      </c>
      <c r="B127" s="3" t="s">
        <v>387</v>
      </c>
      <c r="C127" s="1" t="s">
        <v>19</v>
      </c>
      <c r="D127" s="1">
        <v>15</v>
      </c>
      <c r="E127" s="5">
        <f>D127*15</f>
        <v>225</v>
      </c>
      <c r="F127" s="3" t="s">
        <v>126</v>
      </c>
    </row>
    <row r="128" spans="1:6" x14ac:dyDescent="0.25">
      <c r="A128" s="3">
        <v>3</v>
      </c>
      <c r="B128" s="3" t="s">
        <v>387</v>
      </c>
      <c r="C128" s="1" t="s">
        <v>369</v>
      </c>
      <c r="D128" s="1">
        <v>1</v>
      </c>
      <c r="E128" s="5">
        <f>D128*110</f>
        <v>110</v>
      </c>
      <c r="F128" s="3" t="s">
        <v>126</v>
      </c>
    </row>
    <row r="129" spans="1:6" x14ac:dyDescent="0.25">
      <c r="A129" s="3">
        <v>4</v>
      </c>
      <c r="B129" s="3" t="s">
        <v>387</v>
      </c>
      <c r="C129" s="1" t="s">
        <v>47</v>
      </c>
      <c r="D129" s="1">
        <v>2</v>
      </c>
      <c r="E129" s="5">
        <f>D129*80</f>
        <v>160</v>
      </c>
      <c r="F129" s="3" t="s">
        <v>126</v>
      </c>
    </row>
    <row r="130" spans="1:6" ht="15.75" thickBot="1" x14ac:dyDescent="0.3">
      <c r="A130" s="289" t="s">
        <v>41</v>
      </c>
      <c r="B130" s="290"/>
      <c r="C130" s="290"/>
      <c r="D130" s="291"/>
      <c r="E130" s="54">
        <f>SUM(E126:E129)</f>
        <v>720</v>
      </c>
    </row>
    <row r="131" spans="1:6" ht="15.75" thickBot="1" x14ac:dyDescent="0.3"/>
    <row r="132" spans="1:6" ht="15.75" thickBot="1" x14ac:dyDescent="0.3">
      <c r="A132" s="292" t="s">
        <v>39</v>
      </c>
      <c r="B132" s="293"/>
      <c r="F132" s="14" t="s">
        <v>40</v>
      </c>
    </row>
    <row r="133" spans="1:6" ht="15.75" thickBot="1" x14ac:dyDescent="0.3"/>
    <row r="134" spans="1:6" ht="19.5" thickBot="1" x14ac:dyDescent="0.35">
      <c r="A134" s="10" t="s">
        <v>0</v>
      </c>
      <c r="B134" s="11" t="s">
        <v>3</v>
      </c>
      <c r="C134" s="11" t="s">
        <v>1</v>
      </c>
      <c r="D134" s="11" t="s">
        <v>26</v>
      </c>
      <c r="E134" s="11" t="s">
        <v>23</v>
      </c>
      <c r="F134" s="12" t="s">
        <v>27</v>
      </c>
    </row>
    <row r="135" spans="1:6" x14ac:dyDescent="0.25">
      <c r="A135" s="3">
        <v>1</v>
      </c>
      <c r="B135" s="3" t="s">
        <v>398</v>
      </c>
      <c r="C135" s="3" t="s">
        <v>88</v>
      </c>
      <c r="D135" s="3">
        <v>5</v>
      </c>
      <c r="E135" s="4">
        <f>D135*35</f>
        <v>175</v>
      </c>
      <c r="F135" s="3" t="s">
        <v>126</v>
      </c>
    </row>
    <row r="136" spans="1:6" x14ac:dyDescent="0.25">
      <c r="A136" s="3">
        <v>2</v>
      </c>
      <c r="B136" s="3" t="s">
        <v>398</v>
      </c>
      <c r="C136" s="1" t="s">
        <v>178</v>
      </c>
      <c r="D136" s="1" t="s">
        <v>400</v>
      </c>
      <c r="E136" s="5">
        <f>400</f>
        <v>400</v>
      </c>
      <c r="F136" s="3" t="s">
        <v>126</v>
      </c>
    </row>
    <row r="137" spans="1:6" x14ac:dyDescent="0.25">
      <c r="A137" s="3">
        <v>3</v>
      </c>
      <c r="B137" s="3" t="s">
        <v>398</v>
      </c>
      <c r="C137" s="1" t="s">
        <v>327</v>
      </c>
      <c r="D137" s="1">
        <v>1</v>
      </c>
      <c r="E137" s="5">
        <v>200</v>
      </c>
      <c r="F137" s="3" t="s">
        <v>126</v>
      </c>
    </row>
    <row r="138" spans="1:6" x14ac:dyDescent="0.25">
      <c r="A138" s="3">
        <v>4</v>
      </c>
      <c r="B138" s="3" t="s">
        <v>398</v>
      </c>
      <c r="C138" s="1" t="s">
        <v>273</v>
      </c>
      <c r="D138" s="1">
        <v>4</v>
      </c>
      <c r="E138" s="5">
        <f>D138*250</f>
        <v>1000</v>
      </c>
      <c r="F138" s="3" t="s">
        <v>126</v>
      </c>
    </row>
    <row r="139" spans="1:6" ht="15.75" thickBot="1" x14ac:dyDescent="0.3">
      <c r="A139" s="289" t="s">
        <v>41</v>
      </c>
      <c r="B139" s="290"/>
      <c r="C139" s="290"/>
      <c r="D139" s="291"/>
      <c r="E139" s="54">
        <f>SUM(E135:E138)</f>
        <v>1775</v>
      </c>
    </row>
    <row r="140" spans="1:6" ht="15.75" thickBot="1" x14ac:dyDescent="0.3"/>
    <row r="141" spans="1:6" ht="15.75" thickBot="1" x14ac:dyDescent="0.3">
      <c r="A141" s="292" t="s">
        <v>39</v>
      </c>
      <c r="B141" s="293"/>
      <c r="F141" s="14" t="s">
        <v>40</v>
      </c>
    </row>
    <row r="142" spans="1:6" ht="15.75" thickBot="1" x14ac:dyDescent="0.3"/>
    <row r="143" spans="1:6" ht="19.5" thickBot="1" x14ac:dyDescent="0.35">
      <c r="A143" s="10" t="s">
        <v>0</v>
      </c>
      <c r="B143" s="11" t="s">
        <v>3</v>
      </c>
      <c r="C143" s="11" t="s">
        <v>1</v>
      </c>
      <c r="D143" s="11" t="s">
        <v>26</v>
      </c>
      <c r="E143" s="11" t="s">
        <v>23</v>
      </c>
      <c r="F143" s="12" t="s">
        <v>27</v>
      </c>
    </row>
    <row r="144" spans="1:6" x14ac:dyDescent="0.25">
      <c r="A144" s="3">
        <v>1</v>
      </c>
      <c r="B144" s="3" t="s">
        <v>398</v>
      </c>
      <c r="C144" s="3" t="s">
        <v>416</v>
      </c>
      <c r="D144" s="3">
        <v>4</v>
      </c>
      <c r="E144" s="4">
        <f>D144*250</f>
        <v>1000</v>
      </c>
      <c r="F144" s="3" t="s">
        <v>126</v>
      </c>
    </row>
    <row r="145" spans="1:6" x14ac:dyDescent="0.25">
      <c r="A145" s="3">
        <v>2</v>
      </c>
      <c r="B145" s="3" t="s">
        <v>398</v>
      </c>
      <c r="C145" s="1" t="s">
        <v>404</v>
      </c>
      <c r="D145" s="1">
        <v>2</v>
      </c>
      <c r="E145" s="5">
        <v>50</v>
      </c>
      <c r="F145" s="3" t="s">
        <v>126</v>
      </c>
    </row>
    <row r="146" spans="1:6" x14ac:dyDescent="0.25">
      <c r="A146" s="3">
        <v>3</v>
      </c>
      <c r="B146" s="3" t="s">
        <v>398</v>
      </c>
      <c r="C146" s="1" t="s">
        <v>178</v>
      </c>
      <c r="D146" s="1" t="s">
        <v>329</v>
      </c>
      <c r="E146" s="5">
        <f>200</f>
        <v>200</v>
      </c>
      <c r="F146" s="3" t="s">
        <v>126</v>
      </c>
    </row>
    <row r="147" spans="1:6" x14ac:dyDescent="0.25">
      <c r="A147" s="3">
        <v>4</v>
      </c>
      <c r="B147" s="3" t="s">
        <v>398</v>
      </c>
      <c r="C147" s="1" t="s">
        <v>102</v>
      </c>
      <c r="D147" s="1">
        <v>1</v>
      </c>
      <c r="E147" s="5">
        <v>120</v>
      </c>
      <c r="F147" s="3" t="s">
        <v>126</v>
      </c>
    </row>
    <row r="148" spans="1:6" x14ac:dyDescent="0.25">
      <c r="A148" s="3">
        <v>5</v>
      </c>
      <c r="B148" s="3" t="s">
        <v>398</v>
      </c>
      <c r="C148" s="1" t="s">
        <v>341</v>
      </c>
      <c r="D148" s="1">
        <v>4</v>
      </c>
      <c r="E148" s="5">
        <v>120</v>
      </c>
      <c r="F148" s="3" t="s">
        <v>126</v>
      </c>
    </row>
    <row r="149" spans="1:6" x14ac:dyDescent="0.25">
      <c r="A149" s="3">
        <v>6</v>
      </c>
      <c r="B149" s="3" t="s">
        <v>398</v>
      </c>
      <c r="C149" s="1" t="s">
        <v>18</v>
      </c>
      <c r="D149" s="1">
        <v>2</v>
      </c>
      <c r="E149" s="5">
        <f>D149*80</f>
        <v>160</v>
      </c>
      <c r="F149" s="3" t="s">
        <v>126</v>
      </c>
    </row>
    <row r="150" spans="1:6" x14ac:dyDescent="0.25">
      <c r="A150" s="1">
        <v>7</v>
      </c>
      <c r="B150" s="3" t="s">
        <v>398</v>
      </c>
      <c r="C150" s="1" t="s">
        <v>19</v>
      </c>
      <c r="D150" s="1">
        <v>8</v>
      </c>
      <c r="E150" s="5">
        <f>D150*15</f>
        <v>120</v>
      </c>
      <c r="F150" s="3" t="s">
        <v>126</v>
      </c>
    </row>
    <row r="151" spans="1:6" ht="15.75" thickBot="1" x14ac:dyDescent="0.3">
      <c r="A151" s="289" t="s">
        <v>41</v>
      </c>
      <c r="B151" s="290"/>
      <c r="C151" s="290"/>
      <c r="D151" s="291"/>
      <c r="E151" s="54">
        <f>SUM(E144:E150)</f>
        <v>1770</v>
      </c>
    </row>
    <row r="152" spans="1:6" ht="15.75" thickBot="1" x14ac:dyDescent="0.3"/>
    <row r="153" spans="1:6" ht="15.75" thickBot="1" x14ac:dyDescent="0.3">
      <c r="A153" s="292" t="s">
        <v>39</v>
      </c>
      <c r="B153" s="293"/>
      <c r="F153" s="14" t="s">
        <v>40</v>
      </c>
    </row>
    <row r="154" spans="1:6" ht="15.75" thickBot="1" x14ac:dyDescent="0.3"/>
    <row r="155" spans="1:6" ht="18.75" x14ac:dyDescent="0.3">
      <c r="A155" s="26" t="s">
        <v>0</v>
      </c>
      <c r="B155" s="27" t="s">
        <v>3</v>
      </c>
      <c r="C155" s="27" t="s">
        <v>1</v>
      </c>
      <c r="D155" s="27" t="s">
        <v>26</v>
      </c>
      <c r="E155" s="27" t="s">
        <v>23</v>
      </c>
      <c r="F155" s="28" t="s">
        <v>27</v>
      </c>
    </row>
    <row r="156" spans="1:6" x14ac:dyDescent="0.25">
      <c r="A156" s="1">
        <v>1</v>
      </c>
      <c r="B156" s="1" t="s">
        <v>423</v>
      </c>
      <c r="C156" s="1" t="s">
        <v>178</v>
      </c>
      <c r="D156" s="1">
        <v>1</v>
      </c>
      <c r="E156" s="5">
        <v>100</v>
      </c>
      <c r="F156" s="1" t="s">
        <v>126</v>
      </c>
    </row>
    <row r="157" spans="1:6" x14ac:dyDescent="0.25">
      <c r="A157" s="1">
        <v>2</v>
      </c>
      <c r="B157" s="1" t="s">
        <v>423</v>
      </c>
      <c r="C157" s="1" t="s">
        <v>33</v>
      </c>
      <c r="D157" s="1">
        <v>2</v>
      </c>
      <c r="E157" s="5">
        <f>D157*25</f>
        <v>50</v>
      </c>
      <c r="F157" s="1" t="s">
        <v>126</v>
      </c>
    </row>
    <row r="158" spans="1:6" x14ac:dyDescent="0.25">
      <c r="A158" s="1">
        <v>3</v>
      </c>
      <c r="B158" s="1" t="s">
        <v>423</v>
      </c>
      <c r="C158" s="1" t="s">
        <v>14</v>
      </c>
      <c r="D158" s="1">
        <v>3</v>
      </c>
      <c r="E158" s="5">
        <f>D158*80</f>
        <v>240</v>
      </c>
      <c r="F158" s="1" t="s">
        <v>126</v>
      </c>
    </row>
    <row r="159" spans="1:6" x14ac:dyDescent="0.25">
      <c r="A159" s="1">
        <v>4</v>
      </c>
      <c r="B159" s="1" t="s">
        <v>423</v>
      </c>
      <c r="C159" s="1" t="s">
        <v>369</v>
      </c>
      <c r="D159" s="1">
        <v>2</v>
      </c>
      <c r="E159" s="5">
        <f>D159*110</f>
        <v>220</v>
      </c>
      <c r="F159" s="1" t="s">
        <v>126</v>
      </c>
    </row>
    <row r="160" spans="1:6" x14ac:dyDescent="0.25">
      <c r="A160" s="1">
        <v>5</v>
      </c>
      <c r="B160" s="1" t="s">
        <v>423</v>
      </c>
      <c r="C160" s="1" t="s">
        <v>19</v>
      </c>
      <c r="D160" s="1">
        <v>23</v>
      </c>
      <c r="E160" s="5">
        <f>D160*15</f>
        <v>345</v>
      </c>
      <c r="F160" s="1" t="s">
        <v>126</v>
      </c>
    </row>
    <row r="161" spans="1:6" x14ac:dyDescent="0.25">
      <c r="A161" s="1">
        <v>6</v>
      </c>
      <c r="B161" s="1" t="s">
        <v>423</v>
      </c>
      <c r="C161" s="1" t="s">
        <v>50</v>
      </c>
      <c r="D161" s="1">
        <v>4</v>
      </c>
      <c r="E161" s="5">
        <f>D161*70</f>
        <v>280</v>
      </c>
      <c r="F161" s="1" t="s">
        <v>126</v>
      </c>
    </row>
    <row r="162" spans="1:6" x14ac:dyDescent="0.25">
      <c r="A162" s="1">
        <v>7</v>
      </c>
      <c r="B162" s="1" t="s">
        <v>423</v>
      </c>
      <c r="C162" s="1" t="s">
        <v>438</v>
      </c>
      <c r="D162" s="1">
        <v>2</v>
      </c>
      <c r="E162" s="5">
        <f>D162*80</f>
        <v>160</v>
      </c>
      <c r="F162" s="1" t="s">
        <v>126</v>
      </c>
    </row>
    <row r="163" spans="1:6" x14ac:dyDescent="0.25">
      <c r="A163" s="1">
        <v>8</v>
      </c>
      <c r="B163" s="1" t="s">
        <v>423</v>
      </c>
      <c r="C163" s="24" t="s">
        <v>341</v>
      </c>
      <c r="D163" s="24">
        <v>2</v>
      </c>
      <c r="E163" s="5">
        <f>D163*30</f>
        <v>60</v>
      </c>
      <c r="F163" s="1" t="s">
        <v>126</v>
      </c>
    </row>
    <row r="164" spans="1:6" x14ac:dyDescent="0.25">
      <c r="A164" s="1">
        <v>9</v>
      </c>
      <c r="B164" s="1" t="s">
        <v>423</v>
      </c>
      <c r="C164" s="24" t="s">
        <v>102</v>
      </c>
      <c r="D164" s="24">
        <v>1</v>
      </c>
      <c r="E164" s="5">
        <f>D164*120</f>
        <v>120</v>
      </c>
      <c r="F164" s="1" t="s">
        <v>126</v>
      </c>
    </row>
    <row r="165" spans="1:6" ht="15.75" thickBot="1" x14ac:dyDescent="0.3">
      <c r="A165" s="289" t="s">
        <v>41</v>
      </c>
      <c r="B165" s="290"/>
      <c r="C165" s="290"/>
      <c r="D165" s="291"/>
      <c r="E165" s="54">
        <f>SUM(E156:E164)</f>
        <v>1575</v>
      </c>
    </row>
    <row r="166" spans="1:6" ht="15.75" thickBot="1" x14ac:dyDescent="0.3"/>
    <row r="167" spans="1:6" ht="15.75" thickBot="1" x14ac:dyDescent="0.3">
      <c r="A167" s="292" t="s">
        <v>39</v>
      </c>
      <c r="B167" s="293"/>
      <c r="F167" s="14" t="s">
        <v>40</v>
      </c>
    </row>
    <row r="168" spans="1:6" ht="15.75" thickBot="1" x14ac:dyDescent="0.3"/>
    <row r="169" spans="1:6" ht="18.75" x14ac:dyDescent="0.3">
      <c r="A169" s="26" t="s">
        <v>0</v>
      </c>
      <c r="B169" s="27" t="s">
        <v>3</v>
      </c>
      <c r="C169" s="27" t="s">
        <v>1</v>
      </c>
      <c r="D169" s="27" t="s">
        <v>26</v>
      </c>
      <c r="E169" s="27" t="s">
        <v>23</v>
      </c>
      <c r="F169" s="28" t="s">
        <v>27</v>
      </c>
    </row>
    <row r="170" spans="1:6" x14ac:dyDescent="0.25">
      <c r="A170" s="1">
        <v>1</v>
      </c>
      <c r="B170" s="1" t="s">
        <v>423</v>
      </c>
      <c r="C170" s="1" t="s">
        <v>327</v>
      </c>
      <c r="D170" s="1">
        <v>1</v>
      </c>
      <c r="E170" s="5">
        <v>200</v>
      </c>
      <c r="F170" s="1" t="s">
        <v>126</v>
      </c>
    </row>
    <row r="171" spans="1:6" x14ac:dyDescent="0.25">
      <c r="A171" s="1">
        <v>2</v>
      </c>
      <c r="B171" s="1" t="s">
        <v>423</v>
      </c>
      <c r="C171" s="1" t="s">
        <v>19</v>
      </c>
      <c r="D171" s="1">
        <v>15</v>
      </c>
      <c r="E171" s="5">
        <f>D171*15</f>
        <v>225</v>
      </c>
      <c r="F171" s="1" t="s">
        <v>126</v>
      </c>
    </row>
    <row r="172" spans="1:6" x14ac:dyDescent="0.25">
      <c r="A172" s="1">
        <v>3</v>
      </c>
      <c r="B172" s="1" t="s">
        <v>423</v>
      </c>
      <c r="C172" s="1" t="s">
        <v>440</v>
      </c>
      <c r="D172" s="1">
        <v>6</v>
      </c>
      <c r="E172" s="5">
        <f>D172*50</f>
        <v>300</v>
      </c>
      <c r="F172" s="1" t="s">
        <v>126</v>
      </c>
    </row>
    <row r="173" spans="1:6" ht="15.75" thickBot="1" x14ac:dyDescent="0.3">
      <c r="A173" s="289" t="s">
        <v>41</v>
      </c>
      <c r="B173" s="290"/>
      <c r="C173" s="290"/>
      <c r="D173" s="291"/>
      <c r="E173" s="54">
        <f>SUM(E170:E172)</f>
        <v>725</v>
      </c>
    </row>
    <row r="174" spans="1:6" ht="15.75" thickBot="1" x14ac:dyDescent="0.3"/>
    <row r="175" spans="1:6" ht="15.75" thickBot="1" x14ac:dyDescent="0.3">
      <c r="A175" s="292" t="s">
        <v>39</v>
      </c>
      <c r="B175" s="293"/>
      <c r="F175" s="14" t="s">
        <v>40</v>
      </c>
    </row>
    <row r="176" spans="1:6" ht="15.75" thickBot="1" x14ac:dyDescent="0.3"/>
    <row r="177" spans="1:6" ht="18.75" x14ac:dyDescent="0.3">
      <c r="A177" s="26" t="s">
        <v>0</v>
      </c>
      <c r="B177" s="27" t="s">
        <v>3</v>
      </c>
      <c r="C177" s="27" t="s">
        <v>1</v>
      </c>
      <c r="D177" s="27" t="s">
        <v>26</v>
      </c>
      <c r="E177" s="27" t="s">
        <v>23</v>
      </c>
      <c r="F177" s="28" t="s">
        <v>27</v>
      </c>
    </row>
    <row r="178" spans="1:6" x14ac:dyDescent="0.25">
      <c r="A178" s="1">
        <v>1</v>
      </c>
      <c r="B178" s="66">
        <v>46023</v>
      </c>
      <c r="C178" s="1" t="s">
        <v>18</v>
      </c>
      <c r="D178" s="1">
        <v>2</v>
      </c>
      <c r="E178" s="5">
        <f>D178*180</f>
        <v>360</v>
      </c>
      <c r="F178" s="1" t="s">
        <v>126</v>
      </c>
    </row>
    <row r="179" spans="1:6" x14ac:dyDescent="0.25">
      <c r="A179" s="1">
        <v>2</v>
      </c>
      <c r="B179" s="66">
        <v>46023</v>
      </c>
      <c r="C179" s="1" t="s">
        <v>19</v>
      </c>
      <c r="D179" s="1">
        <v>13</v>
      </c>
      <c r="E179" s="5">
        <f>D179*15</f>
        <v>195</v>
      </c>
      <c r="F179" s="1" t="s">
        <v>126</v>
      </c>
    </row>
    <row r="180" spans="1:6" x14ac:dyDescent="0.25">
      <c r="A180" s="1">
        <v>3</v>
      </c>
      <c r="B180" s="66">
        <v>46023</v>
      </c>
      <c r="C180" s="1" t="s">
        <v>433</v>
      </c>
      <c r="D180" s="1">
        <v>3</v>
      </c>
      <c r="E180" s="5">
        <f>D180*320</f>
        <v>960</v>
      </c>
      <c r="F180" s="1" t="s">
        <v>126</v>
      </c>
    </row>
    <row r="181" spans="1:6" x14ac:dyDescent="0.25">
      <c r="A181" s="1">
        <v>4</v>
      </c>
      <c r="B181" s="66">
        <v>46023</v>
      </c>
      <c r="C181" s="1" t="s">
        <v>50</v>
      </c>
      <c r="D181" s="1">
        <v>1</v>
      </c>
      <c r="E181" s="5">
        <f>D181*70</f>
        <v>70</v>
      </c>
      <c r="F181" s="1" t="s">
        <v>126</v>
      </c>
    </row>
    <row r="182" spans="1:6" ht="15.75" thickBot="1" x14ac:dyDescent="0.3">
      <c r="A182" s="289" t="s">
        <v>41</v>
      </c>
      <c r="B182" s="290"/>
      <c r="C182" s="290"/>
      <c r="D182" s="291"/>
      <c r="E182" s="54">
        <f>SUM(E178:E181)</f>
        <v>1585</v>
      </c>
    </row>
    <row r="183" spans="1:6" ht="15.75" thickBot="1" x14ac:dyDescent="0.3"/>
    <row r="184" spans="1:6" ht="15.75" thickBot="1" x14ac:dyDescent="0.3">
      <c r="A184" s="292" t="s">
        <v>39</v>
      </c>
      <c r="B184" s="293"/>
      <c r="F184" s="14" t="s">
        <v>40</v>
      </c>
    </row>
    <row r="185" spans="1:6" ht="15.75" thickBot="1" x14ac:dyDescent="0.3"/>
    <row r="186" spans="1:6" ht="18.75" x14ac:dyDescent="0.3">
      <c r="A186" s="26" t="s">
        <v>0</v>
      </c>
      <c r="B186" s="27" t="s">
        <v>3</v>
      </c>
      <c r="C186" s="27" t="s">
        <v>1</v>
      </c>
      <c r="D186" s="27" t="s">
        <v>26</v>
      </c>
      <c r="E186" s="27" t="s">
        <v>23</v>
      </c>
      <c r="F186" s="28" t="s">
        <v>27</v>
      </c>
    </row>
    <row r="187" spans="1:6" x14ac:dyDescent="0.25">
      <c r="A187" s="1">
        <v>1</v>
      </c>
      <c r="B187" s="66">
        <v>46024</v>
      </c>
      <c r="C187" s="1" t="s">
        <v>433</v>
      </c>
      <c r="D187" s="1">
        <v>2</v>
      </c>
      <c r="E187" s="5">
        <f>D187*180</f>
        <v>360</v>
      </c>
      <c r="F187" s="1" t="s">
        <v>126</v>
      </c>
    </row>
    <row r="188" spans="1:6" x14ac:dyDescent="0.25">
      <c r="A188" s="1">
        <v>2</v>
      </c>
      <c r="B188" s="66">
        <v>46024</v>
      </c>
      <c r="C188" s="1" t="s">
        <v>493</v>
      </c>
      <c r="D188" s="1">
        <v>2</v>
      </c>
      <c r="E188" s="5">
        <f>D188*320</f>
        <v>640</v>
      </c>
      <c r="F188" s="1" t="s">
        <v>126</v>
      </c>
    </row>
    <row r="189" spans="1:6" x14ac:dyDescent="0.25">
      <c r="A189" s="1">
        <v>3</v>
      </c>
      <c r="B189" s="66">
        <v>46024</v>
      </c>
      <c r="C189" s="1" t="s">
        <v>33</v>
      </c>
      <c r="D189" s="1">
        <v>2</v>
      </c>
      <c r="E189" s="5">
        <f>D189*30</f>
        <v>60</v>
      </c>
      <c r="F189" s="1" t="s">
        <v>126</v>
      </c>
    </row>
    <row r="190" spans="1:6" x14ac:dyDescent="0.25">
      <c r="A190" s="1">
        <v>4</v>
      </c>
      <c r="B190" s="66">
        <v>46024</v>
      </c>
      <c r="C190" s="1" t="s">
        <v>178</v>
      </c>
      <c r="D190" s="1">
        <v>1</v>
      </c>
      <c r="E190" s="5">
        <v>100</v>
      </c>
      <c r="F190" s="1" t="s">
        <v>126</v>
      </c>
    </row>
    <row r="191" spans="1:6" ht="15.75" thickBot="1" x14ac:dyDescent="0.3">
      <c r="A191" s="289" t="s">
        <v>41</v>
      </c>
      <c r="B191" s="290"/>
      <c r="C191" s="290"/>
      <c r="D191" s="291"/>
      <c r="E191" s="54">
        <f>SUM(E187:E190)</f>
        <v>1160</v>
      </c>
    </row>
    <row r="192" spans="1:6" ht="15.75" thickBot="1" x14ac:dyDescent="0.3"/>
    <row r="193" spans="1:6" ht="15.75" thickBot="1" x14ac:dyDescent="0.3">
      <c r="A193" s="292" t="s">
        <v>39</v>
      </c>
      <c r="B193" s="293"/>
      <c r="F193" s="14" t="s">
        <v>40</v>
      </c>
    </row>
    <row r="194" spans="1:6" ht="15.75" thickBot="1" x14ac:dyDescent="0.3"/>
    <row r="195" spans="1:6" ht="18.75" x14ac:dyDescent="0.3">
      <c r="A195" s="26" t="s">
        <v>0</v>
      </c>
      <c r="B195" s="27" t="s">
        <v>3</v>
      </c>
      <c r="C195" s="27" t="s">
        <v>1</v>
      </c>
      <c r="D195" s="27" t="s">
        <v>26</v>
      </c>
      <c r="E195" s="27" t="s">
        <v>23</v>
      </c>
      <c r="F195" s="28" t="s">
        <v>27</v>
      </c>
    </row>
    <row r="196" spans="1:6" x14ac:dyDescent="0.25">
      <c r="A196" s="1">
        <v>1</v>
      </c>
      <c r="B196" s="66">
        <v>46025</v>
      </c>
      <c r="C196" s="1" t="s">
        <v>360</v>
      </c>
      <c r="D196" s="1">
        <v>2</v>
      </c>
      <c r="E196" s="5">
        <f>D196*220</f>
        <v>440</v>
      </c>
      <c r="F196" s="1" t="s">
        <v>126</v>
      </c>
    </row>
    <row r="197" spans="1:6" x14ac:dyDescent="0.25">
      <c r="A197" s="1">
        <v>2</v>
      </c>
      <c r="B197" s="66">
        <v>46025</v>
      </c>
      <c r="C197" s="1" t="s">
        <v>19</v>
      </c>
      <c r="D197" s="1">
        <v>13</v>
      </c>
      <c r="E197" s="5">
        <f>D197*15</f>
        <v>195</v>
      </c>
      <c r="F197" s="1" t="s">
        <v>126</v>
      </c>
    </row>
    <row r="198" spans="1:6" x14ac:dyDescent="0.25">
      <c r="A198" s="1">
        <v>3</v>
      </c>
      <c r="B198" s="66">
        <v>46025</v>
      </c>
      <c r="C198" s="1" t="s">
        <v>50</v>
      </c>
      <c r="D198" s="1">
        <v>2</v>
      </c>
      <c r="E198" s="5">
        <f>D198*70</f>
        <v>140</v>
      </c>
      <c r="F198" s="1" t="s">
        <v>126</v>
      </c>
    </row>
    <row r="199" spans="1:6" x14ac:dyDescent="0.25">
      <c r="A199" s="1">
        <v>4</v>
      </c>
      <c r="B199" s="66">
        <v>46025</v>
      </c>
      <c r="C199" s="1" t="s">
        <v>512</v>
      </c>
      <c r="D199" s="1">
        <v>2</v>
      </c>
      <c r="E199" s="5">
        <f>D199*130</f>
        <v>260</v>
      </c>
      <c r="F199" s="1" t="s">
        <v>126</v>
      </c>
    </row>
    <row r="200" spans="1:6" x14ac:dyDescent="0.25">
      <c r="A200" s="1">
        <v>5</v>
      </c>
      <c r="B200" s="66">
        <v>46025</v>
      </c>
      <c r="C200" s="1" t="s">
        <v>33</v>
      </c>
      <c r="D200" s="1">
        <v>1</v>
      </c>
      <c r="E200" s="5">
        <v>30</v>
      </c>
      <c r="F200" s="1" t="s">
        <v>126</v>
      </c>
    </row>
    <row r="201" spans="1:6" ht="15.75" thickBot="1" x14ac:dyDescent="0.3">
      <c r="A201" s="289" t="s">
        <v>41</v>
      </c>
      <c r="B201" s="290"/>
      <c r="C201" s="290"/>
      <c r="D201" s="291"/>
      <c r="E201" s="54">
        <f>SUM(E196:E200)</f>
        <v>1065</v>
      </c>
    </row>
    <row r="202" spans="1:6" ht="15.75" thickBot="1" x14ac:dyDescent="0.3"/>
    <row r="203" spans="1:6" ht="15.75" thickBot="1" x14ac:dyDescent="0.3">
      <c r="A203" s="292" t="s">
        <v>39</v>
      </c>
      <c r="B203" s="293"/>
      <c r="F203" s="14" t="s">
        <v>40</v>
      </c>
    </row>
    <row r="204" spans="1:6" ht="15.75" thickBot="1" x14ac:dyDescent="0.3"/>
    <row r="205" spans="1:6" ht="18.75" x14ac:dyDescent="0.3">
      <c r="A205" s="26" t="s">
        <v>0</v>
      </c>
      <c r="B205" s="27" t="s">
        <v>3</v>
      </c>
      <c r="C205" s="27" t="s">
        <v>1</v>
      </c>
      <c r="D205" s="27" t="s">
        <v>26</v>
      </c>
      <c r="E205" s="27" t="s">
        <v>23</v>
      </c>
      <c r="F205" s="28" t="s">
        <v>27</v>
      </c>
    </row>
    <row r="206" spans="1:6" x14ac:dyDescent="0.25">
      <c r="A206" s="1">
        <v>1</v>
      </c>
      <c r="B206" s="66">
        <v>46027</v>
      </c>
      <c r="C206" s="1" t="s">
        <v>433</v>
      </c>
      <c r="D206" s="1">
        <v>2</v>
      </c>
      <c r="E206" s="5">
        <f>D206*320</f>
        <v>640</v>
      </c>
      <c r="F206" s="1" t="s">
        <v>126</v>
      </c>
    </row>
    <row r="207" spans="1:6" x14ac:dyDescent="0.25">
      <c r="A207" s="1">
        <v>2</v>
      </c>
      <c r="B207" s="66">
        <v>46027</v>
      </c>
      <c r="C207" s="1" t="s">
        <v>33</v>
      </c>
      <c r="D207" s="1">
        <v>1</v>
      </c>
      <c r="E207" s="5">
        <v>30</v>
      </c>
      <c r="F207" s="1" t="s">
        <v>126</v>
      </c>
    </row>
    <row r="208" spans="1:6" x14ac:dyDescent="0.25">
      <c r="A208" s="1">
        <v>3</v>
      </c>
      <c r="B208" s="66">
        <v>46027</v>
      </c>
      <c r="C208" s="1" t="s">
        <v>50</v>
      </c>
      <c r="D208" s="1">
        <v>1</v>
      </c>
      <c r="E208" s="5">
        <f>D208*70</f>
        <v>70</v>
      </c>
      <c r="F208" s="1" t="s">
        <v>126</v>
      </c>
    </row>
    <row r="209" spans="1:6" ht="15.75" thickBot="1" x14ac:dyDescent="0.3">
      <c r="A209" s="289" t="s">
        <v>41</v>
      </c>
      <c r="B209" s="290"/>
      <c r="C209" s="290"/>
      <c r="D209" s="291"/>
      <c r="E209" s="54">
        <f>SUM(E206:E208)</f>
        <v>740</v>
      </c>
    </row>
    <row r="210" spans="1:6" ht="15.75" thickBot="1" x14ac:dyDescent="0.3"/>
    <row r="211" spans="1:6" ht="15.75" thickBot="1" x14ac:dyDescent="0.3">
      <c r="A211" s="292" t="s">
        <v>39</v>
      </c>
      <c r="B211" s="293"/>
      <c r="F211" s="14" t="s">
        <v>40</v>
      </c>
    </row>
    <row r="212" spans="1:6" ht="15.75" thickBot="1" x14ac:dyDescent="0.3"/>
    <row r="213" spans="1:6" ht="18.75" x14ac:dyDescent="0.3">
      <c r="A213" s="26" t="s">
        <v>0</v>
      </c>
      <c r="B213" s="27" t="s">
        <v>3</v>
      </c>
      <c r="C213" s="27" t="s">
        <v>1</v>
      </c>
      <c r="D213" s="27" t="s">
        <v>26</v>
      </c>
      <c r="E213" s="27" t="s">
        <v>23</v>
      </c>
      <c r="F213" s="28" t="s">
        <v>27</v>
      </c>
    </row>
    <row r="214" spans="1:6" x14ac:dyDescent="0.25">
      <c r="A214" s="1">
        <v>1</v>
      </c>
      <c r="B214" s="66">
        <v>46027</v>
      </c>
      <c r="C214" s="1" t="s">
        <v>14</v>
      </c>
      <c r="D214" s="1">
        <v>2</v>
      </c>
      <c r="E214" s="5">
        <f>D214*80</f>
        <v>160</v>
      </c>
      <c r="F214" s="1" t="s">
        <v>126</v>
      </c>
    </row>
    <row r="215" spans="1:6" x14ac:dyDescent="0.25">
      <c r="A215" s="1">
        <v>2</v>
      </c>
      <c r="B215" s="66">
        <v>46027</v>
      </c>
      <c r="C215" s="1" t="s">
        <v>15</v>
      </c>
      <c r="D215" s="1">
        <v>8</v>
      </c>
      <c r="E215" s="5">
        <f>D215*15</f>
        <v>120</v>
      </c>
      <c r="F215" s="1" t="s">
        <v>126</v>
      </c>
    </row>
    <row r="216" spans="1:6" ht="15.75" thickBot="1" x14ac:dyDescent="0.3">
      <c r="A216" s="289" t="s">
        <v>41</v>
      </c>
      <c r="B216" s="290"/>
      <c r="C216" s="290"/>
      <c r="D216" s="291"/>
      <c r="E216" s="54">
        <f>SUM(E214:E215)</f>
        <v>280</v>
      </c>
    </row>
    <row r="217" spans="1:6" ht="15.75" thickBot="1" x14ac:dyDescent="0.3"/>
    <row r="218" spans="1:6" ht="15.75" thickBot="1" x14ac:dyDescent="0.3">
      <c r="A218" s="292" t="s">
        <v>39</v>
      </c>
      <c r="B218" s="293"/>
      <c r="F218" s="14" t="s">
        <v>40</v>
      </c>
    </row>
    <row r="219" spans="1:6" ht="15.75" thickBot="1" x14ac:dyDescent="0.3"/>
    <row r="220" spans="1:6" ht="18.75" x14ac:dyDescent="0.3">
      <c r="A220" s="26" t="s">
        <v>0</v>
      </c>
      <c r="B220" s="27" t="s">
        <v>3</v>
      </c>
      <c r="C220" s="27" t="s">
        <v>1</v>
      </c>
      <c r="D220" s="27" t="s">
        <v>26</v>
      </c>
      <c r="E220" s="27" t="s">
        <v>23</v>
      </c>
      <c r="F220" s="28" t="s">
        <v>27</v>
      </c>
    </row>
    <row r="221" spans="1:6" x14ac:dyDescent="0.25">
      <c r="A221" s="1">
        <v>1</v>
      </c>
      <c r="B221" s="66">
        <v>46028</v>
      </c>
      <c r="C221" s="1" t="s">
        <v>197</v>
      </c>
      <c r="D221" s="1">
        <v>2</v>
      </c>
      <c r="E221" s="5">
        <v>160</v>
      </c>
      <c r="F221" s="1" t="s">
        <v>126</v>
      </c>
    </row>
    <row r="222" spans="1:6" x14ac:dyDescent="0.25">
      <c r="A222" s="1">
        <v>2</v>
      </c>
      <c r="B222" s="66">
        <v>46028</v>
      </c>
      <c r="C222" s="1" t="s">
        <v>33</v>
      </c>
      <c r="D222" s="1">
        <v>1</v>
      </c>
      <c r="E222" s="5">
        <v>30</v>
      </c>
      <c r="F222" s="1" t="s">
        <v>126</v>
      </c>
    </row>
    <row r="223" spans="1:6" x14ac:dyDescent="0.25">
      <c r="A223" s="1">
        <v>3</v>
      </c>
      <c r="B223" s="66">
        <v>46028</v>
      </c>
      <c r="C223" s="1" t="s">
        <v>178</v>
      </c>
      <c r="D223" s="1">
        <v>1</v>
      </c>
      <c r="E223" s="5">
        <v>100</v>
      </c>
      <c r="F223" s="1" t="s">
        <v>126</v>
      </c>
    </row>
    <row r="224" spans="1:6" x14ac:dyDescent="0.25">
      <c r="A224" s="1">
        <v>4</v>
      </c>
      <c r="B224" s="66">
        <v>46028</v>
      </c>
      <c r="C224" s="1" t="s">
        <v>94</v>
      </c>
      <c r="D224" s="1">
        <v>2</v>
      </c>
      <c r="E224" s="5">
        <v>180</v>
      </c>
      <c r="F224" s="1" t="s">
        <v>126</v>
      </c>
    </row>
    <row r="225" spans="1:6" x14ac:dyDescent="0.25">
      <c r="A225" s="1">
        <v>5</v>
      </c>
      <c r="B225" s="66">
        <v>46028</v>
      </c>
      <c r="C225" s="1" t="s">
        <v>584</v>
      </c>
      <c r="D225" s="1">
        <v>1</v>
      </c>
      <c r="E225" s="5">
        <v>180</v>
      </c>
      <c r="F225" s="1" t="s">
        <v>126</v>
      </c>
    </row>
    <row r="226" spans="1:6" ht="15.75" thickBot="1" x14ac:dyDescent="0.3">
      <c r="A226" s="289" t="s">
        <v>41</v>
      </c>
      <c r="B226" s="290"/>
      <c r="C226" s="290"/>
      <c r="D226" s="291"/>
      <c r="E226" s="54">
        <f>SUM(E221:E225)</f>
        <v>650</v>
      </c>
    </row>
    <row r="227" spans="1:6" ht="15.75" thickBot="1" x14ac:dyDescent="0.3"/>
    <row r="228" spans="1:6" ht="15.75" thickBot="1" x14ac:dyDescent="0.3">
      <c r="A228" s="292" t="s">
        <v>39</v>
      </c>
      <c r="B228" s="293"/>
      <c r="F228" s="14" t="s">
        <v>40</v>
      </c>
    </row>
    <row r="229" spans="1:6" ht="15.75" thickBot="1" x14ac:dyDescent="0.3"/>
    <row r="230" spans="1:6" ht="18.75" x14ac:dyDescent="0.3">
      <c r="A230" s="26" t="s">
        <v>0</v>
      </c>
      <c r="B230" s="27" t="s">
        <v>3</v>
      </c>
      <c r="C230" s="27" t="s">
        <v>1</v>
      </c>
      <c r="D230" s="27" t="s">
        <v>26</v>
      </c>
      <c r="E230" s="27" t="s">
        <v>23</v>
      </c>
      <c r="F230" s="28" t="s">
        <v>27</v>
      </c>
    </row>
    <row r="231" spans="1:6" x14ac:dyDescent="0.25">
      <c r="A231" s="1">
        <v>1</v>
      </c>
      <c r="B231" s="66">
        <v>46029</v>
      </c>
      <c r="C231" s="1" t="s">
        <v>369</v>
      </c>
      <c r="D231" s="1">
        <v>1</v>
      </c>
      <c r="E231" s="5">
        <v>80</v>
      </c>
      <c r="F231" s="1" t="s">
        <v>126</v>
      </c>
    </row>
    <row r="232" spans="1:6" x14ac:dyDescent="0.25">
      <c r="A232" s="1">
        <v>2</v>
      </c>
      <c r="B232" s="66">
        <v>46029</v>
      </c>
      <c r="C232" s="1" t="s">
        <v>19</v>
      </c>
      <c r="D232" s="1">
        <v>7</v>
      </c>
      <c r="E232" s="5">
        <f>D232*15</f>
        <v>105</v>
      </c>
      <c r="F232" s="1" t="s">
        <v>126</v>
      </c>
    </row>
    <row r="233" spans="1:6" x14ac:dyDescent="0.25">
      <c r="A233" s="1">
        <v>3</v>
      </c>
      <c r="B233" s="66">
        <v>46029</v>
      </c>
      <c r="C233" s="1" t="s">
        <v>587</v>
      </c>
      <c r="D233" s="1">
        <v>1</v>
      </c>
      <c r="E233" s="5">
        <f>D233*320</f>
        <v>320</v>
      </c>
      <c r="F233" s="1" t="s">
        <v>126</v>
      </c>
    </row>
    <row r="234" spans="1:6" x14ac:dyDescent="0.25">
      <c r="A234" s="1">
        <v>4</v>
      </c>
      <c r="B234" s="66">
        <v>46029</v>
      </c>
      <c r="C234" s="1" t="s">
        <v>50</v>
      </c>
      <c r="D234" s="1">
        <v>1</v>
      </c>
      <c r="E234" s="5">
        <f>D234*70</f>
        <v>70</v>
      </c>
      <c r="F234" s="1" t="s">
        <v>126</v>
      </c>
    </row>
    <row r="235" spans="1:6" x14ac:dyDescent="0.25">
      <c r="A235" s="1">
        <v>5</v>
      </c>
      <c r="B235" s="66">
        <v>46029</v>
      </c>
      <c r="C235" s="1" t="s">
        <v>33</v>
      </c>
      <c r="D235" s="1">
        <v>1</v>
      </c>
      <c r="E235" s="5">
        <v>50</v>
      </c>
      <c r="F235" s="1" t="s">
        <v>126</v>
      </c>
    </row>
    <row r="236" spans="1:6" ht="15.75" thickBot="1" x14ac:dyDescent="0.3">
      <c r="A236" s="289" t="s">
        <v>41</v>
      </c>
      <c r="B236" s="290"/>
      <c r="C236" s="290"/>
      <c r="D236" s="291"/>
      <c r="E236" s="54">
        <f>SUM(E231:E235)</f>
        <v>625</v>
      </c>
    </row>
    <row r="237" spans="1:6" ht="15.75" thickBot="1" x14ac:dyDescent="0.3"/>
    <row r="238" spans="1:6" ht="15.75" thickBot="1" x14ac:dyDescent="0.3">
      <c r="A238" s="292" t="s">
        <v>39</v>
      </c>
      <c r="B238" s="293"/>
      <c r="F238" s="14" t="s">
        <v>40</v>
      </c>
    </row>
    <row r="239" spans="1:6" ht="15.75" thickBot="1" x14ac:dyDescent="0.3"/>
    <row r="240" spans="1:6" ht="18.75" x14ac:dyDescent="0.3">
      <c r="A240" s="26" t="s">
        <v>0</v>
      </c>
      <c r="B240" s="27" t="s">
        <v>3</v>
      </c>
      <c r="C240" s="27" t="s">
        <v>1</v>
      </c>
      <c r="D240" s="27" t="s">
        <v>26</v>
      </c>
      <c r="E240" s="27" t="s">
        <v>23</v>
      </c>
      <c r="F240" s="28" t="s">
        <v>27</v>
      </c>
    </row>
    <row r="241" spans="1:6" x14ac:dyDescent="0.25">
      <c r="A241" s="1">
        <v>1</v>
      </c>
      <c r="B241" s="66">
        <v>46029</v>
      </c>
      <c r="C241" s="1" t="s">
        <v>587</v>
      </c>
      <c r="D241" s="1">
        <v>2</v>
      </c>
      <c r="E241" s="5">
        <f>D241*320</f>
        <v>640</v>
      </c>
      <c r="F241" s="1" t="s">
        <v>126</v>
      </c>
    </row>
    <row r="242" spans="1:6" ht="15.75" thickBot="1" x14ac:dyDescent="0.3">
      <c r="A242" s="289" t="s">
        <v>41</v>
      </c>
      <c r="B242" s="290"/>
      <c r="C242" s="290"/>
      <c r="D242" s="291"/>
      <c r="E242" s="54">
        <f>SUM(E241:E241)</f>
        <v>640</v>
      </c>
    </row>
    <row r="243" spans="1:6" ht="15.75" thickBot="1" x14ac:dyDescent="0.3"/>
    <row r="244" spans="1:6" ht="15.75" thickBot="1" x14ac:dyDescent="0.3">
      <c r="A244" s="292" t="s">
        <v>39</v>
      </c>
      <c r="B244" s="293"/>
      <c r="F244" s="14" t="s">
        <v>40</v>
      </c>
    </row>
    <row r="245" spans="1:6" ht="15.75" thickBot="1" x14ac:dyDescent="0.3"/>
    <row r="246" spans="1:6" ht="18.75" x14ac:dyDescent="0.3">
      <c r="A246" s="26" t="s">
        <v>0</v>
      </c>
      <c r="B246" s="27" t="s">
        <v>3</v>
      </c>
      <c r="C246" s="27" t="s">
        <v>1</v>
      </c>
      <c r="D246" s="27" t="s">
        <v>26</v>
      </c>
      <c r="E246" s="27" t="s">
        <v>23</v>
      </c>
      <c r="F246" s="28" t="s">
        <v>27</v>
      </c>
    </row>
    <row r="247" spans="1:6" x14ac:dyDescent="0.25">
      <c r="A247" s="1">
        <v>1</v>
      </c>
      <c r="B247" s="66">
        <v>46030</v>
      </c>
      <c r="C247" s="1" t="s">
        <v>608</v>
      </c>
      <c r="D247" s="1">
        <v>3</v>
      </c>
      <c r="E247" s="5">
        <f>D247*220</f>
        <v>660</v>
      </c>
      <c r="F247" s="1" t="s">
        <v>126</v>
      </c>
    </row>
    <row r="248" spans="1:6" x14ac:dyDescent="0.25">
      <c r="A248" s="1">
        <v>2</v>
      </c>
      <c r="B248" s="66">
        <v>46030</v>
      </c>
      <c r="C248" s="1" t="s">
        <v>19</v>
      </c>
      <c r="D248" s="1">
        <v>10</v>
      </c>
      <c r="E248" s="5">
        <f>D248*15</f>
        <v>150</v>
      </c>
      <c r="F248" s="1" t="s">
        <v>126</v>
      </c>
    </row>
    <row r="249" spans="1:6" x14ac:dyDescent="0.25">
      <c r="A249" s="1">
        <v>4</v>
      </c>
      <c r="B249" s="66">
        <v>46030</v>
      </c>
      <c r="C249" s="1" t="s">
        <v>50</v>
      </c>
      <c r="D249" s="1">
        <v>1</v>
      </c>
      <c r="E249" s="5">
        <f>D249*70</f>
        <v>70</v>
      </c>
      <c r="F249" s="1" t="s">
        <v>126</v>
      </c>
    </row>
    <row r="250" spans="1:6" x14ac:dyDescent="0.25">
      <c r="A250" s="1">
        <v>5</v>
      </c>
      <c r="B250" s="66">
        <v>46030</v>
      </c>
      <c r="C250" s="1" t="s">
        <v>197</v>
      </c>
      <c r="D250" s="1">
        <v>1</v>
      </c>
      <c r="E250" s="5">
        <v>40</v>
      </c>
      <c r="F250" s="1" t="s">
        <v>126</v>
      </c>
    </row>
    <row r="251" spans="1:6" ht="15.75" thickBot="1" x14ac:dyDescent="0.3">
      <c r="A251" s="289" t="s">
        <v>41</v>
      </c>
      <c r="B251" s="290"/>
      <c r="C251" s="290"/>
      <c r="D251" s="291"/>
      <c r="E251" s="54">
        <f>SUM(E247:E250)</f>
        <v>920</v>
      </c>
    </row>
    <row r="252" spans="1:6" ht="15.75" thickBot="1" x14ac:dyDescent="0.3"/>
    <row r="253" spans="1:6" ht="15.75" thickBot="1" x14ac:dyDescent="0.3">
      <c r="A253" s="292" t="s">
        <v>39</v>
      </c>
      <c r="B253" s="293"/>
      <c r="F253" s="14" t="s">
        <v>40</v>
      </c>
    </row>
    <row r="254" spans="1:6" ht="15.75" thickBot="1" x14ac:dyDescent="0.3"/>
    <row r="255" spans="1:6" ht="18.75" x14ac:dyDescent="0.3">
      <c r="A255" s="26" t="s">
        <v>0</v>
      </c>
      <c r="B255" s="27" t="s">
        <v>3</v>
      </c>
      <c r="C255" s="27" t="s">
        <v>1</v>
      </c>
      <c r="D255" s="27" t="s">
        <v>26</v>
      </c>
      <c r="E255" s="27" t="s">
        <v>23</v>
      </c>
      <c r="F255" s="28" t="s">
        <v>27</v>
      </c>
    </row>
    <row r="256" spans="1:6" x14ac:dyDescent="0.25">
      <c r="A256" s="1">
        <v>1</v>
      </c>
      <c r="B256" s="66">
        <v>46031</v>
      </c>
      <c r="C256" s="1" t="s">
        <v>433</v>
      </c>
      <c r="D256" s="1">
        <v>4</v>
      </c>
      <c r="E256" s="5">
        <f>D256*180</f>
        <v>720</v>
      </c>
      <c r="F256" s="1" t="s">
        <v>126</v>
      </c>
    </row>
    <row r="257" spans="1:6" x14ac:dyDescent="0.25">
      <c r="A257" s="1">
        <v>2</v>
      </c>
      <c r="B257" s="66">
        <v>46031</v>
      </c>
      <c r="C257" s="1" t="s">
        <v>33</v>
      </c>
      <c r="D257" s="1">
        <v>1</v>
      </c>
      <c r="E257" s="5">
        <v>30</v>
      </c>
      <c r="F257" s="1" t="s">
        <v>126</v>
      </c>
    </row>
    <row r="258" spans="1:6" x14ac:dyDescent="0.25">
      <c r="A258" s="1">
        <v>3</v>
      </c>
      <c r="B258" s="66">
        <v>46031</v>
      </c>
      <c r="C258" s="1" t="s">
        <v>90</v>
      </c>
      <c r="D258" s="1">
        <v>1</v>
      </c>
      <c r="E258" s="5">
        <v>50</v>
      </c>
      <c r="F258" s="1" t="s">
        <v>126</v>
      </c>
    </row>
    <row r="259" spans="1:6" x14ac:dyDescent="0.25">
      <c r="A259" s="1">
        <v>4</v>
      </c>
      <c r="B259" s="66">
        <v>46031</v>
      </c>
      <c r="C259" s="1" t="s">
        <v>50</v>
      </c>
      <c r="D259" s="1">
        <v>1</v>
      </c>
      <c r="E259" s="5">
        <f>D259*70</f>
        <v>70</v>
      </c>
      <c r="F259" s="1" t="s">
        <v>126</v>
      </c>
    </row>
    <row r="260" spans="1:6" ht="15.75" thickBot="1" x14ac:dyDescent="0.3">
      <c r="A260" s="289" t="s">
        <v>41</v>
      </c>
      <c r="B260" s="290"/>
      <c r="C260" s="290"/>
      <c r="D260" s="291"/>
      <c r="E260" s="54">
        <f>SUM(E256:E259)</f>
        <v>870</v>
      </c>
    </row>
    <row r="261" spans="1:6" ht="15.75" thickBot="1" x14ac:dyDescent="0.3"/>
    <row r="262" spans="1:6" ht="15.75" thickBot="1" x14ac:dyDescent="0.3">
      <c r="A262" s="292" t="s">
        <v>39</v>
      </c>
      <c r="B262" s="293"/>
      <c r="F262" s="14" t="s">
        <v>40</v>
      </c>
    </row>
    <row r="263" spans="1:6" ht="15.75" thickBot="1" x14ac:dyDescent="0.3"/>
    <row r="264" spans="1:6" ht="18.75" x14ac:dyDescent="0.3">
      <c r="A264" s="26" t="s">
        <v>0</v>
      </c>
      <c r="B264" s="27" t="s">
        <v>3</v>
      </c>
      <c r="C264" s="27" t="s">
        <v>1</v>
      </c>
      <c r="D264" s="27" t="s">
        <v>26</v>
      </c>
      <c r="E264" s="27" t="s">
        <v>23</v>
      </c>
      <c r="F264" s="28" t="s">
        <v>27</v>
      </c>
    </row>
    <row r="265" spans="1:6" x14ac:dyDescent="0.25">
      <c r="A265" s="1">
        <v>1</v>
      </c>
      <c r="B265" s="66">
        <v>46032</v>
      </c>
      <c r="C265" s="1" t="s">
        <v>369</v>
      </c>
      <c r="D265" s="1">
        <v>1</v>
      </c>
      <c r="E265" s="5">
        <v>220</v>
      </c>
      <c r="F265" s="1" t="s">
        <v>126</v>
      </c>
    </row>
    <row r="266" spans="1:6" x14ac:dyDescent="0.25">
      <c r="A266" s="1">
        <v>2</v>
      </c>
      <c r="B266" s="66">
        <v>46032</v>
      </c>
      <c r="C266" s="1" t="s">
        <v>19</v>
      </c>
      <c r="D266" s="1">
        <v>3</v>
      </c>
      <c r="E266" s="5">
        <f>D266*15</f>
        <v>45</v>
      </c>
      <c r="F266" s="1" t="s">
        <v>126</v>
      </c>
    </row>
    <row r="267" spans="1:6" x14ac:dyDescent="0.25">
      <c r="A267" s="1">
        <v>3</v>
      </c>
      <c r="B267" s="66">
        <v>46032</v>
      </c>
      <c r="C267" s="1" t="s">
        <v>50</v>
      </c>
      <c r="D267" s="1">
        <v>1</v>
      </c>
      <c r="E267" s="5">
        <f>D267*70</f>
        <v>70</v>
      </c>
      <c r="F267" s="1" t="s">
        <v>126</v>
      </c>
    </row>
    <row r="268" spans="1:6" x14ac:dyDescent="0.25">
      <c r="A268" s="1">
        <v>4</v>
      </c>
      <c r="B268" s="66">
        <v>46032</v>
      </c>
      <c r="C268" s="1" t="s">
        <v>33</v>
      </c>
      <c r="D268" s="1">
        <v>1</v>
      </c>
      <c r="E268" s="5">
        <f>D268*30</f>
        <v>30</v>
      </c>
      <c r="F268" s="1" t="s">
        <v>126</v>
      </c>
    </row>
    <row r="269" spans="1:6" x14ac:dyDescent="0.25">
      <c r="A269" s="1">
        <v>5</v>
      </c>
      <c r="B269" s="66">
        <v>46032</v>
      </c>
      <c r="C269" s="1" t="s">
        <v>14</v>
      </c>
      <c r="D269" s="1">
        <v>1</v>
      </c>
      <c r="E269" s="5">
        <f>D269*80</f>
        <v>80</v>
      </c>
      <c r="F269" s="1" t="s">
        <v>126</v>
      </c>
    </row>
    <row r="270" spans="1:6" ht="15.75" thickBot="1" x14ac:dyDescent="0.3">
      <c r="A270" s="289" t="s">
        <v>41</v>
      </c>
      <c r="B270" s="290"/>
      <c r="C270" s="290"/>
      <c r="D270" s="291"/>
      <c r="E270" s="54">
        <f>SUM(E265:E269)</f>
        <v>445</v>
      </c>
    </row>
    <row r="271" spans="1:6" ht="15.75" thickBot="1" x14ac:dyDescent="0.3"/>
    <row r="272" spans="1:6" ht="15.75" thickBot="1" x14ac:dyDescent="0.3">
      <c r="A272" s="292" t="s">
        <v>39</v>
      </c>
      <c r="B272" s="293"/>
      <c r="F272" s="14" t="s">
        <v>40</v>
      </c>
    </row>
    <row r="273" spans="1:6" ht="15.75" thickBot="1" x14ac:dyDescent="0.3"/>
    <row r="274" spans="1:6" ht="18.75" x14ac:dyDescent="0.3">
      <c r="A274" s="26" t="s">
        <v>0</v>
      </c>
      <c r="B274" s="27" t="s">
        <v>3</v>
      </c>
      <c r="C274" s="27" t="s">
        <v>1</v>
      </c>
      <c r="D274" s="27" t="s">
        <v>26</v>
      </c>
      <c r="E274" s="27" t="s">
        <v>23</v>
      </c>
      <c r="F274" s="28" t="s">
        <v>27</v>
      </c>
    </row>
    <row r="275" spans="1:6" x14ac:dyDescent="0.25">
      <c r="A275" s="1">
        <v>1</v>
      </c>
      <c r="B275" s="66">
        <v>46034</v>
      </c>
      <c r="C275" s="1" t="s">
        <v>626</v>
      </c>
      <c r="D275" s="1">
        <v>1</v>
      </c>
      <c r="E275" s="5">
        <f>D275*220</f>
        <v>220</v>
      </c>
      <c r="F275" s="1" t="s">
        <v>126</v>
      </c>
    </row>
    <row r="276" spans="1:6" x14ac:dyDescent="0.25">
      <c r="A276" s="1">
        <v>2</v>
      </c>
      <c r="B276" s="66">
        <v>46034</v>
      </c>
      <c r="C276" s="1" t="s">
        <v>19</v>
      </c>
      <c r="D276" s="1">
        <v>3</v>
      </c>
      <c r="E276" s="5">
        <f>D276*15</f>
        <v>45</v>
      </c>
      <c r="F276" s="1" t="s">
        <v>126</v>
      </c>
    </row>
    <row r="277" spans="1:6" x14ac:dyDescent="0.25">
      <c r="A277" s="1">
        <v>3</v>
      </c>
      <c r="B277" s="66">
        <v>46034</v>
      </c>
      <c r="C277" s="1" t="s">
        <v>50</v>
      </c>
      <c r="D277" s="1">
        <v>1</v>
      </c>
      <c r="E277" s="5">
        <f>D277*70</f>
        <v>70</v>
      </c>
      <c r="F277" s="1" t="s">
        <v>126</v>
      </c>
    </row>
    <row r="278" spans="1:6" x14ac:dyDescent="0.25">
      <c r="A278" s="1">
        <v>4</v>
      </c>
      <c r="B278" s="66">
        <v>46034</v>
      </c>
      <c r="C278" s="1" t="s">
        <v>33</v>
      </c>
      <c r="D278" s="1">
        <v>1</v>
      </c>
      <c r="E278" s="5">
        <v>30</v>
      </c>
      <c r="F278" s="1" t="s">
        <v>126</v>
      </c>
    </row>
    <row r="279" spans="1:6" ht="15.75" thickBot="1" x14ac:dyDescent="0.3">
      <c r="A279" s="289" t="s">
        <v>41</v>
      </c>
      <c r="B279" s="290"/>
      <c r="C279" s="290"/>
      <c r="D279" s="291"/>
      <c r="E279" s="54">
        <f>SUM(E275:E278)</f>
        <v>365</v>
      </c>
    </row>
    <row r="280" spans="1:6" ht="15.75" thickBot="1" x14ac:dyDescent="0.3"/>
    <row r="281" spans="1:6" ht="15.75" thickBot="1" x14ac:dyDescent="0.3">
      <c r="A281" s="292" t="s">
        <v>39</v>
      </c>
      <c r="B281" s="293"/>
      <c r="F281" s="14" t="s">
        <v>40</v>
      </c>
    </row>
    <row r="282" spans="1:6" ht="15.75" thickBot="1" x14ac:dyDescent="0.3"/>
    <row r="283" spans="1:6" ht="18.75" x14ac:dyDescent="0.3">
      <c r="A283" s="26" t="s">
        <v>0</v>
      </c>
      <c r="B283" s="27" t="s">
        <v>3</v>
      </c>
      <c r="C283" s="27" t="s">
        <v>1</v>
      </c>
      <c r="D283" s="27" t="s">
        <v>26</v>
      </c>
      <c r="E283" s="27" t="s">
        <v>23</v>
      </c>
      <c r="F283" s="28" t="s">
        <v>27</v>
      </c>
    </row>
    <row r="284" spans="1:6" x14ac:dyDescent="0.25">
      <c r="A284" s="1">
        <v>1</v>
      </c>
      <c r="B284" s="66">
        <v>46034</v>
      </c>
      <c r="C284" s="1" t="s">
        <v>626</v>
      </c>
      <c r="D284" s="1">
        <v>2</v>
      </c>
      <c r="E284" s="5">
        <f>D284*220</f>
        <v>440</v>
      </c>
      <c r="F284" s="1" t="s">
        <v>126</v>
      </c>
    </row>
    <row r="285" spans="1:6" x14ac:dyDescent="0.25">
      <c r="A285" s="1">
        <v>2</v>
      </c>
      <c r="B285" s="66">
        <v>46034</v>
      </c>
      <c r="C285" s="1" t="s">
        <v>19</v>
      </c>
      <c r="D285" s="1">
        <v>5</v>
      </c>
      <c r="E285" s="5">
        <f>D285*15</f>
        <v>75</v>
      </c>
      <c r="F285" s="1" t="s">
        <v>126</v>
      </c>
    </row>
    <row r="286" spans="1:6" x14ac:dyDescent="0.25">
      <c r="A286" s="1">
        <v>3</v>
      </c>
      <c r="B286" s="66">
        <v>46034</v>
      </c>
      <c r="C286" s="1" t="s">
        <v>50</v>
      </c>
      <c r="D286" s="1">
        <v>2</v>
      </c>
      <c r="E286" s="5">
        <f>D286*90</f>
        <v>180</v>
      </c>
      <c r="F286" s="1" t="s">
        <v>126</v>
      </c>
    </row>
    <row r="287" spans="1:6" ht="15.75" thickBot="1" x14ac:dyDescent="0.3">
      <c r="A287" s="289" t="s">
        <v>41</v>
      </c>
      <c r="B287" s="290"/>
      <c r="C287" s="290"/>
      <c r="D287" s="291"/>
      <c r="E287" s="54">
        <f>SUM(E284:E286)</f>
        <v>695</v>
      </c>
    </row>
    <row r="288" spans="1:6" ht="15.75" thickBot="1" x14ac:dyDescent="0.3"/>
    <row r="289" spans="1:6" ht="15.75" thickBot="1" x14ac:dyDescent="0.3">
      <c r="A289" s="292" t="s">
        <v>39</v>
      </c>
      <c r="B289" s="293"/>
      <c r="F289" s="14" t="s">
        <v>40</v>
      </c>
    </row>
    <row r="290" spans="1:6" ht="15.75" thickBot="1" x14ac:dyDescent="0.3"/>
    <row r="291" spans="1:6" ht="18.75" x14ac:dyDescent="0.3">
      <c r="A291" s="26" t="s">
        <v>0</v>
      </c>
      <c r="B291" s="27" t="s">
        <v>3</v>
      </c>
      <c r="C291" s="27" t="s">
        <v>1</v>
      </c>
      <c r="D291" s="27" t="s">
        <v>26</v>
      </c>
      <c r="E291" s="27" t="s">
        <v>23</v>
      </c>
      <c r="F291" s="28" t="s">
        <v>27</v>
      </c>
    </row>
    <row r="292" spans="1:6" x14ac:dyDescent="0.25">
      <c r="A292" s="1">
        <v>1</v>
      </c>
      <c r="B292" s="66">
        <v>46035</v>
      </c>
      <c r="C292" s="1" t="s">
        <v>720</v>
      </c>
      <c r="D292" s="1">
        <v>1</v>
      </c>
      <c r="E292" s="5">
        <v>180</v>
      </c>
      <c r="F292" s="1" t="s">
        <v>126</v>
      </c>
    </row>
    <row r="293" spans="1:6" x14ac:dyDescent="0.25">
      <c r="A293" s="1">
        <v>2</v>
      </c>
      <c r="B293" s="66">
        <v>46035</v>
      </c>
      <c r="C293" s="1" t="s">
        <v>178</v>
      </c>
      <c r="D293" s="1">
        <v>1</v>
      </c>
      <c r="E293" s="5">
        <v>50</v>
      </c>
      <c r="F293" s="1" t="s">
        <v>126</v>
      </c>
    </row>
    <row r="294" spans="1:6" x14ac:dyDescent="0.25">
      <c r="A294" s="1">
        <v>3</v>
      </c>
      <c r="B294" s="66">
        <v>46035</v>
      </c>
      <c r="C294" s="1" t="s">
        <v>50</v>
      </c>
      <c r="D294" s="1">
        <v>1</v>
      </c>
      <c r="E294" s="5">
        <f>D294*70</f>
        <v>70</v>
      </c>
      <c r="F294" s="1" t="s">
        <v>126</v>
      </c>
    </row>
    <row r="295" spans="1:6" x14ac:dyDescent="0.25">
      <c r="A295" s="1">
        <v>4</v>
      </c>
      <c r="B295" s="66">
        <v>46035</v>
      </c>
      <c r="C295" s="1" t="s">
        <v>33</v>
      </c>
      <c r="D295" s="1">
        <v>1</v>
      </c>
      <c r="E295" s="5">
        <v>30</v>
      </c>
      <c r="F295" s="1" t="s">
        <v>126</v>
      </c>
    </row>
    <row r="296" spans="1:6" ht="15.75" thickBot="1" x14ac:dyDescent="0.3">
      <c r="A296" s="289" t="s">
        <v>41</v>
      </c>
      <c r="B296" s="290"/>
      <c r="C296" s="290"/>
      <c r="D296" s="291"/>
      <c r="E296" s="54">
        <f>SUM(E292:E295)</f>
        <v>330</v>
      </c>
    </row>
    <row r="297" spans="1:6" ht="15.75" thickBot="1" x14ac:dyDescent="0.3"/>
    <row r="298" spans="1:6" ht="15.75" thickBot="1" x14ac:dyDescent="0.3">
      <c r="A298" s="292" t="s">
        <v>39</v>
      </c>
      <c r="B298" s="293"/>
      <c r="F298" s="14" t="s">
        <v>40</v>
      </c>
    </row>
    <row r="299" spans="1:6" ht="15.75" thickBot="1" x14ac:dyDescent="0.3"/>
    <row r="300" spans="1:6" ht="18.75" x14ac:dyDescent="0.3">
      <c r="A300" s="26" t="s">
        <v>0</v>
      </c>
      <c r="B300" s="27" t="s">
        <v>3</v>
      </c>
      <c r="C300" s="27" t="s">
        <v>1</v>
      </c>
      <c r="D300" s="27" t="s">
        <v>26</v>
      </c>
      <c r="E300" s="27" t="s">
        <v>23</v>
      </c>
      <c r="F300" s="28" t="s">
        <v>27</v>
      </c>
    </row>
    <row r="301" spans="1:6" x14ac:dyDescent="0.25">
      <c r="A301" s="1">
        <v>1</v>
      </c>
      <c r="B301" s="66">
        <v>46035</v>
      </c>
      <c r="C301" s="1" t="s">
        <v>720</v>
      </c>
      <c r="D301" s="1">
        <v>4</v>
      </c>
      <c r="E301" s="5">
        <f>D301*180</f>
        <v>720</v>
      </c>
      <c r="F301" s="1" t="s">
        <v>126</v>
      </c>
    </row>
    <row r="302" spans="1:6" ht="15.75" thickBot="1" x14ac:dyDescent="0.3">
      <c r="A302" s="289" t="s">
        <v>41</v>
      </c>
      <c r="B302" s="290"/>
      <c r="C302" s="290"/>
      <c r="D302" s="291"/>
      <c r="E302" s="54">
        <f>SUM(E301:E301)</f>
        <v>720</v>
      </c>
    </row>
    <row r="303" spans="1:6" ht="15.75" thickBot="1" x14ac:dyDescent="0.3"/>
    <row r="304" spans="1:6" ht="15.75" thickBot="1" x14ac:dyDescent="0.3">
      <c r="A304" s="292" t="s">
        <v>39</v>
      </c>
      <c r="B304" s="293"/>
      <c r="F304" s="14" t="s">
        <v>40</v>
      </c>
    </row>
    <row r="305" spans="1:6" ht="15.75" thickBot="1" x14ac:dyDescent="0.3"/>
    <row r="306" spans="1:6" ht="18.75" x14ac:dyDescent="0.3">
      <c r="A306" s="26" t="s">
        <v>0</v>
      </c>
      <c r="B306" s="27" t="s">
        <v>3</v>
      </c>
      <c r="C306" s="27" t="s">
        <v>1</v>
      </c>
      <c r="D306" s="27" t="s">
        <v>26</v>
      </c>
      <c r="E306" s="27" t="s">
        <v>23</v>
      </c>
      <c r="F306" s="28" t="s">
        <v>27</v>
      </c>
    </row>
    <row r="307" spans="1:6" x14ac:dyDescent="0.25">
      <c r="A307" s="1">
        <v>1</v>
      </c>
      <c r="B307" s="66">
        <v>46035</v>
      </c>
      <c r="C307" s="1" t="s">
        <v>14</v>
      </c>
      <c r="D307" s="1">
        <v>2</v>
      </c>
      <c r="E307" s="5">
        <f>D307*80</f>
        <v>160</v>
      </c>
      <c r="F307" s="1" t="s">
        <v>126</v>
      </c>
    </row>
    <row r="308" spans="1:6" x14ac:dyDescent="0.25">
      <c r="A308" s="1">
        <v>2</v>
      </c>
      <c r="B308" s="66">
        <v>46035</v>
      </c>
      <c r="C308" s="1" t="s">
        <v>19</v>
      </c>
      <c r="D308" s="1">
        <v>8</v>
      </c>
      <c r="E308" s="5">
        <f>D308*15</f>
        <v>120</v>
      </c>
      <c r="F308" s="1" t="s">
        <v>126</v>
      </c>
    </row>
    <row r="309" spans="1:6" ht="15.75" thickBot="1" x14ac:dyDescent="0.3">
      <c r="A309" s="289" t="s">
        <v>41</v>
      </c>
      <c r="B309" s="290"/>
      <c r="C309" s="290"/>
      <c r="D309" s="291"/>
      <c r="E309" s="54">
        <f>SUM(E307:E308)</f>
        <v>280</v>
      </c>
    </row>
    <row r="310" spans="1:6" ht="15.75" thickBot="1" x14ac:dyDescent="0.3"/>
    <row r="311" spans="1:6" ht="15.75" thickBot="1" x14ac:dyDescent="0.3">
      <c r="A311" s="292" t="s">
        <v>39</v>
      </c>
      <c r="B311" s="293"/>
      <c r="F311" s="14" t="s">
        <v>40</v>
      </c>
    </row>
    <row r="312" spans="1:6" ht="15.75" thickBot="1" x14ac:dyDescent="0.3"/>
    <row r="313" spans="1:6" ht="18.75" x14ac:dyDescent="0.3">
      <c r="A313" s="26" t="s">
        <v>0</v>
      </c>
      <c r="B313" s="27" t="s">
        <v>3</v>
      </c>
      <c r="C313" s="27" t="s">
        <v>1</v>
      </c>
      <c r="D313" s="27" t="s">
        <v>26</v>
      </c>
      <c r="E313" s="27" t="s">
        <v>23</v>
      </c>
      <c r="F313" s="28" t="s">
        <v>27</v>
      </c>
    </row>
    <row r="314" spans="1:6" x14ac:dyDescent="0.25">
      <c r="A314" s="1">
        <v>1</v>
      </c>
      <c r="B314" s="66">
        <v>46036</v>
      </c>
      <c r="C314" s="1" t="s">
        <v>740</v>
      </c>
      <c r="D314" s="1">
        <v>5</v>
      </c>
      <c r="E314" s="5">
        <f>D314*320</f>
        <v>1600</v>
      </c>
      <c r="F314" s="1" t="s">
        <v>126</v>
      </c>
    </row>
    <row r="315" spans="1:6" x14ac:dyDescent="0.25">
      <c r="A315" s="1">
        <v>2</v>
      </c>
      <c r="B315" s="66">
        <v>46036</v>
      </c>
      <c r="C315" s="1" t="s">
        <v>33</v>
      </c>
      <c r="D315" s="1">
        <v>3</v>
      </c>
      <c r="E315" s="5">
        <f>D315*30</f>
        <v>90</v>
      </c>
      <c r="F315" s="1" t="s">
        <v>126</v>
      </c>
    </row>
    <row r="316" spans="1:6" x14ac:dyDescent="0.25">
      <c r="A316" s="1">
        <v>3</v>
      </c>
      <c r="B316" s="66">
        <v>46036</v>
      </c>
      <c r="C316" s="1" t="s">
        <v>744</v>
      </c>
      <c r="D316" s="1">
        <v>1</v>
      </c>
      <c r="E316" s="5">
        <f>D316*180</f>
        <v>180</v>
      </c>
      <c r="F316" s="1" t="s">
        <v>126</v>
      </c>
    </row>
    <row r="317" spans="1:6" x14ac:dyDescent="0.25">
      <c r="A317" s="1">
        <v>4</v>
      </c>
      <c r="B317" s="66">
        <v>46036</v>
      </c>
      <c r="C317" s="1" t="s">
        <v>19</v>
      </c>
      <c r="D317" s="1">
        <v>2</v>
      </c>
      <c r="E317" s="5">
        <f>D317*15</f>
        <v>30</v>
      </c>
      <c r="F317" s="1" t="s">
        <v>126</v>
      </c>
    </row>
    <row r="318" spans="1:6" x14ac:dyDescent="0.25">
      <c r="A318" s="1">
        <v>5</v>
      </c>
      <c r="B318" s="66">
        <v>46036</v>
      </c>
      <c r="C318" s="1" t="s">
        <v>740</v>
      </c>
      <c r="D318" s="24">
        <v>1</v>
      </c>
      <c r="E318" s="5">
        <f>D318*320</f>
        <v>320</v>
      </c>
      <c r="F318" s="1" t="s">
        <v>126</v>
      </c>
    </row>
    <row r="319" spans="1:6" x14ac:dyDescent="0.25">
      <c r="A319" s="1">
        <v>6</v>
      </c>
      <c r="B319" s="66">
        <v>46036</v>
      </c>
      <c r="C319" s="1" t="s">
        <v>50</v>
      </c>
      <c r="D319" s="24">
        <v>1</v>
      </c>
      <c r="E319" s="5">
        <f>D319*70</f>
        <v>70</v>
      </c>
      <c r="F319" s="1" t="s">
        <v>126</v>
      </c>
    </row>
    <row r="320" spans="1:6" x14ac:dyDescent="0.25">
      <c r="A320" s="1">
        <v>7</v>
      </c>
      <c r="B320" s="66">
        <v>46036</v>
      </c>
      <c r="C320" s="24" t="s">
        <v>33</v>
      </c>
      <c r="D320" s="24">
        <v>1</v>
      </c>
      <c r="E320" s="5">
        <f>D320*30</f>
        <v>30</v>
      </c>
      <c r="F320" s="1" t="s">
        <v>126</v>
      </c>
    </row>
    <row r="321" spans="1:6" x14ac:dyDescent="0.25">
      <c r="A321" s="1">
        <v>8</v>
      </c>
      <c r="B321" s="66">
        <v>46036</v>
      </c>
      <c r="C321" s="24" t="s">
        <v>178</v>
      </c>
      <c r="D321" s="24">
        <v>1</v>
      </c>
      <c r="E321" s="5">
        <v>50</v>
      </c>
      <c r="F321" s="1" t="s">
        <v>126</v>
      </c>
    </row>
    <row r="322" spans="1:6" ht="15.75" thickBot="1" x14ac:dyDescent="0.3">
      <c r="A322" s="289" t="s">
        <v>41</v>
      </c>
      <c r="B322" s="290"/>
      <c r="C322" s="290"/>
      <c r="D322" s="291"/>
      <c r="E322" s="54">
        <f>SUM(E314:E321)</f>
        <v>2370</v>
      </c>
    </row>
    <row r="323" spans="1:6" ht="15.75" thickBot="1" x14ac:dyDescent="0.3"/>
    <row r="324" spans="1:6" ht="15.75" thickBot="1" x14ac:dyDescent="0.3">
      <c r="A324" s="292" t="s">
        <v>39</v>
      </c>
      <c r="B324" s="293"/>
      <c r="F324" s="14" t="s">
        <v>40</v>
      </c>
    </row>
    <row r="325" spans="1:6" ht="15.75" thickBot="1" x14ac:dyDescent="0.3"/>
    <row r="326" spans="1:6" ht="18.75" x14ac:dyDescent="0.3">
      <c r="A326" s="26" t="s">
        <v>0</v>
      </c>
      <c r="B326" s="27" t="s">
        <v>3</v>
      </c>
      <c r="C326" s="27" t="s">
        <v>1</v>
      </c>
      <c r="D326" s="27" t="s">
        <v>26</v>
      </c>
      <c r="E326" s="27" t="s">
        <v>23</v>
      </c>
      <c r="F326" s="28" t="s">
        <v>27</v>
      </c>
    </row>
    <row r="327" spans="1:6" x14ac:dyDescent="0.25">
      <c r="A327" s="1">
        <v>1</v>
      </c>
      <c r="B327" s="66">
        <v>46036</v>
      </c>
      <c r="C327" s="1" t="s">
        <v>273</v>
      </c>
      <c r="D327" s="1">
        <v>2</v>
      </c>
      <c r="E327" s="5">
        <f>D327*180</f>
        <v>360</v>
      </c>
      <c r="F327" s="1" t="s">
        <v>126</v>
      </c>
    </row>
    <row r="328" spans="1:6" ht="15.75" thickBot="1" x14ac:dyDescent="0.3">
      <c r="A328" s="289" t="s">
        <v>41</v>
      </c>
      <c r="B328" s="290"/>
      <c r="C328" s="290"/>
      <c r="D328" s="291"/>
      <c r="E328" s="54">
        <f>SUM(E327:E327)</f>
        <v>360</v>
      </c>
    </row>
    <row r="329" spans="1:6" ht="15.75" thickBot="1" x14ac:dyDescent="0.3"/>
    <row r="330" spans="1:6" ht="15.75" thickBot="1" x14ac:dyDescent="0.3">
      <c r="A330" s="292" t="s">
        <v>39</v>
      </c>
      <c r="B330" s="293"/>
      <c r="F330" s="14" t="s">
        <v>40</v>
      </c>
    </row>
    <row r="331" spans="1:6" ht="15.75" thickBot="1" x14ac:dyDescent="0.3"/>
    <row r="332" spans="1:6" ht="18.75" x14ac:dyDescent="0.3">
      <c r="A332" s="26" t="s">
        <v>0</v>
      </c>
      <c r="B332" s="27" t="s">
        <v>3</v>
      </c>
      <c r="C332" s="27" t="s">
        <v>1</v>
      </c>
      <c r="D332" s="27" t="s">
        <v>26</v>
      </c>
      <c r="E332" s="27" t="s">
        <v>23</v>
      </c>
      <c r="F332" s="28" t="s">
        <v>27</v>
      </c>
    </row>
    <row r="333" spans="1:6" x14ac:dyDescent="0.25">
      <c r="A333" s="1">
        <v>1</v>
      </c>
      <c r="B333" s="66">
        <v>46037</v>
      </c>
      <c r="C333" s="1" t="s">
        <v>758</v>
      </c>
      <c r="D333" s="1">
        <v>2</v>
      </c>
      <c r="E333" s="5">
        <f>D333*80</f>
        <v>160</v>
      </c>
      <c r="F333" s="1" t="s">
        <v>126</v>
      </c>
    </row>
    <row r="334" spans="1:6" x14ac:dyDescent="0.25">
      <c r="A334" s="1">
        <v>2</v>
      </c>
      <c r="B334" s="66">
        <v>46037</v>
      </c>
      <c r="C334" s="1" t="s">
        <v>19</v>
      </c>
      <c r="D334" s="1">
        <v>8</v>
      </c>
      <c r="E334" s="5">
        <f>D334*15</f>
        <v>120</v>
      </c>
      <c r="F334" s="1" t="s">
        <v>126</v>
      </c>
    </row>
    <row r="335" spans="1:6" x14ac:dyDescent="0.25">
      <c r="A335" s="1">
        <v>3</v>
      </c>
      <c r="B335" s="66">
        <v>46037</v>
      </c>
      <c r="C335" s="1" t="s">
        <v>463</v>
      </c>
      <c r="D335" s="1">
        <v>1</v>
      </c>
      <c r="E335" s="5">
        <f>D335*180</f>
        <v>180</v>
      </c>
      <c r="F335" s="1" t="s">
        <v>126</v>
      </c>
    </row>
    <row r="336" spans="1:6" x14ac:dyDescent="0.25">
      <c r="A336" s="1">
        <v>4</v>
      </c>
      <c r="B336" s="66">
        <v>46037</v>
      </c>
      <c r="C336" s="1" t="s">
        <v>19</v>
      </c>
      <c r="D336" s="1">
        <v>10</v>
      </c>
      <c r="E336" s="5">
        <f>D336*15</f>
        <v>150</v>
      </c>
      <c r="F336" s="1" t="s">
        <v>126</v>
      </c>
    </row>
    <row r="337" spans="1:6" x14ac:dyDescent="0.25">
      <c r="A337" s="1">
        <v>5</v>
      </c>
      <c r="B337" s="66">
        <v>46037</v>
      </c>
      <c r="C337" s="1" t="s">
        <v>254</v>
      </c>
      <c r="D337" s="24">
        <v>0.5</v>
      </c>
      <c r="E337" s="5">
        <f>D337*1600</f>
        <v>800</v>
      </c>
      <c r="F337" s="1" t="s">
        <v>126</v>
      </c>
    </row>
    <row r="338" spans="1:6" ht="15.75" thickBot="1" x14ac:dyDescent="0.3">
      <c r="A338" s="289" t="s">
        <v>41</v>
      </c>
      <c r="B338" s="290"/>
      <c r="C338" s="290"/>
      <c r="D338" s="291"/>
      <c r="E338" s="54">
        <f>SUM(E333:E337)</f>
        <v>1410</v>
      </c>
    </row>
    <row r="339" spans="1:6" ht="15.75" thickBot="1" x14ac:dyDescent="0.3"/>
    <row r="340" spans="1:6" ht="15.75" thickBot="1" x14ac:dyDescent="0.3">
      <c r="A340" s="292" t="s">
        <v>39</v>
      </c>
      <c r="B340" s="293"/>
      <c r="F340" s="14" t="s">
        <v>40</v>
      </c>
    </row>
    <row r="341" spans="1:6" ht="15.75" thickBot="1" x14ac:dyDescent="0.3"/>
    <row r="342" spans="1:6" ht="18.75" x14ac:dyDescent="0.3">
      <c r="A342" s="26" t="s">
        <v>0</v>
      </c>
      <c r="B342" s="27" t="s">
        <v>3</v>
      </c>
      <c r="C342" s="27" t="s">
        <v>1</v>
      </c>
      <c r="D342" s="27" t="s">
        <v>26</v>
      </c>
      <c r="E342" s="27" t="s">
        <v>23</v>
      </c>
      <c r="F342" s="28" t="s">
        <v>27</v>
      </c>
    </row>
    <row r="343" spans="1:6" x14ac:dyDescent="0.25">
      <c r="A343" s="1">
        <v>1</v>
      </c>
      <c r="B343" s="66">
        <v>46038</v>
      </c>
      <c r="C343" s="1" t="s">
        <v>560</v>
      </c>
      <c r="D343" s="1">
        <v>5</v>
      </c>
      <c r="E343" s="5">
        <f>D343*320</f>
        <v>1600</v>
      </c>
      <c r="F343" s="1" t="s">
        <v>126</v>
      </c>
    </row>
    <row r="344" spans="1:6" x14ac:dyDescent="0.25">
      <c r="A344" s="1">
        <v>2</v>
      </c>
      <c r="B344" s="66">
        <v>46038</v>
      </c>
      <c r="C344" s="1" t="s">
        <v>178</v>
      </c>
      <c r="D344" s="1">
        <v>0.5</v>
      </c>
      <c r="E344" s="5">
        <f>D344*400</f>
        <v>200</v>
      </c>
      <c r="F344" s="1" t="s">
        <v>126</v>
      </c>
    </row>
    <row r="345" spans="1:6" x14ac:dyDescent="0.25">
      <c r="A345" s="1">
        <v>3</v>
      </c>
      <c r="B345" s="66">
        <v>46038</v>
      </c>
      <c r="C345" s="1" t="s">
        <v>33</v>
      </c>
      <c r="D345" s="1">
        <v>3</v>
      </c>
      <c r="E345" s="5">
        <f>D345*30</f>
        <v>90</v>
      </c>
      <c r="F345" s="1" t="s">
        <v>126</v>
      </c>
    </row>
    <row r="346" spans="1:6" x14ac:dyDescent="0.25">
      <c r="A346" s="1">
        <v>4</v>
      </c>
      <c r="B346" s="66">
        <v>46038</v>
      </c>
      <c r="C346" s="1" t="s">
        <v>433</v>
      </c>
      <c r="D346" s="1">
        <v>2</v>
      </c>
      <c r="E346" s="5">
        <f>D346*180</f>
        <v>360</v>
      </c>
      <c r="F346" s="1" t="s">
        <v>126</v>
      </c>
    </row>
    <row r="347" spans="1:6" ht="15.75" thickBot="1" x14ac:dyDescent="0.3">
      <c r="A347" s="289" t="s">
        <v>41</v>
      </c>
      <c r="B347" s="290"/>
      <c r="C347" s="290"/>
      <c r="D347" s="291"/>
      <c r="E347" s="54">
        <f>SUM(E343:E346)</f>
        <v>2250</v>
      </c>
    </row>
    <row r="348" spans="1:6" ht="15.75" thickBot="1" x14ac:dyDescent="0.3"/>
    <row r="349" spans="1:6" ht="15.75" thickBot="1" x14ac:dyDescent="0.3">
      <c r="A349" s="292" t="s">
        <v>39</v>
      </c>
      <c r="B349" s="293"/>
      <c r="F349" s="14" t="s">
        <v>40</v>
      </c>
    </row>
    <row r="350" spans="1:6" ht="15.75" thickBot="1" x14ac:dyDescent="0.3"/>
    <row r="351" spans="1:6" ht="18.75" x14ac:dyDescent="0.3">
      <c r="A351" s="26" t="s">
        <v>0</v>
      </c>
      <c r="B351" s="27" t="s">
        <v>3</v>
      </c>
      <c r="C351" s="27" t="s">
        <v>1</v>
      </c>
      <c r="D351" s="27" t="s">
        <v>26</v>
      </c>
      <c r="E351" s="27" t="s">
        <v>23</v>
      </c>
      <c r="F351" s="28" t="s">
        <v>27</v>
      </c>
    </row>
    <row r="352" spans="1:6" x14ac:dyDescent="0.25">
      <c r="A352" s="1">
        <v>1</v>
      </c>
      <c r="B352" s="66">
        <v>46039</v>
      </c>
      <c r="C352" s="1" t="s">
        <v>657</v>
      </c>
      <c r="D352" s="1">
        <v>1</v>
      </c>
      <c r="E352" s="5">
        <f>D352*220</f>
        <v>220</v>
      </c>
      <c r="F352" s="1" t="s">
        <v>126</v>
      </c>
    </row>
    <row r="353" spans="1:6" x14ac:dyDescent="0.25">
      <c r="A353" s="1">
        <v>2</v>
      </c>
      <c r="B353" s="66">
        <v>46039</v>
      </c>
      <c r="C353" s="1" t="s">
        <v>178</v>
      </c>
      <c r="D353" s="1">
        <v>0.25</v>
      </c>
      <c r="E353" s="5">
        <f>D353*400</f>
        <v>100</v>
      </c>
      <c r="F353" s="1" t="s">
        <v>126</v>
      </c>
    </row>
    <row r="354" spans="1:6" x14ac:dyDescent="0.25">
      <c r="A354" s="1">
        <v>3</v>
      </c>
      <c r="B354" s="66">
        <v>46039</v>
      </c>
      <c r="C354" s="1" t="s">
        <v>33</v>
      </c>
      <c r="D354" s="1">
        <v>1</v>
      </c>
      <c r="E354" s="5">
        <f>D354*30</f>
        <v>30</v>
      </c>
      <c r="F354" s="1" t="s">
        <v>126</v>
      </c>
    </row>
    <row r="355" spans="1:6" x14ac:dyDescent="0.25">
      <c r="A355" s="1">
        <v>4</v>
      </c>
      <c r="B355" s="66">
        <v>46039</v>
      </c>
      <c r="C355" s="1" t="s">
        <v>19</v>
      </c>
      <c r="D355" s="1">
        <v>5</v>
      </c>
      <c r="E355" s="5">
        <f>D355*15</f>
        <v>75</v>
      </c>
      <c r="F355" s="1" t="s">
        <v>126</v>
      </c>
    </row>
    <row r="356" spans="1:6" x14ac:dyDescent="0.25">
      <c r="A356" s="1">
        <v>5</v>
      </c>
      <c r="B356" s="66">
        <v>46039</v>
      </c>
      <c r="C356" s="1" t="s">
        <v>341</v>
      </c>
      <c r="D356" s="1">
        <v>6</v>
      </c>
      <c r="E356" s="5">
        <f>D356*30</f>
        <v>180</v>
      </c>
      <c r="F356" s="1" t="s">
        <v>126</v>
      </c>
    </row>
    <row r="357" spans="1:6" x14ac:dyDescent="0.25">
      <c r="A357" s="1">
        <v>6</v>
      </c>
      <c r="B357" s="66">
        <v>46039</v>
      </c>
      <c r="C357" s="24" t="s">
        <v>102</v>
      </c>
      <c r="D357" s="24">
        <v>1</v>
      </c>
      <c r="E357" s="5">
        <f>D357*120</f>
        <v>120</v>
      </c>
      <c r="F357" s="1" t="s">
        <v>126</v>
      </c>
    </row>
    <row r="358" spans="1:6" x14ac:dyDescent="0.25">
      <c r="A358" s="1">
        <v>7</v>
      </c>
      <c r="B358" s="66">
        <v>46039</v>
      </c>
      <c r="C358" s="24" t="s">
        <v>14</v>
      </c>
      <c r="D358" s="24">
        <v>2</v>
      </c>
      <c r="E358" s="5">
        <f>D358*80</f>
        <v>160</v>
      </c>
      <c r="F358" s="1" t="s">
        <v>126</v>
      </c>
    </row>
    <row r="359" spans="1:6" x14ac:dyDescent="0.25">
      <c r="A359" s="1">
        <v>8</v>
      </c>
      <c r="B359" s="66">
        <v>46039</v>
      </c>
      <c r="C359" s="24" t="s">
        <v>19</v>
      </c>
      <c r="D359" s="24">
        <v>8</v>
      </c>
      <c r="E359" s="5">
        <f>D359*15</f>
        <v>120</v>
      </c>
      <c r="F359" s="1" t="s">
        <v>126</v>
      </c>
    </row>
    <row r="360" spans="1:6" ht="15.75" thickBot="1" x14ac:dyDescent="0.3">
      <c r="A360" s="289" t="s">
        <v>41</v>
      </c>
      <c r="B360" s="290"/>
      <c r="C360" s="290"/>
      <c r="D360" s="291"/>
      <c r="E360" s="54">
        <f>SUM(E352:E359)</f>
        <v>1005</v>
      </c>
    </row>
    <row r="361" spans="1:6" ht="15.75" thickBot="1" x14ac:dyDescent="0.3"/>
    <row r="362" spans="1:6" ht="15.75" thickBot="1" x14ac:dyDescent="0.3">
      <c r="A362" s="292" t="s">
        <v>39</v>
      </c>
      <c r="B362" s="293"/>
      <c r="F362" s="14" t="s">
        <v>40</v>
      </c>
    </row>
  </sheetData>
  <mergeCells count="78">
    <mergeCell ref="A281:B281"/>
    <mergeCell ref="A279:D279"/>
    <mergeCell ref="A311:B311"/>
    <mergeCell ref="A296:D296"/>
    <mergeCell ref="A298:B298"/>
    <mergeCell ref="A302:D302"/>
    <mergeCell ref="A304:B304"/>
    <mergeCell ref="A309:D309"/>
    <mergeCell ref="A270:D270"/>
    <mergeCell ref="A272:B272"/>
    <mergeCell ref="A260:D260"/>
    <mergeCell ref="A262:B262"/>
    <mergeCell ref="A201:D201"/>
    <mergeCell ref="A203:B203"/>
    <mergeCell ref="A251:D251"/>
    <mergeCell ref="A253:B253"/>
    <mergeCell ref="A236:D236"/>
    <mergeCell ref="A238:B238"/>
    <mergeCell ref="A242:D242"/>
    <mergeCell ref="A244:B244"/>
    <mergeCell ref="A193:B193"/>
    <mergeCell ref="A228:B228"/>
    <mergeCell ref="A209:D209"/>
    <mergeCell ref="A211:B211"/>
    <mergeCell ref="A216:D216"/>
    <mergeCell ref="A218:B218"/>
    <mergeCell ref="A226:D226"/>
    <mergeCell ref="A92:D92"/>
    <mergeCell ref="A94:B94"/>
    <mergeCell ref="A191:D191"/>
    <mergeCell ref="A182:D182"/>
    <mergeCell ref="A99:D99"/>
    <mergeCell ref="A101:B101"/>
    <mergeCell ref="A110:D110"/>
    <mergeCell ref="A112:B112"/>
    <mergeCell ref="A167:B167"/>
    <mergeCell ref="A184:B184"/>
    <mergeCell ref="A121:D121"/>
    <mergeCell ref="A123:B123"/>
    <mergeCell ref="A130:D130"/>
    <mergeCell ref="A132:B132"/>
    <mergeCell ref="A165:D165"/>
    <mergeCell ref="A173:D173"/>
    <mergeCell ref="A6:D6"/>
    <mergeCell ref="A8:B8"/>
    <mergeCell ref="A16:D16"/>
    <mergeCell ref="A18:B18"/>
    <mergeCell ref="A26:D26"/>
    <mergeCell ref="A175:B175"/>
    <mergeCell ref="A139:D139"/>
    <mergeCell ref="A141:B141"/>
    <mergeCell ref="A151:D151"/>
    <mergeCell ref="A153:B153"/>
    <mergeCell ref="A28:B28"/>
    <mergeCell ref="A85:D85"/>
    <mergeCell ref="A87:B87"/>
    <mergeCell ref="A47:D47"/>
    <mergeCell ref="A49:B49"/>
    <mergeCell ref="A36:D36"/>
    <mergeCell ref="A38:B38"/>
    <mergeCell ref="A59:B59"/>
    <mergeCell ref="A73:D73"/>
    <mergeCell ref="A75:B75"/>
    <mergeCell ref="A64:D64"/>
    <mergeCell ref="A66:B66"/>
    <mergeCell ref="A57:D57"/>
    <mergeCell ref="A360:D360"/>
    <mergeCell ref="A362:B362"/>
    <mergeCell ref="A347:D347"/>
    <mergeCell ref="A349:B349"/>
    <mergeCell ref="A287:D287"/>
    <mergeCell ref="A289:B289"/>
    <mergeCell ref="A338:D338"/>
    <mergeCell ref="A340:B340"/>
    <mergeCell ref="A322:D322"/>
    <mergeCell ref="A324:B324"/>
    <mergeCell ref="A328:D328"/>
    <mergeCell ref="A330:B330"/>
  </mergeCells>
  <pageMargins left="0.70866141732283472" right="0.70866141732283472" top="0.74803149606299213" bottom="0.74803149606299213" header="0.31496062992125984" footer="0.31496062992125984"/>
  <pageSetup scale="115"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opLeftCell="A22" zoomScale="160" zoomScaleNormal="160" workbookViewId="0">
      <selection activeCell="L44" sqref="L44"/>
    </sheetView>
  </sheetViews>
  <sheetFormatPr defaultRowHeight="15" x14ac:dyDescent="0.25"/>
  <cols>
    <col min="1" max="1" width="7.28515625" bestFit="1" customWidth="1"/>
    <col min="2" max="2" width="11.85546875" bestFit="1" customWidth="1"/>
    <col min="3" max="3" width="12.28515625" customWidth="1"/>
    <col min="4" max="4" width="14.5703125" bestFit="1" customWidth="1"/>
    <col min="5" max="5" width="20.85546875" bestFit="1" customWidth="1"/>
  </cols>
  <sheetData>
    <row r="1" spans="1:5" ht="18.75" x14ac:dyDescent="0.3">
      <c r="A1" s="321" t="s">
        <v>549</v>
      </c>
      <c r="B1" s="321"/>
      <c r="C1" s="321"/>
      <c r="D1" s="321"/>
      <c r="E1" s="321"/>
    </row>
    <row r="2" spans="1:5" x14ac:dyDescent="0.25">
      <c r="A2" s="2" t="s">
        <v>0</v>
      </c>
      <c r="B2" s="2" t="s">
        <v>3</v>
      </c>
      <c r="C2" s="2" t="s">
        <v>24</v>
      </c>
      <c r="D2" s="2" t="s">
        <v>8</v>
      </c>
      <c r="E2" s="2" t="s">
        <v>540</v>
      </c>
    </row>
    <row r="3" spans="1:5" x14ac:dyDescent="0.25">
      <c r="A3" s="1">
        <v>1</v>
      </c>
      <c r="B3" s="66">
        <v>46007</v>
      </c>
      <c r="C3" s="66" t="s">
        <v>548</v>
      </c>
      <c r="D3" s="1">
        <v>370</v>
      </c>
      <c r="E3" s="1" t="s">
        <v>137</v>
      </c>
    </row>
    <row r="4" spans="1:5" x14ac:dyDescent="0.25">
      <c r="A4" s="1">
        <v>2</v>
      </c>
      <c r="B4" s="66">
        <v>46008</v>
      </c>
      <c r="C4" s="66" t="s">
        <v>548</v>
      </c>
      <c r="D4" s="1">
        <v>580</v>
      </c>
      <c r="E4" s="1" t="s">
        <v>137</v>
      </c>
    </row>
    <row r="5" spans="1:5" x14ac:dyDescent="0.25">
      <c r="A5" s="1">
        <v>3</v>
      </c>
      <c r="B5" s="66">
        <v>46009</v>
      </c>
      <c r="C5" s="66" t="s">
        <v>548</v>
      </c>
      <c r="D5" s="1">
        <v>265</v>
      </c>
      <c r="E5" s="1" t="s">
        <v>137</v>
      </c>
    </row>
    <row r="6" spans="1:5" x14ac:dyDescent="0.25">
      <c r="A6" s="1">
        <v>4</v>
      </c>
      <c r="B6" s="66">
        <v>46010</v>
      </c>
      <c r="C6" s="66" t="s">
        <v>548</v>
      </c>
      <c r="D6" s="1">
        <v>1380</v>
      </c>
      <c r="E6" s="1" t="s">
        <v>137</v>
      </c>
    </row>
    <row r="7" spans="1:5" x14ac:dyDescent="0.25">
      <c r="A7" s="1">
        <v>5</v>
      </c>
      <c r="B7" s="66">
        <v>46011</v>
      </c>
      <c r="C7" s="66" t="s">
        <v>548</v>
      </c>
      <c r="D7" s="1">
        <v>240</v>
      </c>
      <c r="E7" s="1" t="s">
        <v>137</v>
      </c>
    </row>
    <row r="8" spans="1:5" x14ac:dyDescent="0.25">
      <c r="A8" s="1">
        <v>6</v>
      </c>
      <c r="B8" s="66">
        <v>46012</v>
      </c>
      <c r="C8" s="66" t="s">
        <v>548</v>
      </c>
      <c r="D8" s="1">
        <v>720</v>
      </c>
      <c r="E8" s="1" t="s">
        <v>137</v>
      </c>
    </row>
    <row r="9" spans="1:5" x14ac:dyDescent="0.25">
      <c r="A9" s="1">
        <v>7</v>
      </c>
      <c r="B9" s="66">
        <v>46014</v>
      </c>
      <c r="C9" s="66" t="s">
        <v>548</v>
      </c>
      <c r="D9" s="1">
        <v>340</v>
      </c>
      <c r="E9" s="1" t="s">
        <v>137</v>
      </c>
    </row>
    <row r="10" spans="1:5" x14ac:dyDescent="0.25">
      <c r="A10" s="1">
        <v>8</v>
      </c>
      <c r="B10" s="66">
        <v>46015</v>
      </c>
      <c r="C10" s="66" t="s">
        <v>548</v>
      </c>
      <c r="D10" s="1">
        <v>1050</v>
      </c>
      <c r="E10" s="1" t="s">
        <v>137</v>
      </c>
    </row>
    <row r="11" spans="1:5" x14ac:dyDescent="0.25">
      <c r="A11" s="1">
        <v>9</v>
      </c>
      <c r="B11" s="66">
        <v>46017</v>
      </c>
      <c r="C11" s="66" t="s">
        <v>548</v>
      </c>
      <c r="D11" s="1">
        <v>1700</v>
      </c>
      <c r="E11" s="1" t="s">
        <v>137</v>
      </c>
    </row>
    <row r="12" spans="1:5" x14ac:dyDescent="0.25">
      <c r="A12" s="1">
        <v>10</v>
      </c>
      <c r="B12" s="66">
        <v>46018</v>
      </c>
      <c r="C12" s="66" t="s">
        <v>548</v>
      </c>
      <c r="D12" s="1">
        <v>1320</v>
      </c>
      <c r="E12" s="1" t="s">
        <v>137</v>
      </c>
    </row>
    <row r="13" spans="1:5" x14ac:dyDescent="0.25">
      <c r="A13" s="1">
        <v>11</v>
      </c>
      <c r="B13" s="66">
        <v>46020</v>
      </c>
      <c r="C13" s="66" t="s">
        <v>548</v>
      </c>
      <c r="D13" s="1">
        <v>720</v>
      </c>
      <c r="E13" s="1" t="s">
        <v>137</v>
      </c>
    </row>
    <row r="14" spans="1:5" x14ac:dyDescent="0.25">
      <c r="A14" s="1">
        <v>12</v>
      </c>
      <c r="B14" s="66">
        <v>46021</v>
      </c>
      <c r="C14" s="66" t="s">
        <v>548</v>
      </c>
      <c r="D14" s="1">
        <v>1770</v>
      </c>
      <c r="E14" s="1" t="s">
        <v>137</v>
      </c>
    </row>
    <row r="15" spans="1:5" x14ac:dyDescent="0.25">
      <c r="A15" s="1">
        <v>13</v>
      </c>
      <c r="B15" s="66">
        <v>46022</v>
      </c>
      <c r="C15" s="66" t="s">
        <v>548</v>
      </c>
      <c r="D15" s="1">
        <v>1575</v>
      </c>
      <c r="E15" s="1" t="s">
        <v>137</v>
      </c>
    </row>
    <row r="16" spans="1:5" ht="18.75" x14ac:dyDescent="0.3">
      <c r="A16" s="322" t="s">
        <v>41</v>
      </c>
      <c r="B16" s="323"/>
      <c r="C16" s="324"/>
      <c r="D16" s="108">
        <f>SUM(D3:D15)</f>
        <v>12030</v>
      </c>
      <c r="E16" s="1"/>
    </row>
    <row r="18" spans="1:5" ht="18.75" x14ac:dyDescent="0.3">
      <c r="A18" s="321" t="s">
        <v>549</v>
      </c>
      <c r="B18" s="321"/>
      <c r="C18" s="321"/>
      <c r="D18" s="321"/>
      <c r="E18" s="321"/>
    </row>
    <row r="19" spans="1:5" x14ac:dyDescent="0.25">
      <c r="A19" s="2" t="s">
        <v>0</v>
      </c>
      <c r="B19" s="2" t="s">
        <v>3</v>
      </c>
      <c r="C19" s="2" t="s">
        <v>24</v>
      </c>
      <c r="D19" s="2" t="s">
        <v>8</v>
      </c>
      <c r="E19" s="2" t="s">
        <v>540</v>
      </c>
    </row>
    <row r="20" spans="1:5" x14ac:dyDescent="0.25">
      <c r="A20" s="1">
        <v>1</v>
      </c>
      <c r="B20" s="66">
        <v>46023</v>
      </c>
      <c r="C20" s="66" t="s">
        <v>548</v>
      </c>
      <c r="D20" s="5">
        <v>1585</v>
      </c>
      <c r="E20" s="1" t="s">
        <v>137</v>
      </c>
    </row>
    <row r="21" spans="1:5" x14ac:dyDescent="0.25">
      <c r="A21" s="1">
        <v>2</v>
      </c>
      <c r="B21" s="66">
        <v>46024</v>
      </c>
      <c r="C21" s="66" t="s">
        <v>548</v>
      </c>
      <c r="D21" s="5">
        <v>1160</v>
      </c>
      <c r="E21" s="1" t="s">
        <v>137</v>
      </c>
    </row>
    <row r="22" spans="1:5" x14ac:dyDescent="0.25">
      <c r="A22" s="1">
        <v>3</v>
      </c>
      <c r="B22" s="66">
        <v>46025</v>
      </c>
      <c r="C22" s="66" t="s">
        <v>548</v>
      </c>
      <c r="D22" s="5">
        <v>1065</v>
      </c>
      <c r="E22" s="1" t="s">
        <v>137</v>
      </c>
    </row>
    <row r="23" spans="1:5" x14ac:dyDescent="0.25">
      <c r="A23" s="1">
        <v>4</v>
      </c>
      <c r="B23" s="66">
        <v>46027</v>
      </c>
      <c r="C23" s="66" t="s">
        <v>548</v>
      </c>
      <c r="D23" s="5">
        <v>740</v>
      </c>
      <c r="E23" s="1" t="s">
        <v>137</v>
      </c>
    </row>
    <row r="24" spans="1:5" x14ac:dyDescent="0.25">
      <c r="A24" s="1">
        <v>5</v>
      </c>
      <c r="B24" s="66">
        <v>46027</v>
      </c>
      <c r="C24" s="66" t="s">
        <v>548</v>
      </c>
      <c r="D24" s="5">
        <v>280</v>
      </c>
      <c r="E24" s="1" t="s">
        <v>137</v>
      </c>
    </row>
    <row r="25" spans="1:5" x14ac:dyDescent="0.25">
      <c r="A25" s="1">
        <v>6</v>
      </c>
      <c r="B25" s="66">
        <v>46028</v>
      </c>
      <c r="C25" s="66" t="s">
        <v>548</v>
      </c>
      <c r="D25" s="5">
        <v>650</v>
      </c>
      <c r="E25" s="1" t="s">
        <v>137</v>
      </c>
    </row>
    <row r="26" spans="1:5" x14ac:dyDescent="0.25">
      <c r="A26" s="1">
        <v>7</v>
      </c>
      <c r="B26" s="66">
        <v>46029</v>
      </c>
      <c r="C26" s="66" t="s">
        <v>548</v>
      </c>
      <c r="D26" s="5">
        <v>625</v>
      </c>
      <c r="E26" s="1" t="s">
        <v>137</v>
      </c>
    </row>
    <row r="27" spans="1:5" x14ac:dyDescent="0.25">
      <c r="A27" s="1">
        <v>8</v>
      </c>
      <c r="B27" s="66">
        <v>46029</v>
      </c>
      <c r="C27" s="66" t="s">
        <v>548</v>
      </c>
      <c r="D27" s="5">
        <v>640</v>
      </c>
      <c r="E27" s="1" t="s">
        <v>137</v>
      </c>
    </row>
    <row r="28" spans="1:5" x14ac:dyDescent="0.25">
      <c r="A28" s="1">
        <v>9</v>
      </c>
      <c r="B28" s="66">
        <v>46030</v>
      </c>
      <c r="C28" s="66" t="s">
        <v>548</v>
      </c>
      <c r="D28" s="5">
        <v>920</v>
      </c>
      <c r="E28" s="1" t="s">
        <v>137</v>
      </c>
    </row>
    <row r="29" spans="1:5" x14ac:dyDescent="0.25">
      <c r="A29" s="1">
        <v>10</v>
      </c>
      <c r="B29" s="66">
        <v>46031</v>
      </c>
      <c r="C29" s="66" t="s">
        <v>548</v>
      </c>
      <c r="D29" s="5">
        <v>870</v>
      </c>
      <c r="E29" s="1" t="s">
        <v>137</v>
      </c>
    </row>
    <row r="30" spans="1:5" x14ac:dyDescent="0.25">
      <c r="A30" s="1">
        <v>11</v>
      </c>
      <c r="B30" s="66">
        <v>46032</v>
      </c>
      <c r="C30" s="66" t="s">
        <v>548</v>
      </c>
      <c r="D30" s="5">
        <v>445</v>
      </c>
      <c r="E30" s="1" t="s">
        <v>137</v>
      </c>
    </row>
    <row r="31" spans="1:5" x14ac:dyDescent="0.25">
      <c r="A31" s="1">
        <v>12</v>
      </c>
      <c r="B31" s="66">
        <v>46034</v>
      </c>
      <c r="C31" s="66" t="s">
        <v>548</v>
      </c>
      <c r="D31" s="5">
        <v>695</v>
      </c>
      <c r="E31" s="1" t="s">
        <v>137</v>
      </c>
    </row>
    <row r="32" spans="1:5" x14ac:dyDescent="0.25">
      <c r="A32" s="1">
        <v>13</v>
      </c>
      <c r="B32" s="66">
        <v>46034</v>
      </c>
      <c r="C32" s="66" t="s">
        <v>548</v>
      </c>
      <c r="D32" s="5">
        <v>365</v>
      </c>
      <c r="E32" s="1" t="s">
        <v>137</v>
      </c>
    </row>
    <row r="33" spans="1:5" x14ac:dyDescent="0.25">
      <c r="A33" s="1">
        <v>14</v>
      </c>
      <c r="B33" s="66">
        <v>46035</v>
      </c>
      <c r="C33" s="66" t="s">
        <v>548</v>
      </c>
      <c r="D33" s="5">
        <v>330</v>
      </c>
      <c r="E33" s="1" t="s">
        <v>137</v>
      </c>
    </row>
    <row r="34" spans="1:5" x14ac:dyDescent="0.25">
      <c r="A34" s="1">
        <v>15</v>
      </c>
      <c r="B34" s="66">
        <v>46035</v>
      </c>
      <c r="C34" s="66" t="s">
        <v>548</v>
      </c>
      <c r="D34" s="5">
        <v>720</v>
      </c>
      <c r="E34" s="1" t="s">
        <v>137</v>
      </c>
    </row>
    <row r="35" spans="1:5" x14ac:dyDescent="0.25">
      <c r="A35" s="1">
        <v>16</v>
      </c>
      <c r="B35" s="66">
        <v>46035</v>
      </c>
      <c r="C35" s="66" t="s">
        <v>548</v>
      </c>
      <c r="D35" s="5">
        <v>280</v>
      </c>
      <c r="E35" s="1" t="s">
        <v>137</v>
      </c>
    </row>
    <row r="36" spans="1:5" x14ac:dyDescent="0.25">
      <c r="A36" s="1">
        <v>17</v>
      </c>
      <c r="B36" s="66">
        <v>46036</v>
      </c>
      <c r="C36" s="66" t="s">
        <v>548</v>
      </c>
      <c r="D36" s="5">
        <v>2370</v>
      </c>
      <c r="E36" s="1" t="s">
        <v>137</v>
      </c>
    </row>
    <row r="37" spans="1:5" x14ac:dyDescent="0.25">
      <c r="A37" s="1">
        <v>18</v>
      </c>
      <c r="B37" s="66">
        <v>46036</v>
      </c>
      <c r="C37" s="66" t="s">
        <v>548</v>
      </c>
      <c r="D37" s="5">
        <v>360</v>
      </c>
      <c r="E37" s="1" t="s">
        <v>137</v>
      </c>
    </row>
    <row r="38" spans="1:5" x14ac:dyDescent="0.25">
      <c r="A38" s="1">
        <v>19</v>
      </c>
      <c r="B38" s="66">
        <v>46037</v>
      </c>
      <c r="C38" s="66" t="s">
        <v>548</v>
      </c>
      <c r="D38" s="5">
        <v>1130</v>
      </c>
      <c r="E38" s="1" t="s">
        <v>137</v>
      </c>
    </row>
    <row r="39" spans="1:5" x14ac:dyDescent="0.25">
      <c r="A39" s="1">
        <v>20</v>
      </c>
      <c r="B39" s="66">
        <v>46037</v>
      </c>
      <c r="C39" s="66" t="s">
        <v>548</v>
      </c>
      <c r="D39" s="5">
        <v>280</v>
      </c>
      <c r="E39" s="1" t="s">
        <v>137</v>
      </c>
    </row>
    <row r="40" spans="1:5" ht="19.5" thickBot="1" x14ac:dyDescent="0.35">
      <c r="A40" s="322" t="s">
        <v>41</v>
      </c>
      <c r="B40" s="323"/>
      <c r="C40" s="324"/>
      <c r="D40" s="118">
        <f>SUM(D20:D39)</f>
        <v>15510</v>
      </c>
      <c r="E40" s="1"/>
    </row>
    <row r="41" spans="1:5" ht="15.75" thickBot="1" x14ac:dyDescent="0.3">
      <c r="A41" s="292" t="s">
        <v>39</v>
      </c>
      <c r="B41" s="293"/>
      <c r="E41" s="14" t="s">
        <v>40</v>
      </c>
    </row>
    <row r="44" spans="1:5" ht="15.75" thickBot="1" x14ac:dyDescent="0.3"/>
    <row r="45" spans="1:5" ht="15.75" thickBot="1" x14ac:dyDescent="0.3">
      <c r="A45" s="292" t="s">
        <v>957</v>
      </c>
      <c r="B45" s="293"/>
    </row>
  </sheetData>
  <mergeCells count="6">
    <mergeCell ref="A45:B45"/>
    <mergeCell ref="A1:E1"/>
    <mergeCell ref="A16:C16"/>
    <mergeCell ref="A18:E18"/>
    <mergeCell ref="A40:C40"/>
    <mergeCell ref="A41:B41"/>
  </mergeCells>
  <pageMargins left="0.70866141732283472" right="0.70866141732283472" top="0.74803149606299213" bottom="0.74803149606299213" header="0.31496062992125984" footer="0.31496062992125984"/>
  <pageSetup scale="123"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6"/>
  <sheetViews>
    <sheetView topLeftCell="A292" zoomScale="124" zoomScaleNormal="124" workbookViewId="0">
      <selection activeCell="I261" sqref="I261"/>
    </sheetView>
  </sheetViews>
  <sheetFormatPr defaultRowHeight="15" x14ac:dyDescent="0.25"/>
  <cols>
    <col min="1" max="1" width="5.42578125" bestFit="1" customWidth="1"/>
    <col min="2" max="2" width="11.5703125" bestFit="1" customWidth="1"/>
    <col min="3" max="3" width="17.7109375" bestFit="1" customWidth="1"/>
    <col min="4" max="4" width="8.140625" customWidth="1"/>
    <col min="5" max="5" width="9.85546875" bestFit="1" customWidth="1"/>
    <col min="6" max="6" width="15.28515625" bestFit="1" customWidth="1"/>
    <col min="7" max="7" width="20.85546875" bestFit="1" customWidth="1"/>
  </cols>
  <sheetData>
    <row r="1" spans="1:6" ht="19.5" thickBot="1" x14ac:dyDescent="0.35">
      <c r="A1" s="10" t="s">
        <v>0</v>
      </c>
      <c r="B1" s="11" t="s">
        <v>3</v>
      </c>
      <c r="C1" s="11" t="s">
        <v>1</v>
      </c>
      <c r="D1" s="11" t="s">
        <v>26</v>
      </c>
      <c r="E1" s="11" t="s">
        <v>23</v>
      </c>
      <c r="F1" s="12" t="s">
        <v>27</v>
      </c>
    </row>
    <row r="2" spans="1:6" x14ac:dyDescent="0.25">
      <c r="A2" s="3">
        <v>1</v>
      </c>
      <c r="B2" s="3" t="s">
        <v>5</v>
      </c>
      <c r="C2" s="3" t="s">
        <v>22</v>
      </c>
      <c r="D2" s="3" t="s">
        <v>44</v>
      </c>
      <c r="E2" s="4">
        <v>800</v>
      </c>
      <c r="F2" s="3" t="s">
        <v>30</v>
      </c>
    </row>
    <row r="3" spans="1:6" x14ac:dyDescent="0.25">
      <c r="A3" s="3">
        <v>2</v>
      </c>
      <c r="B3" s="1" t="s">
        <v>5</v>
      </c>
      <c r="C3" s="1" t="s">
        <v>14</v>
      </c>
      <c r="D3" s="1" t="s">
        <v>42</v>
      </c>
      <c r="E3" s="5">
        <v>80</v>
      </c>
      <c r="F3" s="3" t="s">
        <v>30</v>
      </c>
    </row>
    <row r="4" spans="1:6" x14ac:dyDescent="0.25">
      <c r="A4" s="3">
        <v>3</v>
      </c>
      <c r="B4" s="1" t="s">
        <v>5</v>
      </c>
      <c r="C4" s="1" t="s">
        <v>19</v>
      </c>
      <c r="D4" s="1">
        <v>15</v>
      </c>
      <c r="E4" s="5">
        <v>225</v>
      </c>
      <c r="F4" s="3" t="s">
        <v>30</v>
      </c>
    </row>
    <row r="5" spans="1:6" ht="15.75" thickBot="1" x14ac:dyDescent="0.3">
      <c r="A5" s="3">
        <v>4</v>
      </c>
      <c r="B5" s="1" t="s">
        <v>5</v>
      </c>
      <c r="C5" s="1" t="s">
        <v>43</v>
      </c>
      <c r="D5" s="1">
        <v>1</v>
      </c>
      <c r="E5" s="5">
        <v>20</v>
      </c>
      <c r="F5" s="3" t="s">
        <v>30</v>
      </c>
    </row>
    <row r="6" spans="1:6" ht="15.75" thickBot="1" x14ac:dyDescent="0.3">
      <c r="A6" s="292" t="s">
        <v>41</v>
      </c>
      <c r="B6" s="297"/>
      <c r="C6" s="297"/>
      <c r="D6" s="293"/>
      <c r="E6" s="15">
        <f>SUM(E2:E5)</f>
        <v>1125</v>
      </c>
    </row>
    <row r="7" spans="1:6" ht="15.75" thickBot="1" x14ac:dyDescent="0.3"/>
    <row r="8" spans="1:6" ht="15.75" thickBot="1" x14ac:dyDescent="0.3">
      <c r="A8" s="292" t="s">
        <v>39</v>
      </c>
      <c r="B8" s="293"/>
      <c r="F8" s="14" t="s">
        <v>40</v>
      </c>
    </row>
    <row r="10" spans="1:6" ht="15.75" thickBot="1" x14ac:dyDescent="0.3"/>
    <row r="11" spans="1:6" ht="19.5" thickBot="1" x14ac:dyDescent="0.35">
      <c r="A11" s="10" t="s">
        <v>0</v>
      </c>
      <c r="B11" s="11" t="s">
        <v>3</v>
      </c>
      <c r="C11" s="11" t="s">
        <v>1</v>
      </c>
      <c r="D11" s="11" t="s">
        <v>26</v>
      </c>
      <c r="E11" s="11" t="s">
        <v>23</v>
      </c>
      <c r="F11" s="12" t="s">
        <v>27</v>
      </c>
    </row>
    <row r="12" spans="1:6" x14ac:dyDescent="0.25">
      <c r="A12" s="3">
        <v>1</v>
      </c>
      <c r="B12" s="3" t="s">
        <v>52</v>
      </c>
      <c r="C12" s="3" t="s">
        <v>81</v>
      </c>
      <c r="D12" s="3">
        <v>1</v>
      </c>
      <c r="E12" s="4">
        <v>50</v>
      </c>
      <c r="F12" s="3" t="s">
        <v>30</v>
      </c>
    </row>
    <row r="13" spans="1:6" x14ac:dyDescent="0.25">
      <c r="A13" s="3">
        <v>2</v>
      </c>
      <c r="B13" s="3" t="s">
        <v>52</v>
      </c>
      <c r="C13" s="1" t="s">
        <v>82</v>
      </c>
      <c r="D13" s="1">
        <v>1</v>
      </c>
      <c r="E13" s="5">
        <v>120</v>
      </c>
      <c r="F13" s="3" t="s">
        <v>30</v>
      </c>
    </row>
    <row r="14" spans="1:6" x14ac:dyDescent="0.25">
      <c r="A14" s="3">
        <v>3</v>
      </c>
      <c r="B14" s="3" t="s">
        <v>52</v>
      </c>
      <c r="C14" s="1" t="s">
        <v>83</v>
      </c>
      <c r="D14" s="1">
        <v>1</v>
      </c>
      <c r="E14" s="5">
        <v>80</v>
      </c>
      <c r="F14" s="3" t="s">
        <v>30</v>
      </c>
    </row>
    <row r="15" spans="1:6" x14ac:dyDescent="0.25">
      <c r="A15" s="3">
        <v>4</v>
      </c>
      <c r="B15" s="3" t="s">
        <v>52</v>
      </c>
      <c r="C15" s="1" t="s">
        <v>84</v>
      </c>
      <c r="D15" s="1" t="s">
        <v>42</v>
      </c>
      <c r="E15" s="5">
        <v>200</v>
      </c>
      <c r="F15" s="3" t="s">
        <v>30</v>
      </c>
    </row>
    <row r="16" spans="1:6" x14ac:dyDescent="0.25">
      <c r="A16" s="3">
        <v>5</v>
      </c>
      <c r="B16" s="3" t="s">
        <v>52</v>
      </c>
      <c r="C16" s="1" t="s">
        <v>19</v>
      </c>
      <c r="D16" s="1">
        <v>4</v>
      </c>
      <c r="E16" s="5">
        <v>60</v>
      </c>
      <c r="F16" s="3" t="s">
        <v>30</v>
      </c>
    </row>
    <row r="17" spans="1:6" x14ac:dyDescent="0.25">
      <c r="A17" s="3">
        <v>6</v>
      </c>
      <c r="B17" s="3" t="s">
        <v>52</v>
      </c>
      <c r="C17" s="1" t="s">
        <v>43</v>
      </c>
      <c r="D17" s="1">
        <v>1</v>
      </c>
      <c r="E17" s="5">
        <v>20</v>
      </c>
      <c r="F17" s="3" t="s">
        <v>30</v>
      </c>
    </row>
    <row r="18" spans="1:6" ht="15.75" thickBot="1" x14ac:dyDescent="0.3">
      <c r="A18" s="289" t="s">
        <v>41</v>
      </c>
      <c r="B18" s="290"/>
      <c r="C18" s="290"/>
      <c r="D18" s="291"/>
      <c r="E18" s="25">
        <f>SUM(E12:E17)</f>
        <v>530</v>
      </c>
    </row>
    <row r="19" spans="1:6" ht="15.75" thickBot="1" x14ac:dyDescent="0.3"/>
    <row r="20" spans="1:6" ht="15.75" thickBot="1" x14ac:dyDescent="0.3">
      <c r="A20" s="292" t="s">
        <v>39</v>
      </c>
      <c r="B20" s="293"/>
      <c r="F20" s="14" t="s">
        <v>40</v>
      </c>
    </row>
    <row r="22" spans="1:6" ht="15.75" thickBot="1" x14ac:dyDescent="0.3"/>
    <row r="23" spans="1:6" ht="19.5" thickBot="1" x14ac:dyDescent="0.35">
      <c r="A23" s="10" t="s">
        <v>0</v>
      </c>
      <c r="B23" s="11" t="s">
        <v>3</v>
      </c>
      <c r="C23" s="11" t="s">
        <v>1</v>
      </c>
      <c r="D23" s="11" t="s">
        <v>26</v>
      </c>
      <c r="E23" s="11" t="s">
        <v>23</v>
      </c>
      <c r="F23" s="12" t="s">
        <v>27</v>
      </c>
    </row>
    <row r="24" spans="1:6" x14ac:dyDescent="0.25">
      <c r="A24" s="3">
        <v>1</v>
      </c>
      <c r="B24" s="3" t="s">
        <v>52</v>
      </c>
      <c r="C24" s="3" t="s">
        <v>86</v>
      </c>
      <c r="D24" s="3">
        <v>4</v>
      </c>
      <c r="E24" s="4">
        <v>800</v>
      </c>
      <c r="F24" s="3" t="s">
        <v>30</v>
      </c>
    </row>
    <row r="25" spans="1:6" x14ac:dyDescent="0.25">
      <c r="A25" s="3">
        <v>2</v>
      </c>
      <c r="B25" s="3" t="s">
        <v>52</v>
      </c>
      <c r="C25" s="1" t="s">
        <v>19</v>
      </c>
      <c r="D25" s="1">
        <v>10</v>
      </c>
      <c r="E25" s="5">
        <v>150</v>
      </c>
      <c r="F25" s="3" t="s">
        <v>30</v>
      </c>
    </row>
    <row r="26" spans="1:6" x14ac:dyDescent="0.25">
      <c r="A26" s="3">
        <v>3</v>
      </c>
      <c r="B26" s="3" t="s">
        <v>52</v>
      </c>
      <c r="C26" s="1" t="s">
        <v>33</v>
      </c>
      <c r="D26" s="1">
        <v>2</v>
      </c>
      <c r="E26" s="5">
        <v>40</v>
      </c>
      <c r="F26" s="3" t="s">
        <v>30</v>
      </c>
    </row>
    <row r="27" spans="1:6" ht="15.75" thickBot="1" x14ac:dyDescent="0.3">
      <c r="A27" s="289" t="s">
        <v>41</v>
      </c>
      <c r="B27" s="290"/>
      <c r="C27" s="290"/>
      <c r="D27" s="291"/>
      <c r="E27" s="25">
        <f>SUM(E24:E26)</f>
        <v>990</v>
      </c>
    </row>
    <row r="28" spans="1:6" ht="15.75" thickBot="1" x14ac:dyDescent="0.3"/>
    <row r="29" spans="1:6" ht="15.75" thickBot="1" x14ac:dyDescent="0.3">
      <c r="A29" s="292" t="s">
        <v>39</v>
      </c>
      <c r="B29" s="293"/>
      <c r="F29" s="14" t="s">
        <v>40</v>
      </c>
    </row>
    <row r="30" spans="1:6" ht="15.75" thickBot="1" x14ac:dyDescent="0.3"/>
    <row r="31" spans="1:6" ht="19.5" thickBot="1" x14ac:dyDescent="0.35">
      <c r="A31" s="10" t="s">
        <v>0</v>
      </c>
      <c r="B31" s="11" t="s">
        <v>3</v>
      </c>
      <c r="C31" s="11" t="s">
        <v>1</v>
      </c>
      <c r="D31" s="11" t="s">
        <v>26</v>
      </c>
      <c r="E31" s="11" t="s">
        <v>23</v>
      </c>
      <c r="F31" s="12" t="s">
        <v>27</v>
      </c>
    </row>
    <row r="32" spans="1:6" x14ac:dyDescent="0.25">
      <c r="A32" s="3">
        <v>1</v>
      </c>
      <c r="B32" s="3" t="s">
        <v>108</v>
      </c>
      <c r="C32" s="3" t="s">
        <v>128</v>
      </c>
      <c r="D32" s="3">
        <v>2</v>
      </c>
      <c r="E32" s="4">
        <v>400</v>
      </c>
      <c r="F32" s="3" t="s">
        <v>30</v>
      </c>
    </row>
    <row r="33" spans="1:6" x14ac:dyDescent="0.25">
      <c r="A33" s="3">
        <v>2</v>
      </c>
      <c r="B33" s="3" t="s">
        <v>108</v>
      </c>
      <c r="C33" s="1" t="s">
        <v>43</v>
      </c>
      <c r="D33" s="1">
        <v>1</v>
      </c>
      <c r="E33" s="5">
        <v>20</v>
      </c>
      <c r="F33" s="3" t="s">
        <v>30</v>
      </c>
    </row>
    <row r="34" spans="1:6" x14ac:dyDescent="0.25">
      <c r="A34" s="3">
        <v>3</v>
      </c>
      <c r="B34" s="3" t="s">
        <v>108</v>
      </c>
      <c r="C34" s="1" t="s">
        <v>37</v>
      </c>
      <c r="D34" s="1">
        <v>1</v>
      </c>
      <c r="E34" s="5">
        <v>35</v>
      </c>
      <c r="F34" s="3" t="s">
        <v>30</v>
      </c>
    </row>
    <row r="35" spans="1:6" x14ac:dyDescent="0.25">
      <c r="A35" s="3">
        <v>4</v>
      </c>
      <c r="B35" s="3" t="s">
        <v>108</v>
      </c>
      <c r="C35" s="1" t="s">
        <v>19</v>
      </c>
      <c r="D35" s="1">
        <v>10</v>
      </c>
      <c r="E35" s="5">
        <v>150</v>
      </c>
      <c r="F35" s="3" t="s">
        <v>30</v>
      </c>
    </row>
    <row r="36" spans="1:6" ht="15.75" thickBot="1" x14ac:dyDescent="0.3">
      <c r="A36" s="289" t="s">
        <v>41</v>
      </c>
      <c r="B36" s="290"/>
      <c r="C36" s="290"/>
      <c r="D36" s="291"/>
      <c r="E36" s="25">
        <f>SUM(E32:E35)</f>
        <v>605</v>
      </c>
    </row>
    <row r="37" spans="1:6" ht="15.75" thickBot="1" x14ac:dyDescent="0.3"/>
    <row r="38" spans="1:6" ht="15.75" thickBot="1" x14ac:dyDescent="0.3">
      <c r="A38" s="292" t="s">
        <v>39</v>
      </c>
      <c r="B38" s="293"/>
      <c r="F38" s="14" t="s">
        <v>40</v>
      </c>
    </row>
    <row r="39" spans="1:6" ht="15.75" thickBot="1" x14ac:dyDescent="0.3"/>
    <row r="40" spans="1:6" ht="19.5" thickBot="1" x14ac:dyDescent="0.35">
      <c r="A40" s="10" t="s">
        <v>0</v>
      </c>
      <c r="B40" s="11" t="s">
        <v>3</v>
      </c>
      <c r="C40" s="11" t="s">
        <v>1</v>
      </c>
      <c r="D40" s="11" t="s">
        <v>26</v>
      </c>
      <c r="E40" s="11" t="s">
        <v>23</v>
      </c>
      <c r="F40" s="12" t="s">
        <v>27</v>
      </c>
    </row>
    <row r="41" spans="1:6" x14ac:dyDescent="0.25">
      <c r="A41" s="3">
        <v>1</v>
      </c>
      <c r="B41" s="3" t="s">
        <v>108</v>
      </c>
      <c r="C41" s="3" t="s">
        <v>14</v>
      </c>
      <c r="D41" s="3">
        <v>2</v>
      </c>
      <c r="E41" s="4">
        <v>160</v>
      </c>
      <c r="F41" s="3" t="s">
        <v>30</v>
      </c>
    </row>
    <row r="42" spans="1:6" x14ac:dyDescent="0.25">
      <c r="A42" s="3">
        <v>2</v>
      </c>
      <c r="B42" s="3" t="s">
        <v>108</v>
      </c>
      <c r="C42" s="1" t="s">
        <v>19</v>
      </c>
      <c r="D42" s="1">
        <v>6</v>
      </c>
      <c r="E42" s="5">
        <v>90</v>
      </c>
      <c r="F42" s="3" t="s">
        <v>30</v>
      </c>
    </row>
    <row r="43" spans="1:6" x14ac:dyDescent="0.25">
      <c r="A43" s="3">
        <v>3</v>
      </c>
      <c r="B43" s="3" t="s">
        <v>108</v>
      </c>
      <c r="C43" s="1" t="s">
        <v>37</v>
      </c>
      <c r="D43" s="1">
        <v>2</v>
      </c>
      <c r="E43" s="5">
        <v>70</v>
      </c>
      <c r="F43" s="3" t="s">
        <v>30</v>
      </c>
    </row>
    <row r="44" spans="1:6" x14ac:dyDescent="0.25">
      <c r="A44" s="3">
        <v>4</v>
      </c>
      <c r="B44" s="3" t="s">
        <v>108</v>
      </c>
      <c r="C44" s="1" t="s">
        <v>32</v>
      </c>
      <c r="D44" s="1" t="s">
        <v>129</v>
      </c>
      <c r="E44" s="5">
        <v>170</v>
      </c>
      <c r="F44" s="3" t="s">
        <v>30</v>
      </c>
    </row>
    <row r="45" spans="1:6" x14ac:dyDescent="0.25">
      <c r="A45" s="3">
        <v>5</v>
      </c>
      <c r="B45" s="3" t="s">
        <v>108</v>
      </c>
      <c r="C45" s="1" t="s">
        <v>19</v>
      </c>
      <c r="D45" s="1">
        <v>5</v>
      </c>
      <c r="E45" s="5">
        <v>75</v>
      </c>
      <c r="F45" s="1"/>
    </row>
    <row r="46" spans="1:6" x14ac:dyDescent="0.25">
      <c r="A46" s="3"/>
      <c r="B46" s="3"/>
      <c r="C46" s="1"/>
      <c r="D46" s="1"/>
      <c r="E46" s="5"/>
      <c r="F46" s="1"/>
    </row>
    <row r="47" spans="1:6" ht="15.75" thickBot="1" x14ac:dyDescent="0.3">
      <c r="A47" s="289" t="s">
        <v>41</v>
      </c>
      <c r="B47" s="290"/>
      <c r="C47" s="290"/>
      <c r="D47" s="291"/>
      <c r="E47" s="25">
        <f>SUM(E41:E46)</f>
        <v>565</v>
      </c>
    </row>
    <row r="48" spans="1:6" ht="15.75" thickBot="1" x14ac:dyDescent="0.3"/>
    <row r="49" spans="1:6" ht="15.75" thickBot="1" x14ac:dyDescent="0.3">
      <c r="A49" s="292" t="s">
        <v>39</v>
      </c>
      <c r="B49" s="293"/>
      <c r="F49" s="14" t="s">
        <v>40</v>
      </c>
    </row>
    <row r="50" spans="1:6" ht="15.75" thickBot="1" x14ac:dyDescent="0.3"/>
    <row r="51" spans="1:6" ht="19.5" thickBot="1" x14ac:dyDescent="0.35">
      <c r="A51" s="10" t="s">
        <v>0</v>
      </c>
      <c r="B51" s="11" t="s">
        <v>3</v>
      </c>
      <c r="C51" s="11" t="s">
        <v>1</v>
      </c>
      <c r="D51" s="11" t="s">
        <v>26</v>
      </c>
      <c r="E51" s="11" t="s">
        <v>23</v>
      </c>
      <c r="F51" s="12" t="s">
        <v>27</v>
      </c>
    </row>
    <row r="52" spans="1:6" x14ac:dyDescent="0.25">
      <c r="A52" s="3">
        <v>1</v>
      </c>
      <c r="B52" s="3" t="s">
        <v>119</v>
      </c>
      <c r="C52" s="3" t="s">
        <v>32</v>
      </c>
      <c r="D52" s="3">
        <v>1</v>
      </c>
      <c r="E52" s="4">
        <v>180</v>
      </c>
      <c r="F52" s="3" t="s">
        <v>30</v>
      </c>
    </row>
    <row r="53" spans="1:6" x14ac:dyDescent="0.25">
      <c r="A53" s="3">
        <v>2</v>
      </c>
      <c r="B53" s="3" t="s">
        <v>119</v>
      </c>
      <c r="C53" s="1" t="s">
        <v>19</v>
      </c>
      <c r="D53" s="1">
        <v>3</v>
      </c>
      <c r="E53" s="5">
        <v>45</v>
      </c>
      <c r="F53" s="3" t="s">
        <v>30</v>
      </c>
    </row>
    <row r="54" spans="1:6" x14ac:dyDescent="0.25">
      <c r="A54" s="3">
        <v>3</v>
      </c>
      <c r="B54" s="3" t="s">
        <v>119</v>
      </c>
      <c r="C54" s="1" t="s">
        <v>43</v>
      </c>
      <c r="D54" s="1">
        <v>1</v>
      </c>
      <c r="E54" s="5">
        <v>20</v>
      </c>
      <c r="F54" s="3" t="s">
        <v>30</v>
      </c>
    </row>
    <row r="55" spans="1:6" x14ac:dyDescent="0.25">
      <c r="A55" s="3"/>
      <c r="B55" s="3"/>
      <c r="C55" s="1"/>
      <c r="D55" s="1"/>
      <c r="E55" s="5"/>
      <c r="F55" s="1"/>
    </row>
    <row r="56" spans="1:6" ht="15.75" thickBot="1" x14ac:dyDescent="0.3">
      <c r="A56" s="289" t="s">
        <v>41</v>
      </c>
      <c r="B56" s="290"/>
      <c r="C56" s="290"/>
      <c r="D56" s="291"/>
      <c r="E56" s="25">
        <f>SUM(E52:E55)</f>
        <v>245</v>
      </c>
    </row>
    <row r="57" spans="1:6" ht="15.75" thickBot="1" x14ac:dyDescent="0.3"/>
    <row r="58" spans="1:6" ht="15.75" thickBot="1" x14ac:dyDescent="0.3">
      <c r="A58" s="292" t="s">
        <v>39</v>
      </c>
      <c r="B58" s="293"/>
      <c r="F58" s="14" t="s">
        <v>40</v>
      </c>
    </row>
    <row r="59" spans="1:6" ht="15.75" thickBot="1" x14ac:dyDescent="0.3"/>
    <row r="60" spans="1:6" ht="19.5" thickBot="1" x14ac:dyDescent="0.35">
      <c r="A60" s="10" t="s">
        <v>0</v>
      </c>
      <c r="B60" s="11" t="s">
        <v>3</v>
      </c>
      <c r="C60" s="11" t="s">
        <v>1</v>
      </c>
      <c r="D60" s="11" t="s">
        <v>26</v>
      </c>
      <c r="E60" s="11" t="s">
        <v>23</v>
      </c>
      <c r="F60" s="12" t="s">
        <v>27</v>
      </c>
    </row>
    <row r="61" spans="1:6" x14ac:dyDescent="0.25">
      <c r="A61" s="3">
        <v>1</v>
      </c>
      <c r="B61" s="3" t="s">
        <v>233</v>
      </c>
      <c r="C61" s="3" t="s">
        <v>242</v>
      </c>
      <c r="D61" s="3">
        <v>1</v>
      </c>
      <c r="E61" s="4">
        <v>110</v>
      </c>
      <c r="F61" s="3" t="s">
        <v>30</v>
      </c>
    </row>
    <row r="62" spans="1:6" x14ac:dyDescent="0.25">
      <c r="A62" s="3">
        <v>2</v>
      </c>
      <c r="B62" s="3" t="s">
        <v>233</v>
      </c>
      <c r="C62" s="1" t="s">
        <v>19</v>
      </c>
      <c r="D62" s="1">
        <v>4</v>
      </c>
      <c r="E62" s="5">
        <v>60</v>
      </c>
      <c r="F62" s="3" t="s">
        <v>30</v>
      </c>
    </row>
    <row r="63" spans="1:6" x14ac:dyDescent="0.25">
      <c r="A63" s="3">
        <v>3</v>
      </c>
      <c r="B63" s="3" t="s">
        <v>233</v>
      </c>
      <c r="C63" s="1" t="s">
        <v>43</v>
      </c>
      <c r="D63" s="1">
        <v>1</v>
      </c>
      <c r="E63" s="5">
        <v>20</v>
      </c>
      <c r="F63" s="3" t="s">
        <v>30</v>
      </c>
    </row>
    <row r="64" spans="1:6" x14ac:dyDescent="0.25">
      <c r="A64" s="3"/>
      <c r="B64" s="3"/>
      <c r="C64" s="1"/>
      <c r="D64" s="1"/>
      <c r="E64" s="5"/>
      <c r="F64" s="1"/>
    </row>
    <row r="65" spans="1:6" ht="15.75" thickBot="1" x14ac:dyDescent="0.3">
      <c r="A65" s="289" t="s">
        <v>41</v>
      </c>
      <c r="B65" s="290"/>
      <c r="C65" s="290"/>
      <c r="D65" s="291"/>
      <c r="E65" s="25">
        <f>SUM(E61:E64)</f>
        <v>190</v>
      </c>
    </row>
    <row r="66" spans="1:6" ht="15.75" thickBot="1" x14ac:dyDescent="0.3"/>
    <row r="67" spans="1:6" ht="15.75" thickBot="1" x14ac:dyDescent="0.3">
      <c r="A67" s="292" t="s">
        <v>39</v>
      </c>
      <c r="B67" s="293"/>
      <c r="F67" s="14" t="s">
        <v>40</v>
      </c>
    </row>
    <row r="68" spans="1:6" ht="15.75" thickBot="1" x14ac:dyDescent="0.3"/>
    <row r="69" spans="1:6" ht="19.5" thickBot="1" x14ac:dyDescent="0.35">
      <c r="A69" s="10" t="s">
        <v>0</v>
      </c>
      <c r="B69" s="11" t="s">
        <v>3</v>
      </c>
      <c r="C69" s="11" t="s">
        <v>1</v>
      </c>
      <c r="D69" s="11" t="s">
        <v>26</v>
      </c>
      <c r="E69" s="11" t="s">
        <v>23</v>
      </c>
      <c r="F69" s="12" t="s">
        <v>27</v>
      </c>
    </row>
    <row r="70" spans="1:6" x14ac:dyDescent="0.25">
      <c r="A70" s="3">
        <v>1</v>
      </c>
      <c r="B70" s="3" t="s">
        <v>261</v>
      </c>
      <c r="C70" s="3" t="s">
        <v>269</v>
      </c>
      <c r="D70" s="3">
        <v>3</v>
      </c>
      <c r="E70" s="4">
        <v>660</v>
      </c>
      <c r="F70" s="3" t="s">
        <v>30</v>
      </c>
    </row>
    <row r="71" spans="1:6" x14ac:dyDescent="0.25">
      <c r="A71" s="3">
        <v>2</v>
      </c>
      <c r="B71" s="3" t="s">
        <v>261</v>
      </c>
      <c r="C71" s="1" t="s">
        <v>19</v>
      </c>
      <c r="D71" s="1">
        <v>7</v>
      </c>
      <c r="E71" s="5">
        <v>105</v>
      </c>
      <c r="F71" s="3" t="s">
        <v>30</v>
      </c>
    </row>
    <row r="72" spans="1:6" x14ac:dyDescent="0.25">
      <c r="A72" s="3">
        <v>3</v>
      </c>
      <c r="B72" s="3" t="s">
        <v>261</v>
      </c>
      <c r="C72" s="1" t="s">
        <v>50</v>
      </c>
      <c r="D72" s="1">
        <v>2</v>
      </c>
      <c r="E72" s="5">
        <v>140</v>
      </c>
      <c r="F72" s="3" t="s">
        <v>30</v>
      </c>
    </row>
    <row r="73" spans="1:6" x14ac:dyDescent="0.25">
      <c r="A73" s="3"/>
      <c r="B73" s="3"/>
      <c r="C73" s="1"/>
      <c r="D73" s="1"/>
      <c r="E73" s="5"/>
      <c r="F73" s="1"/>
    </row>
    <row r="74" spans="1:6" ht="15.75" thickBot="1" x14ac:dyDescent="0.3">
      <c r="A74" s="289" t="s">
        <v>41</v>
      </c>
      <c r="B74" s="290"/>
      <c r="C74" s="290"/>
      <c r="D74" s="291"/>
      <c r="E74" s="25">
        <f>SUM(E70:E73)</f>
        <v>905</v>
      </c>
    </row>
    <row r="75" spans="1:6" ht="15.75" thickBot="1" x14ac:dyDescent="0.3"/>
    <row r="76" spans="1:6" ht="15.75" thickBot="1" x14ac:dyDescent="0.3">
      <c r="A76" s="292" t="s">
        <v>39</v>
      </c>
      <c r="B76" s="293"/>
      <c r="F76" s="14" t="s">
        <v>40</v>
      </c>
    </row>
    <row r="78" spans="1:6" ht="15.75" thickBot="1" x14ac:dyDescent="0.3"/>
    <row r="79" spans="1:6" ht="19.5" thickBot="1" x14ac:dyDescent="0.35">
      <c r="A79" s="10" t="s">
        <v>0</v>
      </c>
      <c r="B79" s="11" t="s">
        <v>3</v>
      </c>
      <c r="C79" s="11" t="s">
        <v>1</v>
      </c>
      <c r="D79" s="11" t="s">
        <v>26</v>
      </c>
      <c r="E79" s="11" t="s">
        <v>23</v>
      </c>
      <c r="F79" s="12" t="s">
        <v>27</v>
      </c>
    </row>
    <row r="80" spans="1:6" x14ac:dyDescent="0.25">
      <c r="A80" s="3">
        <v>1</v>
      </c>
      <c r="B80" s="3" t="s">
        <v>261</v>
      </c>
      <c r="C80" s="3" t="s">
        <v>269</v>
      </c>
      <c r="D80" s="3">
        <v>4</v>
      </c>
      <c r="E80" s="4">
        <f>D80*220</f>
        <v>880</v>
      </c>
      <c r="F80" s="3" t="s">
        <v>30</v>
      </c>
    </row>
    <row r="81" spans="1:6" x14ac:dyDescent="0.25">
      <c r="A81" s="3">
        <v>2</v>
      </c>
      <c r="B81" s="3" t="s">
        <v>261</v>
      </c>
      <c r="C81" s="1" t="s">
        <v>267</v>
      </c>
      <c r="D81" s="1">
        <v>6</v>
      </c>
      <c r="E81" s="5">
        <f>D81*320</f>
        <v>1920</v>
      </c>
      <c r="F81" s="3" t="s">
        <v>30</v>
      </c>
    </row>
    <row r="82" spans="1:6" x14ac:dyDescent="0.25">
      <c r="A82" s="3">
        <v>3</v>
      </c>
      <c r="B82" s="3" t="s">
        <v>261</v>
      </c>
      <c r="C82" s="1" t="s">
        <v>33</v>
      </c>
      <c r="D82" s="1">
        <v>4</v>
      </c>
      <c r="E82" s="5">
        <v>80</v>
      </c>
      <c r="F82" s="3" t="s">
        <v>30</v>
      </c>
    </row>
    <row r="83" spans="1:6" x14ac:dyDescent="0.25">
      <c r="A83" s="3">
        <v>4</v>
      </c>
      <c r="B83" s="3" t="s">
        <v>261</v>
      </c>
      <c r="C83" s="1" t="s">
        <v>19</v>
      </c>
      <c r="D83" s="1">
        <v>12</v>
      </c>
      <c r="E83" s="5">
        <v>180</v>
      </c>
      <c r="F83" s="3" t="s">
        <v>30</v>
      </c>
    </row>
    <row r="84" spans="1:6" x14ac:dyDescent="0.25">
      <c r="A84" s="1">
        <v>5</v>
      </c>
      <c r="B84" s="1" t="s">
        <v>261</v>
      </c>
      <c r="C84" s="24" t="s">
        <v>50</v>
      </c>
      <c r="D84" s="1"/>
      <c r="E84" s="5">
        <v>160</v>
      </c>
      <c r="F84" s="3" t="s">
        <v>30</v>
      </c>
    </row>
    <row r="85" spans="1:6" ht="15.75" thickBot="1" x14ac:dyDescent="0.3">
      <c r="A85" s="289" t="s">
        <v>41</v>
      </c>
      <c r="B85" s="290"/>
      <c r="C85" s="290"/>
      <c r="D85" s="291"/>
      <c r="E85" s="25">
        <f>SUM(E80:E84)</f>
        <v>3220</v>
      </c>
    </row>
    <row r="86" spans="1:6" ht="15.75" thickBot="1" x14ac:dyDescent="0.3"/>
    <row r="87" spans="1:6" ht="15.75" thickBot="1" x14ac:dyDescent="0.3">
      <c r="A87" s="292" t="s">
        <v>39</v>
      </c>
      <c r="B87" s="293"/>
      <c r="F87" s="14" t="s">
        <v>40</v>
      </c>
    </row>
    <row r="89" spans="1:6" ht="15.75" thickBot="1" x14ac:dyDescent="0.3"/>
    <row r="90" spans="1:6" ht="19.5" thickBot="1" x14ac:dyDescent="0.35">
      <c r="A90" s="10" t="s">
        <v>0</v>
      </c>
      <c r="B90" s="11" t="s">
        <v>3</v>
      </c>
      <c r="C90" s="11" t="s">
        <v>1</v>
      </c>
      <c r="D90" s="11" t="s">
        <v>26</v>
      </c>
      <c r="E90" s="11" t="s">
        <v>23</v>
      </c>
      <c r="F90" s="12" t="s">
        <v>27</v>
      </c>
    </row>
    <row r="91" spans="1:6" x14ac:dyDescent="0.25">
      <c r="A91" s="3">
        <v>1</v>
      </c>
      <c r="B91" s="3" t="s">
        <v>261</v>
      </c>
      <c r="C91" s="3" t="s">
        <v>269</v>
      </c>
      <c r="D91" s="3">
        <v>1</v>
      </c>
      <c r="E91" s="4">
        <f>D91*220</f>
        <v>220</v>
      </c>
      <c r="F91" s="3" t="s">
        <v>30</v>
      </c>
    </row>
    <row r="92" spans="1:6" x14ac:dyDescent="0.25">
      <c r="A92" s="3">
        <v>2</v>
      </c>
      <c r="B92" s="3" t="s">
        <v>261</v>
      </c>
      <c r="C92" s="1" t="s">
        <v>164</v>
      </c>
      <c r="D92" s="1">
        <v>1</v>
      </c>
      <c r="E92" s="5">
        <v>200</v>
      </c>
      <c r="F92" s="3" t="s">
        <v>30</v>
      </c>
    </row>
    <row r="93" spans="1:6" x14ac:dyDescent="0.25">
      <c r="A93" s="3">
        <v>3</v>
      </c>
      <c r="B93" s="3" t="s">
        <v>261</v>
      </c>
      <c r="C93" s="1" t="s">
        <v>33</v>
      </c>
      <c r="D93" s="1">
        <v>1</v>
      </c>
      <c r="E93" s="5">
        <v>20</v>
      </c>
      <c r="F93" s="3" t="s">
        <v>30</v>
      </c>
    </row>
    <row r="94" spans="1:6" x14ac:dyDescent="0.25">
      <c r="A94" s="3">
        <v>4</v>
      </c>
      <c r="B94" s="3" t="s">
        <v>261</v>
      </c>
      <c r="C94" s="1" t="s">
        <v>19</v>
      </c>
      <c r="D94" s="1">
        <v>6</v>
      </c>
      <c r="E94" s="5">
        <v>90</v>
      </c>
      <c r="F94" s="3" t="s">
        <v>30</v>
      </c>
    </row>
    <row r="95" spans="1:6" ht="15.75" thickBot="1" x14ac:dyDescent="0.3">
      <c r="A95" s="289" t="s">
        <v>41</v>
      </c>
      <c r="B95" s="290"/>
      <c r="C95" s="290"/>
      <c r="D95" s="291"/>
      <c r="E95" s="25">
        <f>SUM(E91:E94)</f>
        <v>530</v>
      </c>
    </row>
    <row r="96" spans="1:6" ht="15.75" thickBot="1" x14ac:dyDescent="0.3"/>
    <row r="97" spans="1:6" ht="15.75" thickBot="1" x14ac:dyDescent="0.3">
      <c r="A97" s="292" t="s">
        <v>39</v>
      </c>
      <c r="B97" s="293"/>
      <c r="F97" s="14" t="s">
        <v>40</v>
      </c>
    </row>
    <row r="98" spans="1:6" ht="15.75" thickBot="1" x14ac:dyDescent="0.3"/>
    <row r="99" spans="1:6" ht="19.5" thickBot="1" x14ac:dyDescent="0.35">
      <c r="A99" s="10" t="s">
        <v>0</v>
      </c>
      <c r="B99" s="11" t="s">
        <v>3</v>
      </c>
      <c r="C99" s="11" t="s">
        <v>1</v>
      </c>
      <c r="D99" s="11" t="s">
        <v>26</v>
      </c>
      <c r="E99" s="11" t="s">
        <v>23</v>
      </c>
      <c r="F99" s="12" t="s">
        <v>27</v>
      </c>
    </row>
    <row r="100" spans="1:6" x14ac:dyDescent="0.25">
      <c r="A100" s="3">
        <v>1</v>
      </c>
      <c r="B100" s="3" t="s">
        <v>283</v>
      </c>
      <c r="C100" s="3" t="s">
        <v>299</v>
      </c>
      <c r="D100" s="3">
        <v>6</v>
      </c>
      <c r="E100" s="4">
        <v>1350</v>
      </c>
      <c r="F100" s="3" t="s">
        <v>30</v>
      </c>
    </row>
    <row r="101" spans="1:6" x14ac:dyDescent="0.25">
      <c r="A101" s="3">
        <v>2</v>
      </c>
      <c r="B101" s="3" t="s">
        <v>283</v>
      </c>
      <c r="C101" s="1" t="s">
        <v>32</v>
      </c>
      <c r="D101" s="1">
        <v>6</v>
      </c>
      <c r="E101" s="5">
        <v>1920</v>
      </c>
      <c r="F101" s="3" t="s">
        <v>30</v>
      </c>
    </row>
    <row r="102" spans="1:6" x14ac:dyDescent="0.25">
      <c r="A102" s="3">
        <v>3</v>
      </c>
      <c r="B102" s="3" t="s">
        <v>283</v>
      </c>
      <c r="C102" s="1" t="s">
        <v>33</v>
      </c>
      <c r="D102" s="1">
        <v>6</v>
      </c>
      <c r="E102" s="5">
        <v>120</v>
      </c>
      <c r="F102" s="3" t="s">
        <v>30</v>
      </c>
    </row>
    <row r="103" spans="1:6" x14ac:dyDescent="0.25">
      <c r="A103" s="3">
        <v>4</v>
      </c>
      <c r="B103" s="3" t="s">
        <v>283</v>
      </c>
      <c r="C103" s="1" t="s">
        <v>178</v>
      </c>
      <c r="D103" s="1" t="s">
        <v>225</v>
      </c>
      <c r="E103" s="5">
        <v>400</v>
      </c>
      <c r="F103" s="3" t="s">
        <v>30</v>
      </c>
    </row>
    <row r="104" spans="1:6" x14ac:dyDescent="0.25">
      <c r="A104" s="3">
        <v>5</v>
      </c>
      <c r="B104" s="3" t="s">
        <v>283</v>
      </c>
      <c r="C104" s="1" t="s">
        <v>198</v>
      </c>
      <c r="D104" s="1">
        <v>3</v>
      </c>
      <c r="E104" s="5">
        <v>210</v>
      </c>
      <c r="F104" s="3" t="s">
        <v>30</v>
      </c>
    </row>
    <row r="105" spans="1:6" x14ac:dyDescent="0.25">
      <c r="A105" s="3">
        <v>6</v>
      </c>
      <c r="B105" s="3" t="s">
        <v>283</v>
      </c>
      <c r="C105" s="1" t="s">
        <v>19</v>
      </c>
      <c r="D105" s="1">
        <v>12</v>
      </c>
      <c r="E105" s="5">
        <v>180</v>
      </c>
      <c r="F105" s="3" t="s">
        <v>30</v>
      </c>
    </row>
    <row r="106" spans="1:6" ht="15.75" thickBot="1" x14ac:dyDescent="0.3">
      <c r="A106" s="289" t="s">
        <v>41</v>
      </c>
      <c r="B106" s="290"/>
      <c r="C106" s="290"/>
      <c r="D106" s="291"/>
      <c r="E106" s="25">
        <f>SUM(E100:E105)</f>
        <v>4180</v>
      </c>
    </row>
    <row r="107" spans="1:6" ht="15.75" thickBot="1" x14ac:dyDescent="0.3"/>
    <row r="108" spans="1:6" ht="15.75" thickBot="1" x14ac:dyDescent="0.3">
      <c r="A108" s="292" t="s">
        <v>39</v>
      </c>
      <c r="B108" s="293"/>
      <c r="F108" s="14" t="s">
        <v>40</v>
      </c>
    </row>
    <row r="109" spans="1:6" ht="15.75" thickBot="1" x14ac:dyDescent="0.3"/>
    <row r="110" spans="1:6" ht="19.5" thickBot="1" x14ac:dyDescent="0.35">
      <c r="A110" s="10" t="s">
        <v>0</v>
      </c>
      <c r="B110" s="11" t="s">
        <v>3</v>
      </c>
      <c r="C110" s="11" t="s">
        <v>1</v>
      </c>
      <c r="D110" s="11" t="s">
        <v>26</v>
      </c>
      <c r="E110" s="11" t="s">
        <v>23</v>
      </c>
      <c r="F110" s="12" t="s">
        <v>27</v>
      </c>
    </row>
    <row r="111" spans="1:6" x14ac:dyDescent="0.25">
      <c r="A111" s="3">
        <v>1</v>
      </c>
      <c r="B111" s="3" t="s">
        <v>283</v>
      </c>
      <c r="C111" s="3" t="s">
        <v>124</v>
      </c>
      <c r="D111" s="3">
        <v>1</v>
      </c>
      <c r="E111" s="4">
        <v>110</v>
      </c>
      <c r="F111" s="3" t="s">
        <v>30</v>
      </c>
    </row>
    <row r="112" spans="1:6" x14ac:dyDescent="0.25">
      <c r="A112" s="3">
        <v>2</v>
      </c>
      <c r="B112" s="3" t="s">
        <v>283</v>
      </c>
      <c r="C112" s="1" t="s">
        <v>19</v>
      </c>
      <c r="D112" s="1">
        <v>2</v>
      </c>
      <c r="E112" s="5">
        <v>30</v>
      </c>
      <c r="F112" s="3" t="s">
        <v>30</v>
      </c>
    </row>
    <row r="113" spans="1:6" x14ac:dyDescent="0.25">
      <c r="A113" s="3">
        <v>3</v>
      </c>
      <c r="B113" s="3" t="s">
        <v>283</v>
      </c>
      <c r="C113" s="1" t="s">
        <v>16</v>
      </c>
      <c r="D113" s="1">
        <v>1</v>
      </c>
      <c r="E113" s="5">
        <v>35</v>
      </c>
      <c r="F113" s="3" t="s">
        <v>30</v>
      </c>
    </row>
    <row r="114" spans="1:6" ht="15.75" thickBot="1" x14ac:dyDescent="0.3">
      <c r="A114" s="289" t="s">
        <v>41</v>
      </c>
      <c r="B114" s="290"/>
      <c r="C114" s="290"/>
      <c r="D114" s="291"/>
      <c r="E114" s="25">
        <f>SUM(E111:E113)</f>
        <v>175</v>
      </c>
    </row>
    <row r="115" spans="1:6" ht="15.75" thickBot="1" x14ac:dyDescent="0.3"/>
    <row r="116" spans="1:6" ht="15.75" thickBot="1" x14ac:dyDescent="0.3">
      <c r="A116" s="292" t="s">
        <v>39</v>
      </c>
      <c r="B116" s="293"/>
      <c r="F116" s="14" t="s">
        <v>40</v>
      </c>
    </row>
    <row r="117" spans="1:6" ht="15.75" thickBot="1" x14ac:dyDescent="0.3"/>
    <row r="118" spans="1:6" ht="19.5" thickBot="1" x14ac:dyDescent="0.35">
      <c r="A118" s="10" t="s">
        <v>0</v>
      </c>
      <c r="B118" s="11" t="s">
        <v>3</v>
      </c>
      <c r="C118" s="11" t="s">
        <v>1</v>
      </c>
      <c r="D118" s="11" t="s">
        <v>26</v>
      </c>
      <c r="E118" s="11" t="s">
        <v>23</v>
      </c>
      <c r="F118" s="12" t="s">
        <v>27</v>
      </c>
    </row>
    <row r="119" spans="1:6" x14ac:dyDescent="0.25">
      <c r="A119" s="3">
        <v>1</v>
      </c>
      <c r="B119" s="3" t="s">
        <v>339</v>
      </c>
      <c r="C119" s="3" t="s">
        <v>340</v>
      </c>
      <c r="D119" s="3">
        <v>1</v>
      </c>
      <c r="E119" s="4">
        <v>320</v>
      </c>
      <c r="F119" s="3" t="s">
        <v>30</v>
      </c>
    </row>
    <row r="120" spans="1:6" x14ac:dyDescent="0.25">
      <c r="A120" s="3">
        <v>2</v>
      </c>
      <c r="B120" s="3" t="s">
        <v>339</v>
      </c>
      <c r="C120" s="1" t="s">
        <v>43</v>
      </c>
      <c r="D120" s="1">
        <v>1</v>
      </c>
      <c r="E120" s="5">
        <v>20</v>
      </c>
      <c r="F120" s="3" t="s">
        <v>30</v>
      </c>
    </row>
    <row r="121" spans="1:6" ht="15.75" thickBot="1" x14ac:dyDescent="0.3">
      <c r="A121" s="289" t="s">
        <v>41</v>
      </c>
      <c r="B121" s="290"/>
      <c r="C121" s="290"/>
      <c r="D121" s="291"/>
      <c r="E121" s="25">
        <f>SUM(E119:E120)</f>
        <v>340</v>
      </c>
    </row>
    <row r="122" spans="1:6" ht="15.75" thickBot="1" x14ac:dyDescent="0.3"/>
    <row r="123" spans="1:6" ht="15.75" thickBot="1" x14ac:dyDescent="0.3">
      <c r="A123" s="292" t="s">
        <v>39</v>
      </c>
      <c r="B123" s="293"/>
      <c r="F123" s="14" t="s">
        <v>40</v>
      </c>
    </row>
    <row r="124" spans="1:6" ht="15.75" thickBot="1" x14ac:dyDescent="0.3"/>
    <row r="125" spans="1:6" ht="18.75" x14ac:dyDescent="0.3">
      <c r="A125" s="26" t="s">
        <v>0</v>
      </c>
      <c r="B125" s="27" t="s">
        <v>3</v>
      </c>
      <c r="C125" s="27" t="s">
        <v>1</v>
      </c>
      <c r="D125" s="27" t="s">
        <v>26</v>
      </c>
      <c r="E125" s="27" t="s">
        <v>23</v>
      </c>
      <c r="F125" s="28" t="s">
        <v>27</v>
      </c>
    </row>
    <row r="126" spans="1:6" x14ac:dyDescent="0.25">
      <c r="A126" s="1">
        <v>1</v>
      </c>
      <c r="B126" s="1" t="s">
        <v>387</v>
      </c>
      <c r="C126" s="1" t="s">
        <v>407</v>
      </c>
      <c r="D126" s="1">
        <v>4</v>
      </c>
      <c r="E126" s="5">
        <f>D126*225</f>
        <v>900</v>
      </c>
      <c r="F126" s="1" t="s">
        <v>30</v>
      </c>
    </row>
    <row r="127" spans="1:6" x14ac:dyDescent="0.25">
      <c r="A127" s="1">
        <v>2</v>
      </c>
      <c r="B127" s="1" t="s">
        <v>387</v>
      </c>
      <c r="C127" s="1" t="s">
        <v>15</v>
      </c>
      <c r="D127" s="1">
        <v>8</v>
      </c>
      <c r="E127" s="5">
        <f>D127*15</f>
        <v>120</v>
      </c>
      <c r="F127" s="1" t="s">
        <v>30</v>
      </c>
    </row>
    <row r="128" spans="1:6" x14ac:dyDescent="0.25">
      <c r="A128" s="1">
        <v>3</v>
      </c>
      <c r="B128" s="1" t="s">
        <v>387</v>
      </c>
      <c r="C128" s="1" t="s">
        <v>33</v>
      </c>
      <c r="D128" s="1">
        <v>1</v>
      </c>
      <c r="E128" s="5">
        <f>D128*20</f>
        <v>20</v>
      </c>
      <c r="F128" s="1" t="s">
        <v>30</v>
      </c>
    </row>
    <row r="129" spans="1:6" x14ac:dyDescent="0.25">
      <c r="A129" s="1">
        <v>4</v>
      </c>
      <c r="B129" s="1" t="s">
        <v>387</v>
      </c>
      <c r="C129" s="1" t="s">
        <v>178</v>
      </c>
      <c r="D129" s="1">
        <v>1</v>
      </c>
      <c r="E129" s="5">
        <v>50</v>
      </c>
      <c r="F129" s="1" t="s">
        <v>30</v>
      </c>
    </row>
    <row r="130" spans="1:6" x14ac:dyDescent="0.25">
      <c r="A130" s="1">
        <v>5</v>
      </c>
      <c r="B130" s="1" t="s">
        <v>387</v>
      </c>
      <c r="C130" s="1" t="s">
        <v>102</v>
      </c>
      <c r="D130" s="1">
        <v>1</v>
      </c>
      <c r="E130" s="5">
        <v>120</v>
      </c>
      <c r="F130" s="1" t="s">
        <v>30</v>
      </c>
    </row>
    <row r="131" spans="1:6" x14ac:dyDescent="0.25">
      <c r="A131" s="1">
        <v>6</v>
      </c>
      <c r="B131" s="1" t="s">
        <v>387</v>
      </c>
      <c r="C131" s="1" t="s">
        <v>110</v>
      </c>
      <c r="D131" s="1">
        <v>1</v>
      </c>
      <c r="E131" s="5">
        <v>120</v>
      </c>
      <c r="F131" s="1" t="s">
        <v>30</v>
      </c>
    </row>
    <row r="132" spans="1:6" x14ac:dyDescent="0.25">
      <c r="A132" s="1">
        <v>7</v>
      </c>
      <c r="B132" s="1" t="s">
        <v>387</v>
      </c>
      <c r="C132" s="1" t="s">
        <v>369</v>
      </c>
      <c r="D132" s="1">
        <v>1</v>
      </c>
      <c r="E132" s="5">
        <v>110</v>
      </c>
      <c r="F132" s="1" t="s">
        <v>30</v>
      </c>
    </row>
    <row r="133" spans="1:6" ht="15.75" thickBot="1" x14ac:dyDescent="0.3">
      <c r="A133" s="289" t="s">
        <v>41</v>
      </c>
      <c r="B133" s="290"/>
      <c r="C133" s="290"/>
      <c r="D133" s="291"/>
      <c r="E133" s="25">
        <f>SUM(E126:E132)</f>
        <v>1440</v>
      </c>
    </row>
    <row r="134" spans="1:6" ht="15.75" thickBot="1" x14ac:dyDescent="0.3"/>
    <row r="135" spans="1:6" ht="15.75" thickBot="1" x14ac:dyDescent="0.3">
      <c r="A135" s="292" t="s">
        <v>39</v>
      </c>
      <c r="B135" s="293"/>
      <c r="F135" s="14" t="s">
        <v>40</v>
      </c>
    </row>
    <row r="136" spans="1:6" ht="15.75" thickBot="1" x14ac:dyDescent="0.3"/>
    <row r="137" spans="1:6" ht="18.75" x14ac:dyDescent="0.3">
      <c r="A137" s="26" t="s">
        <v>0</v>
      </c>
      <c r="B137" s="27" t="s">
        <v>3</v>
      </c>
      <c r="C137" s="27" t="s">
        <v>1</v>
      </c>
      <c r="D137" s="27" t="s">
        <v>26</v>
      </c>
      <c r="E137" s="27" t="s">
        <v>23</v>
      </c>
      <c r="F137" s="28" t="s">
        <v>27</v>
      </c>
    </row>
    <row r="138" spans="1:6" x14ac:dyDescent="0.25">
      <c r="A138" s="1">
        <v>1</v>
      </c>
      <c r="B138" s="1" t="s">
        <v>398</v>
      </c>
      <c r="C138" s="1" t="s">
        <v>178</v>
      </c>
      <c r="D138" s="1" t="s">
        <v>290</v>
      </c>
      <c r="E138" s="5">
        <f>200</f>
        <v>200</v>
      </c>
      <c r="F138" s="1" t="s">
        <v>30</v>
      </c>
    </row>
    <row r="139" spans="1:6" x14ac:dyDescent="0.25">
      <c r="A139" s="1">
        <v>2</v>
      </c>
      <c r="B139" s="1" t="s">
        <v>398</v>
      </c>
      <c r="C139" s="1" t="s">
        <v>33</v>
      </c>
      <c r="D139" s="1">
        <v>5</v>
      </c>
      <c r="E139" s="5">
        <f>D139*25</f>
        <v>125</v>
      </c>
      <c r="F139" s="1" t="s">
        <v>30</v>
      </c>
    </row>
    <row r="140" spans="1:6" x14ac:dyDescent="0.25">
      <c r="A140" s="1">
        <v>3</v>
      </c>
      <c r="B140" s="1" t="s">
        <v>398</v>
      </c>
      <c r="C140" s="1" t="s">
        <v>416</v>
      </c>
      <c r="D140" s="1">
        <v>5</v>
      </c>
      <c r="E140" s="5">
        <f>D140*250</f>
        <v>1250</v>
      </c>
      <c r="F140" s="1" t="s">
        <v>30</v>
      </c>
    </row>
    <row r="141" spans="1:6" x14ac:dyDescent="0.25">
      <c r="A141" s="1">
        <v>4</v>
      </c>
      <c r="B141" s="1" t="s">
        <v>398</v>
      </c>
      <c r="C141" s="1" t="s">
        <v>50</v>
      </c>
      <c r="D141" s="1">
        <v>2</v>
      </c>
      <c r="E141" s="5">
        <f>D141*90</f>
        <v>180</v>
      </c>
      <c r="F141" s="1" t="s">
        <v>30</v>
      </c>
    </row>
    <row r="142" spans="1:6" ht="15.75" thickBot="1" x14ac:dyDescent="0.3">
      <c r="A142" s="289" t="s">
        <v>41</v>
      </c>
      <c r="B142" s="290"/>
      <c r="C142" s="290"/>
      <c r="D142" s="291"/>
      <c r="E142" s="25">
        <f>SUM(E138:E141)</f>
        <v>1755</v>
      </c>
    </row>
    <row r="143" spans="1:6" ht="15.75" thickBot="1" x14ac:dyDescent="0.3"/>
    <row r="144" spans="1:6" ht="15.75" thickBot="1" x14ac:dyDescent="0.3">
      <c r="A144" s="292" t="s">
        <v>39</v>
      </c>
      <c r="B144" s="293"/>
      <c r="F144" s="14" t="s">
        <v>40</v>
      </c>
    </row>
    <row r="145" spans="1:7" ht="15.75" thickBot="1" x14ac:dyDescent="0.3">
      <c r="A145" s="23"/>
      <c r="B145" s="23"/>
      <c r="F145" s="88"/>
    </row>
    <row r="146" spans="1:7" ht="18.75" x14ac:dyDescent="0.3">
      <c r="A146" s="26" t="s">
        <v>0</v>
      </c>
      <c r="B146" s="27" t="s">
        <v>3</v>
      </c>
      <c r="C146" s="27" t="s">
        <v>1</v>
      </c>
      <c r="D146" s="27" t="s">
        <v>26</v>
      </c>
      <c r="E146" s="27" t="s">
        <v>23</v>
      </c>
      <c r="F146" s="28" t="s">
        <v>27</v>
      </c>
    </row>
    <row r="147" spans="1:7" x14ac:dyDescent="0.25">
      <c r="A147" s="1">
        <v>1</v>
      </c>
      <c r="B147" s="1" t="s">
        <v>423</v>
      </c>
      <c r="C147" s="1" t="s">
        <v>197</v>
      </c>
      <c r="D147" s="1">
        <v>23</v>
      </c>
      <c r="E147" s="5">
        <f>D147*40</f>
        <v>920</v>
      </c>
      <c r="F147" s="1" t="s">
        <v>30</v>
      </c>
    </row>
    <row r="148" spans="1:7" x14ac:dyDescent="0.25">
      <c r="A148" s="1">
        <v>2</v>
      </c>
      <c r="B148" s="1" t="s">
        <v>423</v>
      </c>
      <c r="C148" s="1" t="s">
        <v>50</v>
      </c>
      <c r="D148" s="1">
        <v>6</v>
      </c>
      <c r="E148" s="5">
        <f>D148*70</f>
        <v>420</v>
      </c>
      <c r="F148" s="1" t="s">
        <v>30</v>
      </c>
    </row>
    <row r="149" spans="1:7" ht="15.75" thickBot="1" x14ac:dyDescent="0.3">
      <c r="A149" s="289" t="s">
        <v>41</v>
      </c>
      <c r="B149" s="290"/>
      <c r="C149" s="290"/>
      <c r="D149" s="291"/>
      <c r="E149" s="25">
        <f>SUM(E147:E148)</f>
        <v>1340</v>
      </c>
      <c r="F149" s="86"/>
    </row>
    <row r="150" spans="1:7" ht="15.75" thickBot="1" x14ac:dyDescent="0.3"/>
    <row r="151" spans="1:7" ht="15.75" thickBot="1" x14ac:dyDescent="0.3">
      <c r="A151" s="292" t="s">
        <v>39</v>
      </c>
      <c r="B151" s="293"/>
      <c r="G151" s="14" t="s">
        <v>40</v>
      </c>
    </row>
    <row r="152" spans="1:7" ht="18.75" x14ac:dyDescent="0.3">
      <c r="A152" s="26" t="s">
        <v>0</v>
      </c>
      <c r="B152" s="27" t="s">
        <v>3</v>
      </c>
      <c r="C152" s="27" t="s">
        <v>1</v>
      </c>
      <c r="D152" s="27" t="s">
        <v>26</v>
      </c>
      <c r="E152" s="27" t="s">
        <v>23</v>
      </c>
      <c r="F152" s="87" t="s">
        <v>8</v>
      </c>
      <c r="G152" s="28" t="s">
        <v>27</v>
      </c>
    </row>
    <row r="153" spans="1:7" x14ac:dyDescent="0.25">
      <c r="A153" s="1">
        <v>1</v>
      </c>
      <c r="B153" s="66">
        <v>46357</v>
      </c>
      <c r="C153" s="1" t="s">
        <v>431</v>
      </c>
      <c r="D153" s="1">
        <v>20</v>
      </c>
      <c r="E153" s="5">
        <v>600</v>
      </c>
      <c r="F153" s="5">
        <f>E153*D153</f>
        <v>12000</v>
      </c>
      <c r="G153" s="1" t="s">
        <v>30</v>
      </c>
    </row>
    <row r="154" spans="1:7" x14ac:dyDescent="0.25">
      <c r="A154" s="1">
        <v>2</v>
      </c>
      <c r="B154" s="66">
        <v>46357</v>
      </c>
      <c r="C154" s="1" t="s">
        <v>90</v>
      </c>
      <c r="D154" s="1" t="s">
        <v>202</v>
      </c>
      <c r="E154" s="5">
        <v>400</v>
      </c>
      <c r="F154" s="5">
        <f>E154*2</f>
        <v>800</v>
      </c>
      <c r="G154" s="1" t="s">
        <v>30</v>
      </c>
    </row>
    <row r="155" spans="1:7" x14ac:dyDescent="0.25">
      <c r="A155" s="1">
        <v>3</v>
      </c>
      <c r="B155" s="66">
        <v>46357</v>
      </c>
      <c r="C155" s="1" t="s">
        <v>33</v>
      </c>
      <c r="D155" s="1">
        <v>20</v>
      </c>
      <c r="E155" s="5">
        <v>30</v>
      </c>
      <c r="F155" s="5">
        <f>E155*D155</f>
        <v>600</v>
      </c>
      <c r="G155" s="1" t="s">
        <v>30</v>
      </c>
    </row>
    <row r="156" spans="1:7" ht="15.75" thickBot="1" x14ac:dyDescent="0.3">
      <c r="A156" s="289" t="s">
        <v>41</v>
      </c>
      <c r="B156" s="290"/>
      <c r="C156" s="290"/>
      <c r="D156" s="290"/>
      <c r="E156" s="291"/>
      <c r="F156" s="95">
        <f>SUM(F153:F155)</f>
        <v>13400</v>
      </c>
    </row>
    <row r="157" spans="1:7" ht="15.75" thickBot="1" x14ac:dyDescent="0.3"/>
    <row r="158" spans="1:7" ht="15.75" thickBot="1" x14ac:dyDescent="0.3">
      <c r="A158" s="292" t="s">
        <v>39</v>
      </c>
      <c r="B158" s="293"/>
      <c r="G158" s="14" t="s">
        <v>40</v>
      </c>
    </row>
    <row r="159" spans="1:7" ht="15.75" thickBot="1" x14ac:dyDescent="0.3"/>
    <row r="160" spans="1:7" ht="18.75" x14ac:dyDescent="0.3">
      <c r="A160" s="26" t="s">
        <v>0</v>
      </c>
      <c r="B160" s="27" t="s">
        <v>3</v>
      </c>
      <c r="C160" s="27" t="s">
        <v>1</v>
      </c>
      <c r="D160" s="27" t="s">
        <v>26</v>
      </c>
      <c r="E160" s="27" t="s">
        <v>23</v>
      </c>
      <c r="F160" s="87"/>
      <c r="G160" s="28" t="s">
        <v>27</v>
      </c>
    </row>
    <row r="161" spans="1:7" x14ac:dyDescent="0.25">
      <c r="A161" s="1">
        <v>1</v>
      </c>
      <c r="B161" s="66">
        <v>46023</v>
      </c>
      <c r="C161" s="1" t="s">
        <v>197</v>
      </c>
      <c r="D161" s="1">
        <v>5</v>
      </c>
      <c r="E161" s="5">
        <f>D161*40</f>
        <v>200</v>
      </c>
      <c r="F161" s="5"/>
      <c r="G161" s="1" t="s">
        <v>30</v>
      </c>
    </row>
    <row r="162" spans="1:7" ht="15.75" thickBot="1" x14ac:dyDescent="0.3">
      <c r="A162" s="289" t="s">
        <v>41</v>
      </c>
      <c r="B162" s="290"/>
      <c r="C162" s="290"/>
      <c r="D162" s="291"/>
      <c r="E162" s="25">
        <f>SUM(E161:E161)</f>
        <v>200</v>
      </c>
      <c r="F162" s="86"/>
    </row>
    <row r="163" spans="1:7" ht="15.75" thickBot="1" x14ac:dyDescent="0.3"/>
    <row r="164" spans="1:7" ht="15.75" thickBot="1" x14ac:dyDescent="0.3">
      <c r="A164" s="292" t="s">
        <v>39</v>
      </c>
      <c r="B164" s="293"/>
      <c r="G164" s="14" t="s">
        <v>40</v>
      </c>
    </row>
    <row r="165" spans="1:7" ht="18.75" x14ac:dyDescent="0.3">
      <c r="A165" s="26" t="s">
        <v>0</v>
      </c>
      <c r="B165" s="27" t="s">
        <v>3</v>
      </c>
      <c r="C165" s="27" t="s">
        <v>1</v>
      </c>
      <c r="D165" s="27" t="s">
        <v>26</v>
      </c>
      <c r="E165" s="27" t="s">
        <v>23</v>
      </c>
      <c r="F165" s="87"/>
      <c r="G165" s="28" t="s">
        <v>27</v>
      </c>
    </row>
    <row r="166" spans="1:7" x14ac:dyDescent="0.25">
      <c r="A166" s="1">
        <v>1</v>
      </c>
      <c r="B166" s="66">
        <v>46024</v>
      </c>
      <c r="C166" s="1" t="s">
        <v>197</v>
      </c>
      <c r="D166" s="1">
        <v>12</v>
      </c>
      <c r="E166" s="5">
        <v>40</v>
      </c>
      <c r="F166" s="5">
        <f>E166*D166</f>
        <v>480</v>
      </c>
      <c r="G166" s="1" t="s">
        <v>30</v>
      </c>
    </row>
    <row r="167" spans="1:7" x14ac:dyDescent="0.25">
      <c r="A167" s="1">
        <v>2</v>
      </c>
      <c r="B167" s="66">
        <v>46024</v>
      </c>
      <c r="C167" s="1" t="s">
        <v>402</v>
      </c>
      <c r="D167" s="1">
        <v>4</v>
      </c>
      <c r="E167" s="5">
        <v>70</v>
      </c>
      <c r="F167" s="5">
        <f>E167*D167</f>
        <v>280</v>
      </c>
      <c r="G167" s="1" t="s">
        <v>30</v>
      </c>
    </row>
    <row r="168" spans="1:7" ht="15.75" thickBot="1" x14ac:dyDescent="0.3">
      <c r="A168" s="289" t="s">
        <v>41</v>
      </c>
      <c r="B168" s="290"/>
      <c r="C168" s="290"/>
      <c r="D168" s="290"/>
      <c r="E168" s="291"/>
      <c r="F168" s="95">
        <f>SUM(F166:F167)</f>
        <v>760</v>
      </c>
    </row>
    <row r="169" spans="1:7" ht="15.75" thickBot="1" x14ac:dyDescent="0.3"/>
    <row r="170" spans="1:7" ht="15.75" thickBot="1" x14ac:dyDescent="0.3">
      <c r="A170" s="292" t="s">
        <v>39</v>
      </c>
      <c r="B170" s="293"/>
      <c r="G170" s="14" t="s">
        <v>40</v>
      </c>
    </row>
    <row r="171" spans="1:7" ht="15.75" thickBot="1" x14ac:dyDescent="0.3"/>
    <row r="172" spans="1:7" ht="18.75" x14ac:dyDescent="0.3">
      <c r="A172" s="26" t="s">
        <v>0</v>
      </c>
      <c r="B172" s="27" t="s">
        <v>3</v>
      </c>
      <c r="C172" s="27" t="s">
        <v>1</v>
      </c>
      <c r="D172" s="27" t="s">
        <v>26</v>
      </c>
      <c r="E172" s="27" t="s">
        <v>23</v>
      </c>
      <c r="F172" s="87"/>
      <c r="G172" s="28" t="s">
        <v>27</v>
      </c>
    </row>
    <row r="173" spans="1:7" x14ac:dyDescent="0.25">
      <c r="A173" s="1">
        <v>1</v>
      </c>
      <c r="B173" s="66">
        <v>46027</v>
      </c>
      <c r="C173" s="1" t="s">
        <v>369</v>
      </c>
      <c r="D173" s="1">
        <v>2</v>
      </c>
      <c r="E173" s="5">
        <v>220</v>
      </c>
      <c r="F173" s="5">
        <f>E173*D173</f>
        <v>440</v>
      </c>
      <c r="G173" s="1" t="s">
        <v>30</v>
      </c>
    </row>
    <row r="174" spans="1:7" x14ac:dyDescent="0.25">
      <c r="A174" s="1">
        <v>2</v>
      </c>
      <c r="B174" s="66">
        <v>46027</v>
      </c>
      <c r="C174" s="1" t="s">
        <v>19</v>
      </c>
      <c r="D174" s="1">
        <v>8</v>
      </c>
      <c r="E174" s="5">
        <v>15</v>
      </c>
      <c r="F174" s="5">
        <f>E174*D174</f>
        <v>120</v>
      </c>
      <c r="G174" s="1" t="s">
        <v>30</v>
      </c>
    </row>
    <row r="175" spans="1:7" ht="15.75" thickBot="1" x14ac:dyDescent="0.3">
      <c r="A175" s="289" t="s">
        <v>41</v>
      </c>
      <c r="B175" s="290"/>
      <c r="C175" s="290"/>
      <c r="D175" s="290"/>
      <c r="E175" s="291"/>
      <c r="F175" s="95">
        <f>SUM(F173:F174)</f>
        <v>560</v>
      </c>
    </row>
    <row r="176" spans="1:7" ht="15.75" thickBot="1" x14ac:dyDescent="0.3"/>
    <row r="177" spans="1:7" ht="15.75" thickBot="1" x14ac:dyDescent="0.3">
      <c r="A177" s="292" t="s">
        <v>39</v>
      </c>
      <c r="B177" s="293"/>
      <c r="G177" s="14" t="s">
        <v>40</v>
      </c>
    </row>
    <row r="178" spans="1:7" ht="15.75" thickBot="1" x14ac:dyDescent="0.3"/>
    <row r="179" spans="1:7" ht="18.75" x14ac:dyDescent="0.3">
      <c r="A179" s="26" t="s">
        <v>0</v>
      </c>
      <c r="B179" s="27" t="s">
        <v>3</v>
      </c>
      <c r="C179" s="27" t="s">
        <v>1</v>
      </c>
      <c r="D179" s="27" t="s">
        <v>26</v>
      </c>
      <c r="E179" s="27" t="s">
        <v>23</v>
      </c>
      <c r="F179" s="87"/>
      <c r="G179" s="28" t="s">
        <v>27</v>
      </c>
    </row>
    <row r="180" spans="1:7" x14ac:dyDescent="0.25">
      <c r="A180" s="1">
        <v>1</v>
      </c>
      <c r="B180" s="66">
        <v>46027</v>
      </c>
      <c r="C180" s="1" t="s">
        <v>369</v>
      </c>
      <c r="D180" s="1">
        <v>2</v>
      </c>
      <c r="E180" s="5">
        <v>220</v>
      </c>
      <c r="F180" s="5">
        <f>E180*D180</f>
        <v>440</v>
      </c>
      <c r="G180" s="1" t="s">
        <v>30</v>
      </c>
    </row>
    <row r="181" spans="1:7" x14ac:dyDescent="0.25">
      <c r="A181" s="1">
        <v>2</v>
      </c>
      <c r="B181" s="66">
        <v>46027</v>
      </c>
      <c r="C181" s="1" t="s">
        <v>19</v>
      </c>
      <c r="D181" s="1">
        <v>8</v>
      </c>
      <c r="E181" s="5">
        <v>15</v>
      </c>
      <c r="F181" s="5">
        <f>E181*D181</f>
        <v>120</v>
      </c>
      <c r="G181" s="1" t="s">
        <v>30</v>
      </c>
    </row>
    <row r="182" spans="1:7" x14ac:dyDescent="0.25">
      <c r="A182" s="1">
        <v>3</v>
      </c>
      <c r="B182" s="66">
        <v>46027</v>
      </c>
      <c r="C182" s="24" t="s">
        <v>33</v>
      </c>
      <c r="D182" s="1">
        <v>1</v>
      </c>
      <c r="E182" s="5">
        <v>30</v>
      </c>
      <c r="F182" s="5">
        <f>E182*D182</f>
        <v>30</v>
      </c>
      <c r="G182" s="1" t="s">
        <v>30</v>
      </c>
    </row>
    <row r="183" spans="1:7" ht="15.75" thickBot="1" x14ac:dyDescent="0.3">
      <c r="A183" s="289" t="s">
        <v>41</v>
      </c>
      <c r="B183" s="290"/>
      <c r="C183" s="290"/>
      <c r="D183" s="290"/>
      <c r="E183" s="291"/>
      <c r="F183" s="95">
        <f>SUM(F180:F182)</f>
        <v>590</v>
      </c>
    </row>
    <row r="184" spans="1:7" ht="15.75" thickBot="1" x14ac:dyDescent="0.3"/>
    <row r="185" spans="1:7" ht="15.75" thickBot="1" x14ac:dyDescent="0.3">
      <c r="A185" s="292" t="s">
        <v>39</v>
      </c>
      <c r="B185" s="293"/>
      <c r="G185" s="14" t="s">
        <v>40</v>
      </c>
    </row>
    <row r="186" spans="1:7" ht="15.75" thickBot="1" x14ac:dyDescent="0.3"/>
    <row r="187" spans="1:7" ht="18.75" x14ac:dyDescent="0.3">
      <c r="A187" s="26" t="s">
        <v>0</v>
      </c>
      <c r="B187" s="27" t="s">
        <v>3</v>
      </c>
      <c r="C187" s="27" t="s">
        <v>1</v>
      </c>
      <c r="D187" s="27" t="s">
        <v>26</v>
      </c>
      <c r="E187" s="27" t="s">
        <v>23</v>
      </c>
      <c r="F187" s="87"/>
      <c r="G187" s="28" t="s">
        <v>27</v>
      </c>
    </row>
    <row r="188" spans="1:7" x14ac:dyDescent="0.25">
      <c r="A188" s="1">
        <v>1</v>
      </c>
      <c r="B188" s="66">
        <v>46027</v>
      </c>
      <c r="C188" s="1" t="s">
        <v>369</v>
      </c>
      <c r="D188" s="1">
        <v>2</v>
      </c>
      <c r="E188" s="5">
        <v>220</v>
      </c>
      <c r="F188" s="5">
        <f>E188*D188</f>
        <v>440</v>
      </c>
      <c r="G188" s="1" t="s">
        <v>30</v>
      </c>
    </row>
    <row r="189" spans="1:7" x14ac:dyDescent="0.25">
      <c r="A189" s="1">
        <v>2</v>
      </c>
      <c r="B189" s="66">
        <v>46027</v>
      </c>
      <c r="C189" s="1" t="s">
        <v>19</v>
      </c>
      <c r="D189" s="1">
        <v>8</v>
      </c>
      <c r="E189" s="5">
        <v>15</v>
      </c>
      <c r="F189" s="5">
        <f>E189*D189</f>
        <v>120</v>
      </c>
      <c r="G189" s="1" t="s">
        <v>30</v>
      </c>
    </row>
    <row r="190" spans="1:7" x14ac:dyDescent="0.25">
      <c r="A190" s="1">
        <v>3</v>
      </c>
      <c r="B190" s="66">
        <v>46027</v>
      </c>
      <c r="C190" s="24" t="s">
        <v>33</v>
      </c>
      <c r="D190" s="1">
        <v>2</v>
      </c>
      <c r="E190" s="5">
        <v>30</v>
      </c>
      <c r="F190" s="5">
        <f>E190*D190</f>
        <v>60</v>
      </c>
      <c r="G190" s="1" t="s">
        <v>30</v>
      </c>
    </row>
    <row r="191" spans="1:7" ht="15.75" thickBot="1" x14ac:dyDescent="0.3">
      <c r="A191" s="289" t="s">
        <v>41</v>
      </c>
      <c r="B191" s="290"/>
      <c r="C191" s="290"/>
      <c r="D191" s="290"/>
      <c r="E191" s="291"/>
      <c r="F191" s="95">
        <f>SUM(F188:F190)</f>
        <v>620</v>
      </c>
    </row>
    <row r="192" spans="1:7" ht="15.75" thickBot="1" x14ac:dyDescent="0.3"/>
    <row r="193" spans="1:7" ht="15.75" thickBot="1" x14ac:dyDescent="0.3">
      <c r="A193" s="292" t="s">
        <v>39</v>
      </c>
      <c r="B193" s="293"/>
      <c r="G193" s="14" t="s">
        <v>40</v>
      </c>
    </row>
    <row r="194" spans="1:7" ht="15.75" thickBot="1" x14ac:dyDescent="0.3"/>
    <row r="195" spans="1:7" ht="18.75" x14ac:dyDescent="0.3">
      <c r="A195" s="26" t="s">
        <v>0</v>
      </c>
      <c r="B195" s="27" t="s">
        <v>3</v>
      </c>
      <c r="C195" s="27" t="s">
        <v>1</v>
      </c>
      <c r="D195" s="27" t="s">
        <v>26</v>
      </c>
      <c r="E195" s="27" t="s">
        <v>23</v>
      </c>
      <c r="F195" s="87"/>
      <c r="G195" s="28" t="s">
        <v>27</v>
      </c>
    </row>
    <row r="196" spans="1:7" x14ac:dyDescent="0.25">
      <c r="A196" s="1">
        <v>1</v>
      </c>
      <c r="B196" s="66">
        <v>46028</v>
      </c>
      <c r="C196" s="1" t="s">
        <v>109</v>
      </c>
      <c r="D196" s="1">
        <v>5</v>
      </c>
      <c r="E196" s="5">
        <v>180</v>
      </c>
      <c r="F196" s="5">
        <f>E196*D196</f>
        <v>900</v>
      </c>
      <c r="G196" s="1" t="s">
        <v>30</v>
      </c>
    </row>
    <row r="197" spans="1:7" x14ac:dyDescent="0.25">
      <c r="A197" s="1">
        <v>2</v>
      </c>
      <c r="B197" s="66">
        <v>46028</v>
      </c>
      <c r="C197" s="1" t="s">
        <v>90</v>
      </c>
      <c r="D197" s="1" t="s">
        <v>225</v>
      </c>
      <c r="E197" s="5">
        <v>400</v>
      </c>
      <c r="F197" s="5">
        <f>E197*1</f>
        <v>400</v>
      </c>
      <c r="G197" s="1" t="s">
        <v>30</v>
      </c>
    </row>
    <row r="198" spans="1:7" x14ac:dyDescent="0.25">
      <c r="A198" s="1">
        <v>3</v>
      </c>
      <c r="B198" s="66">
        <v>46028</v>
      </c>
      <c r="C198" s="24" t="s">
        <v>33</v>
      </c>
      <c r="D198" s="1">
        <v>5</v>
      </c>
      <c r="E198" s="5">
        <v>30</v>
      </c>
      <c r="F198" s="5">
        <f>E198*D198</f>
        <v>150</v>
      </c>
      <c r="G198" s="1" t="s">
        <v>30</v>
      </c>
    </row>
    <row r="199" spans="1:7" x14ac:dyDescent="0.25">
      <c r="A199" s="1">
        <v>4</v>
      </c>
      <c r="B199" s="66">
        <v>46028</v>
      </c>
      <c r="C199" s="24" t="s">
        <v>19</v>
      </c>
      <c r="D199" s="1">
        <v>6</v>
      </c>
      <c r="E199" s="5">
        <v>15</v>
      </c>
      <c r="F199" s="5">
        <f>E199*D199</f>
        <v>90</v>
      </c>
      <c r="G199" s="1" t="s">
        <v>30</v>
      </c>
    </row>
    <row r="200" spans="1:7" x14ac:dyDescent="0.25">
      <c r="A200" s="1">
        <v>5</v>
      </c>
      <c r="B200" s="66">
        <v>46028</v>
      </c>
      <c r="C200" s="24" t="s">
        <v>14</v>
      </c>
      <c r="D200" s="1">
        <v>2</v>
      </c>
      <c r="E200" s="5">
        <v>80</v>
      </c>
      <c r="F200" s="5">
        <f>E200*D200</f>
        <v>160</v>
      </c>
      <c r="G200" s="1" t="s">
        <v>30</v>
      </c>
    </row>
    <row r="201" spans="1:7" ht="15.75" thickBot="1" x14ac:dyDescent="0.3">
      <c r="A201" s="289" t="s">
        <v>41</v>
      </c>
      <c r="B201" s="290"/>
      <c r="C201" s="290"/>
      <c r="D201" s="290"/>
      <c r="E201" s="291"/>
      <c r="F201" s="95">
        <f>SUM(F196:F200)</f>
        <v>1700</v>
      </c>
    </row>
    <row r="202" spans="1:7" ht="15.75" thickBot="1" x14ac:dyDescent="0.3"/>
    <row r="203" spans="1:7" ht="15.75" thickBot="1" x14ac:dyDescent="0.3">
      <c r="A203" s="292" t="s">
        <v>39</v>
      </c>
      <c r="B203" s="293"/>
      <c r="G203" s="14" t="s">
        <v>40</v>
      </c>
    </row>
    <row r="204" spans="1:7" ht="15.75" thickBot="1" x14ac:dyDescent="0.3"/>
    <row r="205" spans="1:7" ht="18.75" x14ac:dyDescent="0.3">
      <c r="A205" s="26" t="s">
        <v>0</v>
      </c>
      <c r="B205" s="27" t="s">
        <v>3</v>
      </c>
      <c r="C205" s="27" t="s">
        <v>1</v>
      </c>
      <c r="D205" s="27" t="s">
        <v>26</v>
      </c>
      <c r="E205" s="27" t="s">
        <v>23</v>
      </c>
      <c r="F205" s="87"/>
      <c r="G205" s="28" t="s">
        <v>27</v>
      </c>
    </row>
    <row r="206" spans="1:7" x14ac:dyDescent="0.25">
      <c r="A206" s="1">
        <v>1</v>
      </c>
      <c r="B206" s="66">
        <v>46028</v>
      </c>
      <c r="C206" s="1" t="s">
        <v>109</v>
      </c>
      <c r="D206" s="1">
        <v>3</v>
      </c>
      <c r="E206" s="5">
        <v>180</v>
      </c>
      <c r="F206" s="5">
        <f>E206*D206</f>
        <v>540</v>
      </c>
      <c r="G206" s="1" t="s">
        <v>30</v>
      </c>
    </row>
    <row r="207" spans="1:7" x14ac:dyDescent="0.25">
      <c r="A207" s="1">
        <v>2</v>
      </c>
      <c r="B207" s="66">
        <v>46028</v>
      </c>
      <c r="C207" s="1" t="s">
        <v>33</v>
      </c>
      <c r="D207" s="1">
        <v>2</v>
      </c>
      <c r="E207" s="5">
        <v>30</v>
      </c>
      <c r="F207" s="5">
        <f>E207*D207</f>
        <v>60</v>
      </c>
      <c r="G207" s="1" t="s">
        <v>30</v>
      </c>
    </row>
    <row r="208" spans="1:7" x14ac:dyDescent="0.25">
      <c r="A208" s="1">
        <v>3</v>
      </c>
      <c r="B208" s="66">
        <v>46028</v>
      </c>
      <c r="C208" s="24" t="s">
        <v>102</v>
      </c>
      <c r="D208" s="1">
        <v>2</v>
      </c>
      <c r="E208" s="5">
        <v>120</v>
      </c>
      <c r="F208" s="5">
        <f>E208*D208</f>
        <v>240</v>
      </c>
      <c r="G208" s="1" t="s">
        <v>30</v>
      </c>
    </row>
    <row r="209" spans="1:7" x14ac:dyDescent="0.25">
      <c r="A209" s="1">
        <v>4</v>
      </c>
      <c r="B209" s="66">
        <v>46028</v>
      </c>
      <c r="C209" s="24" t="s">
        <v>199</v>
      </c>
      <c r="D209" s="1">
        <v>3</v>
      </c>
      <c r="E209" s="5">
        <v>90</v>
      </c>
      <c r="F209" s="5">
        <f>E209*D209</f>
        <v>270</v>
      </c>
      <c r="G209" s="1" t="s">
        <v>30</v>
      </c>
    </row>
    <row r="210" spans="1:7" ht="15.75" thickBot="1" x14ac:dyDescent="0.3">
      <c r="A210" s="289" t="s">
        <v>41</v>
      </c>
      <c r="B210" s="290"/>
      <c r="C210" s="290"/>
      <c r="D210" s="290"/>
      <c r="E210" s="291"/>
      <c r="F210" s="95">
        <f>SUM(F206:F209)</f>
        <v>1110</v>
      </c>
    </row>
    <row r="211" spans="1:7" ht="15.75" thickBot="1" x14ac:dyDescent="0.3"/>
    <row r="212" spans="1:7" ht="15.75" thickBot="1" x14ac:dyDescent="0.3">
      <c r="A212" s="292" t="s">
        <v>39</v>
      </c>
      <c r="B212" s="293"/>
      <c r="G212" s="14" t="s">
        <v>40</v>
      </c>
    </row>
    <row r="213" spans="1:7" ht="15.75" thickBot="1" x14ac:dyDescent="0.3"/>
    <row r="214" spans="1:7" ht="18.75" x14ac:dyDescent="0.3">
      <c r="A214" s="26" t="s">
        <v>0</v>
      </c>
      <c r="B214" s="27" t="s">
        <v>3</v>
      </c>
      <c r="C214" s="27" t="s">
        <v>1</v>
      </c>
      <c r="D214" s="27" t="s">
        <v>26</v>
      </c>
      <c r="E214" s="27" t="s">
        <v>23</v>
      </c>
      <c r="F214" s="87"/>
      <c r="G214" s="28" t="s">
        <v>27</v>
      </c>
    </row>
    <row r="215" spans="1:7" x14ac:dyDescent="0.25">
      <c r="A215" s="1">
        <v>1</v>
      </c>
      <c r="B215" s="66">
        <v>46028</v>
      </c>
      <c r="C215" s="1" t="s">
        <v>19</v>
      </c>
      <c r="D215" s="1">
        <v>4</v>
      </c>
      <c r="E215" s="5">
        <v>15</v>
      </c>
      <c r="F215" s="5">
        <f>E215*D215</f>
        <v>60</v>
      </c>
      <c r="G215" s="1" t="s">
        <v>30</v>
      </c>
    </row>
    <row r="216" spans="1:7" x14ac:dyDescent="0.25">
      <c r="A216" s="1">
        <v>2</v>
      </c>
      <c r="B216" s="66">
        <v>46028</v>
      </c>
      <c r="C216" s="1" t="s">
        <v>564</v>
      </c>
      <c r="D216" s="1">
        <v>1</v>
      </c>
      <c r="E216" s="5">
        <v>220</v>
      </c>
      <c r="F216" s="5">
        <f>E216*D216</f>
        <v>220</v>
      </c>
      <c r="G216" s="1" t="s">
        <v>30</v>
      </c>
    </row>
    <row r="217" spans="1:7" x14ac:dyDescent="0.25">
      <c r="A217" s="1">
        <v>3</v>
      </c>
      <c r="B217" s="66">
        <v>46028</v>
      </c>
      <c r="C217" s="24" t="s">
        <v>33</v>
      </c>
      <c r="D217" s="1">
        <v>2</v>
      </c>
      <c r="E217" s="5">
        <v>30</v>
      </c>
      <c r="F217" s="5">
        <f>E217*D217</f>
        <v>60</v>
      </c>
      <c r="G217" s="1" t="s">
        <v>30</v>
      </c>
    </row>
    <row r="218" spans="1:7" ht="15.75" thickBot="1" x14ac:dyDescent="0.3">
      <c r="A218" s="289" t="s">
        <v>41</v>
      </c>
      <c r="B218" s="290"/>
      <c r="C218" s="290"/>
      <c r="D218" s="290"/>
      <c r="E218" s="291"/>
      <c r="F218" s="95">
        <f>SUM(F215:F217)</f>
        <v>340</v>
      </c>
    </row>
    <row r="219" spans="1:7" ht="15.75" thickBot="1" x14ac:dyDescent="0.3"/>
    <row r="220" spans="1:7" ht="15.75" thickBot="1" x14ac:dyDescent="0.3">
      <c r="A220" s="292" t="s">
        <v>39</v>
      </c>
      <c r="B220" s="293"/>
      <c r="G220" s="14" t="s">
        <v>40</v>
      </c>
    </row>
    <row r="221" spans="1:7" ht="15.75" thickBot="1" x14ac:dyDescent="0.3"/>
    <row r="222" spans="1:7" ht="18.75" x14ac:dyDescent="0.3">
      <c r="A222" s="26" t="s">
        <v>0</v>
      </c>
      <c r="B222" s="27" t="s">
        <v>3</v>
      </c>
      <c r="C222" s="27" t="s">
        <v>1</v>
      </c>
      <c r="D222" s="27" t="s">
        <v>26</v>
      </c>
      <c r="E222" s="27" t="s">
        <v>23</v>
      </c>
      <c r="F222" s="87"/>
      <c r="G222" s="28" t="s">
        <v>27</v>
      </c>
    </row>
    <row r="223" spans="1:7" x14ac:dyDescent="0.25">
      <c r="A223" s="1">
        <v>1</v>
      </c>
      <c r="B223" s="66">
        <v>46028</v>
      </c>
      <c r="C223" s="1" t="s">
        <v>19</v>
      </c>
      <c r="D223" s="1">
        <v>8</v>
      </c>
      <c r="E223" s="5">
        <v>15</v>
      </c>
      <c r="F223" s="5">
        <f>E223*D223</f>
        <v>120</v>
      </c>
      <c r="G223" s="1" t="s">
        <v>30</v>
      </c>
    </row>
    <row r="224" spans="1:7" x14ac:dyDescent="0.25">
      <c r="A224" s="1">
        <v>2</v>
      </c>
      <c r="B224" s="66">
        <v>46028</v>
      </c>
      <c r="C224" s="1" t="s">
        <v>564</v>
      </c>
      <c r="D224" s="1">
        <v>2</v>
      </c>
      <c r="E224" s="5">
        <v>220</v>
      </c>
      <c r="F224" s="5">
        <f>E224*D224</f>
        <v>440</v>
      </c>
      <c r="G224" s="1" t="s">
        <v>30</v>
      </c>
    </row>
    <row r="225" spans="1:7" x14ac:dyDescent="0.25">
      <c r="A225" s="1">
        <v>3</v>
      </c>
      <c r="B225" s="66">
        <v>46028</v>
      </c>
      <c r="C225" s="24" t="s">
        <v>33</v>
      </c>
      <c r="D225" s="1">
        <v>2</v>
      </c>
      <c r="E225" s="5">
        <v>30</v>
      </c>
      <c r="F225" s="5">
        <f>E225*D225</f>
        <v>60</v>
      </c>
      <c r="G225" s="1" t="s">
        <v>30</v>
      </c>
    </row>
    <row r="226" spans="1:7" ht="15.75" thickBot="1" x14ac:dyDescent="0.3">
      <c r="A226" s="289" t="s">
        <v>41</v>
      </c>
      <c r="B226" s="290"/>
      <c r="C226" s="290"/>
      <c r="D226" s="290"/>
      <c r="E226" s="291"/>
      <c r="F226" s="95">
        <f>SUM(F223:F225)</f>
        <v>620</v>
      </c>
    </row>
    <row r="227" spans="1:7" ht="15.75" thickBot="1" x14ac:dyDescent="0.3"/>
    <row r="228" spans="1:7" ht="15.75" thickBot="1" x14ac:dyDescent="0.3">
      <c r="A228" s="292" t="s">
        <v>39</v>
      </c>
      <c r="B228" s="293"/>
      <c r="G228" s="14" t="s">
        <v>40</v>
      </c>
    </row>
    <row r="229" spans="1:7" ht="15.75" thickBot="1" x14ac:dyDescent="0.3"/>
    <row r="230" spans="1:7" ht="18.75" x14ac:dyDescent="0.3">
      <c r="A230" s="26" t="s">
        <v>0</v>
      </c>
      <c r="B230" s="27" t="s">
        <v>3</v>
      </c>
      <c r="C230" s="27" t="s">
        <v>1</v>
      </c>
      <c r="D230" s="27" t="s">
        <v>26</v>
      </c>
      <c r="E230" s="27" t="s">
        <v>23</v>
      </c>
      <c r="F230" s="87"/>
      <c r="G230" s="28" t="s">
        <v>27</v>
      </c>
    </row>
    <row r="231" spans="1:7" x14ac:dyDescent="0.25">
      <c r="A231" s="1">
        <v>1</v>
      </c>
      <c r="B231" s="66">
        <v>46028</v>
      </c>
      <c r="C231" s="1" t="s">
        <v>14</v>
      </c>
      <c r="D231" s="1">
        <v>2</v>
      </c>
      <c r="E231" s="5">
        <v>80</v>
      </c>
      <c r="F231" s="5">
        <f>E231*D231</f>
        <v>160</v>
      </c>
      <c r="G231" s="1" t="s">
        <v>30</v>
      </c>
    </row>
    <row r="232" spans="1:7" x14ac:dyDescent="0.25">
      <c r="A232" s="1">
        <v>2</v>
      </c>
      <c r="B232" s="66">
        <v>46028</v>
      </c>
      <c r="C232" s="1" t="s">
        <v>19</v>
      </c>
      <c r="D232" s="1">
        <v>8</v>
      </c>
      <c r="E232" s="5">
        <v>15</v>
      </c>
      <c r="F232" s="5">
        <f>E232*D232</f>
        <v>120</v>
      </c>
      <c r="G232" s="1" t="s">
        <v>30</v>
      </c>
    </row>
    <row r="233" spans="1:7" ht="15.75" thickBot="1" x14ac:dyDescent="0.3">
      <c r="A233" s="289" t="s">
        <v>41</v>
      </c>
      <c r="B233" s="290"/>
      <c r="C233" s="290"/>
      <c r="D233" s="290"/>
      <c r="E233" s="291"/>
      <c r="F233" s="95">
        <f>SUM(F231:F232)</f>
        <v>280</v>
      </c>
    </row>
    <row r="234" spans="1:7" ht="15.75" thickBot="1" x14ac:dyDescent="0.3"/>
    <row r="235" spans="1:7" ht="15.75" thickBot="1" x14ac:dyDescent="0.3">
      <c r="A235" s="292" t="s">
        <v>39</v>
      </c>
      <c r="B235" s="293"/>
      <c r="G235" s="14" t="s">
        <v>40</v>
      </c>
    </row>
    <row r="236" spans="1:7" ht="15.75" thickBot="1" x14ac:dyDescent="0.3"/>
    <row r="237" spans="1:7" ht="18.75" x14ac:dyDescent="0.3">
      <c r="A237" s="26" t="s">
        <v>0</v>
      </c>
      <c r="B237" s="27" t="s">
        <v>3</v>
      </c>
      <c r="C237" s="27" t="s">
        <v>1</v>
      </c>
      <c r="D237" s="27" t="s">
        <v>26</v>
      </c>
      <c r="E237" s="27" t="s">
        <v>23</v>
      </c>
      <c r="F237" s="87"/>
      <c r="G237" s="28" t="s">
        <v>27</v>
      </c>
    </row>
    <row r="238" spans="1:7" x14ac:dyDescent="0.25">
      <c r="A238" s="1">
        <v>1</v>
      </c>
      <c r="B238" s="66">
        <v>46029</v>
      </c>
      <c r="C238" s="1" t="s">
        <v>593</v>
      </c>
      <c r="D238" s="1">
        <v>2</v>
      </c>
      <c r="E238" s="5">
        <v>120</v>
      </c>
      <c r="F238" s="5">
        <f>E238*D238</f>
        <v>240</v>
      </c>
      <c r="G238" s="1" t="s">
        <v>30</v>
      </c>
    </row>
    <row r="239" spans="1:7" ht="15.75" thickBot="1" x14ac:dyDescent="0.3">
      <c r="A239" s="289" t="s">
        <v>41</v>
      </c>
      <c r="B239" s="290"/>
      <c r="C239" s="290"/>
      <c r="D239" s="290"/>
      <c r="E239" s="291"/>
      <c r="F239" s="95">
        <f>SUM(F238:F238)</f>
        <v>240</v>
      </c>
    </row>
    <row r="240" spans="1:7" ht="15.75" thickBot="1" x14ac:dyDescent="0.3"/>
    <row r="241" spans="1:7" ht="15.75" thickBot="1" x14ac:dyDescent="0.3">
      <c r="A241" s="292" t="s">
        <v>39</v>
      </c>
      <c r="B241" s="293"/>
      <c r="G241" s="14" t="s">
        <v>40</v>
      </c>
    </row>
    <row r="242" spans="1:7" ht="15.75" thickBot="1" x14ac:dyDescent="0.3"/>
    <row r="243" spans="1:7" ht="18.75" x14ac:dyDescent="0.3">
      <c r="A243" s="26" t="s">
        <v>0</v>
      </c>
      <c r="B243" s="27" t="s">
        <v>3</v>
      </c>
      <c r="C243" s="27" t="s">
        <v>1</v>
      </c>
      <c r="D243" s="27" t="s">
        <v>26</v>
      </c>
      <c r="E243" s="27" t="s">
        <v>23</v>
      </c>
      <c r="F243" s="87"/>
      <c r="G243" s="28" t="s">
        <v>27</v>
      </c>
    </row>
    <row r="244" spans="1:7" x14ac:dyDescent="0.25">
      <c r="A244" s="1">
        <v>1</v>
      </c>
      <c r="B244" s="66">
        <v>46030</v>
      </c>
      <c r="C244" s="1" t="s">
        <v>614</v>
      </c>
      <c r="D244" s="1">
        <v>4</v>
      </c>
      <c r="E244" s="5">
        <v>220</v>
      </c>
      <c r="F244" s="5">
        <f>E244*D244</f>
        <v>880</v>
      </c>
      <c r="G244" s="1" t="s">
        <v>30</v>
      </c>
    </row>
    <row r="245" spans="1:7" x14ac:dyDescent="0.25">
      <c r="A245" s="1">
        <v>2</v>
      </c>
      <c r="B245" s="66">
        <v>46030</v>
      </c>
      <c r="C245" s="1" t="s">
        <v>19</v>
      </c>
      <c r="D245" s="1">
        <v>14</v>
      </c>
      <c r="E245" s="5">
        <v>15</v>
      </c>
      <c r="F245" s="5">
        <f>E245*D245</f>
        <v>210</v>
      </c>
      <c r="G245" s="1" t="s">
        <v>30</v>
      </c>
    </row>
    <row r="246" spans="1:7" x14ac:dyDescent="0.25">
      <c r="A246" s="1">
        <v>3</v>
      </c>
      <c r="B246" s="66">
        <v>46030</v>
      </c>
      <c r="C246" s="24" t="s">
        <v>33</v>
      </c>
      <c r="D246" s="1">
        <v>4</v>
      </c>
      <c r="E246" s="5">
        <v>30</v>
      </c>
      <c r="F246" s="5">
        <f>E246*D246</f>
        <v>120</v>
      </c>
      <c r="G246" s="1" t="s">
        <v>30</v>
      </c>
    </row>
    <row r="247" spans="1:7" ht="15.75" thickBot="1" x14ac:dyDescent="0.3">
      <c r="A247" s="289" t="s">
        <v>41</v>
      </c>
      <c r="B247" s="290"/>
      <c r="C247" s="290"/>
      <c r="D247" s="290"/>
      <c r="E247" s="291"/>
      <c r="F247" s="95">
        <f>SUM(F244:F246)</f>
        <v>1210</v>
      </c>
    </row>
    <row r="248" spans="1:7" ht="15.75" thickBot="1" x14ac:dyDescent="0.3"/>
    <row r="249" spans="1:7" ht="15.75" thickBot="1" x14ac:dyDescent="0.3">
      <c r="A249" s="292" t="s">
        <v>39</v>
      </c>
      <c r="B249" s="293"/>
      <c r="G249" s="14" t="s">
        <v>40</v>
      </c>
    </row>
    <row r="250" spans="1:7" ht="15.75" thickBot="1" x14ac:dyDescent="0.3">
      <c r="A250" s="23"/>
      <c r="B250" s="23"/>
      <c r="G250" s="88"/>
    </row>
    <row r="251" spans="1:7" ht="18.75" x14ac:dyDescent="0.3">
      <c r="A251" s="26" t="s">
        <v>0</v>
      </c>
      <c r="B251" s="27" t="s">
        <v>3</v>
      </c>
      <c r="C251" s="27" t="s">
        <v>1</v>
      </c>
      <c r="D251" s="27" t="s">
        <v>26</v>
      </c>
      <c r="E251" s="27" t="s">
        <v>23</v>
      </c>
      <c r="F251" s="87" t="s">
        <v>8</v>
      </c>
      <c r="G251" s="28" t="s">
        <v>27</v>
      </c>
    </row>
    <row r="252" spans="1:7" x14ac:dyDescent="0.25">
      <c r="A252" s="1">
        <v>1</v>
      </c>
      <c r="B252" s="66">
        <v>46033</v>
      </c>
      <c r="C252" s="1" t="s">
        <v>673</v>
      </c>
      <c r="D252" s="1" t="s">
        <v>400</v>
      </c>
      <c r="E252" s="5">
        <v>1600</v>
      </c>
      <c r="F252" s="5">
        <f>E252*1</f>
        <v>1600</v>
      </c>
      <c r="G252" s="1" t="s">
        <v>30</v>
      </c>
    </row>
    <row r="253" spans="1:7" x14ac:dyDescent="0.25">
      <c r="A253" s="1">
        <v>2</v>
      </c>
      <c r="B253" s="66">
        <v>46033</v>
      </c>
      <c r="C253" s="1" t="s">
        <v>19</v>
      </c>
      <c r="D253" s="1">
        <v>6</v>
      </c>
      <c r="E253" s="5">
        <v>15</v>
      </c>
      <c r="F253" s="5">
        <f>E253*D253</f>
        <v>90</v>
      </c>
      <c r="G253" s="1" t="s">
        <v>30</v>
      </c>
    </row>
    <row r="254" spans="1:7" x14ac:dyDescent="0.25">
      <c r="A254" s="1">
        <v>3</v>
      </c>
      <c r="B254" s="66">
        <v>46033</v>
      </c>
      <c r="C254" s="24" t="s">
        <v>33</v>
      </c>
      <c r="D254" s="1">
        <v>1</v>
      </c>
      <c r="E254" s="5">
        <v>30</v>
      </c>
      <c r="F254" s="5">
        <f>E254*D254</f>
        <v>30</v>
      </c>
      <c r="G254" s="1" t="s">
        <v>30</v>
      </c>
    </row>
    <row r="255" spans="1:7" x14ac:dyDescent="0.25">
      <c r="A255" s="1">
        <v>4</v>
      </c>
      <c r="B255" s="66">
        <v>46033</v>
      </c>
      <c r="C255" s="24" t="s">
        <v>50</v>
      </c>
      <c r="D255" s="1" t="s">
        <v>674</v>
      </c>
      <c r="E255" s="5">
        <v>150</v>
      </c>
      <c r="F255" s="5">
        <f>E255*1</f>
        <v>150</v>
      </c>
      <c r="G255" s="1" t="s">
        <v>30</v>
      </c>
    </row>
    <row r="256" spans="1:7" x14ac:dyDescent="0.25">
      <c r="A256" s="1">
        <v>5</v>
      </c>
      <c r="B256" s="66">
        <v>46033</v>
      </c>
      <c r="C256" s="24" t="s">
        <v>675</v>
      </c>
      <c r="D256" s="1">
        <v>2</v>
      </c>
      <c r="E256" s="5">
        <v>10</v>
      </c>
      <c r="F256" s="5">
        <f>E256*D256</f>
        <v>20</v>
      </c>
      <c r="G256" s="1" t="s">
        <v>30</v>
      </c>
    </row>
    <row r="257" spans="1:7" ht="15.75" thickBot="1" x14ac:dyDescent="0.3">
      <c r="A257" s="289" t="s">
        <v>41</v>
      </c>
      <c r="B257" s="290"/>
      <c r="C257" s="290"/>
      <c r="D257" s="290"/>
      <c r="E257" s="291"/>
      <c r="F257" s="95">
        <f>SUM(F252:F256)</f>
        <v>1890</v>
      </c>
    </row>
    <row r="258" spans="1:7" ht="15.75" thickBot="1" x14ac:dyDescent="0.3"/>
    <row r="259" spans="1:7" ht="15.75" thickBot="1" x14ac:dyDescent="0.3">
      <c r="A259" s="292" t="s">
        <v>39</v>
      </c>
      <c r="B259" s="293"/>
      <c r="G259" s="14" t="s">
        <v>40</v>
      </c>
    </row>
    <row r="260" spans="1:7" ht="15.75" thickBot="1" x14ac:dyDescent="0.3">
      <c r="A260" s="23"/>
      <c r="B260" s="23"/>
      <c r="G260" s="88"/>
    </row>
    <row r="261" spans="1:7" ht="18.75" x14ac:dyDescent="0.3">
      <c r="A261" s="26" t="s">
        <v>0</v>
      </c>
      <c r="B261" s="27" t="s">
        <v>3</v>
      </c>
      <c r="C261" s="27" t="s">
        <v>1</v>
      </c>
      <c r="D261" s="27" t="s">
        <v>26</v>
      </c>
      <c r="E261" s="27" t="s">
        <v>23</v>
      </c>
      <c r="F261" s="87"/>
      <c r="G261" s="28" t="s">
        <v>27</v>
      </c>
    </row>
    <row r="262" spans="1:7" x14ac:dyDescent="0.25">
      <c r="A262" s="1">
        <v>1</v>
      </c>
      <c r="B262" s="66">
        <v>46032</v>
      </c>
      <c r="C262" s="1" t="s">
        <v>657</v>
      </c>
      <c r="D262" s="1">
        <v>2</v>
      </c>
      <c r="E262" s="5">
        <v>220</v>
      </c>
      <c r="F262" s="5">
        <f>E262*D262</f>
        <v>440</v>
      </c>
      <c r="G262" s="1" t="s">
        <v>30</v>
      </c>
    </row>
    <row r="263" spans="1:7" x14ac:dyDescent="0.25">
      <c r="A263" s="1">
        <v>2</v>
      </c>
      <c r="B263" s="66">
        <v>46032</v>
      </c>
      <c r="C263" s="1" t="s">
        <v>19</v>
      </c>
      <c r="D263" s="1">
        <v>8</v>
      </c>
      <c r="E263" s="5">
        <v>15</v>
      </c>
      <c r="F263" s="5">
        <f>E263*D263</f>
        <v>120</v>
      </c>
      <c r="G263" s="1" t="s">
        <v>30</v>
      </c>
    </row>
    <row r="264" spans="1:7" ht="15.75" thickBot="1" x14ac:dyDescent="0.3">
      <c r="A264" s="289" t="s">
        <v>41</v>
      </c>
      <c r="B264" s="290"/>
      <c r="C264" s="290"/>
      <c r="D264" s="290"/>
      <c r="E264" s="291"/>
      <c r="F264" s="95">
        <f>SUM(F262:F263)</f>
        <v>560</v>
      </c>
    </row>
    <row r="265" spans="1:7" ht="15.75" thickBot="1" x14ac:dyDescent="0.3"/>
    <row r="266" spans="1:7" ht="15.75" thickBot="1" x14ac:dyDescent="0.3">
      <c r="A266" s="292" t="s">
        <v>39</v>
      </c>
      <c r="B266" s="293"/>
      <c r="G266" s="14" t="s">
        <v>40</v>
      </c>
    </row>
    <row r="267" spans="1:7" ht="15.75" thickBot="1" x14ac:dyDescent="0.3">
      <c r="A267" s="128"/>
      <c r="B267" s="129"/>
      <c r="G267" s="130"/>
    </row>
    <row r="268" spans="1:7" ht="18.75" x14ac:dyDescent="0.3">
      <c r="A268" s="26" t="s">
        <v>0</v>
      </c>
      <c r="B268" s="27" t="s">
        <v>3</v>
      </c>
      <c r="C268" s="27" t="s">
        <v>1</v>
      </c>
      <c r="D268" s="27" t="s">
        <v>26</v>
      </c>
      <c r="E268" s="27" t="s">
        <v>23</v>
      </c>
      <c r="F268" s="87"/>
      <c r="G268" s="28" t="s">
        <v>27</v>
      </c>
    </row>
    <row r="269" spans="1:7" x14ac:dyDescent="0.25">
      <c r="A269" s="1">
        <v>1</v>
      </c>
      <c r="B269" s="66">
        <v>46034</v>
      </c>
      <c r="C269" s="1" t="s">
        <v>626</v>
      </c>
      <c r="D269" s="1">
        <v>1</v>
      </c>
      <c r="E269" s="5">
        <v>220</v>
      </c>
      <c r="F269" s="5">
        <f>E269*1</f>
        <v>220</v>
      </c>
      <c r="G269" s="1" t="s">
        <v>30</v>
      </c>
    </row>
    <row r="270" spans="1:7" x14ac:dyDescent="0.25">
      <c r="A270" s="1">
        <v>2</v>
      </c>
      <c r="B270" s="66">
        <v>46034</v>
      </c>
      <c r="C270" s="1" t="s">
        <v>19</v>
      </c>
      <c r="D270" s="1">
        <v>4</v>
      </c>
      <c r="E270" s="5">
        <v>15</v>
      </c>
      <c r="F270" s="5">
        <f>E270*D270</f>
        <v>60</v>
      </c>
      <c r="G270" s="1" t="s">
        <v>30</v>
      </c>
    </row>
    <row r="271" spans="1:7" x14ac:dyDescent="0.25">
      <c r="A271" s="1">
        <v>3</v>
      </c>
      <c r="B271" s="66">
        <v>46034</v>
      </c>
      <c r="C271" s="24" t="s">
        <v>33</v>
      </c>
      <c r="D271" s="1">
        <v>1</v>
      </c>
      <c r="E271" s="5">
        <v>30</v>
      </c>
      <c r="F271" s="5">
        <f>E271*D271</f>
        <v>30</v>
      </c>
      <c r="G271" s="1" t="s">
        <v>30</v>
      </c>
    </row>
    <row r="272" spans="1:7" x14ac:dyDescent="0.25">
      <c r="A272" s="1">
        <v>4</v>
      </c>
      <c r="B272" s="66">
        <v>46034</v>
      </c>
      <c r="C272" s="24" t="s">
        <v>110</v>
      </c>
      <c r="D272" s="1">
        <v>1</v>
      </c>
      <c r="E272" s="5">
        <v>120</v>
      </c>
      <c r="F272" s="5">
        <f>E272*D272</f>
        <v>120</v>
      </c>
      <c r="G272" s="1" t="s">
        <v>30</v>
      </c>
    </row>
    <row r="273" spans="1:7" ht="15.75" thickBot="1" x14ac:dyDescent="0.3">
      <c r="A273" s="289" t="s">
        <v>41</v>
      </c>
      <c r="B273" s="290"/>
      <c r="C273" s="290"/>
      <c r="D273" s="290"/>
      <c r="E273" s="291"/>
      <c r="F273" s="95">
        <f>SUM(F269:F272)</f>
        <v>430</v>
      </c>
    </row>
    <row r="274" spans="1:7" ht="15.75" thickBot="1" x14ac:dyDescent="0.3"/>
    <row r="275" spans="1:7" ht="15.75" thickBot="1" x14ac:dyDescent="0.3">
      <c r="A275" s="292" t="s">
        <v>39</v>
      </c>
      <c r="B275" s="293"/>
      <c r="G275" s="14" t="s">
        <v>40</v>
      </c>
    </row>
    <row r="276" spans="1:7" ht="15.75" thickBot="1" x14ac:dyDescent="0.3"/>
    <row r="277" spans="1:7" ht="18.75" x14ac:dyDescent="0.3">
      <c r="A277" s="26" t="s">
        <v>0</v>
      </c>
      <c r="B277" s="27" t="s">
        <v>3</v>
      </c>
      <c r="C277" s="27" t="s">
        <v>1</v>
      </c>
      <c r="D277" s="27" t="s">
        <v>26</v>
      </c>
      <c r="E277" s="27" t="s">
        <v>23</v>
      </c>
      <c r="F277" s="87"/>
      <c r="G277" s="28" t="s">
        <v>27</v>
      </c>
    </row>
    <row r="278" spans="1:7" x14ac:dyDescent="0.25">
      <c r="A278" s="1">
        <v>1</v>
      </c>
      <c r="B278" s="66">
        <v>46034</v>
      </c>
      <c r="C278" s="1" t="s">
        <v>626</v>
      </c>
      <c r="D278" s="1">
        <v>1</v>
      </c>
      <c r="E278" s="5">
        <v>220</v>
      </c>
      <c r="F278" s="5">
        <f>E278*1</f>
        <v>220</v>
      </c>
      <c r="G278" s="1" t="s">
        <v>30</v>
      </c>
    </row>
    <row r="279" spans="1:7" x14ac:dyDescent="0.25">
      <c r="A279" s="1">
        <v>2</v>
      </c>
      <c r="B279" s="66">
        <v>46034</v>
      </c>
      <c r="C279" s="1" t="s">
        <v>19</v>
      </c>
      <c r="D279" s="1">
        <v>4</v>
      </c>
      <c r="E279" s="5">
        <v>15</v>
      </c>
      <c r="F279" s="5">
        <f>E279*D279</f>
        <v>60</v>
      </c>
      <c r="G279" s="1" t="s">
        <v>30</v>
      </c>
    </row>
    <row r="280" spans="1:7" x14ac:dyDescent="0.25">
      <c r="A280" s="1">
        <v>3</v>
      </c>
      <c r="B280" s="66">
        <v>46034</v>
      </c>
      <c r="C280" s="24" t="s">
        <v>33</v>
      </c>
      <c r="D280" s="1">
        <v>1</v>
      </c>
      <c r="E280" s="5">
        <v>30</v>
      </c>
      <c r="F280" s="5">
        <f>E280*D280</f>
        <v>30</v>
      </c>
      <c r="G280" s="1" t="s">
        <v>30</v>
      </c>
    </row>
    <row r="281" spans="1:7" ht="15.75" thickBot="1" x14ac:dyDescent="0.3">
      <c r="A281" s="289" t="s">
        <v>41</v>
      </c>
      <c r="B281" s="290"/>
      <c r="C281" s="290"/>
      <c r="D281" s="290"/>
      <c r="E281" s="291"/>
      <c r="F281" s="95">
        <f>SUM(F278:F280)</f>
        <v>310</v>
      </c>
    </row>
    <row r="282" spans="1:7" ht="15.75" thickBot="1" x14ac:dyDescent="0.3"/>
    <row r="283" spans="1:7" ht="15.75" thickBot="1" x14ac:dyDescent="0.3">
      <c r="A283" s="292" t="s">
        <v>39</v>
      </c>
      <c r="B283" s="293"/>
      <c r="G283" s="14" t="s">
        <v>40</v>
      </c>
    </row>
    <row r="284" spans="1:7" ht="15.75" thickBot="1" x14ac:dyDescent="0.3"/>
    <row r="285" spans="1:7" ht="18.75" x14ac:dyDescent="0.3">
      <c r="A285" s="26" t="s">
        <v>0</v>
      </c>
      <c r="B285" s="27" t="s">
        <v>3</v>
      </c>
      <c r="C285" s="27" t="s">
        <v>1</v>
      </c>
      <c r="D285" s="27" t="s">
        <v>26</v>
      </c>
      <c r="E285" s="27" t="s">
        <v>23</v>
      </c>
      <c r="F285" s="87"/>
      <c r="G285" s="28" t="s">
        <v>27</v>
      </c>
    </row>
    <row r="286" spans="1:7" x14ac:dyDescent="0.25">
      <c r="A286" s="1">
        <v>1</v>
      </c>
      <c r="B286" s="66">
        <v>46035</v>
      </c>
      <c r="C286" s="1" t="s">
        <v>940</v>
      </c>
      <c r="D286" s="1">
        <v>4</v>
      </c>
      <c r="E286" s="5">
        <v>250</v>
      </c>
      <c r="F286" s="5">
        <f>E286*D286</f>
        <v>1000</v>
      </c>
      <c r="G286" s="1" t="s">
        <v>30</v>
      </c>
    </row>
    <row r="287" spans="1:7" x14ac:dyDescent="0.25">
      <c r="A287" s="1">
        <v>2</v>
      </c>
      <c r="B287" s="66">
        <v>46035</v>
      </c>
      <c r="C287" s="24" t="s">
        <v>33</v>
      </c>
      <c r="D287" s="1">
        <v>1</v>
      </c>
      <c r="E287" s="5">
        <v>30</v>
      </c>
      <c r="F287" s="5">
        <f>E287*D287</f>
        <v>30</v>
      </c>
      <c r="G287" s="1" t="s">
        <v>30</v>
      </c>
    </row>
    <row r="288" spans="1:7" x14ac:dyDescent="0.25">
      <c r="A288" s="1">
        <v>3</v>
      </c>
      <c r="B288" s="66">
        <v>46035</v>
      </c>
      <c r="C288" s="24" t="s">
        <v>110</v>
      </c>
      <c r="D288" s="1">
        <v>1</v>
      </c>
      <c r="E288" s="5">
        <v>120</v>
      </c>
      <c r="F288" s="5">
        <f>E288*D288</f>
        <v>120</v>
      </c>
      <c r="G288" s="1" t="s">
        <v>30</v>
      </c>
    </row>
    <row r="289" spans="1:7" ht="15.75" thickBot="1" x14ac:dyDescent="0.3">
      <c r="A289" s="289" t="s">
        <v>41</v>
      </c>
      <c r="B289" s="290"/>
      <c r="C289" s="290"/>
      <c r="D289" s="290"/>
      <c r="E289" s="291"/>
      <c r="F289" s="95">
        <f>SUM(F286:F288)</f>
        <v>1150</v>
      </c>
    </row>
    <row r="290" spans="1:7" ht="15.75" thickBot="1" x14ac:dyDescent="0.3"/>
    <row r="291" spans="1:7" ht="15.75" thickBot="1" x14ac:dyDescent="0.3">
      <c r="A291" s="292" t="s">
        <v>39</v>
      </c>
      <c r="B291" s="293"/>
      <c r="G291" s="14" t="s">
        <v>40</v>
      </c>
    </row>
    <row r="292" spans="1:7" ht="15.75" thickBot="1" x14ac:dyDescent="0.3"/>
    <row r="293" spans="1:7" ht="18.75" x14ac:dyDescent="0.3">
      <c r="A293" s="26" t="s">
        <v>0</v>
      </c>
      <c r="B293" s="27" t="s">
        <v>3</v>
      </c>
      <c r="C293" s="27" t="s">
        <v>1</v>
      </c>
      <c r="D293" s="27" t="s">
        <v>26</v>
      </c>
      <c r="E293" s="27" t="s">
        <v>23</v>
      </c>
      <c r="F293" s="87"/>
      <c r="G293" s="28" t="s">
        <v>27</v>
      </c>
    </row>
    <row r="294" spans="1:7" x14ac:dyDescent="0.25">
      <c r="A294" s="1">
        <v>1</v>
      </c>
      <c r="B294" s="66">
        <v>46037</v>
      </c>
      <c r="C294" s="1" t="s">
        <v>197</v>
      </c>
      <c r="D294" s="1">
        <v>4</v>
      </c>
      <c r="E294" s="5">
        <v>40</v>
      </c>
      <c r="F294" s="5">
        <f>E294*D294</f>
        <v>160</v>
      </c>
      <c r="G294" s="1" t="s">
        <v>30</v>
      </c>
    </row>
    <row r="295" spans="1:7" x14ac:dyDescent="0.25">
      <c r="A295" s="1">
        <v>2</v>
      </c>
      <c r="B295" s="66">
        <v>46037</v>
      </c>
      <c r="C295" s="24" t="s">
        <v>198</v>
      </c>
      <c r="D295" s="1">
        <v>2</v>
      </c>
      <c r="E295" s="5">
        <v>70</v>
      </c>
      <c r="F295" s="5">
        <f>E295*D295</f>
        <v>140</v>
      </c>
      <c r="G295" s="1" t="s">
        <v>30</v>
      </c>
    </row>
    <row r="296" spans="1:7" ht="15.75" thickBot="1" x14ac:dyDescent="0.3">
      <c r="A296" s="289" t="s">
        <v>41</v>
      </c>
      <c r="B296" s="290"/>
      <c r="C296" s="290"/>
      <c r="D296" s="290"/>
      <c r="E296" s="291"/>
      <c r="F296" s="95">
        <f>SUM(F294:F295)</f>
        <v>300</v>
      </c>
    </row>
    <row r="297" spans="1:7" ht="15.75" thickBot="1" x14ac:dyDescent="0.3"/>
    <row r="298" spans="1:7" ht="15.75" thickBot="1" x14ac:dyDescent="0.3">
      <c r="A298" s="292" t="s">
        <v>39</v>
      </c>
      <c r="B298" s="293"/>
      <c r="G298" s="14" t="s">
        <v>40</v>
      </c>
    </row>
    <row r="299" spans="1:7" ht="15.75" thickBot="1" x14ac:dyDescent="0.3"/>
    <row r="300" spans="1:7" ht="18.75" x14ac:dyDescent="0.3">
      <c r="A300" s="26" t="s">
        <v>0</v>
      </c>
      <c r="B300" s="27" t="s">
        <v>3</v>
      </c>
      <c r="C300" s="27" t="s">
        <v>1</v>
      </c>
      <c r="D300" s="27" t="s">
        <v>26</v>
      </c>
      <c r="E300" s="27" t="s">
        <v>23</v>
      </c>
      <c r="F300" s="87"/>
      <c r="G300" s="28" t="s">
        <v>27</v>
      </c>
    </row>
    <row r="301" spans="1:7" x14ac:dyDescent="0.25">
      <c r="A301" s="1">
        <v>1</v>
      </c>
      <c r="B301" s="66">
        <v>46037</v>
      </c>
      <c r="C301" s="1" t="s">
        <v>758</v>
      </c>
      <c r="D301" s="1">
        <v>8</v>
      </c>
      <c r="E301" s="5">
        <v>80</v>
      </c>
      <c r="F301" s="5">
        <f>E301*D301</f>
        <v>640</v>
      </c>
      <c r="G301" s="1" t="s">
        <v>30</v>
      </c>
    </row>
    <row r="302" spans="1:7" x14ac:dyDescent="0.25">
      <c r="A302" s="1">
        <v>2</v>
      </c>
      <c r="B302" s="66">
        <v>46037</v>
      </c>
      <c r="C302" s="1" t="s">
        <v>463</v>
      </c>
      <c r="D302" s="1">
        <v>8</v>
      </c>
      <c r="E302" s="5">
        <v>180</v>
      </c>
      <c r="F302" s="5">
        <f>E302*D302</f>
        <v>1440</v>
      </c>
      <c r="G302" s="1" t="s">
        <v>30</v>
      </c>
    </row>
    <row r="303" spans="1:7" x14ac:dyDescent="0.25">
      <c r="A303" s="1">
        <v>3</v>
      </c>
      <c r="B303" s="66">
        <v>46037</v>
      </c>
      <c r="C303" s="1" t="s">
        <v>19</v>
      </c>
      <c r="D303" s="1">
        <v>20</v>
      </c>
      <c r="E303" s="5">
        <v>15</v>
      </c>
      <c r="F303" s="5">
        <f>E303*D303</f>
        <v>300</v>
      </c>
      <c r="G303" s="1" t="s">
        <v>30</v>
      </c>
    </row>
    <row r="304" spans="1:7" x14ac:dyDescent="0.25">
      <c r="A304" s="1">
        <v>4</v>
      </c>
      <c r="B304" s="66">
        <v>46037</v>
      </c>
      <c r="C304" s="1" t="s">
        <v>33</v>
      </c>
      <c r="D304" s="1">
        <v>8</v>
      </c>
      <c r="E304" s="5">
        <v>30</v>
      </c>
      <c r="F304" s="5">
        <f t="shared" ref="F304:F305" si="0">E304*D304</f>
        <v>240</v>
      </c>
      <c r="G304" s="1" t="s">
        <v>30</v>
      </c>
    </row>
    <row r="305" spans="1:7" x14ac:dyDescent="0.25">
      <c r="A305" s="1">
        <v>5</v>
      </c>
      <c r="B305" s="66">
        <v>46037</v>
      </c>
      <c r="C305" s="1" t="s">
        <v>762</v>
      </c>
      <c r="D305" s="1">
        <v>1</v>
      </c>
      <c r="E305" s="5">
        <v>100</v>
      </c>
      <c r="F305" s="5">
        <f t="shared" si="0"/>
        <v>100</v>
      </c>
      <c r="G305" s="1" t="s">
        <v>30</v>
      </c>
    </row>
    <row r="306" spans="1:7" x14ac:dyDescent="0.25">
      <c r="A306" s="1">
        <v>6</v>
      </c>
      <c r="B306" s="66">
        <v>46037</v>
      </c>
      <c r="C306" s="24" t="s">
        <v>50</v>
      </c>
      <c r="D306" s="1">
        <v>1</v>
      </c>
      <c r="E306" s="5">
        <v>70</v>
      </c>
      <c r="F306" s="5">
        <f>E306*D306</f>
        <v>70</v>
      </c>
      <c r="G306" s="1" t="s">
        <v>30</v>
      </c>
    </row>
    <row r="307" spans="1:7" ht="15.75" thickBot="1" x14ac:dyDescent="0.3">
      <c r="A307" s="289" t="s">
        <v>41</v>
      </c>
      <c r="B307" s="290"/>
      <c r="C307" s="290"/>
      <c r="D307" s="290"/>
      <c r="E307" s="291"/>
      <c r="F307" s="95">
        <f>SUM(F301:F306)</f>
        <v>2790</v>
      </c>
    </row>
    <row r="308" spans="1:7" ht="15.75" thickBot="1" x14ac:dyDescent="0.3"/>
    <row r="309" spans="1:7" ht="15.75" thickBot="1" x14ac:dyDescent="0.3">
      <c r="A309" s="292" t="s">
        <v>39</v>
      </c>
      <c r="B309" s="293"/>
      <c r="G309" s="14" t="s">
        <v>40</v>
      </c>
    </row>
    <row r="310" spans="1:7" ht="15.75" thickBot="1" x14ac:dyDescent="0.3"/>
    <row r="311" spans="1:7" ht="18.75" x14ac:dyDescent="0.3">
      <c r="A311" s="26" t="s">
        <v>0</v>
      </c>
      <c r="B311" s="27" t="s">
        <v>3</v>
      </c>
      <c r="C311" s="27" t="s">
        <v>1</v>
      </c>
      <c r="D311" s="27" t="s">
        <v>26</v>
      </c>
      <c r="E311" s="27" t="s">
        <v>23</v>
      </c>
      <c r="F311" s="87"/>
      <c r="G311" s="28" t="s">
        <v>27</v>
      </c>
    </row>
    <row r="312" spans="1:7" x14ac:dyDescent="0.25">
      <c r="A312" s="1">
        <v>1</v>
      </c>
      <c r="B312" s="66">
        <v>46038</v>
      </c>
      <c r="C312" s="1" t="s">
        <v>777</v>
      </c>
      <c r="D312" s="1">
        <v>2</v>
      </c>
      <c r="E312" s="5">
        <v>320</v>
      </c>
      <c r="F312" s="5">
        <f>E312*D312</f>
        <v>640</v>
      </c>
      <c r="G312" s="1" t="s">
        <v>30</v>
      </c>
    </row>
    <row r="313" spans="1:7" x14ac:dyDescent="0.25">
      <c r="A313" s="1">
        <v>2</v>
      </c>
      <c r="B313" s="66">
        <v>46038</v>
      </c>
      <c r="C313" s="1" t="s">
        <v>33</v>
      </c>
      <c r="D313" s="1">
        <v>2</v>
      </c>
      <c r="E313" s="5">
        <v>30</v>
      </c>
      <c r="F313" s="5">
        <f>E313*D313</f>
        <v>60</v>
      </c>
      <c r="G313" s="1" t="s">
        <v>30</v>
      </c>
    </row>
    <row r="314" spans="1:7" ht="15.75" thickBot="1" x14ac:dyDescent="0.3">
      <c r="A314" s="289" t="s">
        <v>41</v>
      </c>
      <c r="B314" s="290"/>
      <c r="C314" s="290"/>
      <c r="D314" s="290"/>
      <c r="E314" s="291"/>
      <c r="F314" s="95">
        <f>SUM(F312:F313)</f>
        <v>700</v>
      </c>
    </row>
    <row r="315" spans="1:7" ht="15.75" thickBot="1" x14ac:dyDescent="0.3"/>
    <row r="316" spans="1:7" ht="15.75" thickBot="1" x14ac:dyDescent="0.3">
      <c r="A316" s="292" t="s">
        <v>39</v>
      </c>
      <c r="B316" s="293"/>
      <c r="G316" s="14" t="s">
        <v>40</v>
      </c>
    </row>
  </sheetData>
  <mergeCells count="74">
    <mergeCell ref="A296:E296"/>
    <mergeCell ref="A298:B298"/>
    <mergeCell ref="A307:E307"/>
    <mergeCell ref="A309:B309"/>
    <mergeCell ref="A291:B291"/>
    <mergeCell ref="A273:E273"/>
    <mergeCell ref="A275:B275"/>
    <mergeCell ref="A281:E281"/>
    <mergeCell ref="A283:B283"/>
    <mergeCell ref="A170:B170"/>
    <mergeCell ref="A175:E175"/>
    <mergeCell ref="A177:B177"/>
    <mergeCell ref="A183:E183"/>
    <mergeCell ref="A247:E247"/>
    <mergeCell ref="A249:B249"/>
    <mergeCell ref="A239:E239"/>
    <mergeCell ref="A241:B241"/>
    <mergeCell ref="A257:E257"/>
    <mergeCell ref="A259:B259"/>
    <mergeCell ref="A289:E289"/>
    <mergeCell ref="A210:E210"/>
    <mergeCell ref="A212:B212"/>
    <mergeCell ref="A185:B185"/>
    <mergeCell ref="A191:E191"/>
    <mergeCell ref="A193:B193"/>
    <mergeCell ref="A201:E201"/>
    <mergeCell ref="A203:B203"/>
    <mergeCell ref="A235:B235"/>
    <mergeCell ref="A218:E218"/>
    <mergeCell ref="A220:B220"/>
    <mergeCell ref="A226:E226"/>
    <mergeCell ref="A228:B228"/>
    <mergeCell ref="A233:E233"/>
    <mergeCell ref="A264:E264"/>
    <mergeCell ref="A266:B266"/>
    <mergeCell ref="A65:D65"/>
    <mergeCell ref="A67:B67"/>
    <mergeCell ref="A97:B97"/>
    <mergeCell ref="A162:D162"/>
    <mergeCell ref="A164:B164"/>
    <mergeCell ref="A116:B116"/>
    <mergeCell ref="A158:B158"/>
    <mergeCell ref="A156:E156"/>
    <mergeCell ref="A149:D149"/>
    <mergeCell ref="A151:B151"/>
    <mergeCell ref="A144:B144"/>
    <mergeCell ref="A56:D56"/>
    <mergeCell ref="A58:B58"/>
    <mergeCell ref="A36:D36"/>
    <mergeCell ref="A38:B38"/>
    <mergeCell ref="A47:D47"/>
    <mergeCell ref="A49:B49"/>
    <mergeCell ref="A29:B29"/>
    <mergeCell ref="A6:D6"/>
    <mergeCell ref="A8:B8"/>
    <mergeCell ref="A18:D18"/>
    <mergeCell ref="A20:B20"/>
    <mergeCell ref="A27:D27"/>
    <mergeCell ref="A314:E314"/>
    <mergeCell ref="A316:B316"/>
    <mergeCell ref="A74:D74"/>
    <mergeCell ref="A142:D142"/>
    <mergeCell ref="A133:D133"/>
    <mergeCell ref="A135:B135"/>
    <mergeCell ref="A76:B76"/>
    <mergeCell ref="A85:D85"/>
    <mergeCell ref="A87:B87"/>
    <mergeCell ref="A95:D95"/>
    <mergeCell ref="A121:D121"/>
    <mergeCell ref="A123:B123"/>
    <mergeCell ref="A106:D106"/>
    <mergeCell ref="A108:B108"/>
    <mergeCell ref="A114:D114"/>
    <mergeCell ref="A168:E168"/>
  </mergeCells>
  <pageMargins left="0.70866141732283472" right="0.70866141732283472" top="0.74803149606299213" bottom="0.74803149606299213" header="0.31496062992125984" footer="0.31496062992125984"/>
  <pageSetup scale="101"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160" zoomScaleNormal="160" workbookViewId="0">
      <selection activeCell="C33" sqref="C33"/>
    </sheetView>
  </sheetViews>
  <sheetFormatPr defaultRowHeight="15" x14ac:dyDescent="0.25"/>
  <cols>
    <col min="1" max="1" width="4.140625" bestFit="1" customWidth="1"/>
    <col min="2" max="2" width="11.85546875" bestFit="1" customWidth="1"/>
    <col min="3" max="3" width="14.85546875" bestFit="1" customWidth="1"/>
    <col min="4" max="4" width="13" bestFit="1" customWidth="1"/>
  </cols>
  <sheetData>
    <row r="1" spans="1:5" ht="18.75" x14ac:dyDescent="0.3">
      <c r="A1" s="321" t="s">
        <v>550</v>
      </c>
      <c r="B1" s="321"/>
      <c r="C1" s="321"/>
      <c r="D1" s="321"/>
      <c r="E1" s="321"/>
    </row>
    <row r="2" spans="1:5" x14ac:dyDescent="0.25">
      <c r="A2" s="2" t="s">
        <v>0</v>
      </c>
      <c r="B2" s="2" t="s">
        <v>3</v>
      </c>
      <c r="C2" s="2" t="s">
        <v>24</v>
      </c>
      <c r="D2" s="2" t="s">
        <v>8</v>
      </c>
      <c r="E2" s="2" t="s">
        <v>540</v>
      </c>
    </row>
    <row r="3" spans="1:5" x14ac:dyDescent="0.25">
      <c r="A3" s="1">
        <v>1</v>
      </c>
      <c r="B3" s="66">
        <v>46009</v>
      </c>
      <c r="C3" s="66" t="s">
        <v>551</v>
      </c>
      <c r="D3" s="1">
        <v>605</v>
      </c>
      <c r="E3" s="1" t="s">
        <v>30</v>
      </c>
    </row>
    <row r="4" spans="1:5" x14ac:dyDescent="0.25">
      <c r="A4" s="1">
        <v>2</v>
      </c>
      <c r="B4" s="66">
        <v>46010</v>
      </c>
      <c r="C4" s="66" t="s">
        <v>551</v>
      </c>
      <c r="D4" s="1">
        <v>200</v>
      </c>
      <c r="E4" s="1" t="s">
        <v>30</v>
      </c>
    </row>
    <row r="5" spans="1:5" x14ac:dyDescent="0.25">
      <c r="A5" s="1">
        <v>3</v>
      </c>
      <c r="B5" s="66">
        <v>46013</v>
      </c>
      <c r="C5" s="66" t="s">
        <v>551</v>
      </c>
      <c r="D5" s="1">
        <v>190</v>
      </c>
      <c r="E5" s="1" t="s">
        <v>30</v>
      </c>
    </row>
    <row r="6" spans="1:5" x14ac:dyDescent="0.25">
      <c r="A6" s="1">
        <v>4</v>
      </c>
      <c r="B6" s="66">
        <v>46014</v>
      </c>
      <c r="C6" s="66" t="s">
        <v>551</v>
      </c>
      <c r="D6" s="1">
        <v>530</v>
      </c>
      <c r="E6" s="1" t="s">
        <v>30</v>
      </c>
    </row>
    <row r="7" spans="1:5" x14ac:dyDescent="0.25">
      <c r="A7" s="1">
        <v>5</v>
      </c>
      <c r="B7" s="66">
        <v>46014</v>
      </c>
      <c r="C7" s="66" t="s">
        <v>551</v>
      </c>
      <c r="D7" s="1">
        <v>3220</v>
      </c>
      <c r="E7" s="1" t="s">
        <v>30</v>
      </c>
    </row>
    <row r="8" spans="1:5" x14ac:dyDescent="0.25">
      <c r="A8" s="1">
        <v>6</v>
      </c>
      <c r="B8" s="66">
        <v>46015</v>
      </c>
      <c r="C8" s="66" t="s">
        <v>551</v>
      </c>
      <c r="D8" s="1">
        <v>175</v>
      </c>
      <c r="E8" s="1" t="s">
        <v>30</v>
      </c>
    </row>
    <row r="9" spans="1:5" x14ac:dyDescent="0.25">
      <c r="A9" s="1">
        <v>7</v>
      </c>
      <c r="B9" s="66">
        <v>46020</v>
      </c>
      <c r="C9" s="66" t="s">
        <v>551</v>
      </c>
      <c r="D9" s="1">
        <v>1440</v>
      </c>
      <c r="E9" s="1" t="s">
        <v>30</v>
      </c>
    </row>
    <row r="10" spans="1:5" x14ac:dyDescent="0.25">
      <c r="A10" s="1">
        <v>8</v>
      </c>
      <c r="B10" s="66">
        <v>46021</v>
      </c>
      <c r="C10" s="66" t="s">
        <v>551</v>
      </c>
      <c r="D10" s="1">
        <v>1755</v>
      </c>
      <c r="E10" s="1" t="s">
        <v>30</v>
      </c>
    </row>
    <row r="11" spans="1:5" x14ac:dyDescent="0.25">
      <c r="A11" s="1">
        <v>9</v>
      </c>
      <c r="B11" s="66">
        <v>46022</v>
      </c>
      <c r="C11" s="66" t="s">
        <v>551</v>
      </c>
      <c r="D11" s="1">
        <v>1340</v>
      </c>
      <c r="E11" s="1" t="s">
        <v>30</v>
      </c>
    </row>
    <row r="12" spans="1:5" ht="18.75" x14ac:dyDescent="0.3">
      <c r="A12" s="322" t="s">
        <v>41</v>
      </c>
      <c r="B12" s="323"/>
      <c r="C12" s="324"/>
      <c r="D12" s="108">
        <f>SUM(D3:D11)</f>
        <v>9455</v>
      </c>
      <c r="E12" s="1"/>
    </row>
    <row r="14" spans="1:5" ht="18.75" x14ac:dyDescent="0.3">
      <c r="A14" s="321" t="s">
        <v>550</v>
      </c>
      <c r="B14" s="321"/>
      <c r="C14" s="321"/>
      <c r="D14" s="321"/>
      <c r="E14" s="321"/>
    </row>
    <row r="15" spans="1:5" x14ac:dyDescent="0.25">
      <c r="A15" s="2" t="s">
        <v>0</v>
      </c>
      <c r="B15" s="2" t="s">
        <v>3</v>
      </c>
      <c r="C15" s="2" t="s">
        <v>24</v>
      </c>
      <c r="D15" s="2" t="s">
        <v>8</v>
      </c>
      <c r="E15" s="2" t="s">
        <v>540</v>
      </c>
    </row>
    <row r="16" spans="1:5" x14ac:dyDescent="0.25">
      <c r="A16" s="1">
        <v>1</v>
      </c>
      <c r="B16" s="66">
        <v>46023</v>
      </c>
      <c r="C16" s="66" t="s">
        <v>551</v>
      </c>
      <c r="D16" s="5">
        <v>200</v>
      </c>
      <c r="E16" s="1" t="s">
        <v>30</v>
      </c>
    </row>
    <row r="17" spans="1:5" x14ac:dyDescent="0.25">
      <c r="A17" s="1">
        <v>2</v>
      </c>
      <c r="B17" s="66">
        <v>46024</v>
      </c>
      <c r="C17" s="66" t="s">
        <v>551</v>
      </c>
      <c r="D17" s="5">
        <v>840</v>
      </c>
      <c r="E17" s="1" t="s">
        <v>30</v>
      </c>
    </row>
    <row r="18" spans="1:5" x14ac:dyDescent="0.25">
      <c r="A18" s="1">
        <v>3</v>
      </c>
      <c r="B18" s="66">
        <v>46024</v>
      </c>
      <c r="C18" s="66" t="s">
        <v>551</v>
      </c>
      <c r="D18" s="5">
        <v>760</v>
      </c>
      <c r="E18" s="1" t="s">
        <v>30</v>
      </c>
    </row>
    <row r="19" spans="1:5" x14ac:dyDescent="0.25">
      <c r="A19" s="1">
        <v>4</v>
      </c>
      <c r="B19" s="66">
        <v>46027</v>
      </c>
      <c r="C19" s="66" t="s">
        <v>551</v>
      </c>
      <c r="D19" s="5">
        <v>620</v>
      </c>
      <c r="E19" s="1" t="s">
        <v>30</v>
      </c>
    </row>
    <row r="20" spans="1:5" x14ac:dyDescent="0.25">
      <c r="A20" s="1">
        <v>5</v>
      </c>
      <c r="B20" s="66">
        <v>46027</v>
      </c>
      <c r="C20" s="66" t="s">
        <v>551</v>
      </c>
      <c r="D20" s="5">
        <v>560</v>
      </c>
      <c r="E20" s="1" t="s">
        <v>30</v>
      </c>
    </row>
    <row r="21" spans="1:5" x14ac:dyDescent="0.25">
      <c r="A21" s="1">
        <v>6</v>
      </c>
      <c r="B21" s="66">
        <v>46027</v>
      </c>
      <c r="C21" s="66" t="s">
        <v>551</v>
      </c>
      <c r="D21" s="5">
        <v>590</v>
      </c>
      <c r="E21" s="1" t="s">
        <v>30</v>
      </c>
    </row>
    <row r="22" spans="1:5" x14ac:dyDescent="0.25">
      <c r="A22" s="1">
        <v>7</v>
      </c>
      <c r="B22" s="66">
        <v>46028</v>
      </c>
      <c r="C22" s="66" t="s">
        <v>551</v>
      </c>
      <c r="D22" s="5">
        <v>620</v>
      </c>
      <c r="E22" s="1" t="s">
        <v>30</v>
      </c>
    </row>
    <row r="23" spans="1:5" x14ac:dyDescent="0.25">
      <c r="A23" s="1">
        <v>8</v>
      </c>
      <c r="B23" s="66">
        <v>46028</v>
      </c>
      <c r="C23" s="66" t="s">
        <v>551</v>
      </c>
      <c r="D23" s="5">
        <v>1700</v>
      </c>
      <c r="E23" s="1" t="s">
        <v>30</v>
      </c>
    </row>
    <row r="24" spans="1:5" x14ac:dyDescent="0.25">
      <c r="A24" s="1">
        <v>9</v>
      </c>
      <c r="B24" s="66">
        <v>46028</v>
      </c>
      <c r="C24" s="66" t="s">
        <v>551</v>
      </c>
      <c r="D24" s="5">
        <v>280</v>
      </c>
      <c r="E24" s="1" t="s">
        <v>30</v>
      </c>
    </row>
    <row r="25" spans="1:5" x14ac:dyDescent="0.25">
      <c r="A25" s="1">
        <v>10</v>
      </c>
      <c r="B25" s="66">
        <v>46028</v>
      </c>
      <c r="C25" s="66" t="s">
        <v>551</v>
      </c>
      <c r="D25" s="5">
        <v>340</v>
      </c>
      <c r="E25" s="1" t="s">
        <v>30</v>
      </c>
    </row>
    <row r="26" spans="1:5" x14ac:dyDescent="0.25">
      <c r="A26" s="1">
        <v>11</v>
      </c>
      <c r="B26" s="66">
        <v>46028</v>
      </c>
      <c r="C26" s="66" t="s">
        <v>551</v>
      </c>
      <c r="D26" s="5">
        <v>1110</v>
      </c>
      <c r="E26" s="1" t="s">
        <v>30</v>
      </c>
    </row>
    <row r="27" spans="1:5" x14ac:dyDescent="0.25">
      <c r="A27" s="1">
        <v>12</v>
      </c>
      <c r="B27" s="66">
        <v>46029</v>
      </c>
      <c r="C27" s="66" t="s">
        <v>551</v>
      </c>
      <c r="D27" s="5">
        <v>240</v>
      </c>
      <c r="E27" s="1" t="s">
        <v>30</v>
      </c>
    </row>
    <row r="28" spans="1:5" x14ac:dyDescent="0.25">
      <c r="A28" s="1">
        <v>13</v>
      </c>
      <c r="B28" s="66">
        <v>46030</v>
      </c>
      <c r="C28" s="66" t="s">
        <v>551</v>
      </c>
      <c r="D28" s="5">
        <v>1210</v>
      </c>
      <c r="E28" s="1" t="s">
        <v>30</v>
      </c>
    </row>
    <row r="29" spans="1:5" ht="18.75" x14ac:dyDescent="0.3">
      <c r="A29" s="322" t="s">
        <v>41</v>
      </c>
      <c r="B29" s="323"/>
      <c r="C29" s="324"/>
      <c r="D29" s="118">
        <f>SUM(D16:D28)</f>
        <v>9070</v>
      </c>
      <c r="E29" s="1"/>
    </row>
  </sheetData>
  <mergeCells count="4">
    <mergeCell ref="A1:E1"/>
    <mergeCell ref="A12:C12"/>
    <mergeCell ref="A14:E14"/>
    <mergeCell ref="A29:C29"/>
  </mergeCells>
  <pageMargins left="0.70866141732283472" right="0.70866141732283472" top="0.74803149606299213" bottom="0.74803149606299213" header="0.31496062992125984" footer="0.31496062992125984"/>
  <pageSetup scale="145"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zoomScaleNormal="100" workbookViewId="0">
      <selection activeCell="G27" sqref="G27"/>
    </sheetView>
  </sheetViews>
  <sheetFormatPr defaultRowHeight="15" x14ac:dyDescent="0.25"/>
  <cols>
    <col min="1" max="1" width="5.42578125" bestFit="1" customWidth="1"/>
    <col min="2" max="2" width="10.7109375" bestFit="1" customWidth="1"/>
    <col min="3" max="3" width="14.5703125" bestFit="1" customWidth="1"/>
    <col min="4" max="4" width="10.85546875" bestFit="1" customWidth="1"/>
    <col min="5" max="6" width="20.85546875" bestFit="1" customWidth="1"/>
  </cols>
  <sheetData>
    <row r="1" spans="1:6" ht="19.5" thickBot="1" x14ac:dyDescent="0.35">
      <c r="A1" s="10" t="s">
        <v>0</v>
      </c>
      <c r="B1" s="11" t="s">
        <v>3</v>
      </c>
      <c r="C1" s="11" t="s">
        <v>1</v>
      </c>
      <c r="D1" s="11" t="s">
        <v>26</v>
      </c>
      <c r="E1" s="11" t="s">
        <v>23</v>
      </c>
      <c r="F1" s="12" t="s">
        <v>27</v>
      </c>
    </row>
    <row r="2" spans="1:6" x14ac:dyDescent="0.25">
      <c r="A2" s="3">
        <v>1</v>
      </c>
      <c r="B2" s="3" t="s">
        <v>5</v>
      </c>
      <c r="C2" s="3" t="s">
        <v>22</v>
      </c>
      <c r="D2" s="3" t="s">
        <v>34</v>
      </c>
      <c r="E2" s="4">
        <v>400</v>
      </c>
      <c r="F2" s="3" t="s">
        <v>45</v>
      </c>
    </row>
    <row r="3" spans="1:6" x14ac:dyDescent="0.25">
      <c r="A3" s="3">
        <v>2</v>
      </c>
      <c r="B3" s="1" t="s">
        <v>5</v>
      </c>
      <c r="C3" s="1" t="s">
        <v>46</v>
      </c>
      <c r="D3" s="1">
        <v>2</v>
      </c>
      <c r="E3" s="5">
        <v>200</v>
      </c>
      <c r="F3" s="3" t="s">
        <v>45</v>
      </c>
    </row>
    <row r="4" spans="1:6" x14ac:dyDescent="0.25">
      <c r="A4" s="3">
        <v>3</v>
      </c>
      <c r="B4" s="1" t="s">
        <v>5</v>
      </c>
      <c r="C4" s="1" t="s">
        <v>47</v>
      </c>
      <c r="D4" s="1">
        <v>2</v>
      </c>
      <c r="E4" s="5">
        <v>160</v>
      </c>
      <c r="F4" s="3" t="s">
        <v>45</v>
      </c>
    </row>
    <row r="5" spans="1:6" x14ac:dyDescent="0.25">
      <c r="A5" s="3">
        <v>4</v>
      </c>
      <c r="B5" s="1" t="s">
        <v>5</v>
      </c>
      <c r="C5" s="1" t="s">
        <v>19</v>
      </c>
      <c r="D5" s="1">
        <v>5</v>
      </c>
      <c r="E5" s="5">
        <v>75</v>
      </c>
      <c r="F5" s="3" t="s">
        <v>45</v>
      </c>
    </row>
    <row r="6" spans="1:6" ht="15.75" thickBot="1" x14ac:dyDescent="0.3">
      <c r="A6" s="3">
        <v>5</v>
      </c>
      <c r="B6" s="1" t="s">
        <v>5</v>
      </c>
      <c r="C6" s="1" t="s">
        <v>43</v>
      </c>
      <c r="D6" s="1">
        <v>2</v>
      </c>
      <c r="E6" s="5">
        <v>50</v>
      </c>
      <c r="F6" s="3" t="s">
        <v>45</v>
      </c>
    </row>
    <row r="7" spans="1:6" ht="15.75" thickBot="1" x14ac:dyDescent="0.3">
      <c r="A7" s="292" t="s">
        <v>41</v>
      </c>
      <c r="B7" s="297"/>
      <c r="C7" s="297"/>
      <c r="D7" s="293"/>
      <c r="E7" s="15">
        <f>SUM(E2:E6)</f>
        <v>885</v>
      </c>
    </row>
    <row r="8" spans="1:6" ht="15.75" thickBot="1" x14ac:dyDescent="0.3"/>
    <row r="9" spans="1:6" ht="15.75" thickBot="1" x14ac:dyDescent="0.3">
      <c r="A9" s="292" t="s">
        <v>39</v>
      </c>
      <c r="B9" s="293"/>
      <c r="F9" s="14" t="s">
        <v>40</v>
      </c>
    </row>
    <row r="10" spans="1:6" ht="15.75" thickBot="1" x14ac:dyDescent="0.3"/>
    <row r="11" spans="1:6" ht="19.5" thickBot="1" x14ac:dyDescent="0.35">
      <c r="A11" s="10" t="s">
        <v>0</v>
      </c>
      <c r="B11" s="11" t="s">
        <v>3</v>
      </c>
      <c r="C11" s="11" t="s">
        <v>1</v>
      </c>
      <c r="D11" s="11" t="s">
        <v>26</v>
      </c>
      <c r="E11" s="11" t="s">
        <v>23</v>
      </c>
      <c r="F11" s="12" t="s">
        <v>27</v>
      </c>
    </row>
    <row r="12" spans="1:6" x14ac:dyDescent="0.25">
      <c r="A12" s="3">
        <v>1</v>
      </c>
      <c r="B12" s="67">
        <v>46036</v>
      </c>
      <c r="C12" s="3" t="s">
        <v>739</v>
      </c>
      <c r="D12" s="3">
        <v>4</v>
      </c>
      <c r="E12" s="4">
        <f>D12*320</f>
        <v>1280</v>
      </c>
      <c r="F12" s="3" t="s">
        <v>45</v>
      </c>
    </row>
    <row r="13" spans="1:6" x14ac:dyDescent="0.25">
      <c r="A13" s="3">
        <v>2</v>
      </c>
      <c r="B13" s="67">
        <v>46036</v>
      </c>
      <c r="C13" s="1" t="s">
        <v>33</v>
      </c>
      <c r="D13" s="1">
        <v>4</v>
      </c>
      <c r="E13" s="5">
        <f>D13*30</f>
        <v>120</v>
      </c>
      <c r="F13" s="3" t="s">
        <v>45</v>
      </c>
    </row>
    <row r="14" spans="1:6" x14ac:dyDescent="0.25">
      <c r="A14" s="3">
        <v>3</v>
      </c>
      <c r="B14" s="67">
        <v>46036</v>
      </c>
      <c r="C14" s="1" t="s">
        <v>178</v>
      </c>
      <c r="D14" s="1">
        <v>0.5</v>
      </c>
      <c r="E14" s="5">
        <f>D14*400</f>
        <v>200</v>
      </c>
      <c r="F14" s="3" t="s">
        <v>45</v>
      </c>
    </row>
    <row r="15" spans="1:6" x14ac:dyDescent="0.25">
      <c r="A15" s="3">
        <v>4</v>
      </c>
      <c r="B15" s="67">
        <v>46036</v>
      </c>
      <c r="C15" s="1" t="s">
        <v>50</v>
      </c>
      <c r="D15" s="1">
        <v>4</v>
      </c>
      <c r="E15" s="5">
        <f>D15*70</f>
        <v>280</v>
      </c>
      <c r="F15" s="3" t="s">
        <v>45</v>
      </c>
    </row>
    <row r="16" spans="1:6" ht="15.75" thickBot="1" x14ac:dyDescent="0.3">
      <c r="A16" s="3">
        <v>5</v>
      </c>
      <c r="B16" s="67">
        <v>46036</v>
      </c>
      <c r="C16" s="1" t="s">
        <v>19</v>
      </c>
      <c r="D16" s="1">
        <v>4</v>
      </c>
      <c r="E16" s="5">
        <f>D16*15</f>
        <v>60</v>
      </c>
      <c r="F16" s="3" t="s">
        <v>45</v>
      </c>
    </row>
    <row r="17" spans="1:10" ht="15.75" thickBot="1" x14ac:dyDescent="0.3">
      <c r="A17" s="292" t="s">
        <v>41</v>
      </c>
      <c r="B17" s="297"/>
      <c r="C17" s="297"/>
      <c r="D17" s="293"/>
      <c r="E17" s="15">
        <f>SUM(E12:E16)</f>
        <v>1940</v>
      </c>
    </row>
    <row r="18" spans="1:10" ht="15.75" thickBot="1" x14ac:dyDescent="0.3">
      <c r="J18" s="53"/>
    </row>
    <row r="19" spans="1:10" ht="15.75" thickBot="1" x14ac:dyDescent="0.3">
      <c r="A19" s="292" t="s">
        <v>39</v>
      </c>
      <c r="B19" s="293"/>
      <c r="F19" s="14" t="s">
        <v>40</v>
      </c>
    </row>
    <row r="22" spans="1:10" ht="18.75" x14ac:dyDescent="0.3">
      <c r="A22" s="321" t="s">
        <v>545</v>
      </c>
      <c r="B22" s="321"/>
      <c r="C22" s="321"/>
      <c r="D22" s="321"/>
      <c r="E22" s="321"/>
    </row>
    <row r="23" spans="1:10" x14ac:dyDescent="0.25">
      <c r="A23" s="2" t="s">
        <v>0</v>
      </c>
      <c r="B23" s="2" t="s">
        <v>3</v>
      </c>
      <c r="C23" s="2" t="s">
        <v>24</v>
      </c>
      <c r="D23" s="2" t="s">
        <v>8</v>
      </c>
      <c r="E23" s="2" t="s">
        <v>540</v>
      </c>
    </row>
    <row r="24" spans="1:10" x14ac:dyDescent="0.25">
      <c r="A24" s="58">
        <v>1</v>
      </c>
      <c r="B24" s="106">
        <v>46036</v>
      </c>
      <c r="C24" s="58" t="s">
        <v>959</v>
      </c>
      <c r="D24" s="5">
        <v>1940</v>
      </c>
      <c r="E24" s="58" t="s">
        <v>61</v>
      </c>
    </row>
    <row r="25" spans="1:10" ht="19.5" thickBot="1" x14ac:dyDescent="0.35">
      <c r="A25" s="325" t="s">
        <v>41</v>
      </c>
      <c r="B25" s="325"/>
      <c r="C25" s="325"/>
      <c r="D25" s="115">
        <f>SUM(D24:D24)</f>
        <v>1940</v>
      </c>
      <c r="E25" s="1"/>
    </row>
    <row r="26" spans="1:10" ht="15.75" thickBot="1" x14ac:dyDescent="0.3">
      <c r="A26" s="292" t="s">
        <v>39</v>
      </c>
      <c r="B26" s="293"/>
      <c r="E26" s="14" t="s">
        <v>40</v>
      </c>
    </row>
    <row r="30" spans="1:10" ht="15.75" thickBot="1" x14ac:dyDescent="0.3"/>
    <row r="31" spans="1:10" ht="15.75" thickBot="1" x14ac:dyDescent="0.3">
      <c r="A31" s="292" t="s">
        <v>957</v>
      </c>
      <c r="B31" s="293"/>
    </row>
  </sheetData>
  <mergeCells count="8">
    <mergeCell ref="A25:C25"/>
    <mergeCell ref="A26:B26"/>
    <mergeCell ref="A31:B31"/>
    <mergeCell ref="A7:D7"/>
    <mergeCell ref="A9:B9"/>
    <mergeCell ref="A17:D17"/>
    <mergeCell ref="A19:B19"/>
    <mergeCell ref="A22:E22"/>
  </mergeCells>
  <pageMargins left="0.70866141732283472" right="0.70866141732283472" top="0.74803149606299213" bottom="0.74803149606299213" header="0.31496062992125984" footer="0.31496062992125984"/>
  <pageSetup scale="131"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3"/>
  <sheetViews>
    <sheetView topLeftCell="A253" zoomScale="130" zoomScaleNormal="130" workbookViewId="0">
      <selection activeCell="A270" sqref="A270:F270"/>
    </sheetView>
  </sheetViews>
  <sheetFormatPr defaultRowHeight="15" x14ac:dyDescent="0.25"/>
  <cols>
    <col min="1" max="1" width="5.42578125" bestFit="1" customWidth="1"/>
    <col min="2" max="2" width="12" bestFit="1" customWidth="1"/>
    <col min="3" max="3" width="17.5703125" bestFit="1" customWidth="1"/>
    <col min="4" max="4" width="6.85546875" bestFit="1" customWidth="1"/>
    <col min="5" max="5" width="11.28515625" bestFit="1" customWidth="1"/>
    <col min="6" max="6" width="20.85546875" bestFit="1" customWidth="1"/>
  </cols>
  <sheetData>
    <row r="1" spans="1:6" ht="19.5" thickBot="1" x14ac:dyDescent="0.35">
      <c r="A1" s="10" t="s">
        <v>0</v>
      </c>
      <c r="B1" s="11" t="s">
        <v>3</v>
      </c>
      <c r="C1" s="11" t="s">
        <v>1</v>
      </c>
      <c r="D1" s="11" t="s">
        <v>26</v>
      </c>
      <c r="E1" s="11" t="s">
        <v>23</v>
      </c>
      <c r="F1" s="12" t="s">
        <v>27</v>
      </c>
    </row>
    <row r="2" spans="1:6" x14ac:dyDescent="0.25">
      <c r="A2" s="3">
        <v>1</v>
      </c>
      <c r="B2" s="3" t="s">
        <v>5</v>
      </c>
      <c r="C2" s="3" t="s">
        <v>47</v>
      </c>
      <c r="D2" s="3">
        <v>4</v>
      </c>
      <c r="E2" s="4">
        <v>320</v>
      </c>
      <c r="F2" s="3" t="s">
        <v>48</v>
      </c>
    </row>
    <row r="3" spans="1:6" x14ac:dyDescent="0.25">
      <c r="A3" s="3">
        <v>2</v>
      </c>
      <c r="B3" s="1" t="s">
        <v>5</v>
      </c>
      <c r="C3" s="1" t="s">
        <v>46</v>
      </c>
      <c r="D3" s="1">
        <v>4</v>
      </c>
      <c r="E3" s="5">
        <v>400</v>
      </c>
      <c r="F3" s="3" t="s">
        <v>48</v>
      </c>
    </row>
    <row r="4" spans="1:6" x14ac:dyDescent="0.25">
      <c r="A4" s="3">
        <v>3</v>
      </c>
      <c r="B4" s="1" t="s">
        <v>5</v>
      </c>
      <c r="C4" s="1" t="s">
        <v>22</v>
      </c>
      <c r="D4" s="1">
        <v>4</v>
      </c>
      <c r="E4" s="5">
        <v>800</v>
      </c>
      <c r="F4" s="3" t="s">
        <v>48</v>
      </c>
    </row>
    <row r="5" spans="1:6" x14ac:dyDescent="0.25">
      <c r="A5" s="3">
        <v>4</v>
      </c>
      <c r="B5" s="1" t="s">
        <v>5</v>
      </c>
      <c r="C5" s="1" t="s">
        <v>19</v>
      </c>
      <c r="D5" s="1">
        <v>6</v>
      </c>
      <c r="E5" s="5">
        <v>90</v>
      </c>
      <c r="F5" s="3" t="s">
        <v>48</v>
      </c>
    </row>
    <row r="6" spans="1:6" x14ac:dyDescent="0.25">
      <c r="A6" s="3">
        <v>5</v>
      </c>
      <c r="B6" s="1" t="s">
        <v>5</v>
      </c>
      <c r="C6" s="1" t="s">
        <v>43</v>
      </c>
      <c r="D6" s="1" t="s">
        <v>49</v>
      </c>
      <c r="E6" s="5">
        <v>200</v>
      </c>
      <c r="F6" s="3" t="s">
        <v>48</v>
      </c>
    </row>
    <row r="7" spans="1:6" ht="15.75" thickBot="1" x14ac:dyDescent="0.3">
      <c r="A7" s="3">
        <v>6</v>
      </c>
      <c r="B7" s="1" t="s">
        <v>5</v>
      </c>
      <c r="C7" s="1" t="s">
        <v>50</v>
      </c>
      <c r="D7" s="1">
        <v>4</v>
      </c>
      <c r="E7" s="5">
        <v>280</v>
      </c>
      <c r="F7" s="3" t="s">
        <v>48</v>
      </c>
    </row>
    <row r="8" spans="1:6" ht="15.75" thickBot="1" x14ac:dyDescent="0.3">
      <c r="A8" s="292" t="s">
        <v>41</v>
      </c>
      <c r="B8" s="297"/>
      <c r="C8" s="297"/>
      <c r="D8" s="293"/>
      <c r="E8" s="15">
        <f>SUM(E2:E7)</f>
        <v>2090</v>
      </c>
    </row>
    <row r="9" spans="1:6" ht="15.75" thickBot="1" x14ac:dyDescent="0.3"/>
    <row r="10" spans="1:6" ht="15.75" thickBot="1" x14ac:dyDescent="0.3">
      <c r="A10" s="292" t="s">
        <v>39</v>
      </c>
      <c r="B10" s="293"/>
      <c r="F10" s="14" t="s">
        <v>40</v>
      </c>
    </row>
    <row r="12" spans="1:6" ht="15.75" thickBot="1" x14ac:dyDescent="0.3"/>
    <row r="13" spans="1:6" ht="19.5" thickBot="1" x14ac:dyDescent="0.35">
      <c r="A13" s="10" t="s">
        <v>0</v>
      </c>
      <c r="B13" s="11" t="s">
        <v>3</v>
      </c>
      <c r="C13" s="11" t="s">
        <v>1</v>
      </c>
      <c r="D13" s="11" t="s">
        <v>26</v>
      </c>
      <c r="E13" s="11" t="s">
        <v>23</v>
      </c>
      <c r="F13" s="12" t="s">
        <v>27</v>
      </c>
    </row>
    <row r="14" spans="1:6" x14ac:dyDescent="0.25">
      <c r="A14" s="3">
        <v>1</v>
      </c>
      <c r="B14" s="3" t="s">
        <v>108</v>
      </c>
      <c r="C14" s="3" t="s">
        <v>141</v>
      </c>
      <c r="D14" s="3">
        <v>5</v>
      </c>
      <c r="E14" s="4">
        <v>800</v>
      </c>
      <c r="F14" s="3" t="s">
        <v>48</v>
      </c>
    </row>
    <row r="15" spans="1:6" x14ac:dyDescent="0.25">
      <c r="A15" s="3">
        <v>2</v>
      </c>
      <c r="B15" s="3" t="s">
        <v>108</v>
      </c>
      <c r="C15" s="1" t="s">
        <v>33</v>
      </c>
      <c r="D15" s="1">
        <v>2</v>
      </c>
      <c r="E15" s="5">
        <v>40</v>
      </c>
      <c r="F15" s="3" t="s">
        <v>48</v>
      </c>
    </row>
    <row r="16" spans="1:6" x14ac:dyDescent="0.25">
      <c r="A16" s="3">
        <v>3</v>
      </c>
      <c r="B16" s="3" t="s">
        <v>108</v>
      </c>
      <c r="C16" s="1" t="s">
        <v>50</v>
      </c>
      <c r="D16" s="1">
        <v>5</v>
      </c>
      <c r="E16" s="5">
        <v>350</v>
      </c>
      <c r="F16" s="3" t="s">
        <v>48</v>
      </c>
    </row>
    <row r="17" spans="1:6" x14ac:dyDescent="0.25">
      <c r="A17" s="3"/>
      <c r="B17" s="3"/>
      <c r="C17" s="1"/>
      <c r="D17" s="1"/>
      <c r="E17" s="5"/>
      <c r="F17" s="3"/>
    </row>
    <row r="18" spans="1:6" x14ac:dyDescent="0.25">
      <c r="A18" s="3"/>
      <c r="B18" s="3"/>
      <c r="C18" s="1"/>
      <c r="D18" s="1"/>
      <c r="E18" s="5"/>
      <c r="F18" s="3"/>
    </row>
    <row r="19" spans="1:6" ht="15.75" thickBot="1" x14ac:dyDescent="0.3">
      <c r="A19" s="3"/>
      <c r="B19" s="3"/>
      <c r="C19" s="1"/>
      <c r="D19" s="1"/>
      <c r="E19" s="5"/>
      <c r="F19" s="3"/>
    </row>
    <row r="20" spans="1:6" ht="15.75" thickBot="1" x14ac:dyDescent="0.3">
      <c r="A20" s="292" t="s">
        <v>41</v>
      </c>
      <c r="B20" s="297"/>
      <c r="C20" s="297"/>
      <c r="D20" s="293"/>
      <c r="E20" s="15">
        <f>SUM(E14:E19)</f>
        <v>1190</v>
      </c>
    </row>
    <row r="21" spans="1:6" ht="15.75" thickBot="1" x14ac:dyDescent="0.3"/>
    <row r="22" spans="1:6" ht="15.75" thickBot="1" x14ac:dyDescent="0.3">
      <c r="A22" s="292" t="s">
        <v>39</v>
      </c>
      <c r="B22" s="293"/>
      <c r="F22" s="14" t="s">
        <v>40</v>
      </c>
    </row>
    <row r="24" spans="1:6" ht="15.75" thickBot="1" x14ac:dyDescent="0.3"/>
    <row r="25" spans="1:6" ht="19.5" thickBot="1" x14ac:dyDescent="0.35">
      <c r="A25" s="10" t="s">
        <v>0</v>
      </c>
      <c r="B25" s="11" t="s">
        <v>3</v>
      </c>
      <c r="C25" s="11" t="s">
        <v>1</v>
      </c>
      <c r="D25" s="11" t="s">
        <v>26</v>
      </c>
      <c r="E25" s="11" t="s">
        <v>23</v>
      </c>
      <c r="F25" s="12" t="s">
        <v>27</v>
      </c>
    </row>
    <row r="26" spans="1:6" x14ac:dyDescent="0.25">
      <c r="A26" s="3">
        <v>1</v>
      </c>
      <c r="B26" s="3" t="s">
        <v>119</v>
      </c>
      <c r="C26" s="3" t="s">
        <v>141</v>
      </c>
      <c r="D26" s="3" t="s">
        <v>133</v>
      </c>
      <c r="E26" s="4">
        <v>1600</v>
      </c>
      <c r="F26" s="3" t="s">
        <v>48</v>
      </c>
    </row>
    <row r="27" spans="1:6" x14ac:dyDescent="0.25">
      <c r="A27" s="3">
        <v>2</v>
      </c>
      <c r="B27" s="3" t="s">
        <v>119</v>
      </c>
      <c r="C27" s="1" t="s">
        <v>33</v>
      </c>
      <c r="D27" s="1">
        <v>2</v>
      </c>
      <c r="E27" s="5">
        <v>40</v>
      </c>
      <c r="F27" s="3" t="s">
        <v>48</v>
      </c>
    </row>
    <row r="28" spans="1:6" x14ac:dyDescent="0.25">
      <c r="A28" s="3">
        <v>3</v>
      </c>
      <c r="B28" s="3" t="s">
        <v>119</v>
      </c>
      <c r="C28" s="1" t="s">
        <v>50</v>
      </c>
      <c r="D28" s="1">
        <v>4</v>
      </c>
      <c r="E28" s="5">
        <v>280</v>
      </c>
      <c r="F28" s="3" t="s">
        <v>48</v>
      </c>
    </row>
    <row r="29" spans="1:6" x14ac:dyDescent="0.25">
      <c r="A29" s="3"/>
      <c r="B29" s="3"/>
      <c r="C29" s="1"/>
      <c r="D29" s="1"/>
      <c r="E29" s="5"/>
      <c r="F29" s="3"/>
    </row>
    <row r="30" spans="1:6" x14ac:dyDescent="0.25">
      <c r="A30" s="3"/>
      <c r="B30" s="3"/>
      <c r="C30" s="1"/>
      <c r="D30" s="1"/>
      <c r="E30" s="5"/>
      <c r="F30" s="3"/>
    </row>
    <row r="31" spans="1:6" ht="15.75" thickBot="1" x14ac:dyDescent="0.3">
      <c r="A31" s="3"/>
      <c r="B31" s="3"/>
      <c r="C31" s="1"/>
      <c r="D31" s="1"/>
      <c r="E31" s="5"/>
      <c r="F31" s="3"/>
    </row>
    <row r="32" spans="1:6" ht="15.75" thickBot="1" x14ac:dyDescent="0.3">
      <c r="A32" s="292" t="s">
        <v>41</v>
      </c>
      <c r="B32" s="297"/>
      <c r="C32" s="297"/>
      <c r="D32" s="293"/>
      <c r="E32" s="15">
        <f>SUM(E26:E31)</f>
        <v>1920</v>
      </c>
    </row>
    <row r="33" spans="1:6" ht="15.75" thickBot="1" x14ac:dyDescent="0.3"/>
    <row r="34" spans="1:6" ht="15.75" thickBot="1" x14ac:dyDescent="0.3">
      <c r="A34" s="292" t="s">
        <v>39</v>
      </c>
      <c r="B34" s="293"/>
      <c r="F34" s="14" t="s">
        <v>40</v>
      </c>
    </row>
    <row r="35" spans="1:6" ht="15.75" thickBot="1" x14ac:dyDescent="0.3"/>
    <row r="36" spans="1:6" ht="19.5" thickBot="1" x14ac:dyDescent="0.35">
      <c r="A36" s="10" t="s">
        <v>0</v>
      </c>
      <c r="B36" s="11" t="s">
        <v>3</v>
      </c>
      <c r="C36" s="11" t="s">
        <v>1</v>
      </c>
      <c r="D36" s="11" t="s">
        <v>26</v>
      </c>
      <c r="E36" s="11" t="s">
        <v>23</v>
      </c>
      <c r="F36" s="12" t="s">
        <v>27</v>
      </c>
    </row>
    <row r="37" spans="1:6" x14ac:dyDescent="0.25">
      <c r="A37" s="3">
        <v>1</v>
      </c>
      <c r="B37" s="3" t="s">
        <v>177</v>
      </c>
      <c r="C37" s="3" t="s">
        <v>197</v>
      </c>
      <c r="D37" s="3"/>
      <c r="E37" s="4">
        <v>40</v>
      </c>
      <c r="F37" s="3" t="s">
        <v>48</v>
      </c>
    </row>
    <row r="38" spans="1:6" x14ac:dyDescent="0.25">
      <c r="A38" s="3">
        <v>2</v>
      </c>
      <c r="B38" s="3" t="s">
        <v>177</v>
      </c>
      <c r="C38" s="1" t="s">
        <v>33</v>
      </c>
      <c r="D38" s="1">
        <v>2</v>
      </c>
      <c r="E38" s="5">
        <v>40</v>
      </c>
      <c r="F38" s="3" t="s">
        <v>48</v>
      </c>
    </row>
    <row r="39" spans="1:6" x14ac:dyDescent="0.25">
      <c r="A39" s="3">
        <v>3</v>
      </c>
      <c r="B39" s="3" t="s">
        <v>177</v>
      </c>
      <c r="C39" s="1" t="s">
        <v>50</v>
      </c>
      <c r="D39" s="1"/>
      <c r="E39" s="5">
        <v>300</v>
      </c>
      <c r="F39" s="3" t="s">
        <v>48</v>
      </c>
    </row>
    <row r="40" spans="1:6" x14ac:dyDescent="0.25">
      <c r="A40" s="3">
        <v>4</v>
      </c>
      <c r="B40" s="3" t="s">
        <v>177</v>
      </c>
      <c r="C40" s="1" t="s">
        <v>110</v>
      </c>
      <c r="D40" s="1">
        <v>1</v>
      </c>
      <c r="E40" s="5">
        <v>120</v>
      </c>
      <c r="F40" s="3" t="s">
        <v>48</v>
      </c>
    </row>
    <row r="41" spans="1:6" x14ac:dyDescent="0.25">
      <c r="A41" s="3">
        <v>5</v>
      </c>
      <c r="B41" s="3" t="s">
        <v>177</v>
      </c>
      <c r="C41" s="1" t="s">
        <v>204</v>
      </c>
      <c r="D41" s="1">
        <v>1</v>
      </c>
      <c r="E41" s="5">
        <v>270</v>
      </c>
      <c r="F41" s="3" t="s">
        <v>48</v>
      </c>
    </row>
    <row r="42" spans="1:6" x14ac:dyDescent="0.25">
      <c r="A42" s="3">
        <v>6</v>
      </c>
      <c r="B42" s="3" t="s">
        <v>177</v>
      </c>
      <c r="C42" s="1" t="s">
        <v>28</v>
      </c>
      <c r="D42" s="1">
        <v>4</v>
      </c>
      <c r="E42" s="5">
        <v>800</v>
      </c>
      <c r="F42" s="3" t="s">
        <v>48</v>
      </c>
    </row>
    <row r="43" spans="1:6" x14ac:dyDescent="0.25">
      <c r="A43" s="3">
        <v>7</v>
      </c>
      <c r="B43" s="3" t="s">
        <v>177</v>
      </c>
      <c r="C43" s="1" t="s">
        <v>19</v>
      </c>
      <c r="D43" s="1">
        <v>10</v>
      </c>
      <c r="E43" s="5">
        <v>150</v>
      </c>
      <c r="F43" s="3" t="s">
        <v>48</v>
      </c>
    </row>
    <row r="44" spans="1:6" ht="15.75" thickBot="1" x14ac:dyDescent="0.3">
      <c r="A44" s="289" t="s">
        <v>41</v>
      </c>
      <c r="B44" s="290"/>
      <c r="C44" s="290"/>
      <c r="D44" s="291"/>
      <c r="E44" s="25">
        <f>SUM(E37:E43)</f>
        <v>1720</v>
      </c>
    </row>
    <row r="45" spans="1:6" ht="15.75" thickBot="1" x14ac:dyDescent="0.3"/>
    <row r="46" spans="1:6" ht="15.75" thickBot="1" x14ac:dyDescent="0.3">
      <c r="A46" s="292" t="s">
        <v>39</v>
      </c>
      <c r="B46" s="293"/>
      <c r="F46" s="14" t="s">
        <v>40</v>
      </c>
    </row>
    <row r="47" spans="1:6" ht="15.75" thickBot="1" x14ac:dyDescent="0.3"/>
    <row r="48" spans="1:6" ht="19.5" thickBot="1" x14ac:dyDescent="0.35">
      <c r="A48" s="10" t="s">
        <v>0</v>
      </c>
      <c r="B48" s="11" t="s">
        <v>3</v>
      </c>
      <c r="C48" s="11" t="s">
        <v>1</v>
      </c>
      <c r="D48" s="11" t="s">
        <v>26</v>
      </c>
      <c r="E48" s="11" t="s">
        <v>23</v>
      </c>
      <c r="F48" s="12" t="s">
        <v>27</v>
      </c>
    </row>
    <row r="49" spans="1:6" x14ac:dyDescent="0.25">
      <c r="A49" s="3">
        <v>1</v>
      </c>
      <c r="B49" s="3" t="s">
        <v>177</v>
      </c>
      <c r="C49" s="3" t="s">
        <v>214</v>
      </c>
      <c r="D49" s="3">
        <v>72</v>
      </c>
      <c r="E49" s="4">
        <f>D49*110</f>
        <v>7920</v>
      </c>
      <c r="F49" s="3" t="s">
        <v>48</v>
      </c>
    </row>
    <row r="50" spans="1:6" ht="15.75" thickBot="1" x14ac:dyDescent="0.3">
      <c r="A50" s="289" t="s">
        <v>41</v>
      </c>
      <c r="B50" s="290"/>
      <c r="C50" s="290"/>
      <c r="D50" s="291"/>
      <c r="E50" s="25">
        <f>SUM(E49:E49)</f>
        <v>7920</v>
      </c>
    </row>
    <row r="51" spans="1:6" ht="15.75" thickBot="1" x14ac:dyDescent="0.3"/>
    <row r="52" spans="1:6" ht="15.75" thickBot="1" x14ac:dyDescent="0.3">
      <c r="A52" s="292" t="s">
        <v>39</v>
      </c>
      <c r="B52" s="293"/>
      <c r="F52" s="14" t="s">
        <v>40</v>
      </c>
    </row>
    <row r="54" spans="1:6" ht="15.75" thickBot="1" x14ac:dyDescent="0.3"/>
    <row r="55" spans="1:6" ht="19.5" thickBot="1" x14ac:dyDescent="0.35">
      <c r="A55" s="10" t="s">
        <v>0</v>
      </c>
      <c r="B55" s="11" t="s">
        <v>3</v>
      </c>
      <c r="C55" s="11" t="s">
        <v>1</v>
      </c>
      <c r="D55" s="11" t="s">
        <v>26</v>
      </c>
      <c r="E55" s="11" t="s">
        <v>23</v>
      </c>
      <c r="F55" s="12" t="s">
        <v>27</v>
      </c>
    </row>
    <row r="56" spans="1:6" x14ac:dyDescent="0.25">
      <c r="A56" s="3">
        <v>1</v>
      </c>
      <c r="B56" s="3" t="s">
        <v>233</v>
      </c>
      <c r="C56" s="3" t="s">
        <v>254</v>
      </c>
      <c r="D56" s="3">
        <v>3</v>
      </c>
      <c r="E56" s="4">
        <v>600</v>
      </c>
      <c r="F56" s="3" t="s">
        <v>48</v>
      </c>
    </row>
    <row r="57" spans="1:6" x14ac:dyDescent="0.25">
      <c r="A57" s="3">
        <v>2</v>
      </c>
      <c r="B57" s="3" t="s">
        <v>233</v>
      </c>
      <c r="C57" s="1" t="s">
        <v>19</v>
      </c>
      <c r="D57" s="1">
        <v>8</v>
      </c>
      <c r="E57" s="5">
        <v>120</v>
      </c>
      <c r="F57" s="3" t="s">
        <v>48</v>
      </c>
    </row>
    <row r="58" spans="1:6" x14ac:dyDescent="0.25">
      <c r="A58" s="3">
        <v>3</v>
      </c>
      <c r="B58" s="3" t="s">
        <v>233</v>
      </c>
      <c r="C58" s="1" t="s">
        <v>33</v>
      </c>
      <c r="D58" s="1">
        <v>1</v>
      </c>
      <c r="E58" s="5">
        <v>20</v>
      </c>
      <c r="F58" s="3" t="s">
        <v>48</v>
      </c>
    </row>
    <row r="59" spans="1:6" x14ac:dyDescent="0.25">
      <c r="A59" s="3">
        <v>4</v>
      </c>
      <c r="B59" s="3" t="s">
        <v>233</v>
      </c>
      <c r="C59" s="1" t="s">
        <v>50</v>
      </c>
      <c r="D59" s="1">
        <v>3</v>
      </c>
      <c r="E59" s="5">
        <v>210</v>
      </c>
      <c r="F59" s="3" t="s">
        <v>48</v>
      </c>
    </row>
    <row r="60" spans="1:6" ht="15.75" thickBot="1" x14ac:dyDescent="0.3">
      <c r="A60" s="289" t="s">
        <v>41</v>
      </c>
      <c r="B60" s="290"/>
      <c r="C60" s="290"/>
      <c r="D60" s="291"/>
      <c r="E60" s="25">
        <f>SUM(E56:E59)</f>
        <v>950</v>
      </c>
    </row>
    <row r="61" spans="1:6" ht="15.75" thickBot="1" x14ac:dyDescent="0.3"/>
    <row r="62" spans="1:6" ht="15.75" thickBot="1" x14ac:dyDescent="0.3">
      <c r="A62" s="292" t="s">
        <v>39</v>
      </c>
      <c r="B62" s="293"/>
      <c r="F62" s="14" t="s">
        <v>40</v>
      </c>
    </row>
    <row r="63" spans="1:6" ht="15.75" thickBot="1" x14ac:dyDescent="0.3"/>
    <row r="64" spans="1:6" ht="19.5" thickBot="1" x14ac:dyDescent="0.35">
      <c r="A64" s="10" t="s">
        <v>0</v>
      </c>
      <c r="B64" s="11" t="s">
        <v>3</v>
      </c>
      <c r="C64" s="11" t="s">
        <v>1</v>
      </c>
      <c r="D64" s="11" t="s">
        <v>26</v>
      </c>
      <c r="E64" s="11" t="s">
        <v>23</v>
      </c>
      <c r="F64" s="12" t="s">
        <v>27</v>
      </c>
    </row>
    <row r="65" spans="1:6" x14ac:dyDescent="0.25">
      <c r="A65" s="3">
        <v>1</v>
      </c>
      <c r="B65" s="3" t="s">
        <v>261</v>
      </c>
      <c r="C65" s="3" t="s">
        <v>278</v>
      </c>
      <c r="D65" s="3">
        <v>89</v>
      </c>
      <c r="E65" s="4">
        <v>9790</v>
      </c>
      <c r="F65" s="3" t="s">
        <v>279</v>
      </c>
    </row>
    <row r="66" spans="1:6" ht="15.75" thickBot="1" x14ac:dyDescent="0.3">
      <c r="A66" s="289" t="s">
        <v>41</v>
      </c>
      <c r="B66" s="290"/>
      <c r="C66" s="290"/>
      <c r="D66" s="291"/>
      <c r="E66" s="25">
        <f>SUM(E65:E65)</f>
        <v>9790</v>
      </c>
    </row>
    <row r="67" spans="1:6" ht="15.75" thickBot="1" x14ac:dyDescent="0.3"/>
    <row r="68" spans="1:6" ht="15.75" thickBot="1" x14ac:dyDescent="0.3">
      <c r="A68" s="292" t="s">
        <v>39</v>
      </c>
      <c r="B68" s="293"/>
      <c r="F68" s="14" t="s">
        <v>40</v>
      </c>
    </row>
    <row r="70" spans="1:6" ht="15.75" thickBot="1" x14ac:dyDescent="0.3"/>
    <row r="71" spans="1:6" ht="19.5" thickBot="1" x14ac:dyDescent="0.35">
      <c r="A71" s="10" t="s">
        <v>0</v>
      </c>
      <c r="B71" s="11" t="s">
        <v>3</v>
      </c>
      <c r="C71" s="11" t="s">
        <v>1</v>
      </c>
      <c r="D71" s="11" t="s">
        <v>26</v>
      </c>
      <c r="E71" s="11" t="s">
        <v>23</v>
      </c>
      <c r="F71" s="12" t="s">
        <v>27</v>
      </c>
    </row>
    <row r="72" spans="1:6" x14ac:dyDescent="0.25">
      <c r="A72" s="3">
        <v>1</v>
      </c>
      <c r="B72" s="3" t="s">
        <v>283</v>
      </c>
      <c r="C72" s="3" t="s">
        <v>278</v>
      </c>
      <c r="D72" s="3">
        <v>96</v>
      </c>
      <c r="E72" s="4">
        <v>10560</v>
      </c>
      <c r="F72" s="3" t="s">
        <v>279</v>
      </c>
    </row>
    <row r="73" spans="1:6" ht="15.75" thickBot="1" x14ac:dyDescent="0.3">
      <c r="A73" s="289" t="s">
        <v>41</v>
      </c>
      <c r="B73" s="290"/>
      <c r="C73" s="290"/>
      <c r="D73" s="291"/>
      <c r="E73" s="25">
        <f>SUM(E72:E72)</f>
        <v>10560</v>
      </c>
    </row>
    <row r="74" spans="1:6" ht="15.75" thickBot="1" x14ac:dyDescent="0.3"/>
    <row r="75" spans="1:6" ht="15.75" thickBot="1" x14ac:dyDescent="0.3">
      <c r="A75" s="292" t="s">
        <v>39</v>
      </c>
      <c r="B75" s="293"/>
      <c r="F75" s="14" t="s">
        <v>40</v>
      </c>
    </row>
    <row r="77" spans="1:6" ht="15.75" thickBot="1" x14ac:dyDescent="0.3"/>
    <row r="78" spans="1:6" ht="19.5" thickBot="1" x14ac:dyDescent="0.35">
      <c r="A78" s="10" t="s">
        <v>0</v>
      </c>
      <c r="B78" s="11" t="s">
        <v>3</v>
      </c>
      <c r="C78" s="11" t="s">
        <v>1</v>
      </c>
      <c r="D78" s="11" t="s">
        <v>26</v>
      </c>
      <c r="E78" s="11" t="s">
        <v>23</v>
      </c>
      <c r="F78" s="12" t="s">
        <v>27</v>
      </c>
    </row>
    <row r="79" spans="1:6" x14ac:dyDescent="0.25">
      <c r="A79" s="3">
        <v>1</v>
      </c>
      <c r="B79" s="3" t="s">
        <v>283</v>
      </c>
      <c r="C79" s="3" t="s">
        <v>291</v>
      </c>
      <c r="D79" s="3">
        <v>4</v>
      </c>
      <c r="E79" s="4">
        <v>720</v>
      </c>
      <c r="F79" s="3" t="s">
        <v>48</v>
      </c>
    </row>
    <row r="80" spans="1:6" x14ac:dyDescent="0.25">
      <c r="A80" s="3">
        <v>2</v>
      </c>
      <c r="B80" s="3" t="s">
        <v>283</v>
      </c>
      <c r="C80" s="1" t="s">
        <v>19</v>
      </c>
      <c r="D80" s="1">
        <v>12</v>
      </c>
      <c r="E80" s="5">
        <v>180</v>
      </c>
      <c r="F80" s="3" t="s">
        <v>48</v>
      </c>
    </row>
    <row r="81" spans="1:6" x14ac:dyDescent="0.25">
      <c r="A81" s="3">
        <v>3</v>
      </c>
      <c r="B81" s="3" t="s">
        <v>283</v>
      </c>
      <c r="C81" s="1" t="s">
        <v>50</v>
      </c>
      <c r="D81" s="1">
        <v>5</v>
      </c>
      <c r="E81" s="5">
        <v>350</v>
      </c>
      <c r="F81" s="3" t="s">
        <v>48</v>
      </c>
    </row>
    <row r="82" spans="1:6" x14ac:dyDescent="0.25">
      <c r="A82" s="3">
        <v>4</v>
      </c>
      <c r="B82" s="3" t="s">
        <v>283</v>
      </c>
      <c r="C82" s="1" t="s">
        <v>33</v>
      </c>
      <c r="D82" s="1">
        <v>2</v>
      </c>
      <c r="E82" s="5">
        <v>50</v>
      </c>
      <c r="F82" s="3"/>
    </row>
    <row r="83" spans="1:6" ht="15.75" thickBot="1" x14ac:dyDescent="0.3">
      <c r="A83" s="289" t="s">
        <v>41</v>
      </c>
      <c r="B83" s="290"/>
      <c r="C83" s="290"/>
      <c r="D83" s="291"/>
      <c r="E83" s="25">
        <f>SUM(E79:E82)</f>
        <v>1300</v>
      </c>
    </row>
    <row r="84" spans="1:6" ht="15.75" thickBot="1" x14ac:dyDescent="0.3"/>
    <row r="85" spans="1:6" ht="15.75" thickBot="1" x14ac:dyDescent="0.3">
      <c r="A85" s="292" t="s">
        <v>39</v>
      </c>
      <c r="B85" s="293"/>
      <c r="F85" s="14" t="s">
        <v>40</v>
      </c>
    </row>
    <row r="86" spans="1:6" ht="15.75" thickBot="1" x14ac:dyDescent="0.3"/>
    <row r="87" spans="1:6" ht="19.5" thickBot="1" x14ac:dyDescent="0.35">
      <c r="A87" s="10" t="s">
        <v>0</v>
      </c>
      <c r="B87" s="11" t="s">
        <v>3</v>
      </c>
      <c r="C87" s="11" t="s">
        <v>1</v>
      </c>
      <c r="D87" s="11" t="s">
        <v>26</v>
      </c>
      <c r="E87" s="11" t="s">
        <v>23</v>
      </c>
      <c r="F87" s="12" t="s">
        <v>27</v>
      </c>
    </row>
    <row r="88" spans="1:6" x14ac:dyDescent="0.25">
      <c r="A88" s="3">
        <v>1</v>
      </c>
      <c r="B88" s="3" t="s">
        <v>339</v>
      </c>
      <c r="C88" s="3" t="s">
        <v>278</v>
      </c>
      <c r="D88" s="3">
        <v>90</v>
      </c>
      <c r="E88" s="4">
        <f>D88*110</f>
        <v>9900</v>
      </c>
      <c r="F88" s="3" t="s">
        <v>279</v>
      </c>
    </row>
    <row r="89" spans="1:6" ht="15.75" thickBot="1" x14ac:dyDescent="0.3">
      <c r="A89" s="289" t="s">
        <v>41</v>
      </c>
      <c r="B89" s="290"/>
      <c r="C89" s="290"/>
      <c r="D89" s="291"/>
      <c r="E89" s="25">
        <f>SUM(E88:E88)</f>
        <v>9900</v>
      </c>
    </row>
    <row r="90" spans="1:6" ht="15.75" thickBot="1" x14ac:dyDescent="0.3"/>
    <row r="91" spans="1:6" ht="15.75" thickBot="1" x14ac:dyDescent="0.3">
      <c r="A91" s="292" t="s">
        <v>39</v>
      </c>
      <c r="B91" s="293"/>
      <c r="F91" s="14" t="s">
        <v>40</v>
      </c>
    </row>
    <row r="92" spans="1:6" ht="15.75" thickBot="1" x14ac:dyDescent="0.3"/>
    <row r="93" spans="1:6" ht="19.5" thickBot="1" x14ac:dyDescent="0.35">
      <c r="A93" s="10" t="s">
        <v>0</v>
      </c>
      <c r="B93" s="11" t="s">
        <v>3</v>
      </c>
      <c r="C93" s="11" t="s">
        <v>1</v>
      </c>
      <c r="D93" s="11" t="s">
        <v>26</v>
      </c>
      <c r="E93" s="11" t="s">
        <v>23</v>
      </c>
      <c r="F93" s="12" t="s">
        <v>27</v>
      </c>
    </row>
    <row r="94" spans="1:6" x14ac:dyDescent="0.25">
      <c r="A94" s="3">
        <v>1</v>
      </c>
      <c r="B94" s="3" t="s">
        <v>339</v>
      </c>
      <c r="C94" s="3" t="s">
        <v>340</v>
      </c>
      <c r="D94" s="3">
        <v>3</v>
      </c>
      <c r="E94" s="4">
        <f>D94*320</f>
        <v>960</v>
      </c>
      <c r="F94" s="3" t="s">
        <v>279</v>
      </c>
    </row>
    <row r="95" spans="1:6" x14ac:dyDescent="0.25">
      <c r="A95" s="3">
        <v>2</v>
      </c>
      <c r="B95" s="3" t="s">
        <v>339</v>
      </c>
      <c r="C95" s="1" t="s">
        <v>223</v>
      </c>
      <c r="D95" s="1">
        <v>2</v>
      </c>
      <c r="E95" s="5">
        <f>D95*70</f>
        <v>140</v>
      </c>
      <c r="F95" s="3" t="s">
        <v>279</v>
      </c>
    </row>
    <row r="96" spans="1:6" x14ac:dyDescent="0.25">
      <c r="A96" s="3">
        <v>3</v>
      </c>
      <c r="B96" s="3" t="s">
        <v>339</v>
      </c>
      <c r="C96" s="1" t="s">
        <v>90</v>
      </c>
      <c r="D96" s="1">
        <v>2</v>
      </c>
      <c r="E96" s="5">
        <v>200</v>
      </c>
      <c r="F96" s="3" t="s">
        <v>279</v>
      </c>
    </row>
    <row r="97" spans="1:6" x14ac:dyDescent="0.25">
      <c r="A97" s="3">
        <v>4</v>
      </c>
      <c r="B97" s="3" t="s">
        <v>339</v>
      </c>
      <c r="C97" s="1" t="s">
        <v>33</v>
      </c>
      <c r="D97" s="1">
        <v>2</v>
      </c>
      <c r="E97" s="5">
        <v>40</v>
      </c>
      <c r="F97" s="3" t="s">
        <v>279</v>
      </c>
    </row>
    <row r="98" spans="1:6" ht="15.75" thickBot="1" x14ac:dyDescent="0.3">
      <c r="A98" s="289" t="s">
        <v>41</v>
      </c>
      <c r="B98" s="290"/>
      <c r="C98" s="290"/>
      <c r="D98" s="291"/>
      <c r="E98" s="25">
        <f>SUM(E94:E97)</f>
        <v>1340</v>
      </c>
    </row>
    <row r="99" spans="1:6" ht="15.75" thickBot="1" x14ac:dyDescent="0.3"/>
    <row r="100" spans="1:6" ht="15.75" thickBot="1" x14ac:dyDescent="0.3">
      <c r="A100" s="292" t="s">
        <v>39</v>
      </c>
      <c r="B100" s="293"/>
      <c r="F100" s="14" t="s">
        <v>40</v>
      </c>
    </row>
    <row r="101" spans="1:6" ht="15.75" thickBot="1" x14ac:dyDescent="0.3"/>
    <row r="102" spans="1:6" ht="19.5" thickBot="1" x14ac:dyDescent="0.35">
      <c r="A102" s="10" t="s">
        <v>0</v>
      </c>
      <c r="B102" s="11" t="s">
        <v>3</v>
      </c>
      <c r="C102" s="11" t="s">
        <v>1</v>
      </c>
      <c r="D102" s="11" t="s">
        <v>26</v>
      </c>
      <c r="E102" s="11" t="s">
        <v>23</v>
      </c>
      <c r="F102" s="12" t="s">
        <v>27</v>
      </c>
    </row>
    <row r="103" spans="1:6" x14ac:dyDescent="0.25">
      <c r="A103" s="3">
        <v>1</v>
      </c>
      <c r="B103" s="3" t="s">
        <v>387</v>
      </c>
      <c r="C103" s="3" t="s">
        <v>214</v>
      </c>
      <c r="D103" s="3">
        <v>74</v>
      </c>
      <c r="E103" s="4">
        <f>D103*110</f>
        <v>8140</v>
      </c>
      <c r="F103" s="3" t="s">
        <v>279</v>
      </c>
    </row>
    <row r="104" spans="1:6" ht="15.75" thickBot="1" x14ac:dyDescent="0.3">
      <c r="A104" s="289" t="s">
        <v>41</v>
      </c>
      <c r="B104" s="290"/>
      <c r="C104" s="290"/>
      <c r="D104" s="291"/>
      <c r="E104" s="25">
        <f>SUM(E103:E103)</f>
        <v>8140</v>
      </c>
    </row>
    <row r="105" spans="1:6" ht="15.75" thickBot="1" x14ac:dyDescent="0.3"/>
    <row r="106" spans="1:6" ht="15.75" thickBot="1" x14ac:dyDescent="0.3">
      <c r="A106" s="292" t="s">
        <v>39</v>
      </c>
      <c r="B106" s="293"/>
      <c r="F106" s="14" t="s">
        <v>40</v>
      </c>
    </row>
    <row r="107" spans="1:6" ht="15.75" thickBot="1" x14ac:dyDescent="0.3"/>
    <row r="108" spans="1:6" ht="19.5" thickBot="1" x14ac:dyDescent="0.35">
      <c r="A108" s="10" t="s">
        <v>0</v>
      </c>
      <c r="B108" s="11" t="s">
        <v>3</v>
      </c>
      <c r="C108" s="11" t="s">
        <v>1</v>
      </c>
      <c r="D108" s="11" t="s">
        <v>26</v>
      </c>
      <c r="E108" s="11" t="s">
        <v>23</v>
      </c>
      <c r="F108" s="12" t="s">
        <v>27</v>
      </c>
    </row>
    <row r="109" spans="1:6" x14ac:dyDescent="0.25">
      <c r="A109" s="3">
        <v>1</v>
      </c>
      <c r="B109" s="3" t="s">
        <v>423</v>
      </c>
      <c r="C109" s="3" t="s">
        <v>178</v>
      </c>
      <c r="D109" s="89"/>
      <c r="E109" s="4">
        <v>100</v>
      </c>
      <c r="F109" s="3" t="s">
        <v>279</v>
      </c>
    </row>
    <row r="110" spans="1:6" x14ac:dyDescent="0.25">
      <c r="A110" s="3">
        <v>2</v>
      </c>
      <c r="B110" s="3" t="s">
        <v>423</v>
      </c>
      <c r="C110" s="1" t="s">
        <v>33</v>
      </c>
      <c r="D110" s="1">
        <v>1</v>
      </c>
      <c r="E110" s="5">
        <v>25</v>
      </c>
      <c r="F110" s="3" t="s">
        <v>279</v>
      </c>
    </row>
    <row r="111" spans="1:6" x14ac:dyDescent="0.25">
      <c r="A111" s="3">
        <v>3</v>
      </c>
      <c r="B111" s="3" t="s">
        <v>423</v>
      </c>
      <c r="C111" s="1" t="s">
        <v>50</v>
      </c>
      <c r="D111" s="1">
        <v>3</v>
      </c>
      <c r="E111" s="5">
        <f>D111*70</f>
        <v>210</v>
      </c>
      <c r="F111" s="3" t="s">
        <v>279</v>
      </c>
    </row>
    <row r="112" spans="1:6" x14ac:dyDescent="0.25">
      <c r="A112" s="3">
        <v>4</v>
      </c>
      <c r="B112" s="3" t="s">
        <v>423</v>
      </c>
      <c r="C112" s="1" t="s">
        <v>19</v>
      </c>
      <c r="D112" s="1">
        <v>6</v>
      </c>
      <c r="E112" s="5">
        <f>D112*15</f>
        <v>90</v>
      </c>
      <c r="F112" s="3" t="s">
        <v>279</v>
      </c>
    </row>
    <row r="113" spans="1:6" x14ac:dyDescent="0.25">
      <c r="A113" s="3">
        <v>5</v>
      </c>
      <c r="B113" s="3" t="s">
        <v>423</v>
      </c>
      <c r="C113" s="1" t="s">
        <v>439</v>
      </c>
      <c r="D113" s="1">
        <v>2</v>
      </c>
      <c r="E113" s="5">
        <f>D113*180</f>
        <v>360</v>
      </c>
      <c r="F113" s="3" t="s">
        <v>279</v>
      </c>
    </row>
    <row r="114" spans="1:6" x14ac:dyDescent="0.25">
      <c r="A114" s="3">
        <v>6</v>
      </c>
      <c r="B114" s="3" t="s">
        <v>423</v>
      </c>
      <c r="C114" s="1" t="s">
        <v>369</v>
      </c>
      <c r="D114" s="1">
        <v>1</v>
      </c>
      <c r="E114" s="5">
        <f>D114*110</f>
        <v>110</v>
      </c>
      <c r="F114" s="3" t="s">
        <v>279</v>
      </c>
    </row>
    <row r="115" spans="1:6" ht="15.75" thickBot="1" x14ac:dyDescent="0.3">
      <c r="A115" s="289" t="s">
        <v>41</v>
      </c>
      <c r="B115" s="290"/>
      <c r="C115" s="290"/>
      <c r="D115" s="291"/>
      <c r="E115" s="25">
        <f>SUM(E109:E114)</f>
        <v>895</v>
      </c>
    </row>
    <row r="116" spans="1:6" ht="15.75" thickBot="1" x14ac:dyDescent="0.3"/>
    <row r="117" spans="1:6" ht="15.75" thickBot="1" x14ac:dyDescent="0.3">
      <c r="A117" s="292" t="s">
        <v>39</v>
      </c>
      <c r="B117" s="293"/>
      <c r="F117" s="14" t="s">
        <v>40</v>
      </c>
    </row>
    <row r="118" spans="1:6" ht="15.75" thickBot="1" x14ac:dyDescent="0.3"/>
    <row r="119" spans="1:6" ht="19.5" thickBot="1" x14ac:dyDescent="0.35">
      <c r="A119" s="10" t="s">
        <v>0</v>
      </c>
      <c r="B119" s="11" t="s">
        <v>3</v>
      </c>
      <c r="C119" s="11" t="s">
        <v>1</v>
      </c>
      <c r="D119" s="11" t="s">
        <v>26</v>
      </c>
      <c r="E119" s="11" t="s">
        <v>23</v>
      </c>
      <c r="F119" s="12" t="s">
        <v>27</v>
      </c>
    </row>
    <row r="120" spans="1:6" x14ac:dyDescent="0.25">
      <c r="A120" s="3">
        <v>1</v>
      </c>
      <c r="B120" s="67">
        <v>46023</v>
      </c>
      <c r="C120" s="3" t="s">
        <v>214</v>
      </c>
      <c r="D120" s="3">
        <v>80</v>
      </c>
      <c r="E120" s="4">
        <f>D120*110</f>
        <v>8800</v>
      </c>
      <c r="F120" s="3" t="s">
        <v>279</v>
      </c>
    </row>
    <row r="121" spans="1:6" ht="15.75" thickBot="1" x14ac:dyDescent="0.3">
      <c r="A121" s="289" t="s">
        <v>41</v>
      </c>
      <c r="B121" s="290"/>
      <c r="C121" s="290"/>
      <c r="D121" s="291"/>
      <c r="E121" s="25">
        <f>SUM(E120:E120)</f>
        <v>8800</v>
      </c>
    </row>
    <row r="122" spans="1:6" ht="15.75" thickBot="1" x14ac:dyDescent="0.3"/>
    <row r="123" spans="1:6" ht="15.75" thickBot="1" x14ac:dyDescent="0.3">
      <c r="A123" s="292" t="s">
        <v>39</v>
      </c>
      <c r="B123" s="293"/>
      <c r="F123" s="14" t="s">
        <v>40</v>
      </c>
    </row>
    <row r="124" spans="1:6" ht="15.75" thickBot="1" x14ac:dyDescent="0.3"/>
    <row r="125" spans="1:6" ht="18.75" x14ac:dyDescent="0.3">
      <c r="A125" s="26" t="s">
        <v>0</v>
      </c>
      <c r="B125" s="27" t="s">
        <v>3</v>
      </c>
      <c r="C125" s="27" t="s">
        <v>1</v>
      </c>
      <c r="D125" s="27" t="s">
        <v>26</v>
      </c>
      <c r="E125" s="27" t="s">
        <v>23</v>
      </c>
      <c r="F125" s="28" t="s">
        <v>27</v>
      </c>
    </row>
    <row r="126" spans="1:6" x14ac:dyDescent="0.25">
      <c r="A126" s="1">
        <v>1</v>
      </c>
      <c r="B126" s="66">
        <v>46023</v>
      </c>
      <c r="C126" s="1" t="s">
        <v>433</v>
      </c>
      <c r="D126" s="1">
        <v>2</v>
      </c>
      <c r="E126" s="5">
        <f>D126*320</f>
        <v>640</v>
      </c>
      <c r="F126" s="1" t="s">
        <v>279</v>
      </c>
    </row>
    <row r="127" spans="1:6" x14ac:dyDescent="0.25">
      <c r="A127" s="1">
        <v>2</v>
      </c>
      <c r="B127" s="66">
        <v>46023</v>
      </c>
      <c r="C127" s="1" t="s">
        <v>50</v>
      </c>
      <c r="D127" s="1">
        <v>1</v>
      </c>
      <c r="E127" s="5">
        <v>70</v>
      </c>
      <c r="F127" s="1" t="s">
        <v>279</v>
      </c>
    </row>
    <row r="128" spans="1:6" ht="15.75" thickBot="1" x14ac:dyDescent="0.3">
      <c r="A128" s="289" t="s">
        <v>41</v>
      </c>
      <c r="B128" s="290"/>
      <c r="C128" s="290"/>
      <c r="D128" s="291"/>
      <c r="E128" s="25">
        <f>SUM(E126:E127)</f>
        <v>710</v>
      </c>
    </row>
    <row r="129" spans="1:6" ht="15.75" thickBot="1" x14ac:dyDescent="0.3"/>
    <row r="130" spans="1:6" ht="15.75" thickBot="1" x14ac:dyDescent="0.3">
      <c r="A130" s="292" t="s">
        <v>39</v>
      </c>
      <c r="B130" s="293"/>
      <c r="F130" s="14" t="s">
        <v>40</v>
      </c>
    </row>
    <row r="131" spans="1:6" ht="15.75" thickBot="1" x14ac:dyDescent="0.3"/>
    <row r="132" spans="1:6" ht="18.75" x14ac:dyDescent="0.3">
      <c r="A132" s="26" t="s">
        <v>0</v>
      </c>
      <c r="B132" s="27" t="s">
        <v>3</v>
      </c>
      <c r="C132" s="27" t="s">
        <v>1</v>
      </c>
      <c r="D132" s="27" t="s">
        <v>26</v>
      </c>
      <c r="E132" s="27" t="s">
        <v>23</v>
      </c>
      <c r="F132" s="28" t="s">
        <v>27</v>
      </c>
    </row>
    <row r="133" spans="1:6" x14ac:dyDescent="0.25">
      <c r="A133" s="1">
        <v>1</v>
      </c>
      <c r="B133" s="66">
        <v>46024</v>
      </c>
      <c r="C133" s="1" t="s">
        <v>340</v>
      </c>
      <c r="D133" s="1">
        <v>1</v>
      </c>
      <c r="E133" s="5">
        <f>D133*320</f>
        <v>320</v>
      </c>
      <c r="F133" s="1" t="s">
        <v>279</v>
      </c>
    </row>
    <row r="134" spans="1:6" x14ac:dyDescent="0.25">
      <c r="A134" s="1">
        <v>2</v>
      </c>
      <c r="B134" s="66">
        <v>46024</v>
      </c>
      <c r="C134" s="1" t="s">
        <v>33</v>
      </c>
      <c r="D134" s="1">
        <v>1</v>
      </c>
      <c r="E134" s="5">
        <f>D134*30</f>
        <v>30</v>
      </c>
      <c r="F134" s="1" t="s">
        <v>279</v>
      </c>
    </row>
    <row r="135" spans="1:6" x14ac:dyDescent="0.25">
      <c r="A135" s="1">
        <v>3</v>
      </c>
      <c r="B135" s="66">
        <v>46024</v>
      </c>
      <c r="C135" s="1" t="s">
        <v>50</v>
      </c>
      <c r="D135" s="1">
        <v>1</v>
      </c>
      <c r="E135" s="5">
        <f>D135*70</f>
        <v>70</v>
      </c>
      <c r="F135" s="1" t="s">
        <v>279</v>
      </c>
    </row>
    <row r="136" spans="1:6" ht="15.75" thickBot="1" x14ac:dyDescent="0.3">
      <c r="A136" s="289" t="s">
        <v>41</v>
      </c>
      <c r="B136" s="290"/>
      <c r="C136" s="290"/>
      <c r="D136" s="291"/>
      <c r="E136" s="25">
        <f>SUM(E133:E135)</f>
        <v>420</v>
      </c>
    </row>
    <row r="137" spans="1:6" ht="15.75" thickBot="1" x14ac:dyDescent="0.3"/>
    <row r="138" spans="1:6" ht="15.75" thickBot="1" x14ac:dyDescent="0.3">
      <c r="A138" s="292" t="s">
        <v>39</v>
      </c>
      <c r="B138" s="293"/>
      <c r="F138" s="14" t="s">
        <v>40</v>
      </c>
    </row>
    <row r="139" spans="1:6" ht="15.75" thickBot="1" x14ac:dyDescent="0.3"/>
    <row r="140" spans="1:6" ht="19.5" thickBot="1" x14ac:dyDescent="0.35">
      <c r="A140" s="10" t="s">
        <v>0</v>
      </c>
      <c r="B140" s="11" t="s">
        <v>3</v>
      </c>
      <c r="C140" s="11" t="s">
        <v>1</v>
      </c>
      <c r="D140" s="11" t="s">
        <v>26</v>
      </c>
      <c r="E140" s="11" t="s">
        <v>23</v>
      </c>
      <c r="F140" s="12" t="s">
        <v>27</v>
      </c>
    </row>
    <row r="141" spans="1:6" x14ac:dyDescent="0.25">
      <c r="A141" s="3">
        <v>1</v>
      </c>
      <c r="B141" s="67">
        <v>46024</v>
      </c>
      <c r="C141" s="3" t="s">
        <v>214</v>
      </c>
      <c r="D141" s="3">
        <v>94</v>
      </c>
      <c r="E141" s="4">
        <f>D141*110</f>
        <v>10340</v>
      </c>
      <c r="F141" s="3" t="s">
        <v>279</v>
      </c>
    </row>
    <row r="142" spans="1:6" ht="15.75" thickBot="1" x14ac:dyDescent="0.3">
      <c r="A142" s="289" t="s">
        <v>41</v>
      </c>
      <c r="B142" s="290"/>
      <c r="C142" s="290"/>
      <c r="D142" s="291"/>
      <c r="E142" s="25">
        <f>SUM(E141:E141)</f>
        <v>10340</v>
      </c>
    </row>
    <row r="143" spans="1:6" ht="15.75" thickBot="1" x14ac:dyDescent="0.3"/>
    <row r="144" spans="1:6" ht="15.75" thickBot="1" x14ac:dyDescent="0.3">
      <c r="A144" s="292" t="s">
        <v>39</v>
      </c>
      <c r="B144" s="293"/>
      <c r="F144" s="14" t="s">
        <v>40</v>
      </c>
    </row>
    <row r="145" spans="1:6" ht="15.75" thickBot="1" x14ac:dyDescent="0.3"/>
    <row r="146" spans="1:6" ht="19.5" thickBot="1" x14ac:dyDescent="0.35">
      <c r="A146" s="10" t="s">
        <v>0</v>
      </c>
      <c r="B146" s="11" t="s">
        <v>3</v>
      </c>
      <c r="C146" s="11" t="s">
        <v>1</v>
      </c>
      <c r="D146" s="11" t="s">
        <v>26</v>
      </c>
      <c r="E146" s="11" t="s">
        <v>23</v>
      </c>
      <c r="F146" s="12" t="s">
        <v>27</v>
      </c>
    </row>
    <row r="147" spans="1:6" x14ac:dyDescent="0.25">
      <c r="A147" s="3">
        <v>1</v>
      </c>
      <c r="B147" s="67">
        <v>46025</v>
      </c>
      <c r="C147" s="3" t="s">
        <v>272</v>
      </c>
      <c r="D147" s="89"/>
      <c r="E147" s="4">
        <v>360</v>
      </c>
      <c r="F147" s="3" t="s">
        <v>279</v>
      </c>
    </row>
    <row r="148" spans="1:6" x14ac:dyDescent="0.25">
      <c r="A148" s="3">
        <v>2</v>
      </c>
      <c r="B148" s="67">
        <v>46025</v>
      </c>
      <c r="C148" s="1" t="s">
        <v>236</v>
      </c>
      <c r="D148" s="1">
        <v>17</v>
      </c>
      <c r="E148" s="5">
        <f>D148*35</f>
        <v>595</v>
      </c>
      <c r="F148" s="3" t="s">
        <v>279</v>
      </c>
    </row>
    <row r="149" spans="1:6" x14ac:dyDescent="0.25">
      <c r="A149" s="3">
        <v>3</v>
      </c>
      <c r="B149" s="67">
        <v>46025</v>
      </c>
      <c r="C149" s="1" t="s">
        <v>50</v>
      </c>
      <c r="D149" s="1">
        <v>2</v>
      </c>
      <c r="E149" s="5">
        <f>D149*70</f>
        <v>140</v>
      </c>
      <c r="F149" s="3" t="s">
        <v>279</v>
      </c>
    </row>
    <row r="150" spans="1:6" ht="15.75" thickBot="1" x14ac:dyDescent="0.3">
      <c r="A150" s="289" t="s">
        <v>41</v>
      </c>
      <c r="B150" s="290"/>
      <c r="C150" s="290"/>
      <c r="D150" s="291"/>
      <c r="E150" s="25">
        <f>SUM(E147:E149)</f>
        <v>1095</v>
      </c>
    </row>
    <row r="151" spans="1:6" ht="15.75" thickBot="1" x14ac:dyDescent="0.3"/>
    <row r="152" spans="1:6" ht="15.75" thickBot="1" x14ac:dyDescent="0.3">
      <c r="A152" s="292" t="s">
        <v>39</v>
      </c>
      <c r="B152" s="293"/>
      <c r="F152" s="14" t="s">
        <v>40</v>
      </c>
    </row>
    <row r="153" spans="1:6" ht="15.75" thickBot="1" x14ac:dyDescent="0.3">
      <c r="A153" s="23"/>
      <c r="B153" s="23"/>
      <c r="F153" s="88"/>
    </row>
    <row r="154" spans="1:6" ht="19.5" thickBot="1" x14ac:dyDescent="0.35">
      <c r="A154" s="10" t="s">
        <v>0</v>
      </c>
      <c r="B154" s="11" t="s">
        <v>3</v>
      </c>
      <c r="C154" s="11" t="s">
        <v>1</v>
      </c>
      <c r="D154" s="11" t="s">
        <v>26</v>
      </c>
      <c r="E154" s="11" t="s">
        <v>23</v>
      </c>
      <c r="F154" s="12" t="s">
        <v>27</v>
      </c>
    </row>
    <row r="155" spans="1:6" x14ac:dyDescent="0.25">
      <c r="A155" s="3">
        <v>1</v>
      </c>
      <c r="B155" s="67">
        <v>46027</v>
      </c>
      <c r="C155" s="3" t="s">
        <v>433</v>
      </c>
      <c r="D155" s="3">
        <v>8</v>
      </c>
      <c r="E155" s="4">
        <f>D155*320</f>
        <v>2560</v>
      </c>
      <c r="F155" s="3" t="s">
        <v>282</v>
      </c>
    </row>
    <row r="156" spans="1:6" x14ac:dyDescent="0.25">
      <c r="A156" s="3">
        <v>2</v>
      </c>
      <c r="B156" s="67">
        <v>46027</v>
      </c>
      <c r="C156" s="1" t="s">
        <v>90</v>
      </c>
      <c r="D156" s="1">
        <v>0.5</v>
      </c>
      <c r="E156" s="5">
        <f>D156*400</f>
        <v>200</v>
      </c>
      <c r="F156" s="3" t="s">
        <v>282</v>
      </c>
    </row>
    <row r="157" spans="1:6" x14ac:dyDescent="0.25">
      <c r="A157" s="3">
        <v>5</v>
      </c>
      <c r="B157" s="67">
        <v>46027</v>
      </c>
      <c r="C157" s="1" t="s">
        <v>254</v>
      </c>
      <c r="D157" s="1" t="s">
        <v>133</v>
      </c>
      <c r="E157" s="5">
        <f>1*1600</f>
        <v>1600</v>
      </c>
      <c r="F157" s="3" t="s">
        <v>282</v>
      </c>
    </row>
    <row r="158" spans="1:6" x14ac:dyDescent="0.25">
      <c r="A158" s="3">
        <v>7</v>
      </c>
      <c r="B158" s="67">
        <v>46027</v>
      </c>
      <c r="C158" s="1" t="s">
        <v>33</v>
      </c>
      <c r="D158" s="1">
        <v>2</v>
      </c>
      <c r="E158" s="5">
        <f>D158*30</f>
        <v>60</v>
      </c>
      <c r="F158" s="3" t="s">
        <v>282</v>
      </c>
    </row>
    <row r="159" spans="1:6" x14ac:dyDescent="0.25">
      <c r="A159" s="3">
        <v>9</v>
      </c>
      <c r="B159" s="67">
        <v>46027</v>
      </c>
      <c r="C159" s="24" t="s">
        <v>50</v>
      </c>
      <c r="D159" s="24">
        <v>8</v>
      </c>
      <c r="E159" s="5">
        <f>D159*70</f>
        <v>560</v>
      </c>
      <c r="F159" s="3" t="s">
        <v>282</v>
      </c>
    </row>
    <row r="160" spans="1:6" x14ac:dyDescent="0.25">
      <c r="A160" s="3">
        <v>10</v>
      </c>
      <c r="B160" s="67">
        <v>46027</v>
      </c>
      <c r="C160" s="24" t="s">
        <v>272</v>
      </c>
      <c r="D160" s="24">
        <v>1</v>
      </c>
      <c r="E160" s="5">
        <f>D160*370</f>
        <v>370</v>
      </c>
      <c r="F160" s="3" t="s">
        <v>282</v>
      </c>
    </row>
    <row r="161" spans="1:6" ht="15.75" thickBot="1" x14ac:dyDescent="0.3">
      <c r="A161" s="289" t="s">
        <v>41</v>
      </c>
      <c r="B161" s="290"/>
      <c r="C161" s="290"/>
      <c r="D161" s="291"/>
      <c r="E161" s="54">
        <f>SUM(E155:E160)</f>
        <v>5350</v>
      </c>
    </row>
    <row r="162" spans="1:6" ht="15.75" thickBot="1" x14ac:dyDescent="0.3"/>
    <row r="163" spans="1:6" ht="15.75" thickBot="1" x14ac:dyDescent="0.3">
      <c r="A163" s="292" t="s">
        <v>39</v>
      </c>
      <c r="B163" s="293"/>
      <c r="F163" s="14" t="s">
        <v>40</v>
      </c>
    </row>
    <row r="164" spans="1:6" ht="15.75" thickBot="1" x14ac:dyDescent="0.3">
      <c r="A164" s="23"/>
      <c r="B164" s="23"/>
      <c r="F164" s="88"/>
    </row>
    <row r="165" spans="1:6" ht="19.5" thickBot="1" x14ac:dyDescent="0.35">
      <c r="A165" s="10" t="s">
        <v>0</v>
      </c>
      <c r="B165" s="11" t="s">
        <v>3</v>
      </c>
      <c r="C165" s="11" t="s">
        <v>1</v>
      </c>
      <c r="D165" s="11" t="s">
        <v>26</v>
      </c>
      <c r="E165" s="11" t="s">
        <v>23</v>
      </c>
      <c r="F165" s="12" t="s">
        <v>27</v>
      </c>
    </row>
    <row r="166" spans="1:6" x14ac:dyDescent="0.25">
      <c r="A166" s="3">
        <v>1</v>
      </c>
      <c r="B166" s="67">
        <v>46028</v>
      </c>
      <c r="C166" s="3" t="s">
        <v>583</v>
      </c>
      <c r="D166" s="3"/>
      <c r="E166" s="4">
        <v>250</v>
      </c>
      <c r="F166" s="3" t="s">
        <v>282</v>
      </c>
    </row>
    <row r="167" spans="1:6" x14ac:dyDescent="0.25">
      <c r="A167" s="3">
        <v>2</v>
      </c>
      <c r="B167" s="67">
        <v>46028</v>
      </c>
      <c r="C167" s="1" t="s">
        <v>272</v>
      </c>
      <c r="D167" s="1">
        <v>1</v>
      </c>
      <c r="E167" s="5">
        <v>500</v>
      </c>
      <c r="F167" s="3" t="s">
        <v>282</v>
      </c>
    </row>
    <row r="168" spans="1:6" ht="15.75" thickBot="1" x14ac:dyDescent="0.3">
      <c r="A168" s="289" t="s">
        <v>41</v>
      </c>
      <c r="B168" s="290"/>
      <c r="C168" s="290"/>
      <c r="D168" s="291"/>
      <c r="E168" s="54">
        <f>SUM(E166:E167)</f>
        <v>750</v>
      </c>
    </row>
    <row r="169" spans="1:6" ht="15.75" thickBot="1" x14ac:dyDescent="0.3"/>
    <row r="170" spans="1:6" ht="15.75" thickBot="1" x14ac:dyDescent="0.3">
      <c r="A170" s="292" t="s">
        <v>39</v>
      </c>
      <c r="B170" s="293"/>
      <c r="F170" s="14" t="s">
        <v>40</v>
      </c>
    </row>
    <row r="171" spans="1:6" ht="15.75" thickBot="1" x14ac:dyDescent="0.3"/>
    <row r="172" spans="1:6" ht="18.75" x14ac:dyDescent="0.3">
      <c r="A172" s="26" t="s">
        <v>0</v>
      </c>
      <c r="B172" s="27" t="s">
        <v>3</v>
      </c>
      <c r="C172" s="27" t="s">
        <v>1</v>
      </c>
      <c r="D172" s="27" t="s">
        <v>26</v>
      </c>
      <c r="E172" s="27" t="s">
        <v>23</v>
      </c>
      <c r="F172" s="28" t="s">
        <v>27</v>
      </c>
    </row>
    <row r="173" spans="1:6" x14ac:dyDescent="0.25">
      <c r="A173" s="1">
        <v>1</v>
      </c>
      <c r="B173" s="66">
        <v>46029</v>
      </c>
      <c r="C173" s="1" t="s">
        <v>587</v>
      </c>
      <c r="D173" s="1">
        <v>1</v>
      </c>
      <c r="E173" s="5">
        <f>D173*320</f>
        <v>320</v>
      </c>
      <c r="F173" s="1" t="s">
        <v>279</v>
      </c>
    </row>
    <row r="174" spans="1:6" x14ac:dyDescent="0.25">
      <c r="A174" s="1">
        <v>2</v>
      </c>
      <c r="B174" s="66">
        <v>46029</v>
      </c>
      <c r="C174" s="1" t="s">
        <v>50</v>
      </c>
      <c r="D174" s="1">
        <v>2</v>
      </c>
      <c r="E174" s="5">
        <f>D174*70</f>
        <v>140</v>
      </c>
      <c r="F174" s="1" t="s">
        <v>279</v>
      </c>
    </row>
    <row r="175" spans="1:6" x14ac:dyDescent="0.25">
      <c r="A175" s="1">
        <v>3</v>
      </c>
      <c r="B175" s="66">
        <v>46029</v>
      </c>
      <c r="C175" s="1" t="s">
        <v>178</v>
      </c>
      <c r="D175" s="1">
        <v>0.25</v>
      </c>
      <c r="E175" s="5">
        <f>D175*400</f>
        <v>100</v>
      </c>
      <c r="F175" s="1" t="s">
        <v>279</v>
      </c>
    </row>
    <row r="176" spans="1:6" ht="15.75" thickBot="1" x14ac:dyDescent="0.3">
      <c r="A176" s="289" t="s">
        <v>41</v>
      </c>
      <c r="B176" s="290"/>
      <c r="C176" s="290"/>
      <c r="D176" s="291"/>
      <c r="E176" s="25">
        <f>SUM(E173:E175)</f>
        <v>560</v>
      </c>
    </row>
    <row r="177" spans="1:6" ht="15.75" thickBot="1" x14ac:dyDescent="0.3"/>
    <row r="178" spans="1:6" ht="15.75" thickBot="1" x14ac:dyDescent="0.3">
      <c r="A178" s="292" t="s">
        <v>39</v>
      </c>
      <c r="B178" s="293"/>
      <c r="F178" s="14" t="s">
        <v>40</v>
      </c>
    </row>
    <row r="179" spans="1:6" ht="15.75" thickBot="1" x14ac:dyDescent="0.3"/>
    <row r="180" spans="1:6" ht="18.75" x14ac:dyDescent="0.3">
      <c r="A180" s="26" t="s">
        <v>0</v>
      </c>
      <c r="B180" s="27" t="s">
        <v>3</v>
      </c>
      <c r="C180" s="27" t="s">
        <v>1</v>
      </c>
      <c r="D180" s="27" t="s">
        <v>26</v>
      </c>
      <c r="E180" s="27" t="s">
        <v>23</v>
      </c>
      <c r="F180" s="28" t="s">
        <v>27</v>
      </c>
    </row>
    <row r="181" spans="1:6" x14ac:dyDescent="0.25">
      <c r="A181" s="1">
        <v>1</v>
      </c>
      <c r="B181" s="66">
        <v>46030</v>
      </c>
      <c r="C181" s="1" t="s">
        <v>562</v>
      </c>
      <c r="D181" s="1">
        <v>2</v>
      </c>
      <c r="E181" s="5">
        <f>D181*220</f>
        <v>440</v>
      </c>
      <c r="F181" s="1" t="s">
        <v>279</v>
      </c>
    </row>
    <row r="182" spans="1:6" x14ac:dyDescent="0.25">
      <c r="A182" s="1">
        <v>2</v>
      </c>
      <c r="B182" s="66">
        <v>46030</v>
      </c>
      <c r="C182" s="1" t="s">
        <v>19</v>
      </c>
      <c r="D182" s="1">
        <v>7</v>
      </c>
      <c r="E182" s="5">
        <f>D182*15</f>
        <v>105</v>
      </c>
      <c r="F182" s="1" t="s">
        <v>279</v>
      </c>
    </row>
    <row r="183" spans="1:6" x14ac:dyDescent="0.25">
      <c r="A183" s="1">
        <v>3</v>
      </c>
      <c r="B183" s="66">
        <v>46030</v>
      </c>
      <c r="C183" s="1" t="s">
        <v>50</v>
      </c>
      <c r="D183" s="1">
        <v>2</v>
      </c>
      <c r="E183" s="5">
        <f>D183*70</f>
        <v>140</v>
      </c>
      <c r="F183" s="1" t="s">
        <v>279</v>
      </c>
    </row>
    <row r="184" spans="1:6" x14ac:dyDescent="0.25">
      <c r="A184" s="1">
        <v>4</v>
      </c>
      <c r="B184" s="66">
        <v>46030</v>
      </c>
      <c r="C184" s="1" t="s">
        <v>33</v>
      </c>
      <c r="D184" s="1"/>
      <c r="E184" s="5">
        <v>50</v>
      </c>
      <c r="F184" s="1" t="s">
        <v>279</v>
      </c>
    </row>
    <row r="185" spans="1:6" x14ac:dyDescent="0.25">
      <c r="A185" s="1">
        <v>5</v>
      </c>
      <c r="B185" s="66">
        <v>46030</v>
      </c>
      <c r="C185" s="1" t="s">
        <v>463</v>
      </c>
      <c r="D185" s="1">
        <v>1</v>
      </c>
      <c r="E185" s="5">
        <v>180</v>
      </c>
      <c r="F185" s="1" t="s">
        <v>279</v>
      </c>
    </row>
    <row r="186" spans="1:6" ht="15.75" thickBot="1" x14ac:dyDescent="0.3">
      <c r="A186" s="289" t="s">
        <v>41</v>
      </c>
      <c r="B186" s="290"/>
      <c r="C186" s="290"/>
      <c r="D186" s="291"/>
      <c r="E186" s="25">
        <f>SUM(E181:E185)</f>
        <v>915</v>
      </c>
    </row>
    <row r="187" spans="1:6" ht="15.75" thickBot="1" x14ac:dyDescent="0.3"/>
    <row r="188" spans="1:6" ht="15.75" thickBot="1" x14ac:dyDescent="0.3">
      <c r="A188" s="292" t="s">
        <v>39</v>
      </c>
      <c r="B188" s="293"/>
      <c r="F188" s="14" t="s">
        <v>40</v>
      </c>
    </row>
    <row r="189" spans="1:6" ht="15.75" thickBot="1" x14ac:dyDescent="0.3"/>
    <row r="190" spans="1:6" ht="18.75" x14ac:dyDescent="0.3">
      <c r="A190" s="26" t="s">
        <v>0</v>
      </c>
      <c r="B190" s="27" t="s">
        <v>3</v>
      </c>
      <c r="C190" s="27" t="s">
        <v>1</v>
      </c>
      <c r="D190" s="27" t="s">
        <v>26</v>
      </c>
      <c r="E190" s="27" t="s">
        <v>23</v>
      </c>
      <c r="F190" s="28" t="s">
        <v>27</v>
      </c>
    </row>
    <row r="191" spans="1:6" x14ac:dyDescent="0.25">
      <c r="A191" s="1">
        <v>1</v>
      </c>
      <c r="B191" s="66">
        <v>46030</v>
      </c>
      <c r="C191" s="1" t="s">
        <v>406</v>
      </c>
      <c r="D191" s="1">
        <v>84</v>
      </c>
      <c r="E191" s="5">
        <f>D191*110</f>
        <v>9240</v>
      </c>
      <c r="F191" s="1" t="s">
        <v>279</v>
      </c>
    </row>
    <row r="192" spans="1:6" ht="15.75" thickBot="1" x14ac:dyDescent="0.3">
      <c r="A192" s="289" t="s">
        <v>41</v>
      </c>
      <c r="B192" s="290"/>
      <c r="C192" s="290"/>
      <c r="D192" s="291"/>
      <c r="E192" s="25">
        <f>SUM(E191:E191)</f>
        <v>9240</v>
      </c>
    </row>
    <row r="193" spans="1:6" ht="15.75" thickBot="1" x14ac:dyDescent="0.3"/>
    <row r="194" spans="1:6" ht="15.75" thickBot="1" x14ac:dyDescent="0.3">
      <c r="A194" s="292" t="s">
        <v>39</v>
      </c>
      <c r="B194" s="293"/>
      <c r="F194" s="14" t="s">
        <v>40</v>
      </c>
    </row>
    <row r="195" spans="1:6" ht="15.75" thickBot="1" x14ac:dyDescent="0.3"/>
    <row r="196" spans="1:6" ht="18.75" x14ac:dyDescent="0.3">
      <c r="A196" s="26" t="s">
        <v>0</v>
      </c>
      <c r="B196" s="27" t="s">
        <v>3</v>
      </c>
      <c r="C196" s="27" t="s">
        <v>1</v>
      </c>
      <c r="D196" s="27" t="s">
        <v>26</v>
      </c>
      <c r="E196" s="27" t="s">
        <v>23</v>
      </c>
      <c r="F196" s="28" t="s">
        <v>27</v>
      </c>
    </row>
    <row r="197" spans="1:6" x14ac:dyDescent="0.25">
      <c r="A197" s="1">
        <v>1</v>
      </c>
      <c r="B197" s="66">
        <v>46031</v>
      </c>
      <c r="C197" s="1" t="s">
        <v>406</v>
      </c>
      <c r="D197" s="1">
        <v>63</v>
      </c>
      <c r="E197" s="5">
        <f>D197*110</f>
        <v>6930</v>
      </c>
      <c r="F197" s="1" t="s">
        <v>279</v>
      </c>
    </row>
    <row r="198" spans="1:6" x14ac:dyDescent="0.25">
      <c r="A198" s="1">
        <v>2</v>
      </c>
      <c r="B198" s="66">
        <v>46031</v>
      </c>
      <c r="C198" s="1" t="s">
        <v>18</v>
      </c>
      <c r="D198" s="1">
        <v>7</v>
      </c>
      <c r="E198" s="5">
        <f>D198*80</f>
        <v>560</v>
      </c>
      <c r="F198" s="1" t="s">
        <v>279</v>
      </c>
    </row>
    <row r="199" spans="1:6" x14ac:dyDescent="0.25">
      <c r="A199" s="1">
        <v>3</v>
      </c>
      <c r="B199" s="66">
        <v>46031</v>
      </c>
      <c r="C199" s="1" t="s">
        <v>19</v>
      </c>
      <c r="D199" s="1">
        <f>D198*3</f>
        <v>21</v>
      </c>
      <c r="E199" s="5">
        <f>D199*15</f>
        <v>315</v>
      </c>
      <c r="F199" s="1" t="s">
        <v>279</v>
      </c>
    </row>
    <row r="200" spans="1:6" ht="15.75" thickBot="1" x14ac:dyDescent="0.3">
      <c r="A200" s="289" t="s">
        <v>41</v>
      </c>
      <c r="B200" s="290"/>
      <c r="C200" s="290"/>
      <c r="D200" s="291"/>
      <c r="E200" s="25">
        <f>SUM(E197:E199)</f>
        <v>7805</v>
      </c>
    </row>
    <row r="201" spans="1:6" ht="15.75" thickBot="1" x14ac:dyDescent="0.3"/>
    <row r="202" spans="1:6" ht="15.75" thickBot="1" x14ac:dyDescent="0.3">
      <c r="A202" s="292" t="s">
        <v>39</v>
      </c>
      <c r="B202" s="293"/>
      <c r="F202" s="14" t="s">
        <v>40</v>
      </c>
    </row>
    <row r="203" spans="1:6" ht="15.75" thickBot="1" x14ac:dyDescent="0.3"/>
    <row r="204" spans="1:6" ht="18.75" x14ac:dyDescent="0.3">
      <c r="A204" s="26" t="s">
        <v>0</v>
      </c>
      <c r="B204" s="27" t="s">
        <v>3</v>
      </c>
      <c r="C204" s="27" t="s">
        <v>1</v>
      </c>
      <c r="D204" s="27" t="s">
        <v>26</v>
      </c>
      <c r="E204" s="27" t="s">
        <v>23</v>
      </c>
      <c r="F204" s="28" t="s">
        <v>27</v>
      </c>
    </row>
    <row r="205" spans="1:6" x14ac:dyDescent="0.25">
      <c r="A205" s="1">
        <v>1</v>
      </c>
      <c r="B205" s="66">
        <v>46031</v>
      </c>
      <c r="C205" s="1" t="s">
        <v>433</v>
      </c>
      <c r="D205" s="1">
        <v>2</v>
      </c>
      <c r="E205" s="5">
        <f>D205*320</f>
        <v>640</v>
      </c>
      <c r="F205" s="1" t="s">
        <v>279</v>
      </c>
    </row>
    <row r="206" spans="1:6" x14ac:dyDescent="0.25">
      <c r="A206" s="1">
        <v>2</v>
      </c>
      <c r="B206" s="66">
        <v>46031</v>
      </c>
      <c r="C206" s="1" t="s">
        <v>50</v>
      </c>
      <c r="D206" s="1">
        <v>2</v>
      </c>
      <c r="E206" s="5">
        <f>D206*70</f>
        <v>140</v>
      </c>
      <c r="F206" s="1" t="s">
        <v>279</v>
      </c>
    </row>
    <row r="207" spans="1:6" x14ac:dyDescent="0.25">
      <c r="A207" s="1">
        <v>3</v>
      </c>
      <c r="B207" s="66">
        <v>46031</v>
      </c>
      <c r="C207" s="1" t="s">
        <v>33</v>
      </c>
      <c r="D207" s="1">
        <v>1</v>
      </c>
      <c r="E207" s="5">
        <v>30</v>
      </c>
      <c r="F207" s="1" t="s">
        <v>279</v>
      </c>
    </row>
    <row r="208" spans="1:6" x14ac:dyDescent="0.25">
      <c r="A208" s="1">
        <v>4</v>
      </c>
      <c r="B208" s="66">
        <v>46031</v>
      </c>
      <c r="C208" s="1" t="s">
        <v>90</v>
      </c>
      <c r="D208" s="1">
        <v>0.5</v>
      </c>
      <c r="E208" s="5">
        <f>D208*400</f>
        <v>200</v>
      </c>
      <c r="F208" s="1" t="s">
        <v>279</v>
      </c>
    </row>
    <row r="209" spans="1:6" ht="15.75" thickBot="1" x14ac:dyDescent="0.3">
      <c r="A209" s="289" t="s">
        <v>41</v>
      </c>
      <c r="B209" s="290"/>
      <c r="C209" s="290"/>
      <c r="D209" s="291"/>
      <c r="E209" s="25">
        <f>SUM(E205:E208)</f>
        <v>1010</v>
      </c>
    </row>
    <row r="210" spans="1:6" ht="15.75" thickBot="1" x14ac:dyDescent="0.3"/>
    <row r="211" spans="1:6" ht="15.75" thickBot="1" x14ac:dyDescent="0.3">
      <c r="A211" s="292" t="s">
        <v>39</v>
      </c>
      <c r="B211" s="293"/>
      <c r="F211" s="14" t="s">
        <v>40</v>
      </c>
    </row>
    <row r="212" spans="1:6" ht="15.75" thickBot="1" x14ac:dyDescent="0.3"/>
    <row r="213" spans="1:6" ht="18.75" x14ac:dyDescent="0.3">
      <c r="A213" s="26" t="s">
        <v>0</v>
      </c>
      <c r="B213" s="27" t="s">
        <v>3</v>
      </c>
      <c r="C213" s="27" t="s">
        <v>1</v>
      </c>
      <c r="D213" s="27" t="s">
        <v>26</v>
      </c>
      <c r="E213" s="27" t="s">
        <v>23</v>
      </c>
      <c r="F213" s="28" t="s">
        <v>27</v>
      </c>
    </row>
    <row r="214" spans="1:6" x14ac:dyDescent="0.25">
      <c r="A214" s="1">
        <v>1</v>
      </c>
      <c r="B214" s="66">
        <v>46032</v>
      </c>
      <c r="C214" s="1" t="s">
        <v>657</v>
      </c>
      <c r="D214" s="1">
        <v>2</v>
      </c>
      <c r="E214" s="5">
        <f>D214*220</f>
        <v>440</v>
      </c>
      <c r="F214" s="1" t="s">
        <v>279</v>
      </c>
    </row>
    <row r="215" spans="1:6" x14ac:dyDescent="0.25">
      <c r="A215" s="1">
        <v>2</v>
      </c>
      <c r="B215" s="66">
        <v>46032</v>
      </c>
      <c r="C215" s="1" t="s">
        <v>19</v>
      </c>
      <c r="D215" s="1">
        <v>5</v>
      </c>
      <c r="E215" s="5">
        <f>D215*15</f>
        <v>75</v>
      </c>
      <c r="F215" s="1" t="s">
        <v>279</v>
      </c>
    </row>
    <row r="216" spans="1:6" x14ac:dyDescent="0.25">
      <c r="A216" s="1">
        <v>3</v>
      </c>
      <c r="B216" s="66">
        <v>46032</v>
      </c>
      <c r="C216" s="1" t="s">
        <v>50</v>
      </c>
      <c r="D216" s="1">
        <v>2</v>
      </c>
      <c r="E216" s="5">
        <f>D216*70</f>
        <v>140</v>
      </c>
      <c r="F216" s="1" t="s">
        <v>279</v>
      </c>
    </row>
    <row r="217" spans="1:6" x14ac:dyDescent="0.25">
      <c r="A217" s="1">
        <v>4</v>
      </c>
      <c r="B217" s="66">
        <v>46032</v>
      </c>
      <c r="C217" s="1" t="s">
        <v>33</v>
      </c>
      <c r="D217" s="1">
        <v>1</v>
      </c>
      <c r="E217" s="5">
        <f>D217*30</f>
        <v>30</v>
      </c>
      <c r="F217" s="1" t="s">
        <v>279</v>
      </c>
    </row>
    <row r="218" spans="1:6" ht="15.75" thickBot="1" x14ac:dyDescent="0.3">
      <c r="A218" s="289" t="s">
        <v>41</v>
      </c>
      <c r="B218" s="290"/>
      <c r="C218" s="290"/>
      <c r="D218" s="291"/>
      <c r="E218" s="25">
        <f>SUM(E214:E217)</f>
        <v>685</v>
      </c>
    </row>
    <row r="219" spans="1:6" ht="15.75" thickBot="1" x14ac:dyDescent="0.3"/>
    <row r="220" spans="1:6" ht="15.75" thickBot="1" x14ac:dyDescent="0.3">
      <c r="A220" s="292" t="s">
        <v>39</v>
      </c>
      <c r="B220" s="293"/>
      <c r="F220" s="14" t="s">
        <v>40</v>
      </c>
    </row>
    <row r="221" spans="1:6" ht="15.75" thickBot="1" x14ac:dyDescent="0.3"/>
    <row r="222" spans="1:6" ht="18.75" x14ac:dyDescent="0.3">
      <c r="A222" s="26" t="s">
        <v>0</v>
      </c>
      <c r="B222" s="27" t="s">
        <v>3</v>
      </c>
      <c r="C222" s="27" t="s">
        <v>1</v>
      </c>
      <c r="D222" s="27" t="s">
        <v>26</v>
      </c>
      <c r="E222" s="27" t="s">
        <v>23</v>
      </c>
      <c r="F222" s="28" t="s">
        <v>27</v>
      </c>
    </row>
    <row r="223" spans="1:6" x14ac:dyDescent="0.25">
      <c r="A223" s="1">
        <v>1</v>
      </c>
      <c r="B223" s="66">
        <v>46034</v>
      </c>
      <c r="C223" s="1" t="s">
        <v>614</v>
      </c>
      <c r="D223" s="1">
        <v>2</v>
      </c>
      <c r="E223" s="5">
        <f>D223*220</f>
        <v>440</v>
      </c>
      <c r="F223" s="1" t="s">
        <v>279</v>
      </c>
    </row>
    <row r="224" spans="1:6" x14ac:dyDescent="0.25">
      <c r="A224" s="1">
        <v>2</v>
      </c>
      <c r="B224" s="66">
        <v>46034</v>
      </c>
      <c r="C224" s="1" t="s">
        <v>19</v>
      </c>
      <c r="D224" s="1">
        <v>5</v>
      </c>
      <c r="E224" s="5">
        <f>D224*15</f>
        <v>75</v>
      </c>
      <c r="F224" s="1" t="s">
        <v>279</v>
      </c>
    </row>
    <row r="225" spans="1:6" x14ac:dyDescent="0.25">
      <c r="A225" s="1">
        <v>3</v>
      </c>
      <c r="B225" s="66">
        <v>46034</v>
      </c>
      <c r="C225" s="1" t="s">
        <v>50</v>
      </c>
      <c r="D225" s="1">
        <v>2</v>
      </c>
      <c r="E225" s="5">
        <f>D225*70</f>
        <v>140</v>
      </c>
      <c r="F225" s="1" t="s">
        <v>279</v>
      </c>
    </row>
    <row r="226" spans="1:6" x14ac:dyDescent="0.25">
      <c r="A226" s="1">
        <v>4</v>
      </c>
      <c r="B226" s="66">
        <v>46034</v>
      </c>
      <c r="C226" s="1" t="s">
        <v>33</v>
      </c>
      <c r="D226" s="1">
        <v>1</v>
      </c>
      <c r="E226" s="5">
        <v>40</v>
      </c>
      <c r="F226" s="1" t="s">
        <v>279</v>
      </c>
    </row>
    <row r="227" spans="1:6" ht="15.75" thickBot="1" x14ac:dyDescent="0.3">
      <c r="A227" s="289" t="s">
        <v>41</v>
      </c>
      <c r="B227" s="290"/>
      <c r="C227" s="290"/>
      <c r="D227" s="291"/>
      <c r="E227" s="25">
        <f>SUM(E223:E226)</f>
        <v>695</v>
      </c>
    </row>
    <row r="228" spans="1:6" ht="15.75" thickBot="1" x14ac:dyDescent="0.3"/>
    <row r="229" spans="1:6" ht="15.75" thickBot="1" x14ac:dyDescent="0.3">
      <c r="A229" s="292" t="s">
        <v>39</v>
      </c>
      <c r="B229" s="293"/>
      <c r="F229" s="14" t="s">
        <v>40</v>
      </c>
    </row>
    <row r="230" spans="1:6" ht="15.75" thickBot="1" x14ac:dyDescent="0.3"/>
    <row r="231" spans="1:6" ht="18.75" x14ac:dyDescent="0.3">
      <c r="A231" s="26" t="s">
        <v>0</v>
      </c>
      <c r="B231" s="27" t="s">
        <v>3</v>
      </c>
      <c r="C231" s="27" t="s">
        <v>1</v>
      </c>
      <c r="D231" s="27" t="s">
        <v>26</v>
      </c>
      <c r="E231" s="27" t="s">
        <v>23</v>
      </c>
      <c r="F231" s="28" t="s">
        <v>27</v>
      </c>
    </row>
    <row r="232" spans="1:6" x14ac:dyDescent="0.25">
      <c r="A232" s="1">
        <v>1</v>
      </c>
      <c r="B232" s="66">
        <v>46035</v>
      </c>
      <c r="C232" s="1" t="s">
        <v>720</v>
      </c>
      <c r="D232" s="1">
        <v>1</v>
      </c>
      <c r="E232" s="5">
        <f>D232*250</f>
        <v>250</v>
      </c>
      <c r="F232" s="1" t="s">
        <v>279</v>
      </c>
    </row>
    <row r="233" spans="1:6" x14ac:dyDescent="0.25">
      <c r="A233" s="1">
        <v>2</v>
      </c>
      <c r="B233" s="66">
        <v>46035</v>
      </c>
      <c r="C233" s="1" t="s">
        <v>178</v>
      </c>
      <c r="D233" s="1">
        <v>1</v>
      </c>
      <c r="E233" s="5">
        <v>50</v>
      </c>
      <c r="F233" s="1" t="s">
        <v>279</v>
      </c>
    </row>
    <row r="234" spans="1:6" x14ac:dyDescent="0.25">
      <c r="A234" s="1">
        <v>3</v>
      </c>
      <c r="B234" s="66">
        <v>46035</v>
      </c>
      <c r="C234" s="1" t="s">
        <v>33</v>
      </c>
      <c r="D234" s="1">
        <v>1</v>
      </c>
      <c r="E234" s="5">
        <v>30</v>
      </c>
      <c r="F234" s="1" t="s">
        <v>279</v>
      </c>
    </row>
    <row r="235" spans="1:6" x14ac:dyDescent="0.25">
      <c r="A235" s="1">
        <v>4</v>
      </c>
      <c r="B235" s="66">
        <v>46035</v>
      </c>
      <c r="C235" s="1" t="s">
        <v>50</v>
      </c>
      <c r="D235" s="1">
        <v>1</v>
      </c>
      <c r="E235" s="5">
        <v>70</v>
      </c>
      <c r="F235" s="1" t="s">
        <v>279</v>
      </c>
    </row>
    <row r="236" spans="1:6" ht="15.75" thickBot="1" x14ac:dyDescent="0.3">
      <c r="A236" s="289" t="s">
        <v>41</v>
      </c>
      <c r="B236" s="290"/>
      <c r="C236" s="290"/>
      <c r="D236" s="291"/>
      <c r="E236" s="25">
        <f>SUM(E232:E235)</f>
        <v>400</v>
      </c>
    </row>
    <row r="237" spans="1:6" ht="15.75" thickBot="1" x14ac:dyDescent="0.3"/>
    <row r="238" spans="1:6" ht="15.75" thickBot="1" x14ac:dyDescent="0.3">
      <c r="A238" s="292" t="s">
        <v>39</v>
      </c>
      <c r="B238" s="293"/>
      <c r="F238" s="14" t="s">
        <v>40</v>
      </c>
    </row>
    <row r="239" spans="1:6" ht="15.75" thickBot="1" x14ac:dyDescent="0.3"/>
    <row r="240" spans="1:6" ht="19.5" thickBot="1" x14ac:dyDescent="0.35">
      <c r="A240" s="10" t="s">
        <v>0</v>
      </c>
      <c r="B240" s="11" t="s">
        <v>3</v>
      </c>
      <c r="C240" s="11" t="s">
        <v>1</v>
      </c>
      <c r="D240" s="11" t="s">
        <v>26</v>
      </c>
      <c r="E240" s="11" t="s">
        <v>23</v>
      </c>
      <c r="F240" s="12" t="s">
        <v>27</v>
      </c>
    </row>
    <row r="241" spans="1:6" x14ac:dyDescent="0.25">
      <c r="A241" s="3">
        <v>1</v>
      </c>
      <c r="B241" s="67">
        <v>46035</v>
      </c>
      <c r="C241" s="3" t="s">
        <v>406</v>
      </c>
      <c r="D241" s="3">
        <v>78</v>
      </c>
      <c r="E241" s="4">
        <f>D241*110</f>
        <v>8580</v>
      </c>
      <c r="F241" s="1" t="s">
        <v>279</v>
      </c>
    </row>
    <row r="242" spans="1:6" ht="15.75" thickBot="1" x14ac:dyDescent="0.3">
      <c r="A242" s="289" t="s">
        <v>41</v>
      </c>
      <c r="B242" s="290"/>
      <c r="C242" s="290"/>
      <c r="D242" s="291"/>
      <c r="E242" s="54">
        <f>SUM(E241:E241)</f>
        <v>8580</v>
      </c>
    </row>
    <row r="243" spans="1:6" ht="15.75" thickBot="1" x14ac:dyDescent="0.3"/>
    <row r="244" spans="1:6" ht="15.75" thickBot="1" x14ac:dyDescent="0.3">
      <c r="A244" s="292" t="s">
        <v>39</v>
      </c>
      <c r="B244" s="293"/>
      <c r="F244" s="14" t="s">
        <v>40</v>
      </c>
    </row>
    <row r="245" spans="1:6" ht="15.75" thickBot="1" x14ac:dyDescent="0.3"/>
    <row r="246" spans="1:6" ht="19.5" thickBot="1" x14ac:dyDescent="0.35">
      <c r="A246" s="10" t="s">
        <v>0</v>
      </c>
      <c r="B246" s="11" t="s">
        <v>3</v>
      </c>
      <c r="C246" s="11" t="s">
        <v>1</v>
      </c>
      <c r="D246" s="11" t="s">
        <v>26</v>
      </c>
      <c r="E246" s="11" t="s">
        <v>23</v>
      </c>
      <c r="F246" s="12" t="s">
        <v>27</v>
      </c>
    </row>
    <row r="247" spans="1:6" x14ac:dyDescent="0.25">
      <c r="A247" s="3">
        <v>1</v>
      </c>
      <c r="B247" s="67">
        <v>46036</v>
      </c>
      <c r="C247" s="3" t="s">
        <v>406</v>
      </c>
      <c r="D247" s="3">
        <v>90</v>
      </c>
      <c r="E247" s="4">
        <f>D247*110</f>
        <v>9900</v>
      </c>
      <c r="F247" s="1" t="s">
        <v>279</v>
      </c>
    </row>
    <row r="248" spans="1:6" ht="15.75" thickBot="1" x14ac:dyDescent="0.3">
      <c r="A248" s="289" t="s">
        <v>41</v>
      </c>
      <c r="B248" s="290"/>
      <c r="C248" s="290"/>
      <c r="D248" s="291"/>
      <c r="E248" s="54">
        <f>SUM(E247:E247)</f>
        <v>9900</v>
      </c>
    </row>
    <row r="249" spans="1:6" ht="15.75" thickBot="1" x14ac:dyDescent="0.3"/>
    <row r="250" spans="1:6" ht="15.75" thickBot="1" x14ac:dyDescent="0.3">
      <c r="A250" s="292" t="s">
        <v>39</v>
      </c>
      <c r="B250" s="293"/>
      <c r="F250" s="14" t="s">
        <v>40</v>
      </c>
    </row>
    <row r="251" spans="1:6" ht="15.75" thickBot="1" x14ac:dyDescent="0.3"/>
    <row r="252" spans="1:6" ht="18.75" x14ac:dyDescent="0.3">
      <c r="A252" s="26" t="s">
        <v>0</v>
      </c>
      <c r="B252" s="27" t="s">
        <v>3</v>
      </c>
      <c r="C252" s="27" t="s">
        <v>1</v>
      </c>
      <c r="D252" s="27" t="s">
        <v>26</v>
      </c>
      <c r="E252" s="27" t="s">
        <v>23</v>
      </c>
      <c r="F252" s="28" t="s">
        <v>27</v>
      </c>
    </row>
    <row r="253" spans="1:6" x14ac:dyDescent="0.25">
      <c r="A253" s="1">
        <v>1</v>
      </c>
      <c r="B253" s="66">
        <v>46037</v>
      </c>
      <c r="C253" s="1" t="s">
        <v>254</v>
      </c>
      <c r="D253" s="1" t="s">
        <v>345</v>
      </c>
      <c r="E253" s="5">
        <f>1600*1.5</f>
        <v>2400</v>
      </c>
      <c r="F253" s="1" t="s">
        <v>279</v>
      </c>
    </row>
    <row r="254" spans="1:6" x14ac:dyDescent="0.25">
      <c r="A254" s="1">
        <v>2</v>
      </c>
      <c r="B254" s="66">
        <v>46037</v>
      </c>
      <c r="C254" s="1" t="s">
        <v>19</v>
      </c>
      <c r="D254" s="1">
        <v>15</v>
      </c>
      <c r="E254" s="5">
        <f>D254*15</f>
        <v>225</v>
      </c>
      <c r="F254" s="1" t="s">
        <v>279</v>
      </c>
    </row>
    <row r="255" spans="1:6" x14ac:dyDescent="0.25">
      <c r="A255" s="1">
        <v>3</v>
      </c>
      <c r="B255" s="66">
        <v>46037</v>
      </c>
      <c r="C255" s="1" t="s">
        <v>33</v>
      </c>
      <c r="D255" s="1">
        <v>4</v>
      </c>
      <c r="E255" s="5">
        <f>D255*30</f>
        <v>120</v>
      </c>
      <c r="F255" s="1" t="s">
        <v>279</v>
      </c>
    </row>
    <row r="256" spans="1:6" x14ac:dyDescent="0.25">
      <c r="A256" s="1">
        <v>4</v>
      </c>
      <c r="B256" s="66">
        <v>46037</v>
      </c>
      <c r="C256" s="1" t="s">
        <v>50</v>
      </c>
      <c r="D256" s="1">
        <v>8</v>
      </c>
      <c r="E256" s="5">
        <f>D256*70</f>
        <v>560</v>
      </c>
      <c r="F256" s="1" t="s">
        <v>279</v>
      </c>
    </row>
    <row r="257" spans="1:6" x14ac:dyDescent="0.25">
      <c r="A257" s="1">
        <v>5</v>
      </c>
      <c r="B257" s="66">
        <v>46037</v>
      </c>
      <c r="C257" s="24" t="s">
        <v>178</v>
      </c>
      <c r="D257" s="24">
        <v>0.25</v>
      </c>
      <c r="E257" s="5">
        <f>D257*400</f>
        <v>100</v>
      </c>
      <c r="F257" s="1" t="s">
        <v>279</v>
      </c>
    </row>
    <row r="258" spans="1:6" ht="15.75" thickBot="1" x14ac:dyDescent="0.3">
      <c r="A258" s="289" t="s">
        <v>41</v>
      </c>
      <c r="B258" s="290"/>
      <c r="C258" s="290"/>
      <c r="D258" s="291"/>
      <c r="E258" s="25">
        <f>SUM(E253:E257)</f>
        <v>3405</v>
      </c>
    </row>
    <row r="259" spans="1:6" ht="15.75" thickBot="1" x14ac:dyDescent="0.3"/>
    <row r="260" spans="1:6" ht="15.75" thickBot="1" x14ac:dyDescent="0.3">
      <c r="A260" s="292" t="s">
        <v>39</v>
      </c>
      <c r="B260" s="293"/>
      <c r="F260" s="14" t="s">
        <v>40</v>
      </c>
    </row>
    <row r="261" spans="1:6" ht="15.75" thickBot="1" x14ac:dyDescent="0.3"/>
    <row r="262" spans="1:6" ht="18.75" x14ac:dyDescent="0.3">
      <c r="A262" s="26" t="s">
        <v>0</v>
      </c>
      <c r="B262" s="27" t="s">
        <v>3</v>
      </c>
      <c r="C262" s="27" t="s">
        <v>1</v>
      </c>
      <c r="D262" s="27" t="s">
        <v>26</v>
      </c>
      <c r="E262" s="27" t="s">
        <v>23</v>
      </c>
      <c r="F262" s="28" t="s">
        <v>27</v>
      </c>
    </row>
    <row r="263" spans="1:6" x14ac:dyDescent="0.25">
      <c r="A263" s="1">
        <v>1</v>
      </c>
      <c r="B263" s="66">
        <v>46038</v>
      </c>
      <c r="C263" s="1" t="s">
        <v>560</v>
      </c>
      <c r="D263" s="1">
        <v>5</v>
      </c>
      <c r="E263" s="5">
        <f>D263*320</f>
        <v>1600</v>
      </c>
      <c r="F263" s="1" t="s">
        <v>279</v>
      </c>
    </row>
    <row r="264" spans="1:6" x14ac:dyDescent="0.25">
      <c r="A264" s="1">
        <v>2</v>
      </c>
      <c r="B264" s="66">
        <v>46038</v>
      </c>
      <c r="C264" s="1" t="s">
        <v>178</v>
      </c>
      <c r="D264" s="1">
        <v>0.5</v>
      </c>
      <c r="E264" s="5">
        <f>D264*400</f>
        <v>200</v>
      </c>
      <c r="F264" s="1" t="s">
        <v>279</v>
      </c>
    </row>
    <row r="265" spans="1:6" x14ac:dyDescent="0.25">
      <c r="A265" s="1">
        <v>3</v>
      </c>
      <c r="B265" s="66">
        <v>46038</v>
      </c>
      <c r="C265" s="1" t="s">
        <v>33</v>
      </c>
      <c r="D265" s="1">
        <v>2</v>
      </c>
      <c r="E265" s="5">
        <f>D265*30</f>
        <v>60</v>
      </c>
      <c r="F265" s="1" t="s">
        <v>279</v>
      </c>
    </row>
    <row r="266" spans="1:6" x14ac:dyDescent="0.25">
      <c r="A266" s="1">
        <v>4</v>
      </c>
      <c r="B266" s="66">
        <v>46038</v>
      </c>
      <c r="C266" s="1" t="s">
        <v>50</v>
      </c>
      <c r="D266" s="1">
        <v>3</v>
      </c>
      <c r="E266" s="5">
        <f>D266*70</f>
        <v>210</v>
      </c>
      <c r="F266" s="1" t="s">
        <v>279</v>
      </c>
    </row>
    <row r="267" spans="1:6" x14ac:dyDescent="0.25">
      <c r="A267" s="1">
        <v>5</v>
      </c>
      <c r="B267" s="66">
        <v>46038</v>
      </c>
      <c r="C267" s="24" t="s">
        <v>204</v>
      </c>
      <c r="D267" s="24">
        <v>1</v>
      </c>
      <c r="E267" s="5">
        <f>D267*250</f>
        <v>250</v>
      </c>
      <c r="F267" s="1" t="s">
        <v>279</v>
      </c>
    </row>
    <row r="268" spans="1:6" ht="15.75" thickBot="1" x14ac:dyDescent="0.3">
      <c r="A268" s="289" t="s">
        <v>41</v>
      </c>
      <c r="B268" s="290"/>
      <c r="C268" s="290"/>
      <c r="D268" s="291"/>
      <c r="E268" s="25">
        <f>SUM(E263:E267)</f>
        <v>2320</v>
      </c>
    </row>
    <row r="269" spans="1:6" ht="15.75" thickBot="1" x14ac:dyDescent="0.3"/>
    <row r="270" spans="1:6" ht="15.75" thickBot="1" x14ac:dyDescent="0.3">
      <c r="A270" s="292" t="s">
        <v>39</v>
      </c>
      <c r="B270" s="293"/>
      <c r="F270" s="14" t="s">
        <v>40</v>
      </c>
    </row>
    <row r="271" spans="1:6" ht="15.75" thickBot="1" x14ac:dyDescent="0.3"/>
    <row r="272" spans="1:6" ht="18.75" x14ac:dyDescent="0.3">
      <c r="A272" s="26" t="s">
        <v>0</v>
      </c>
      <c r="B272" s="27" t="s">
        <v>3</v>
      </c>
      <c r="C272" s="27" t="s">
        <v>1</v>
      </c>
      <c r="D272" s="27" t="s">
        <v>26</v>
      </c>
      <c r="E272" s="27" t="s">
        <v>23</v>
      </c>
      <c r="F272" s="28" t="s">
        <v>27</v>
      </c>
    </row>
    <row r="273" spans="1:12" x14ac:dyDescent="0.25">
      <c r="A273" s="1">
        <v>1</v>
      </c>
      <c r="B273" s="66">
        <v>46039</v>
      </c>
      <c r="C273" s="1" t="s">
        <v>657</v>
      </c>
      <c r="D273" s="1">
        <v>3</v>
      </c>
      <c r="E273" s="5">
        <f>D273*220</f>
        <v>660</v>
      </c>
      <c r="F273" s="1" t="s">
        <v>279</v>
      </c>
    </row>
    <row r="274" spans="1:12" x14ac:dyDescent="0.25">
      <c r="A274" s="1">
        <v>2</v>
      </c>
      <c r="B274" s="66">
        <v>46039</v>
      </c>
      <c r="C274" s="1" t="s">
        <v>19</v>
      </c>
      <c r="D274" s="1">
        <v>8</v>
      </c>
      <c r="E274" s="5">
        <f>D274*15</f>
        <v>120</v>
      </c>
      <c r="F274" s="1" t="s">
        <v>279</v>
      </c>
    </row>
    <row r="275" spans="1:12" x14ac:dyDescent="0.25">
      <c r="A275" s="1">
        <v>3</v>
      </c>
      <c r="B275" s="66">
        <v>46039</v>
      </c>
      <c r="C275" s="1" t="s">
        <v>33</v>
      </c>
      <c r="D275" s="1">
        <v>1</v>
      </c>
      <c r="E275" s="5">
        <f>D275*30</f>
        <v>30</v>
      </c>
      <c r="F275" s="1" t="s">
        <v>279</v>
      </c>
    </row>
    <row r="276" spans="1:12" x14ac:dyDescent="0.25">
      <c r="A276" s="1">
        <v>4</v>
      </c>
      <c r="B276" s="66">
        <v>46039</v>
      </c>
      <c r="C276" s="1" t="s">
        <v>50</v>
      </c>
      <c r="D276" s="1">
        <v>3</v>
      </c>
      <c r="E276" s="5">
        <f>D276*70</f>
        <v>210</v>
      </c>
      <c r="F276" s="1" t="s">
        <v>279</v>
      </c>
    </row>
    <row r="277" spans="1:12" x14ac:dyDescent="0.25">
      <c r="A277" s="1">
        <v>5</v>
      </c>
      <c r="B277" s="66">
        <v>46039</v>
      </c>
      <c r="C277" s="24" t="s">
        <v>401</v>
      </c>
      <c r="D277" s="24">
        <v>2</v>
      </c>
      <c r="E277" s="5">
        <f>D277*45</f>
        <v>90</v>
      </c>
      <c r="F277" s="1" t="s">
        <v>279</v>
      </c>
    </row>
    <row r="278" spans="1:12" x14ac:dyDescent="0.25">
      <c r="A278" s="1">
        <v>6</v>
      </c>
      <c r="B278" s="66">
        <v>46039</v>
      </c>
      <c r="C278" s="24" t="s">
        <v>948</v>
      </c>
      <c r="D278" s="24">
        <v>2</v>
      </c>
      <c r="E278" s="5">
        <f>D278*90</f>
        <v>180</v>
      </c>
      <c r="F278" s="1" t="s">
        <v>279</v>
      </c>
      <c r="L278" s="53"/>
    </row>
    <row r="279" spans="1:12" x14ac:dyDescent="0.25">
      <c r="A279" s="1">
        <v>7</v>
      </c>
      <c r="B279" s="66">
        <v>46039</v>
      </c>
      <c r="C279" s="24" t="s">
        <v>197</v>
      </c>
      <c r="D279" s="24">
        <v>5</v>
      </c>
      <c r="E279" s="5">
        <f>D279*40</f>
        <v>200</v>
      </c>
      <c r="F279" s="1" t="s">
        <v>279</v>
      </c>
    </row>
    <row r="280" spans="1:12" x14ac:dyDescent="0.25">
      <c r="A280" s="1">
        <v>8</v>
      </c>
      <c r="B280" s="66">
        <v>46039</v>
      </c>
      <c r="C280" s="24" t="s">
        <v>198</v>
      </c>
      <c r="D280" s="24">
        <v>2</v>
      </c>
      <c r="E280" s="5">
        <f>D280*50</f>
        <v>100</v>
      </c>
      <c r="F280" s="1" t="s">
        <v>279</v>
      </c>
    </row>
    <row r="281" spans="1:12" ht="15.75" thickBot="1" x14ac:dyDescent="0.3">
      <c r="A281" s="289" t="s">
        <v>41</v>
      </c>
      <c r="B281" s="290"/>
      <c r="C281" s="290"/>
      <c r="D281" s="291"/>
      <c r="E281" s="25">
        <f>SUM(E273:E280)</f>
        <v>1590</v>
      </c>
    </row>
    <row r="282" spans="1:12" ht="15.75" thickBot="1" x14ac:dyDescent="0.3"/>
    <row r="283" spans="1:12" ht="15.75" thickBot="1" x14ac:dyDescent="0.3">
      <c r="A283" s="292" t="s">
        <v>39</v>
      </c>
      <c r="B283" s="293"/>
      <c r="F283" s="14" t="s">
        <v>40</v>
      </c>
    </row>
  </sheetData>
  <mergeCells count="66">
    <mergeCell ref="A209:D209"/>
    <mergeCell ref="A211:B211"/>
    <mergeCell ref="A258:D258"/>
    <mergeCell ref="A260:B260"/>
    <mergeCell ref="A248:D248"/>
    <mergeCell ref="A250:B250"/>
    <mergeCell ref="A236:D236"/>
    <mergeCell ref="A238:B238"/>
    <mergeCell ref="A242:D242"/>
    <mergeCell ref="A244:B244"/>
    <mergeCell ref="A115:D115"/>
    <mergeCell ref="A200:D200"/>
    <mergeCell ref="A202:B202"/>
    <mergeCell ref="A85:B85"/>
    <mergeCell ref="A128:D128"/>
    <mergeCell ref="A130:B130"/>
    <mergeCell ref="A121:D121"/>
    <mergeCell ref="A123:B123"/>
    <mergeCell ref="A117:B117"/>
    <mergeCell ref="A186:D186"/>
    <mergeCell ref="A188:B188"/>
    <mergeCell ref="A192:D192"/>
    <mergeCell ref="A194:B194"/>
    <mergeCell ref="A176:D176"/>
    <mergeCell ref="A138:B138"/>
    <mergeCell ref="A142:D142"/>
    <mergeCell ref="A83:D83"/>
    <mergeCell ref="A8:D8"/>
    <mergeCell ref="A10:B10"/>
    <mergeCell ref="A20:D20"/>
    <mergeCell ref="A22:B22"/>
    <mergeCell ref="A32:D32"/>
    <mergeCell ref="A66:D66"/>
    <mergeCell ref="A68:B68"/>
    <mergeCell ref="A136:D136"/>
    <mergeCell ref="A34:B34"/>
    <mergeCell ref="A104:D104"/>
    <mergeCell ref="A106:B106"/>
    <mergeCell ref="A44:D44"/>
    <mergeCell ref="A46:B46"/>
    <mergeCell ref="A50:D50"/>
    <mergeCell ref="A52:B52"/>
    <mergeCell ref="A89:D89"/>
    <mergeCell ref="A91:B91"/>
    <mergeCell ref="A98:D98"/>
    <mergeCell ref="A100:B100"/>
    <mergeCell ref="A60:D60"/>
    <mergeCell ref="A62:B62"/>
    <mergeCell ref="A73:D73"/>
    <mergeCell ref="A75:B75"/>
    <mergeCell ref="A281:D281"/>
    <mergeCell ref="A283:B283"/>
    <mergeCell ref="A268:D268"/>
    <mergeCell ref="A270:B270"/>
    <mergeCell ref="A144:B144"/>
    <mergeCell ref="A150:D150"/>
    <mergeCell ref="A152:B152"/>
    <mergeCell ref="A178:B178"/>
    <mergeCell ref="A161:D161"/>
    <mergeCell ref="A163:B163"/>
    <mergeCell ref="A168:D168"/>
    <mergeCell ref="A170:B170"/>
    <mergeCell ref="A227:D227"/>
    <mergeCell ref="A229:B229"/>
    <mergeCell ref="A218:D218"/>
    <mergeCell ref="A220:B220"/>
  </mergeCells>
  <pageMargins left="0.70866141732283472" right="0.70866141732283472" top="0.74803149606299213" bottom="0.74803149606299213" header="0.31496062992125984" footer="0.31496062992125984"/>
  <pageSetup scale="115"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opLeftCell="A24" zoomScale="175" zoomScaleNormal="175" workbookViewId="0">
      <selection activeCell="A44" sqref="A44:B44"/>
    </sheetView>
  </sheetViews>
  <sheetFormatPr defaultRowHeight="15" x14ac:dyDescent="0.25"/>
  <cols>
    <col min="1" max="1" width="4.28515625" bestFit="1" customWidth="1"/>
    <col min="2" max="2" width="11.85546875" bestFit="1" customWidth="1"/>
    <col min="3" max="3" width="10.85546875" bestFit="1" customWidth="1"/>
    <col min="4" max="4" width="12.28515625" bestFit="1" customWidth="1"/>
    <col min="5" max="5" width="20.85546875" bestFit="1" customWidth="1"/>
  </cols>
  <sheetData>
    <row r="1" spans="1:5" ht="18.75" x14ac:dyDescent="0.3">
      <c r="A1" s="321" t="s">
        <v>545</v>
      </c>
      <c r="B1" s="321"/>
      <c r="C1" s="321"/>
      <c r="D1" s="321"/>
      <c r="E1" s="321"/>
    </row>
    <row r="2" spans="1:5" x14ac:dyDescent="0.25">
      <c r="A2" s="2" t="s">
        <v>0</v>
      </c>
      <c r="B2" s="2" t="s">
        <v>3</v>
      </c>
      <c r="C2" s="2" t="s">
        <v>24</v>
      </c>
      <c r="D2" s="2" t="s">
        <v>8</v>
      </c>
      <c r="E2" s="2" t="s">
        <v>540</v>
      </c>
    </row>
    <row r="3" spans="1:5" x14ac:dyDescent="0.25">
      <c r="A3" s="58">
        <v>1</v>
      </c>
      <c r="B3" s="106">
        <v>46007</v>
      </c>
      <c r="C3" s="58" t="s">
        <v>546</v>
      </c>
      <c r="D3" s="5">
        <v>2090</v>
      </c>
      <c r="E3" s="58" t="s">
        <v>279</v>
      </c>
    </row>
    <row r="4" spans="1:5" x14ac:dyDescent="0.25">
      <c r="A4" s="58">
        <v>2</v>
      </c>
      <c r="B4" s="106">
        <v>46009</v>
      </c>
      <c r="C4" s="58" t="s">
        <v>546</v>
      </c>
      <c r="D4" s="5">
        <v>1190</v>
      </c>
      <c r="E4" s="58" t="s">
        <v>279</v>
      </c>
    </row>
    <row r="5" spans="1:5" x14ac:dyDescent="0.25">
      <c r="A5" s="58">
        <v>3</v>
      </c>
      <c r="B5" s="106">
        <v>46010</v>
      </c>
      <c r="C5" s="58" t="s">
        <v>546</v>
      </c>
      <c r="D5" s="5">
        <v>1920</v>
      </c>
      <c r="E5" s="58" t="s">
        <v>279</v>
      </c>
    </row>
    <row r="6" spans="1:5" x14ac:dyDescent="0.25">
      <c r="A6" s="58">
        <v>4</v>
      </c>
      <c r="B6" s="106">
        <v>46011</v>
      </c>
      <c r="C6" s="58" t="s">
        <v>546</v>
      </c>
      <c r="D6" s="5">
        <v>1720</v>
      </c>
      <c r="E6" s="58" t="s">
        <v>279</v>
      </c>
    </row>
    <row r="7" spans="1:5" x14ac:dyDescent="0.25">
      <c r="A7" s="58">
        <v>5</v>
      </c>
      <c r="B7" s="66">
        <v>46011</v>
      </c>
      <c r="C7" s="66" t="s">
        <v>546</v>
      </c>
      <c r="D7" s="5">
        <v>7920</v>
      </c>
      <c r="E7" s="1" t="s">
        <v>279</v>
      </c>
    </row>
    <row r="8" spans="1:5" x14ac:dyDescent="0.25">
      <c r="A8" s="58">
        <v>6</v>
      </c>
      <c r="B8" s="66">
        <v>46013</v>
      </c>
      <c r="C8" s="66" t="s">
        <v>546</v>
      </c>
      <c r="D8" s="5">
        <v>950</v>
      </c>
      <c r="E8" s="1" t="s">
        <v>279</v>
      </c>
    </row>
    <row r="9" spans="1:5" x14ac:dyDescent="0.25">
      <c r="A9" s="58">
        <v>7</v>
      </c>
      <c r="B9" s="66">
        <v>46014</v>
      </c>
      <c r="C9" s="66" t="s">
        <v>546</v>
      </c>
      <c r="D9" s="5">
        <v>9790</v>
      </c>
      <c r="E9" s="1" t="s">
        <v>279</v>
      </c>
    </row>
    <row r="10" spans="1:5" x14ac:dyDescent="0.25">
      <c r="A10" s="58">
        <v>8</v>
      </c>
      <c r="B10" s="66">
        <v>46014</v>
      </c>
      <c r="C10" s="66" t="s">
        <v>546</v>
      </c>
      <c r="D10" s="5">
        <v>1325</v>
      </c>
      <c r="E10" s="1" t="s">
        <v>279</v>
      </c>
    </row>
    <row r="11" spans="1:5" x14ac:dyDescent="0.25">
      <c r="A11" s="58">
        <v>10</v>
      </c>
      <c r="B11" s="66">
        <v>46015</v>
      </c>
      <c r="C11" s="66" t="s">
        <v>546</v>
      </c>
      <c r="D11" s="5">
        <v>1300</v>
      </c>
      <c r="E11" s="1" t="s">
        <v>279</v>
      </c>
    </row>
    <row r="12" spans="1:5" x14ac:dyDescent="0.25">
      <c r="A12" s="58">
        <v>11</v>
      </c>
      <c r="B12" s="66">
        <v>46015</v>
      </c>
      <c r="C12" s="66" t="s">
        <v>546</v>
      </c>
      <c r="D12" s="5">
        <v>10560</v>
      </c>
      <c r="E12" s="1" t="s">
        <v>279</v>
      </c>
    </row>
    <row r="13" spans="1:5" x14ac:dyDescent="0.25">
      <c r="A13" s="58">
        <v>13</v>
      </c>
      <c r="B13" s="66">
        <v>46017</v>
      </c>
      <c r="C13" s="66" t="s">
        <v>546</v>
      </c>
      <c r="D13" s="5">
        <v>9900</v>
      </c>
      <c r="E13" s="1" t="s">
        <v>279</v>
      </c>
    </row>
    <row r="14" spans="1:5" x14ac:dyDescent="0.25">
      <c r="A14" s="58">
        <v>14</v>
      </c>
      <c r="B14" s="66">
        <v>46017</v>
      </c>
      <c r="C14" s="66" t="s">
        <v>546</v>
      </c>
      <c r="D14" s="5">
        <v>1340</v>
      </c>
      <c r="E14" s="1" t="s">
        <v>279</v>
      </c>
    </row>
    <row r="15" spans="1:5" x14ac:dyDescent="0.25">
      <c r="A15" s="58">
        <v>15</v>
      </c>
      <c r="B15" s="66">
        <v>46020</v>
      </c>
      <c r="C15" s="66" t="s">
        <v>546</v>
      </c>
      <c r="D15" s="5">
        <v>8140</v>
      </c>
      <c r="E15" s="1" t="s">
        <v>279</v>
      </c>
    </row>
    <row r="16" spans="1:5" x14ac:dyDescent="0.25">
      <c r="A16" s="58">
        <v>16</v>
      </c>
      <c r="B16" s="66">
        <v>46022</v>
      </c>
      <c r="C16" s="66" t="s">
        <v>547</v>
      </c>
      <c r="D16" s="5">
        <v>895</v>
      </c>
      <c r="E16" s="1" t="s">
        <v>279</v>
      </c>
    </row>
    <row r="17" spans="1:5" ht="18.75" x14ac:dyDescent="0.3">
      <c r="A17" s="325" t="s">
        <v>41</v>
      </c>
      <c r="B17" s="325"/>
      <c r="C17" s="325"/>
      <c r="D17" s="115">
        <f>SUM(D3:D16)</f>
        <v>59040</v>
      </c>
      <c r="E17" s="1"/>
    </row>
    <row r="19" spans="1:5" ht="18.75" x14ac:dyDescent="0.3">
      <c r="A19" s="321" t="s">
        <v>545</v>
      </c>
      <c r="B19" s="321"/>
      <c r="C19" s="321"/>
      <c r="D19" s="321"/>
      <c r="E19" s="321"/>
    </row>
    <row r="20" spans="1:5" x14ac:dyDescent="0.25">
      <c r="A20" s="2" t="s">
        <v>0</v>
      </c>
      <c r="B20" s="2" t="s">
        <v>3</v>
      </c>
      <c r="C20" s="2" t="s">
        <v>24</v>
      </c>
      <c r="D20" s="2" t="s">
        <v>8</v>
      </c>
      <c r="E20" s="2" t="s">
        <v>540</v>
      </c>
    </row>
    <row r="21" spans="1:5" x14ac:dyDescent="0.25">
      <c r="A21" s="58">
        <v>1</v>
      </c>
      <c r="B21" s="106">
        <v>46023</v>
      </c>
      <c r="C21" s="58" t="s">
        <v>547</v>
      </c>
      <c r="D21" s="5">
        <v>710</v>
      </c>
      <c r="E21" s="58" t="s">
        <v>279</v>
      </c>
    </row>
    <row r="22" spans="1:5" x14ac:dyDescent="0.25">
      <c r="A22" s="58">
        <v>2</v>
      </c>
      <c r="B22" s="106">
        <v>46023</v>
      </c>
      <c r="C22" s="58" t="s">
        <v>547</v>
      </c>
      <c r="D22" s="5">
        <v>8800</v>
      </c>
      <c r="E22" s="58" t="s">
        <v>279</v>
      </c>
    </row>
    <row r="23" spans="1:5" x14ac:dyDescent="0.25">
      <c r="A23" s="58">
        <v>3</v>
      </c>
      <c r="B23" s="106">
        <v>46024</v>
      </c>
      <c r="C23" s="58" t="s">
        <v>547</v>
      </c>
      <c r="D23" s="5">
        <v>420</v>
      </c>
      <c r="E23" s="58" t="s">
        <v>279</v>
      </c>
    </row>
    <row r="24" spans="1:5" x14ac:dyDescent="0.25">
      <c r="A24" s="58">
        <v>4</v>
      </c>
      <c r="B24" s="106">
        <v>46024</v>
      </c>
      <c r="C24" s="58" t="s">
        <v>547</v>
      </c>
      <c r="D24" s="5">
        <v>10340</v>
      </c>
      <c r="E24" s="58" t="s">
        <v>279</v>
      </c>
    </row>
    <row r="25" spans="1:5" x14ac:dyDescent="0.25">
      <c r="A25" s="58">
        <v>5</v>
      </c>
      <c r="B25" s="106">
        <v>46025</v>
      </c>
      <c r="C25" s="58" t="s">
        <v>547</v>
      </c>
      <c r="D25" s="5">
        <v>1090</v>
      </c>
      <c r="E25" s="1" t="s">
        <v>279</v>
      </c>
    </row>
    <row r="26" spans="1:5" x14ac:dyDescent="0.25">
      <c r="A26" s="58">
        <v>6</v>
      </c>
      <c r="B26" s="106">
        <v>46027</v>
      </c>
      <c r="C26" s="58" t="s">
        <v>547</v>
      </c>
      <c r="D26" s="5">
        <v>5350</v>
      </c>
      <c r="E26" s="1" t="s">
        <v>279</v>
      </c>
    </row>
    <row r="27" spans="1:5" x14ac:dyDescent="0.25">
      <c r="A27" s="58">
        <v>7</v>
      </c>
      <c r="B27" s="106">
        <v>46028</v>
      </c>
      <c r="C27" s="58" t="s">
        <v>547</v>
      </c>
      <c r="D27" s="5">
        <v>750</v>
      </c>
      <c r="E27" s="1" t="s">
        <v>279</v>
      </c>
    </row>
    <row r="28" spans="1:5" x14ac:dyDescent="0.25">
      <c r="A28" s="58">
        <v>8</v>
      </c>
      <c r="B28" s="106">
        <v>46029</v>
      </c>
      <c r="C28" s="58" t="s">
        <v>547</v>
      </c>
      <c r="D28" s="5">
        <v>560</v>
      </c>
      <c r="E28" s="1" t="s">
        <v>279</v>
      </c>
    </row>
    <row r="29" spans="1:5" x14ac:dyDescent="0.25">
      <c r="A29" s="58">
        <v>9</v>
      </c>
      <c r="B29" s="106">
        <v>46030</v>
      </c>
      <c r="C29" s="58" t="s">
        <v>547</v>
      </c>
      <c r="D29" s="5">
        <v>915</v>
      </c>
      <c r="E29" s="1" t="s">
        <v>279</v>
      </c>
    </row>
    <row r="30" spans="1:5" x14ac:dyDescent="0.25">
      <c r="A30" s="58">
        <v>10</v>
      </c>
      <c r="B30" s="106">
        <v>46030</v>
      </c>
      <c r="C30" s="58" t="s">
        <v>547</v>
      </c>
      <c r="D30" s="5">
        <v>9240</v>
      </c>
      <c r="E30" s="1" t="s">
        <v>279</v>
      </c>
    </row>
    <row r="31" spans="1:5" x14ac:dyDescent="0.25">
      <c r="A31" s="58">
        <v>11</v>
      </c>
      <c r="B31" s="106">
        <v>46031</v>
      </c>
      <c r="C31" s="58" t="s">
        <v>547</v>
      </c>
      <c r="D31" s="5">
        <v>1010</v>
      </c>
      <c r="E31" s="1" t="s">
        <v>279</v>
      </c>
    </row>
    <row r="32" spans="1:5" x14ac:dyDescent="0.25">
      <c r="A32" s="58">
        <v>12</v>
      </c>
      <c r="B32" s="106">
        <v>46031</v>
      </c>
      <c r="C32" s="58" t="s">
        <v>547</v>
      </c>
      <c r="D32" s="5">
        <v>7805</v>
      </c>
      <c r="E32" s="1" t="s">
        <v>279</v>
      </c>
    </row>
    <row r="33" spans="1:5" x14ac:dyDescent="0.25">
      <c r="A33" s="58">
        <v>13</v>
      </c>
      <c r="B33" s="106">
        <v>46032</v>
      </c>
      <c r="C33" s="58" t="s">
        <v>547</v>
      </c>
      <c r="D33" s="5">
        <v>685</v>
      </c>
      <c r="E33" s="1" t="s">
        <v>279</v>
      </c>
    </row>
    <row r="34" spans="1:5" x14ac:dyDescent="0.25">
      <c r="A34" s="58">
        <v>14</v>
      </c>
      <c r="B34" s="106">
        <v>46034</v>
      </c>
      <c r="C34" s="58" t="s">
        <v>547</v>
      </c>
      <c r="D34" s="5">
        <v>695</v>
      </c>
      <c r="E34" s="1" t="s">
        <v>279</v>
      </c>
    </row>
    <row r="35" spans="1:5" x14ac:dyDescent="0.25">
      <c r="A35" s="58">
        <v>15</v>
      </c>
      <c r="B35" s="106">
        <v>46035</v>
      </c>
      <c r="C35" s="58" t="s">
        <v>547</v>
      </c>
      <c r="D35" s="5">
        <v>8580</v>
      </c>
      <c r="E35" s="1" t="s">
        <v>279</v>
      </c>
    </row>
    <row r="36" spans="1:5" x14ac:dyDescent="0.25">
      <c r="A36" s="58">
        <v>16</v>
      </c>
      <c r="B36" s="106">
        <v>46035</v>
      </c>
      <c r="C36" s="58" t="s">
        <v>547</v>
      </c>
      <c r="D36" s="5">
        <v>400</v>
      </c>
      <c r="E36" s="1" t="s">
        <v>279</v>
      </c>
    </row>
    <row r="37" spans="1:5" x14ac:dyDescent="0.25">
      <c r="A37" s="58">
        <v>17</v>
      </c>
      <c r="B37" s="106">
        <v>46036</v>
      </c>
      <c r="C37" s="58" t="s">
        <v>547</v>
      </c>
      <c r="D37" s="5">
        <v>9900</v>
      </c>
      <c r="E37" s="1" t="s">
        <v>279</v>
      </c>
    </row>
    <row r="38" spans="1:5" x14ac:dyDescent="0.25">
      <c r="A38" s="58">
        <v>18</v>
      </c>
      <c r="B38" s="106">
        <v>46037</v>
      </c>
      <c r="C38" s="58" t="s">
        <v>547</v>
      </c>
      <c r="D38" s="5">
        <v>3405</v>
      </c>
      <c r="E38" s="1" t="s">
        <v>279</v>
      </c>
    </row>
    <row r="39" spans="1:5" ht="19.5" thickBot="1" x14ac:dyDescent="0.35">
      <c r="A39" s="325" t="s">
        <v>41</v>
      </c>
      <c r="B39" s="325"/>
      <c r="C39" s="325"/>
      <c r="D39" s="115">
        <f>SUM(D21:D38)</f>
        <v>70655</v>
      </c>
      <c r="E39" s="1"/>
    </row>
    <row r="40" spans="1:5" ht="15.75" thickBot="1" x14ac:dyDescent="0.3">
      <c r="A40" s="292" t="s">
        <v>39</v>
      </c>
      <c r="B40" s="293"/>
      <c r="E40" s="14" t="s">
        <v>40</v>
      </c>
    </row>
    <row r="43" spans="1:5" ht="15.75" thickBot="1" x14ac:dyDescent="0.3"/>
    <row r="44" spans="1:5" ht="15.75" thickBot="1" x14ac:dyDescent="0.3">
      <c r="A44" s="292" t="s">
        <v>957</v>
      </c>
      <c r="B44" s="293"/>
    </row>
  </sheetData>
  <mergeCells count="6">
    <mergeCell ref="A44:B44"/>
    <mergeCell ref="A1:E1"/>
    <mergeCell ref="A17:C17"/>
    <mergeCell ref="A19:E19"/>
    <mergeCell ref="A39:C39"/>
    <mergeCell ref="A40:B40"/>
  </mergeCells>
  <pageMargins left="0.70866141732283472" right="0.70866141732283472" top="0.74803149606299213" bottom="0.74803149606299213" header="0.31496062992125984" footer="0.31496062992125984"/>
  <pageSetup scale="150"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7"/>
  <sheetViews>
    <sheetView topLeftCell="A118" zoomScaleNormal="100" workbookViewId="0">
      <selection activeCell="A147" sqref="A147:F147"/>
    </sheetView>
  </sheetViews>
  <sheetFormatPr defaultRowHeight="15" x14ac:dyDescent="0.25"/>
  <cols>
    <col min="1" max="1" width="5.42578125" bestFit="1" customWidth="1"/>
    <col min="2" max="2" width="12" bestFit="1" customWidth="1"/>
    <col min="3" max="3" width="19" bestFit="1" customWidth="1"/>
    <col min="5" max="5" width="10.42578125" bestFit="1" customWidth="1"/>
    <col min="6" max="6" width="20.85546875" bestFit="1" customWidth="1"/>
  </cols>
  <sheetData>
    <row r="1" spans="1:6" ht="19.5" thickBot="1" x14ac:dyDescent="0.35">
      <c r="A1" s="10" t="s">
        <v>0</v>
      </c>
      <c r="B1" s="11" t="s">
        <v>3</v>
      </c>
      <c r="C1" s="11" t="s">
        <v>1</v>
      </c>
      <c r="D1" s="11" t="s">
        <v>26</v>
      </c>
      <c r="E1" s="11" t="s">
        <v>23</v>
      </c>
      <c r="F1" s="12" t="s">
        <v>27</v>
      </c>
    </row>
    <row r="2" spans="1:6" x14ac:dyDescent="0.25">
      <c r="A2" s="3">
        <v>1</v>
      </c>
      <c r="B2" s="3" t="s">
        <v>177</v>
      </c>
      <c r="C2" s="3" t="s">
        <v>135</v>
      </c>
      <c r="D2" s="3">
        <v>1</v>
      </c>
      <c r="E2" s="4">
        <v>110</v>
      </c>
      <c r="F2" s="3" t="s">
        <v>203</v>
      </c>
    </row>
    <row r="3" spans="1:6" x14ac:dyDescent="0.25">
      <c r="A3" s="3">
        <v>2</v>
      </c>
      <c r="B3" s="3" t="s">
        <v>177</v>
      </c>
      <c r="C3" s="1" t="s">
        <v>28</v>
      </c>
      <c r="D3" s="1">
        <v>2</v>
      </c>
      <c r="E3" s="5">
        <v>240</v>
      </c>
      <c r="F3" s="3" t="s">
        <v>203</v>
      </c>
    </row>
    <row r="4" spans="1:6" x14ac:dyDescent="0.25">
      <c r="A4" s="3">
        <v>3</v>
      </c>
      <c r="B4" s="3" t="s">
        <v>177</v>
      </c>
      <c r="C4" s="1" t="s">
        <v>19</v>
      </c>
      <c r="D4" s="1">
        <v>6</v>
      </c>
      <c r="E4" s="5">
        <v>90</v>
      </c>
      <c r="F4" s="3" t="s">
        <v>203</v>
      </c>
    </row>
    <row r="5" spans="1:6" ht="15.75" thickBot="1" x14ac:dyDescent="0.3">
      <c r="A5" s="3"/>
      <c r="B5" s="1"/>
      <c r="C5" s="1"/>
      <c r="D5" s="1"/>
      <c r="E5" s="5"/>
      <c r="F5" s="3"/>
    </row>
    <row r="6" spans="1:6" ht="15.75" thickBot="1" x14ac:dyDescent="0.3">
      <c r="A6" s="292" t="s">
        <v>41</v>
      </c>
      <c r="B6" s="297"/>
      <c r="C6" s="297"/>
      <c r="D6" s="293"/>
      <c r="E6" s="15">
        <f>SUM(E2:E5)</f>
        <v>440</v>
      </c>
    </row>
    <row r="7" spans="1:6" ht="15.75" thickBot="1" x14ac:dyDescent="0.3"/>
    <row r="8" spans="1:6" ht="15.75" thickBot="1" x14ac:dyDescent="0.3">
      <c r="A8" s="292" t="s">
        <v>39</v>
      </c>
      <c r="B8" s="293"/>
      <c r="F8" s="14" t="s">
        <v>40</v>
      </c>
    </row>
    <row r="9" spans="1:6" ht="15.75" thickBot="1" x14ac:dyDescent="0.3"/>
    <row r="10" spans="1:6" ht="19.5" thickBot="1" x14ac:dyDescent="0.35">
      <c r="A10" s="10" t="s">
        <v>0</v>
      </c>
      <c r="B10" s="11" t="s">
        <v>3</v>
      </c>
      <c r="C10" s="11" t="s">
        <v>1</v>
      </c>
      <c r="D10" s="11" t="s">
        <v>26</v>
      </c>
      <c r="E10" s="11" t="s">
        <v>23</v>
      </c>
      <c r="F10" s="12" t="s">
        <v>27</v>
      </c>
    </row>
    <row r="11" spans="1:6" x14ac:dyDescent="0.25">
      <c r="A11" s="3">
        <v>1</v>
      </c>
      <c r="B11" s="3" t="s">
        <v>233</v>
      </c>
      <c r="C11" s="3" t="s">
        <v>254</v>
      </c>
      <c r="D11" s="3">
        <v>1</v>
      </c>
      <c r="E11" s="4">
        <v>200</v>
      </c>
      <c r="F11" s="3" t="s">
        <v>203</v>
      </c>
    </row>
    <row r="12" spans="1:6" x14ac:dyDescent="0.25">
      <c r="A12" s="3">
        <v>2</v>
      </c>
      <c r="B12" s="3" t="s">
        <v>233</v>
      </c>
      <c r="C12" s="1" t="s">
        <v>18</v>
      </c>
      <c r="D12" s="1">
        <v>1</v>
      </c>
      <c r="E12" s="5">
        <v>80</v>
      </c>
      <c r="F12" s="3" t="s">
        <v>203</v>
      </c>
    </row>
    <row r="13" spans="1:6" x14ac:dyDescent="0.25">
      <c r="A13" s="3">
        <v>3</v>
      </c>
      <c r="B13" s="3" t="s">
        <v>233</v>
      </c>
      <c r="C13" s="1" t="s">
        <v>19</v>
      </c>
      <c r="D13" s="1">
        <v>6</v>
      </c>
      <c r="E13" s="5">
        <v>90</v>
      </c>
      <c r="F13" s="3" t="s">
        <v>203</v>
      </c>
    </row>
    <row r="14" spans="1:6" ht="15.75" thickBot="1" x14ac:dyDescent="0.3">
      <c r="A14" s="3"/>
      <c r="B14" s="1"/>
      <c r="C14" s="1"/>
      <c r="D14" s="1"/>
      <c r="E14" s="5"/>
      <c r="F14" s="3"/>
    </row>
    <row r="15" spans="1:6" ht="15.75" thickBot="1" x14ac:dyDescent="0.3">
      <c r="A15" s="292" t="s">
        <v>41</v>
      </c>
      <c r="B15" s="297"/>
      <c r="C15" s="297"/>
      <c r="D15" s="293"/>
      <c r="E15" s="15">
        <f>SUM(E11:E14)</f>
        <v>370</v>
      </c>
    </row>
    <row r="16" spans="1:6" ht="15.75" thickBot="1" x14ac:dyDescent="0.3"/>
    <row r="17" spans="1:6" ht="15.75" thickBot="1" x14ac:dyDescent="0.3">
      <c r="A17" s="292" t="s">
        <v>39</v>
      </c>
      <c r="B17" s="293"/>
      <c r="F17" s="14" t="s">
        <v>40</v>
      </c>
    </row>
    <row r="18" spans="1:6" ht="15.75" thickBot="1" x14ac:dyDescent="0.3"/>
    <row r="19" spans="1:6" ht="19.5" thickBot="1" x14ac:dyDescent="0.35">
      <c r="A19" s="10" t="s">
        <v>0</v>
      </c>
      <c r="B19" s="11" t="s">
        <v>3</v>
      </c>
      <c r="C19" s="11" t="s">
        <v>1</v>
      </c>
      <c r="D19" s="11" t="s">
        <v>26</v>
      </c>
      <c r="E19" s="11" t="s">
        <v>23</v>
      </c>
      <c r="F19" s="12" t="s">
        <v>27</v>
      </c>
    </row>
    <row r="20" spans="1:6" x14ac:dyDescent="0.25">
      <c r="A20" s="3">
        <v>1</v>
      </c>
      <c r="B20" s="3" t="s">
        <v>233</v>
      </c>
      <c r="C20" s="3" t="s">
        <v>254</v>
      </c>
      <c r="D20" s="3">
        <v>1</v>
      </c>
      <c r="E20" s="4">
        <v>200</v>
      </c>
      <c r="F20" s="3" t="s">
        <v>203</v>
      </c>
    </row>
    <row r="21" spans="1:6" x14ac:dyDescent="0.25">
      <c r="A21" s="3">
        <v>2</v>
      </c>
      <c r="B21" s="3" t="s">
        <v>233</v>
      </c>
      <c r="C21" s="1" t="s">
        <v>242</v>
      </c>
      <c r="D21" s="1">
        <v>1</v>
      </c>
      <c r="E21" s="5">
        <v>110</v>
      </c>
      <c r="F21" s="3" t="s">
        <v>203</v>
      </c>
    </row>
    <row r="22" spans="1:6" x14ac:dyDescent="0.25">
      <c r="A22" s="3">
        <v>3</v>
      </c>
      <c r="B22" s="3" t="s">
        <v>233</v>
      </c>
      <c r="C22" s="1" t="s">
        <v>164</v>
      </c>
      <c r="D22" s="1">
        <v>1</v>
      </c>
      <c r="E22" s="5">
        <v>120</v>
      </c>
      <c r="F22" s="3" t="s">
        <v>203</v>
      </c>
    </row>
    <row r="23" spans="1:6" x14ac:dyDescent="0.25">
      <c r="A23" s="3">
        <v>4</v>
      </c>
      <c r="B23" s="3" t="s">
        <v>233</v>
      </c>
      <c r="C23" s="1" t="s">
        <v>14</v>
      </c>
      <c r="D23" s="1">
        <v>1</v>
      </c>
      <c r="E23" s="5">
        <v>80</v>
      </c>
      <c r="F23" s="3" t="s">
        <v>203</v>
      </c>
    </row>
    <row r="24" spans="1:6" x14ac:dyDescent="0.25">
      <c r="A24" s="3">
        <v>5</v>
      </c>
      <c r="B24" s="3" t="s">
        <v>233</v>
      </c>
      <c r="C24" s="1" t="s">
        <v>19</v>
      </c>
      <c r="D24" s="1">
        <v>6</v>
      </c>
      <c r="E24" s="5">
        <v>90</v>
      </c>
      <c r="F24" s="3" t="s">
        <v>203</v>
      </c>
    </row>
    <row r="25" spans="1:6" ht="15.75" thickBot="1" x14ac:dyDescent="0.3">
      <c r="A25" s="3">
        <v>6</v>
      </c>
      <c r="B25" s="3" t="s">
        <v>233</v>
      </c>
      <c r="C25" s="1" t="s">
        <v>236</v>
      </c>
      <c r="D25" s="1">
        <v>2</v>
      </c>
      <c r="E25" s="5">
        <v>70</v>
      </c>
      <c r="F25" s="3" t="s">
        <v>203</v>
      </c>
    </row>
    <row r="26" spans="1:6" ht="15.75" thickBot="1" x14ac:dyDescent="0.3">
      <c r="A26" s="292" t="s">
        <v>41</v>
      </c>
      <c r="B26" s="297"/>
      <c r="C26" s="297"/>
      <c r="D26" s="293"/>
      <c r="E26" s="15">
        <f>SUM(E20:E25)</f>
        <v>670</v>
      </c>
    </row>
    <row r="27" spans="1:6" ht="15.75" thickBot="1" x14ac:dyDescent="0.3"/>
    <row r="28" spans="1:6" ht="15.75" thickBot="1" x14ac:dyDescent="0.3">
      <c r="A28" s="292" t="s">
        <v>39</v>
      </c>
      <c r="B28" s="293"/>
      <c r="F28" s="14" t="s">
        <v>40</v>
      </c>
    </row>
    <row r="29" spans="1:6" ht="15.75" thickBot="1" x14ac:dyDescent="0.3"/>
    <row r="30" spans="1:6" ht="19.5" thickBot="1" x14ac:dyDescent="0.35">
      <c r="A30" s="10" t="s">
        <v>0</v>
      </c>
      <c r="B30" s="11" t="s">
        <v>3</v>
      </c>
      <c r="C30" s="11" t="s">
        <v>1</v>
      </c>
      <c r="D30" s="11" t="s">
        <v>26</v>
      </c>
      <c r="E30" s="11" t="s">
        <v>23</v>
      </c>
      <c r="F30" s="12" t="s">
        <v>27</v>
      </c>
    </row>
    <row r="31" spans="1:6" x14ac:dyDescent="0.25">
      <c r="A31" s="3">
        <v>1</v>
      </c>
      <c r="B31" s="3" t="s">
        <v>261</v>
      </c>
      <c r="C31" s="3" t="s">
        <v>236</v>
      </c>
      <c r="D31" s="3">
        <v>6</v>
      </c>
      <c r="E31" s="4">
        <v>90</v>
      </c>
      <c r="F31" s="3" t="s">
        <v>203</v>
      </c>
    </row>
    <row r="32" spans="1:6" x14ac:dyDescent="0.25">
      <c r="A32" s="3">
        <v>2</v>
      </c>
      <c r="B32" s="3" t="s">
        <v>261</v>
      </c>
      <c r="C32" s="1" t="s">
        <v>88</v>
      </c>
      <c r="D32" s="1">
        <v>3</v>
      </c>
      <c r="E32" s="5">
        <v>105</v>
      </c>
      <c r="F32" s="3" t="s">
        <v>203</v>
      </c>
    </row>
    <row r="33" spans="1:6" x14ac:dyDescent="0.25">
      <c r="A33" s="3">
        <v>3</v>
      </c>
      <c r="B33" s="3" t="s">
        <v>261</v>
      </c>
      <c r="C33" s="1" t="s">
        <v>270</v>
      </c>
      <c r="D33" s="1">
        <v>1</v>
      </c>
      <c r="E33" s="5">
        <v>80</v>
      </c>
      <c r="F33" s="3" t="s">
        <v>203</v>
      </c>
    </row>
    <row r="34" spans="1:6" x14ac:dyDescent="0.25">
      <c r="A34" s="3">
        <v>4</v>
      </c>
      <c r="B34" s="3" t="s">
        <v>261</v>
      </c>
      <c r="C34" s="1" t="s">
        <v>19</v>
      </c>
      <c r="D34" s="1">
        <v>4</v>
      </c>
      <c r="E34" s="5">
        <v>60</v>
      </c>
      <c r="F34" s="3" t="s">
        <v>203</v>
      </c>
    </row>
    <row r="35" spans="1:6" x14ac:dyDescent="0.25">
      <c r="A35" s="3">
        <v>5</v>
      </c>
      <c r="B35" s="3" t="s">
        <v>261</v>
      </c>
      <c r="C35" s="1" t="s">
        <v>14</v>
      </c>
      <c r="D35" s="1">
        <v>1</v>
      </c>
      <c r="E35" s="5">
        <v>80</v>
      </c>
      <c r="F35" s="3" t="s">
        <v>203</v>
      </c>
    </row>
    <row r="36" spans="1:6" x14ac:dyDescent="0.25">
      <c r="A36" s="3">
        <v>6</v>
      </c>
      <c r="B36" s="3" t="s">
        <v>261</v>
      </c>
      <c r="C36" s="1" t="s">
        <v>271</v>
      </c>
      <c r="D36" s="1">
        <v>1</v>
      </c>
      <c r="E36" s="5">
        <v>120</v>
      </c>
      <c r="F36" s="3" t="s">
        <v>203</v>
      </c>
    </row>
    <row r="37" spans="1:6" x14ac:dyDescent="0.25">
      <c r="A37" s="3">
        <v>7</v>
      </c>
      <c r="B37" s="3" t="s">
        <v>261</v>
      </c>
      <c r="C37" s="1" t="s">
        <v>239</v>
      </c>
      <c r="D37" s="1">
        <v>1</v>
      </c>
      <c r="E37" s="5">
        <v>100</v>
      </c>
      <c r="F37" s="3" t="s">
        <v>203</v>
      </c>
    </row>
    <row r="38" spans="1:6" x14ac:dyDescent="0.25">
      <c r="A38" s="3">
        <v>8</v>
      </c>
      <c r="B38" s="3" t="s">
        <v>261</v>
      </c>
      <c r="C38" s="1" t="s">
        <v>18</v>
      </c>
      <c r="D38" s="1">
        <v>2</v>
      </c>
      <c r="E38" s="5">
        <v>160</v>
      </c>
      <c r="F38" s="3" t="s">
        <v>203</v>
      </c>
    </row>
    <row r="39" spans="1:6" ht="15.75" thickBot="1" x14ac:dyDescent="0.3">
      <c r="A39" s="289" t="s">
        <v>41</v>
      </c>
      <c r="B39" s="290"/>
      <c r="C39" s="290"/>
      <c r="D39" s="291"/>
      <c r="E39" s="25">
        <f>SUM(E31:E38)</f>
        <v>795</v>
      </c>
    </row>
    <row r="40" spans="1:6" ht="15.75" thickBot="1" x14ac:dyDescent="0.3"/>
    <row r="41" spans="1:6" ht="15.75" thickBot="1" x14ac:dyDescent="0.3">
      <c r="A41" s="292" t="s">
        <v>39</v>
      </c>
      <c r="B41" s="293"/>
      <c r="F41" s="14" t="s">
        <v>40</v>
      </c>
    </row>
    <row r="42" spans="1:6" ht="15.75" thickBot="1" x14ac:dyDescent="0.3"/>
    <row r="43" spans="1:6" ht="19.5" thickBot="1" x14ac:dyDescent="0.35">
      <c r="A43" s="10" t="s">
        <v>0</v>
      </c>
      <c r="B43" s="11" t="s">
        <v>3</v>
      </c>
      <c r="C43" s="11" t="s">
        <v>1</v>
      </c>
      <c r="D43" s="11" t="s">
        <v>26</v>
      </c>
      <c r="E43" s="11" t="s">
        <v>23</v>
      </c>
      <c r="F43" s="12" t="s">
        <v>27</v>
      </c>
    </row>
    <row r="44" spans="1:6" x14ac:dyDescent="0.25">
      <c r="A44" s="3">
        <v>1</v>
      </c>
      <c r="B44" s="3" t="s">
        <v>261</v>
      </c>
      <c r="C44" s="3" t="s">
        <v>271</v>
      </c>
      <c r="D44" s="3">
        <v>1</v>
      </c>
      <c r="E44" s="4">
        <v>200</v>
      </c>
      <c r="F44" s="3" t="s">
        <v>203</v>
      </c>
    </row>
    <row r="45" spans="1:6" x14ac:dyDescent="0.25">
      <c r="A45" s="3">
        <v>2</v>
      </c>
      <c r="B45" s="3" t="s">
        <v>261</v>
      </c>
      <c r="C45" s="1" t="s">
        <v>254</v>
      </c>
      <c r="D45" s="1">
        <v>1</v>
      </c>
      <c r="E45" s="5">
        <v>220</v>
      </c>
      <c r="F45" s="3" t="s">
        <v>203</v>
      </c>
    </row>
    <row r="46" spans="1:6" x14ac:dyDescent="0.25">
      <c r="A46" s="3">
        <v>3</v>
      </c>
      <c r="B46" s="3" t="s">
        <v>261</v>
      </c>
      <c r="C46" s="1" t="s">
        <v>19</v>
      </c>
      <c r="D46" s="1">
        <v>5</v>
      </c>
      <c r="E46" s="5">
        <v>75</v>
      </c>
      <c r="F46" s="3" t="s">
        <v>203</v>
      </c>
    </row>
    <row r="47" spans="1:6" x14ac:dyDescent="0.25">
      <c r="A47" s="3">
        <v>4</v>
      </c>
      <c r="B47" s="3" t="s">
        <v>261</v>
      </c>
      <c r="C47" s="1" t="s">
        <v>33</v>
      </c>
      <c r="D47" s="1">
        <v>1</v>
      </c>
      <c r="E47" s="5">
        <v>20</v>
      </c>
      <c r="F47" s="3" t="s">
        <v>203</v>
      </c>
    </row>
    <row r="48" spans="1:6" ht="15.75" thickBot="1" x14ac:dyDescent="0.3">
      <c r="A48" s="289" t="s">
        <v>41</v>
      </c>
      <c r="B48" s="290"/>
      <c r="C48" s="290"/>
      <c r="D48" s="291"/>
      <c r="E48" s="25">
        <f>SUM(E44:E47)</f>
        <v>515</v>
      </c>
    </row>
    <row r="49" spans="1:6" ht="15.75" thickBot="1" x14ac:dyDescent="0.3"/>
    <row r="50" spans="1:6" ht="15.75" thickBot="1" x14ac:dyDescent="0.3">
      <c r="A50" s="292" t="s">
        <v>39</v>
      </c>
      <c r="B50" s="293"/>
      <c r="F50" s="14" t="s">
        <v>40</v>
      </c>
    </row>
    <row r="51" spans="1:6" ht="15.75" thickBot="1" x14ac:dyDescent="0.3"/>
    <row r="52" spans="1:6" ht="19.5" thickBot="1" x14ac:dyDescent="0.35">
      <c r="A52" s="10" t="s">
        <v>0</v>
      </c>
      <c r="B52" s="11" t="s">
        <v>3</v>
      </c>
      <c r="C52" s="11" t="s">
        <v>1</v>
      </c>
      <c r="D52" s="11" t="s">
        <v>26</v>
      </c>
      <c r="E52" s="11" t="s">
        <v>23</v>
      </c>
      <c r="F52" s="12" t="s">
        <v>27</v>
      </c>
    </row>
    <row r="53" spans="1:6" x14ac:dyDescent="0.25">
      <c r="A53" s="3">
        <v>1</v>
      </c>
      <c r="B53" s="3" t="s">
        <v>283</v>
      </c>
      <c r="C53" s="3" t="s">
        <v>291</v>
      </c>
      <c r="D53" s="3">
        <v>2</v>
      </c>
      <c r="E53" s="4">
        <v>360</v>
      </c>
      <c r="F53" s="3" t="s">
        <v>203</v>
      </c>
    </row>
    <row r="54" spans="1:6" x14ac:dyDescent="0.25">
      <c r="A54" s="3">
        <v>2</v>
      </c>
      <c r="B54" s="3" t="s">
        <v>283</v>
      </c>
      <c r="C54" s="1" t="s">
        <v>19</v>
      </c>
      <c r="D54" s="1">
        <v>6</v>
      </c>
      <c r="E54" s="5">
        <v>90</v>
      </c>
      <c r="F54" s="3" t="s">
        <v>203</v>
      </c>
    </row>
    <row r="55" spans="1:6" ht="15.75" thickBot="1" x14ac:dyDescent="0.3">
      <c r="A55" s="289" t="s">
        <v>41</v>
      </c>
      <c r="B55" s="290"/>
      <c r="C55" s="290"/>
      <c r="D55" s="291"/>
      <c r="E55" s="25">
        <f>SUM(E53:E54)</f>
        <v>450</v>
      </c>
    </row>
    <row r="56" spans="1:6" ht="15.75" thickBot="1" x14ac:dyDescent="0.3"/>
    <row r="57" spans="1:6" ht="15.75" thickBot="1" x14ac:dyDescent="0.3">
      <c r="A57" s="292" t="s">
        <v>39</v>
      </c>
      <c r="B57" s="293"/>
      <c r="F57" s="14" t="s">
        <v>40</v>
      </c>
    </row>
    <row r="59" spans="1:6" ht="15.75" thickBot="1" x14ac:dyDescent="0.3"/>
    <row r="60" spans="1:6" ht="19.5" thickBot="1" x14ac:dyDescent="0.35">
      <c r="A60" s="10" t="s">
        <v>0</v>
      </c>
      <c r="B60" s="11" t="s">
        <v>3</v>
      </c>
      <c r="C60" s="11" t="s">
        <v>1</v>
      </c>
      <c r="D60" s="11" t="s">
        <v>26</v>
      </c>
      <c r="E60" s="11" t="s">
        <v>23</v>
      </c>
      <c r="F60" s="12" t="s">
        <v>27</v>
      </c>
    </row>
    <row r="61" spans="1:6" x14ac:dyDescent="0.25">
      <c r="A61" s="3">
        <v>1</v>
      </c>
      <c r="B61" s="3" t="s">
        <v>283</v>
      </c>
      <c r="C61" s="3" t="s">
        <v>88</v>
      </c>
      <c r="D61" s="3">
        <v>3</v>
      </c>
      <c r="E61" s="4">
        <v>105</v>
      </c>
      <c r="F61" s="3" t="s">
        <v>203</v>
      </c>
    </row>
    <row r="62" spans="1:6" x14ac:dyDescent="0.25">
      <c r="A62" s="3">
        <v>2</v>
      </c>
      <c r="B62" s="3" t="s">
        <v>283</v>
      </c>
      <c r="C62" s="1" t="s">
        <v>236</v>
      </c>
      <c r="D62" s="1">
        <v>4</v>
      </c>
      <c r="E62" s="5">
        <v>140</v>
      </c>
      <c r="F62" s="3" t="s">
        <v>203</v>
      </c>
    </row>
    <row r="63" spans="1:6" x14ac:dyDescent="0.25">
      <c r="A63" s="3">
        <v>3</v>
      </c>
      <c r="B63" s="3" t="s">
        <v>283</v>
      </c>
      <c r="C63" s="1" t="s">
        <v>295</v>
      </c>
      <c r="D63" s="1">
        <v>1</v>
      </c>
      <c r="E63" s="5">
        <v>70</v>
      </c>
      <c r="F63" s="3" t="s">
        <v>203</v>
      </c>
    </row>
    <row r="64" spans="1:6" x14ac:dyDescent="0.25">
      <c r="A64" s="3">
        <v>4</v>
      </c>
      <c r="B64" s="3" t="s">
        <v>283</v>
      </c>
      <c r="C64" s="1" t="s">
        <v>19</v>
      </c>
      <c r="D64" s="1">
        <v>6</v>
      </c>
      <c r="E64" s="5">
        <v>90</v>
      </c>
      <c r="F64" s="3" t="s">
        <v>203</v>
      </c>
    </row>
    <row r="65" spans="1:6" x14ac:dyDescent="0.25">
      <c r="A65" s="3">
        <v>5</v>
      </c>
      <c r="B65" s="3" t="s">
        <v>283</v>
      </c>
      <c r="C65" s="1" t="s">
        <v>296</v>
      </c>
      <c r="D65" s="1">
        <v>1</v>
      </c>
      <c r="E65" s="5">
        <v>100</v>
      </c>
      <c r="F65" s="3" t="s">
        <v>203</v>
      </c>
    </row>
    <row r="66" spans="1:6" x14ac:dyDescent="0.25">
      <c r="A66" s="3">
        <v>6</v>
      </c>
      <c r="B66" s="3" t="s">
        <v>283</v>
      </c>
      <c r="C66" s="1" t="s">
        <v>297</v>
      </c>
      <c r="D66" s="1">
        <v>1</v>
      </c>
      <c r="E66" s="5">
        <v>220</v>
      </c>
      <c r="F66" s="3" t="s">
        <v>203</v>
      </c>
    </row>
    <row r="67" spans="1:6" x14ac:dyDescent="0.25">
      <c r="A67" s="3">
        <v>7</v>
      </c>
      <c r="B67" s="3" t="s">
        <v>283</v>
      </c>
      <c r="C67" s="1" t="s">
        <v>298</v>
      </c>
      <c r="D67" s="1">
        <v>1</v>
      </c>
      <c r="E67" s="5">
        <v>220</v>
      </c>
      <c r="F67" s="3" t="s">
        <v>203</v>
      </c>
    </row>
    <row r="68" spans="1:6" ht="15.75" thickBot="1" x14ac:dyDescent="0.3">
      <c r="A68" s="289" t="s">
        <v>41</v>
      </c>
      <c r="B68" s="290"/>
      <c r="C68" s="290"/>
      <c r="D68" s="291"/>
      <c r="E68" s="25">
        <f>SUM(E61:E67)</f>
        <v>945</v>
      </c>
    </row>
    <row r="69" spans="1:6" ht="15.75" thickBot="1" x14ac:dyDescent="0.3"/>
    <row r="70" spans="1:6" ht="15.75" thickBot="1" x14ac:dyDescent="0.3">
      <c r="A70" s="292" t="s">
        <v>39</v>
      </c>
      <c r="B70" s="293"/>
      <c r="F70" s="14" t="s">
        <v>40</v>
      </c>
    </row>
    <row r="71" spans="1:6" ht="15.75" thickBot="1" x14ac:dyDescent="0.3"/>
    <row r="72" spans="1:6" ht="19.5" thickBot="1" x14ac:dyDescent="0.35">
      <c r="A72" s="10" t="s">
        <v>0</v>
      </c>
      <c r="B72" s="11" t="s">
        <v>3</v>
      </c>
      <c r="C72" s="11" t="s">
        <v>1</v>
      </c>
      <c r="D72" s="11" t="s">
        <v>26</v>
      </c>
      <c r="E72" s="11" t="s">
        <v>23</v>
      </c>
      <c r="F72" s="12" t="s">
        <v>27</v>
      </c>
    </row>
    <row r="73" spans="1:6" x14ac:dyDescent="0.25">
      <c r="A73" s="3">
        <v>1</v>
      </c>
      <c r="B73" s="3" t="s">
        <v>309</v>
      </c>
      <c r="C73" s="3" t="s">
        <v>88</v>
      </c>
      <c r="D73" s="3">
        <v>3</v>
      </c>
      <c r="E73" s="4">
        <v>105</v>
      </c>
      <c r="F73" s="3" t="s">
        <v>203</v>
      </c>
    </row>
    <row r="74" spans="1:6" x14ac:dyDescent="0.25">
      <c r="A74" s="3">
        <v>2</v>
      </c>
      <c r="B74" s="3" t="s">
        <v>309</v>
      </c>
      <c r="C74" s="1" t="s">
        <v>235</v>
      </c>
      <c r="D74" s="1">
        <v>1</v>
      </c>
      <c r="E74" s="5">
        <v>80</v>
      </c>
      <c r="F74" s="3" t="s">
        <v>203</v>
      </c>
    </row>
    <row r="75" spans="1:6" x14ac:dyDescent="0.25">
      <c r="A75" s="3">
        <v>3</v>
      </c>
      <c r="B75" s="3" t="s">
        <v>309</v>
      </c>
      <c r="C75" s="1" t="s">
        <v>236</v>
      </c>
      <c r="D75" s="1">
        <v>3</v>
      </c>
      <c r="E75" s="5">
        <v>105</v>
      </c>
      <c r="F75" s="3" t="s">
        <v>203</v>
      </c>
    </row>
    <row r="76" spans="1:6" x14ac:dyDescent="0.25">
      <c r="A76" s="3">
        <v>4</v>
      </c>
      <c r="B76" s="3" t="s">
        <v>309</v>
      </c>
      <c r="C76" s="1" t="s">
        <v>323</v>
      </c>
      <c r="D76" s="1">
        <v>1</v>
      </c>
      <c r="E76" s="5">
        <v>180</v>
      </c>
      <c r="F76" s="3" t="s">
        <v>203</v>
      </c>
    </row>
    <row r="77" spans="1:6" x14ac:dyDescent="0.25">
      <c r="A77" s="3">
        <v>5</v>
      </c>
      <c r="B77" s="3" t="s">
        <v>309</v>
      </c>
      <c r="C77" s="1" t="s">
        <v>19</v>
      </c>
      <c r="D77" s="1">
        <v>5</v>
      </c>
      <c r="E77" s="5">
        <v>75</v>
      </c>
      <c r="F77" s="3" t="s">
        <v>203</v>
      </c>
    </row>
    <row r="78" spans="1:6" x14ac:dyDescent="0.25">
      <c r="A78" s="3">
        <v>6</v>
      </c>
      <c r="B78" s="3" t="s">
        <v>309</v>
      </c>
      <c r="C78" s="1" t="s">
        <v>33</v>
      </c>
      <c r="D78" s="1">
        <v>1</v>
      </c>
      <c r="E78" s="5">
        <v>20</v>
      </c>
      <c r="F78" s="3" t="s">
        <v>203</v>
      </c>
    </row>
    <row r="79" spans="1:6" x14ac:dyDescent="0.25">
      <c r="A79" s="3">
        <v>7</v>
      </c>
      <c r="B79" s="3" t="s">
        <v>309</v>
      </c>
      <c r="C79" s="1" t="s">
        <v>331</v>
      </c>
      <c r="D79" s="1">
        <v>1</v>
      </c>
      <c r="E79" s="5">
        <v>220</v>
      </c>
      <c r="F79" s="3" t="s">
        <v>203</v>
      </c>
    </row>
    <row r="80" spans="1:6" ht="15.75" thickBot="1" x14ac:dyDescent="0.3">
      <c r="A80" s="289" t="s">
        <v>41</v>
      </c>
      <c r="B80" s="290"/>
      <c r="C80" s="290"/>
      <c r="D80" s="291"/>
      <c r="E80" s="25">
        <f>SUM(E73:E79)</f>
        <v>785</v>
      </c>
    </row>
    <row r="81" spans="1:7" ht="15.75" thickBot="1" x14ac:dyDescent="0.3"/>
    <row r="82" spans="1:7" ht="15.75" thickBot="1" x14ac:dyDescent="0.3">
      <c r="A82" s="292" t="s">
        <v>39</v>
      </c>
      <c r="B82" s="293"/>
      <c r="F82" s="14" t="s">
        <v>40</v>
      </c>
    </row>
    <row r="83" spans="1:7" ht="15.75" thickBot="1" x14ac:dyDescent="0.3"/>
    <row r="84" spans="1:7" ht="19.5" thickBot="1" x14ac:dyDescent="0.35">
      <c r="A84" s="10" t="s">
        <v>0</v>
      </c>
      <c r="B84" s="11" t="s">
        <v>3</v>
      </c>
      <c r="C84" s="11" t="s">
        <v>1</v>
      </c>
      <c r="D84" s="11" t="s">
        <v>26</v>
      </c>
      <c r="E84" s="11" t="s">
        <v>23</v>
      </c>
      <c r="F84" s="12" t="s">
        <v>27</v>
      </c>
    </row>
    <row r="85" spans="1:7" x14ac:dyDescent="0.25">
      <c r="A85" s="3">
        <v>1</v>
      </c>
      <c r="B85" s="3" t="s">
        <v>339</v>
      </c>
      <c r="C85" s="3" t="s">
        <v>340</v>
      </c>
      <c r="D85" s="3">
        <v>3</v>
      </c>
      <c r="E85" s="4">
        <f>D85*320</f>
        <v>960</v>
      </c>
      <c r="F85" s="3" t="s">
        <v>203</v>
      </c>
    </row>
    <row r="86" spans="1:7" x14ac:dyDescent="0.25">
      <c r="A86" s="3">
        <v>2</v>
      </c>
      <c r="B86" s="3" t="s">
        <v>339</v>
      </c>
      <c r="C86" s="1" t="s">
        <v>351</v>
      </c>
      <c r="D86" s="1">
        <v>1</v>
      </c>
      <c r="E86" s="5">
        <v>180</v>
      </c>
      <c r="F86" s="3" t="s">
        <v>203</v>
      </c>
    </row>
    <row r="87" spans="1:7" x14ac:dyDescent="0.25">
      <c r="A87" s="3">
        <v>3</v>
      </c>
      <c r="B87" s="3" t="s">
        <v>339</v>
      </c>
      <c r="C87" s="1" t="s">
        <v>33</v>
      </c>
      <c r="D87" s="1">
        <v>1</v>
      </c>
      <c r="E87" s="5">
        <v>20</v>
      </c>
      <c r="F87" s="3" t="s">
        <v>203</v>
      </c>
      <c r="G87" s="198"/>
    </row>
    <row r="88" spans="1:7" ht="15.75" thickBot="1" x14ac:dyDescent="0.3">
      <c r="A88" s="289" t="s">
        <v>41</v>
      </c>
      <c r="B88" s="290"/>
      <c r="C88" s="290"/>
      <c r="D88" s="291"/>
      <c r="E88" s="25">
        <f>SUM(E85:E87)</f>
        <v>1160</v>
      </c>
    </row>
    <row r="89" spans="1:7" ht="15.75" thickBot="1" x14ac:dyDescent="0.3"/>
    <row r="90" spans="1:7" ht="15.75" thickBot="1" x14ac:dyDescent="0.3">
      <c r="A90" s="292" t="s">
        <v>39</v>
      </c>
      <c r="B90" s="293"/>
      <c r="F90" s="14" t="s">
        <v>40</v>
      </c>
    </row>
    <row r="91" spans="1:7" ht="15.75" thickBot="1" x14ac:dyDescent="0.3"/>
    <row r="92" spans="1:7" ht="19.5" thickBot="1" x14ac:dyDescent="0.35">
      <c r="A92" s="10" t="s">
        <v>0</v>
      </c>
      <c r="B92" s="11" t="s">
        <v>3</v>
      </c>
      <c r="C92" s="11" t="s">
        <v>1</v>
      </c>
      <c r="D92" s="11" t="s">
        <v>26</v>
      </c>
      <c r="E92" s="11" t="s">
        <v>23</v>
      </c>
      <c r="F92" s="12" t="s">
        <v>27</v>
      </c>
    </row>
    <row r="93" spans="1:7" x14ac:dyDescent="0.25">
      <c r="A93" s="3">
        <v>1</v>
      </c>
      <c r="B93" s="3" t="s">
        <v>387</v>
      </c>
      <c r="C93" s="3" t="s">
        <v>409</v>
      </c>
      <c r="D93" s="3">
        <v>1</v>
      </c>
      <c r="E93" s="4">
        <f>D93*225</f>
        <v>225</v>
      </c>
      <c r="F93" s="3" t="s">
        <v>203</v>
      </c>
    </row>
    <row r="94" spans="1:7" x14ac:dyDescent="0.25">
      <c r="A94" s="3">
        <v>2</v>
      </c>
      <c r="B94" s="3" t="s">
        <v>387</v>
      </c>
      <c r="C94" s="1" t="s">
        <v>19</v>
      </c>
      <c r="D94" s="1">
        <v>6</v>
      </c>
      <c r="E94" s="5">
        <f>D94*15</f>
        <v>90</v>
      </c>
      <c r="F94" s="3" t="s">
        <v>203</v>
      </c>
    </row>
    <row r="95" spans="1:7" x14ac:dyDescent="0.25">
      <c r="A95" s="3">
        <v>3</v>
      </c>
      <c r="B95" s="3" t="s">
        <v>387</v>
      </c>
      <c r="C95" s="1" t="s">
        <v>33</v>
      </c>
      <c r="D95" s="1">
        <v>1</v>
      </c>
      <c r="E95" s="5">
        <v>20</v>
      </c>
      <c r="F95" s="3" t="s">
        <v>203</v>
      </c>
    </row>
    <row r="96" spans="1:7" ht="15.75" thickBot="1" x14ac:dyDescent="0.3">
      <c r="A96" s="289" t="s">
        <v>41</v>
      </c>
      <c r="B96" s="290"/>
      <c r="C96" s="290"/>
      <c r="D96" s="291"/>
      <c r="E96" s="25">
        <f>SUM(E93:E95)</f>
        <v>335</v>
      </c>
    </row>
    <row r="97" spans="1:6" ht="15.75" thickBot="1" x14ac:dyDescent="0.3"/>
    <row r="98" spans="1:6" ht="15.75" thickBot="1" x14ac:dyDescent="0.3">
      <c r="A98" s="292" t="s">
        <v>39</v>
      </c>
      <c r="B98" s="293"/>
      <c r="F98" s="14" t="s">
        <v>40</v>
      </c>
    </row>
    <row r="99" spans="1:6" ht="15.75" thickBot="1" x14ac:dyDescent="0.3"/>
    <row r="100" spans="1:6" ht="19.5" thickBot="1" x14ac:dyDescent="0.35">
      <c r="A100" s="10" t="s">
        <v>0</v>
      </c>
      <c r="B100" s="11" t="s">
        <v>3</v>
      </c>
      <c r="C100" s="11" t="s">
        <v>1</v>
      </c>
      <c r="D100" s="11" t="s">
        <v>26</v>
      </c>
      <c r="E100" s="11" t="s">
        <v>23</v>
      </c>
      <c r="F100" s="12" t="s">
        <v>27</v>
      </c>
    </row>
    <row r="101" spans="1:6" x14ac:dyDescent="0.25">
      <c r="A101" s="3">
        <v>1</v>
      </c>
      <c r="B101" s="3" t="s">
        <v>398</v>
      </c>
      <c r="C101" s="3" t="s">
        <v>420</v>
      </c>
      <c r="D101" s="3">
        <v>2</v>
      </c>
      <c r="E101" s="4">
        <f>D101*250</f>
        <v>500</v>
      </c>
      <c r="F101" s="3" t="s">
        <v>203</v>
      </c>
    </row>
    <row r="102" spans="1:6" ht="15.75" thickBot="1" x14ac:dyDescent="0.3">
      <c r="A102" s="289" t="s">
        <v>41</v>
      </c>
      <c r="B102" s="290"/>
      <c r="C102" s="290"/>
      <c r="D102" s="291"/>
      <c r="E102" s="25">
        <f>SUM(E101:E101)</f>
        <v>500</v>
      </c>
    </row>
    <row r="103" spans="1:6" ht="15.75" thickBot="1" x14ac:dyDescent="0.3"/>
    <row r="104" spans="1:6" ht="15.75" thickBot="1" x14ac:dyDescent="0.3">
      <c r="A104" s="292" t="s">
        <v>39</v>
      </c>
      <c r="B104" s="293"/>
      <c r="F104" s="14" t="s">
        <v>40</v>
      </c>
    </row>
    <row r="105" spans="1:6" ht="15.75" thickBot="1" x14ac:dyDescent="0.3"/>
    <row r="106" spans="1:6" ht="19.5" thickBot="1" x14ac:dyDescent="0.35">
      <c r="A106" s="10" t="s">
        <v>0</v>
      </c>
      <c r="B106" s="11" t="s">
        <v>3</v>
      </c>
      <c r="C106" s="11" t="s">
        <v>1</v>
      </c>
      <c r="D106" s="11" t="s">
        <v>26</v>
      </c>
      <c r="E106" s="11" t="s">
        <v>23</v>
      </c>
      <c r="F106" s="12" t="s">
        <v>27</v>
      </c>
    </row>
    <row r="107" spans="1:6" x14ac:dyDescent="0.25">
      <c r="A107" s="3">
        <v>1</v>
      </c>
      <c r="B107" s="3" t="s">
        <v>423</v>
      </c>
      <c r="C107" s="3" t="s">
        <v>254</v>
      </c>
      <c r="D107" s="3">
        <v>2</v>
      </c>
      <c r="E107" s="4">
        <f>D107*225</f>
        <v>450</v>
      </c>
      <c r="F107" s="3" t="s">
        <v>203</v>
      </c>
    </row>
    <row r="108" spans="1:6" x14ac:dyDescent="0.25">
      <c r="A108" s="3">
        <v>2</v>
      </c>
      <c r="B108" s="3" t="s">
        <v>423</v>
      </c>
      <c r="C108" s="1" t="s">
        <v>439</v>
      </c>
      <c r="D108" s="1">
        <v>1</v>
      </c>
      <c r="E108" s="5">
        <f>D108*180</f>
        <v>180</v>
      </c>
      <c r="F108" s="3" t="s">
        <v>203</v>
      </c>
    </row>
    <row r="109" spans="1:6" x14ac:dyDescent="0.25">
      <c r="A109" s="3">
        <v>3</v>
      </c>
      <c r="B109" s="3" t="s">
        <v>423</v>
      </c>
      <c r="C109" s="1" t="s">
        <v>19</v>
      </c>
      <c r="D109" s="1">
        <v>8</v>
      </c>
      <c r="E109" s="5">
        <f>D109*15</f>
        <v>120</v>
      </c>
      <c r="F109" s="3" t="s">
        <v>203</v>
      </c>
    </row>
    <row r="110" spans="1:6" ht="15.75" thickBot="1" x14ac:dyDescent="0.3">
      <c r="A110" s="289" t="s">
        <v>41</v>
      </c>
      <c r="B110" s="290"/>
      <c r="C110" s="290"/>
      <c r="D110" s="291"/>
      <c r="E110" s="25">
        <f>SUM(E107:E109)</f>
        <v>750</v>
      </c>
    </row>
    <row r="111" spans="1:6" ht="15.75" thickBot="1" x14ac:dyDescent="0.3"/>
    <row r="112" spans="1:6" ht="15.75" thickBot="1" x14ac:dyDescent="0.3">
      <c r="A112" s="292" t="s">
        <v>39</v>
      </c>
      <c r="B112" s="293"/>
      <c r="F112" s="14" t="s">
        <v>40</v>
      </c>
    </row>
    <row r="113" spans="1:6" ht="15.75" thickBot="1" x14ac:dyDescent="0.3"/>
    <row r="114" spans="1:6" ht="19.5" thickBot="1" x14ac:dyDescent="0.35">
      <c r="A114" s="10" t="s">
        <v>0</v>
      </c>
      <c r="B114" s="11" t="s">
        <v>3</v>
      </c>
      <c r="C114" s="11" t="s">
        <v>1</v>
      </c>
      <c r="D114" s="11" t="s">
        <v>26</v>
      </c>
      <c r="E114" s="11" t="s">
        <v>23</v>
      </c>
      <c r="F114" s="12" t="s">
        <v>27</v>
      </c>
    </row>
    <row r="115" spans="1:6" x14ac:dyDescent="0.25">
      <c r="A115" s="3">
        <v>1</v>
      </c>
      <c r="B115" s="67">
        <v>46029</v>
      </c>
      <c r="C115" s="3" t="s">
        <v>587</v>
      </c>
      <c r="D115" s="3">
        <v>3</v>
      </c>
      <c r="E115" s="4">
        <f>D115*320</f>
        <v>960</v>
      </c>
      <c r="F115" s="3" t="s">
        <v>203</v>
      </c>
    </row>
    <row r="116" spans="1:6" x14ac:dyDescent="0.25">
      <c r="A116" s="3">
        <v>2</v>
      </c>
      <c r="B116" s="67">
        <v>46029</v>
      </c>
      <c r="C116" s="1" t="s">
        <v>124</v>
      </c>
      <c r="D116" s="1">
        <v>2</v>
      </c>
      <c r="E116" s="5">
        <f>D116*110</f>
        <v>220</v>
      </c>
      <c r="F116" s="3" t="s">
        <v>203</v>
      </c>
    </row>
    <row r="117" spans="1:6" x14ac:dyDescent="0.25">
      <c r="A117" s="3">
        <v>3</v>
      </c>
      <c r="B117" s="67">
        <v>46029</v>
      </c>
      <c r="C117" s="1" t="s">
        <v>19</v>
      </c>
      <c r="D117" s="1">
        <v>6</v>
      </c>
      <c r="E117" s="5">
        <f>D117*15</f>
        <v>90</v>
      </c>
      <c r="F117" s="3" t="s">
        <v>203</v>
      </c>
    </row>
    <row r="118" spans="1:6" x14ac:dyDescent="0.25">
      <c r="A118" s="3">
        <v>4</v>
      </c>
      <c r="B118" s="67">
        <v>46029</v>
      </c>
      <c r="C118" s="1" t="s">
        <v>33</v>
      </c>
      <c r="D118" s="1">
        <v>2</v>
      </c>
      <c r="E118" s="5">
        <f>D118*30</f>
        <v>60</v>
      </c>
      <c r="F118" s="3" t="s">
        <v>203</v>
      </c>
    </row>
    <row r="119" spans="1:6" x14ac:dyDescent="0.25">
      <c r="A119" s="3">
        <v>5</v>
      </c>
      <c r="B119" s="67">
        <v>46029</v>
      </c>
      <c r="C119" s="1" t="s">
        <v>22</v>
      </c>
      <c r="D119" s="1">
        <v>5</v>
      </c>
      <c r="E119" s="5">
        <f>D119*220</f>
        <v>1100</v>
      </c>
      <c r="F119" s="3" t="s">
        <v>203</v>
      </c>
    </row>
    <row r="120" spans="1:6" x14ac:dyDescent="0.25">
      <c r="A120" s="3">
        <v>6</v>
      </c>
      <c r="B120" s="67">
        <v>46029</v>
      </c>
      <c r="C120" s="1" t="s">
        <v>19</v>
      </c>
      <c r="D120" s="1">
        <v>10</v>
      </c>
      <c r="E120" s="5">
        <f>D120*15</f>
        <v>150</v>
      </c>
      <c r="F120" s="3" t="s">
        <v>203</v>
      </c>
    </row>
    <row r="121" spans="1:6" ht="15.75" thickBot="1" x14ac:dyDescent="0.3">
      <c r="A121" s="289" t="s">
        <v>41</v>
      </c>
      <c r="B121" s="290"/>
      <c r="C121" s="290"/>
      <c r="D121" s="291"/>
      <c r="E121" s="25">
        <f>SUM(E115:E120)</f>
        <v>2580</v>
      </c>
    </row>
    <row r="122" spans="1:6" ht="15.75" thickBot="1" x14ac:dyDescent="0.3"/>
    <row r="123" spans="1:6" ht="15.75" thickBot="1" x14ac:dyDescent="0.3">
      <c r="A123" s="292" t="s">
        <v>39</v>
      </c>
      <c r="B123" s="293"/>
      <c r="F123" s="14" t="s">
        <v>40</v>
      </c>
    </row>
    <row r="124" spans="1:6" ht="15.75" thickBot="1" x14ac:dyDescent="0.3"/>
    <row r="125" spans="1:6" ht="19.5" thickBot="1" x14ac:dyDescent="0.35">
      <c r="A125" s="10" t="s">
        <v>0</v>
      </c>
      <c r="B125" s="11" t="s">
        <v>3</v>
      </c>
      <c r="C125" s="11" t="s">
        <v>1</v>
      </c>
      <c r="D125" s="11" t="s">
        <v>26</v>
      </c>
      <c r="E125" s="11" t="s">
        <v>23</v>
      </c>
      <c r="F125" s="12" t="s">
        <v>27</v>
      </c>
    </row>
    <row r="126" spans="1:6" x14ac:dyDescent="0.25">
      <c r="A126" s="3">
        <v>1</v>
      </c>
      <c r="B126" s="67">
        <v>46035</v>
      </c>
      <c r="C126" s="3" t="s">
        <v>720</v>
      </c>
      <c r="D126" s="3">
        <v>3</v>
      </c>
      <c r="E126" s="4">
        <f>D126*250</f>
        <v>750</v>
      </c>
      <c r="F126" s="3" t="s">
        <v>203</v>
      </c>
    </row>
    <row r="127" spans="1:6" x14ac:dyDescent="0.25">
      <c r="A127" s="3">
        <v>2</v>
      </c>
      <c r="B127" s="67">
        <v>46035</v>
      </c>
      <c r="C127" s="1" t="s">
        <v>90</v>
      </c>
      <c r="D127" s="1">
        <v>0.25</v>
      </c>
      <c r="E127" s="5">
        <f>D127*400</f>
        <v>100</v>
      </c>
      <c r="F127" s="3" t="s">
        <v>203</v>
      </c>
    </row>
    <row r="128" spans="1:6" x14ac:dyDescent="0.25">
      <c r="A128" s="3">
        <v>3</v>
      </c>
      <c r="B128" s="67">
        <v>46035</v>
      </c>
      <c r="C128" s="1" t="s">
        <v>33</v>
      </c>
      <c r="D128" s="1">
        <v>1</v>
      </c>
      <c r="E128" s="5">
        <v>50</v>
      </c>
      <c r="F128" s="3" t="s">
        <v>203</v>
      </c>
    </row>
    <row r="129" spans="1:6" ht="15.75" thickBot="1" x14ac:dyDescent="0.3">
      <c r="A129" s="289" t="s">
        <v>41</v>
      </c>
      <c r="B129" s="290"/>
      <c r="C129" s="290"/>
      <c r="D129" s="291"/>
      <c r="E129" s="25">
        <f>SUM(E126:E128)</f>
        <v>900</v>
      </c>
    </row>
    <row r="130" spans="1:6" ht="15.75" thickBot="1" x14ac:dyDescent="0.3"/>
    <row r="131" spans="1:6" ht="15.75" thickBot="1" x14ac:dyDescent="0.3">
      <c r="A131" s="292" t="s">
        <v>39</v>
      </c>
      <c r="B131" s="293"/>
      <c r="F131" s="14" t="s">
        <v>40</v>
      </c>
    </row>
    <row r="132" spans="1:6" ht="15.75" thickBot="1" x14ac:dyDescent="0.3"/>
    <row r="133" spans="1:6" ht="19.5" thickBot="1" x14ac:dyDescent="0.35">
      <c r="A133" s="10" t="s">
        <v>0</v>
      </c>
      <c r="B133" s="11" t="s">
        <v>3</v>
      </c>
      <c r="C133" s="11" t="s">
        <v>1</v>
      </c>
      <c r="D133" s="11" t="s">
        <v>26</v>
      </c>
      <c r="E133" s="11" t="s">
        <v>23</v>
      </c>
      <c r="F133" s="12" t="s">
        <v>27</v>
      </c>
    </row>
    <row r="134" spans="1:6" x14ac:dyDescent="0.25">
      <c r="A134" s="3">
        <v>1</v>
      </c>
      <c r="B134" s="67">
        <v>46037</v>
      </c>
      <c r="C134" s="3" t="s">
        <v>254</v>
      </c>
      <c r="D134" s="3">
        <v>2</v>
      </c>
      <c r="E134" s="4">
        <f>D134*225</f>
        <v>450</v>
      </c>
      <c r="F134" s="3" t="s">
        <v>203</v>
      </c>
    </row>
    <row r="135" spans="1:6" x14ac:dyDescent="0.25">
      <c r="A135" s="3">
        <v>2</v>
      </c>
      <c r="B135" s="67">
        <v>46037</v>
      </c>
      <c r="C135" s="1" t="s">
        <v>19</v>
      </c>
      <c r="D135" s="1">
        <v>7</v>
      </c>
      <c r="E135" s="5">
        <f>D135*15</f>
        <v>105</v>
      </c>
      <c r="F135" s="3" t="s">
        <v>203</v>
      </c>
    </row>
    <row r="136" spans="1:6" x14ac:dyDescent="0.25">
      <c r="A136" s="3">
        <v>3</v>
      </c>
      <c r="B136" s="67">
        <v>46037</v>
      </c>
      <c r="C136" s="1" t="s">
        <v>33</v>
      </c>
      <c r="D136" s="1">
        <v>1</v>
      </c>
      <c r="E136" s="5">
        <f>D136*30</f>
        <v>30</v>
      </c>
      <c r="F136" s="3" t="s">
        <v>203</v>
      </c>
    </row>
    <row r="137" spans="1:6" x14ac:dyDescent="0.25">
      <c r="A137" s="3">
        <v>4</v>
      </c>
      <c r="B137" s="67">
        <v>46037</v>
      </c>
      <c r="C137" s="24" t="s">
        <v>236</v>
      </c>
      <c r="D137" s="24">
        <v>1</v>
      </c>
      <c r="E137" s="5">
        <f>D137*35</f>
        <v>35</v>
      </c>
      <c r="F137" s="3" t="s">
        <v>203</v>
      </c>
    </row>
    <row r="138" spans="1:6" ht="15.75" thickBot="1" x14ac:dyDescent="0.3">
      <c r="A138" s="289" t="s">
        <v>41</v>
      </c>
      <c r="B138" s="290"/>
      <c r="C138" s="290"/>
      <c r="D138" s="291"/>
      <c r="E138" s="25">
        <f>SUM(E134:E137)</f>
        <v>620</v>
      </c>
    </row>
    <row r="139" spans="1:6" ht="15.75" thickBot="1" x14ac:dyDescent="0.3"/>
    <row r="140" spans="1:6" ht="15.75" thickBot="1" x14ac:dyDescent="0.3">
      <c r="A140" s="292" t="s">
        <v>39</v>
      </c>
      <c r="B140" s="293"/>
      <c r="F140" s="14" t="s">
        <v>40</v>
      </c>
    </row>
    <row r="141" spans="1:6" ht="15.75" thickBot="1" x14ac:dyDescent="0.3"/>
    <row r="142" spans="1:6" ht="19.5" thickBot="1" x14ac:dyDescent="0.35">
      <c r="A142" s="10" t="s">
        <v>0</v>
      </c>
      <c r="B142" s="11" t="s">
        <v>3</v>
      </c>
      <c r="C142" s="11" t="s">
        <v>1</v>
      </c>
      <c r="D142" s="11" t="s">
        <v>26</v>
      </c>
      <c r="E142" s="11" t="s">
        <v>23</v>
      </c>
      <c r="F142" s="12" t="s">
        <v>27</v>
      </c>
    </row>
    <row r="143" spans="1:6" x14ac:dyDescent="0.25">
      <c r="A143" s="3">
        <v>1</v>
      </c>
      <c r="B143" s="67">
        <v>46038</v>
      </c>
      <c r="C143" s="3" t="s">
        <v>560</v>
      </c>
      <c r="D143" s="3">
        <v>3</v>
      </c>
      <c r="E143" s="4">
        <f>D143*320</f>
        <v>960</v>
      </c>
      <c r="F143" s="3" t="s">
        <v>203</v>
      </c>
    </row>
    <row r="144" spans="1:6" x14ac:dyDescent="0.25">
      <c r="A144" s="3">
        <v>2</v>
      </c>
      <c r="B144" s="67">
        <v>46038</v>
      </c>
      <c r="C144" s="1" t="s">
        <v>33</v>
      </c>
      <c r="D144" s="1">
        <v>1</v>
      </c>
      <c r="E144" s="5">
        <f>D144*30</f>
        <v>30</v>
      </c>
      <c r="F144" s="3" t="s">
        <v>203</v>
      </c>
    </row>
    <row r="145" spans="1:6" ht="15.75" thickBot="1" x14ac:dyDescent="0.3">
      <c r="A145" s="289" t="s">
        <v>41</v>
      </c>
      <c r="B145" s="290"/>
      <c r="C145" s="290"/>
      <c r="D145" s="291"/>
      <c r="E145" s="25">
        <f>SUM(E143:E144)</f>
        <v>990</v>
      </c>
    </row>
    <row r="146" spans="1:6" ht="15.75" thickBot="1" x14ac:dyDescent="0.3"/>
    <row r="147" spans="1:6" ht="15.75" thickBot="1" x14ac:dyDescent="0.3">
      <c r="A147" s="292" t="s">
        <v>39</v>
      </c>
      <c r="B147" s="293"/>
      <c r="F147" s="14" t="s">
        <v>40</v>
      </c>
    </row>
  </sheetData>
  <mergeCells count="32">
    <mergeCell ref="A68:D68"/>
    <mergeCell ref="A70:B70"/>
    <mergeCell ref="A88:D88"/>
    <mergeCell ref="A90:B90"/>
    <mergeCell ref="A80:D80"/>
    <mergeCell ref="A82:B82"/>
    <mergeCell ref="A102:D102"/>
    <mergeCell ref="A104:B104"/>
    <mergeCell ref="A6:D6"/>
    <mergeCell ref="A8:B8"/>
    <mergeCell ref="A15:D15"/>
    <mergeCell ref="A17:B17"/>
    <mergeCell ref="A26:D26"/>
    <mergeCell ref="A28:B28"/>
    <mergeCell ref="A96:D96"/>
    <mergeCell ref="A98:B98"/>
    <mergeCell ref="A39:D39"/>
    <mergeCell ref="A41:B41"/>
    <mergeCell ref="A48:D48"/>
    <mergeCell ref="A50:B50"/>
    <mergeCell ref="A55:D55"/>
    <mergeCell ref="A57:B57"/>
    <mergeCell ref="A145:D145"/>
    <mergeCell ref="A147:B147"/>
    <mergeCell ref="A121:D121"/>
    <mergeCell ref="A123:B123"/>
    <mergeCell ref="A110:D110"/>
    <mergeCell ref="A112:B112"/>
    <mergeCell ref="A140:B140"/>
    <mergeCell ref="A138:D138"/>
    <mergeCell ref="A129:D129"/>
    <mergeCell ref="A131:B131"/>
  </mergeCells>
  <pageMargins left="0.70866141732283472" right="0.70866141732283472" top="0.74803149606299213" bottom="0.74803149606299213" header="0.31496062992125984" footer="0.31496062992125984"/>
  <pageSetup scale="117"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zoomScaleNormal="100" workbookViewId="0">
      <selection activeCell="H14" sqref="H14"/>
    </sheetView>
  </sheetViews>
  <sheetFormatPr defaultRowHeight="15" x14ac:dyDescent="0.25"/>
  <cols>
    <col min="1" max="1" width="7.28515625" bestFit="1" customWidth="1"/>
    <col min="2" max="2" width="11.85546875" bestFit="1" customWidth="1"/>
    <col min="3" max="3" width="12" bestFit="1" customWidth="1"/>
    <col min="4" max="4" width="13" bestFit="1" customWidth="1"/>
    <col min="5" max="5" width="20.85546875" bestFit="1" customWidth="1"/>
  </cols>
  <sheetData>
    <row r="1" spans="1:5" ht="18.75" x14ac:dyDescent="0.3">
      <c r="A1" s="321" t="s">
        <v>542</v>
      </c>
      <c r="B1" s="321"/>
      <c r="C1" s="321"/>
      <c r="D1" s="321"/>
      <c r="E1" s="321"/>
    </row>
    <row r="2" spans="1:5" x14ac:dyDescent="0.25">
      <c r="A2" s="2" t="s">
        <v>0</v>
      </c>
      <c r="B2" s="2" t="s">
        <v>3</v>
      </c>
      <c r="C2" s="2" t="s">
        <v>24</v>
      </c>
      <c r="D2" s="2" t="s">
        <v>8</v>
      </c>
      <c r="E2" s="2" t="s">
        <v>540</v>
      </c>
    </row>
    <row r="3" spans="1:5" x14ac:dyDescent="0.25">
      <c r="A3" s="1">
        <v>1</v>
      </c>
      <c r="B3" s="66">
        <v>46011</v>
      </c>
      <c r="C3" s="66" t="s">
        <v>543</v>
      </c>
      <c r="D3" s="1">
        <v>440</v>
      </c>
      <c r="E3" s="1" t="s">
        <v>544</v>
      </c>
    </row>
    <row r="4" spans="1:5" x14ac:dyDescent="0.25">
      <c r="A4" s="1">
        <v>2</v>
      </c>
      <c r="B4" s="66">
        <v>46013</v>
      </c>
      <c r="C4" s="1" t="s">
        <v>543</v>
      </c>
      <c r="D4" s="1">
        <v>370</v>
      </c>
      <c r="E4" s="1" t="s">
        <v>544</v>
      </c>
    </row>
    <row r="5" spans="1:5" x14ac:dyDescent="0.25">
      <c r="A5" s="1">
        <v>3</v>
      </c>
      <c r="B5" s="66">
        <v>46013</v>
      </c>
      <c r="C5" s="1" t="s">
        <v>543</v>
      </c>
      <c r="D5" s="1">
        <v>670</v>
      </c>
      <c r="E5" s="1" t="s">
        <v>544</v>
      </c>
    </row>
    <row r="6" spans="1:5" x14ac:dyDescent="0.25">
      <c r="A6" s="1">
        <v>4</v>
      </c>
      <c r="B6" s="66">
        <v>46014</v>
      </c>
      <c r="C6" s="1" t="s">
        <v>543</v>
      </c>
      <c r="D6" s="1">
        <v>515</v>
      </c>
      <c r="E6" s="1" t="s">
        <v>544</v>
      </c>
    </row>
    <row r="7" spans="1:5" x14ac:dyDescent="0.25">
      <c r="A7" s="1">
        <v>5</v>
      </c>
      <c r="B7" s="66">
        <v>46014</v>
      </c>
      <c r="C7" s="1" t="s">
        <v>543</v>
      </c>
      <c r="D7" s="1">
        <v>795</v>
      </c>
      <c r="E7" s="1" t="s">
        <v>544</v>
      </c>
    </row>
    <row r="8" spans="1:5" x14ac:dyDescent="0.25">
      <c r="A8" s="1">
        <v>6</v>
      </c>
      <c r="B8" s="66">
        <v>46015</v>
      </c>
      <c r="C8" s="1" t="s">
        <v>543</v>
      </c>
      <c r="D8" s="1">
        <v>945</v>
      </c>
      <c r="E8" s="1" t="s">
        <v>544</v>
      </c>
    </row>
    <row r="9" spans="1:5" x14ac:dyDescent="0.25">
      <c r="A9" s="1">
        <v>7</v>
      </c>
      <c r="B9" s="66">
        <v>46015</v>
      </c>
      <c r="C9" s="1" t="s">
        <v>543</v>
      </c>
      <c r="D9" s="1">
        <v>450</v>
      </c>
      <c r="E9" s="1" t="s">
        <v>544</v>
      </c>
    </row>
    <row r="10" spans="1:5" x14ac:dyDescent="0.25">
      <c r="A10" s="1">
        <v>8</v>
      </c>
      <c r="B10" s="66">
        <v>46016</v>
      </c>
      <c r="C10" s="1" t="s">
        <v>543</v>
      </c>
      <c r="D10" s="1">
        <v>785</v>
      </c>
      <c r="E10" s="1" t="s">
        <v>544</v>
      </c>
    </row>
    <row r="11" spans="1:5" x14ac:dyDescent="0.25">
      <c r="A11" s="1">
        <v>9</v>
      </c>
      <c r="B11" s="66">
        <v>46020</v>
      </c>
      <c r="C11" s="1" t="s">
        <v>543</v>
      </c>
      <c r="D11" s="1">
        <v>335</v>
      </c>
      <c r="E11" s="1" t="s">
        <v>544</v>
      </c>
    </row>
    <row r="12" spans="1:5" x14ac:dyDescent="0.25">
      <c r="A12" s="1">
        <v>10</v>
      </c>
      <c r="B12" s="66">
        <v>46021</v>
      </c>
      <c r="C12" s="1" t="s">
        <v>543</v>
      </c>
      <c r="D12" s="1">
        <v>500</v>
      </c>
      <c r="E12" s="1" t="s">
        <v>544</v>
      </c>
    </row>
    <row r="13" spans="1:5" x14ac:dyDescent="0.25">
      <c r="A13" s="1">
        <v>11</v>
      </c>
      <c r="B13" s="66">
        <v>46022</v>
      </c>
      <c r="C13" s="1" t="s">
        <v>543</v>
      </c>
      <c r="D13" s="1">
        <v>750</v>
      </c>
      <c r="E13" s="1" t="s">
        <v>544</v>
      </c>
    </row>
    <row r="14" spans="1:5" ht="18.75" x14ac:dyDescent="0.3">
      <c r="A14" s="322" t="s">
        <v>41</v>
      </c>
      <c r="B14" s="323"/>
      <c r="C14" s="323"/>
      <c r="D14" s="105">
        <f>SUM(D3:D13)</f>
        <v>6555</v>
      </c>
      <c r="E14" s="1"/>
    </row>
    <row r="16" spans="1:5" ht="18.75" x14ac:dyDescent="0.3">
      <c r="A16" s="321" t="s">
        <v>542</v>
      </c>
      <c r="B16" s="321"/>
      <c r="C16" s="321"/>
      <c r="D16" s="321"/>
      <c r="E16" s="321"/>
    </row>
    <row r="17" spans="1:5" x14ac:dyDescent="0.25">
      <c r="A17" s="2" t="s">
        <v>0</v>
      </c>
      <c r="B17" s="2" t="s">
        <v>3</v>
      </c>
      <c r="C17" s="2" t="s">
        <v>24</v>
      </c>
      <c r="D17" s="2" t="s">
        <v>8</v>
      </c>
      <c r="E17" s="2" t="s">
        <v>540</v>
      </c>
    </row>
    <row r="18" spans="1:5" x14ac:dyDescent="0.25">
      <c r="A18" s="1">
        <v>1</v>
      </c>
      <c r="B18" s="66">
        <v>46029</v>
      </c>
      <c r="C18" s="66" t="s">
        <v>543</v>
      </c>
      <c r="D18" s="5">
        <v>2580</v>
      </c>
      <c r="E18" s="1" t="s">
        <v>544</v>
      </c>
    </row>
    <row r="19" spans="1:5" x14ac:dyDescent="0.25">
      <c r="A19" s="1">
        <v>2</v>
      </c>
      <c r="B19" s="66">
        <v>46035</v>
      </c>
      <c r="C19" s="1" t="s">
        <v>543</v>
      </c>
      <c r="D19" s="5">
        <v>900</v>
      </c>
      <c r="E19" s="1" t="s">
        <v>544</v>
      </c>
    </row>
    <row r="20" spans="1:5" x14ac:dyDescent="0.25">
      <c r="A20" s="1">
        <v>3</v>
      </c>
      <c r="B20" s="66">
        <v>46037</v>
      </c>
      <c r="C20" s="1" t="s">
        <v>543</v>
      </c>
      <c r="D20" s="5">
        <v>620</v>
      </c>
      <c r="E20" s="1" t="s">
        <v>544</v>
      </c>
    </row>
    <row r="21" spans="1:5" ht="19.5" thickBot="1" x14ac:dyDescent="0.35">
      <c r="A21" s="322" t="s">
        <v>41</v>
      </c>
      <c r="B21" s="323"/>
      <c r="C21" s="323"/>
      <c r="D21" s="199">
        <f>SUM(D18:D20)</f>
        <v>4100</v>
      </c>
      <c r="E21" s="1"/>
    </row>
    <row r="22" spans="1:5" ht="15.75" thickBot="1" x14ac:dyDescent="0.3">
      <c r="A22" s="292" t="s">
        <v>39</v>
      </c>
      <c r="B22" s="293"/>
      <c r="E22" s="14" t="s">
        <v>40</v>
      </c>
    </row>
    <row r="26" spans="1:5" ht="15.75" thickBot="1" x14ac:dyDescent="0.3"/>
    <row r="27" spans="1:5" ht="15.75" thickBot="1" x14ac:dyDescent="0.3">
      <c r="A27" s="292" t="s">
        <v>957</v>
      </c>
      <c r="B27" s="293"/>
    </row>
  </sheetData>
  <mergeCells count="6">
    <mergeCell ref="A27:B27"/>
    <mergeCell ref="A1:E1"/>
    <mergeCell ref="A14:C14"/>
    <mergeCell ref="A16:E16"/>
    <mergeCell ref="A21:C21"/>
    <mergeCell ref="A22:B22"/>
  </mergeCells>
  <pageMargins left="0.70866141732283472" right="0.70866141732283472" top="0.74803149606299213" bottom="0.74803149606299213" header="0.31496062992125984" footer="0.31496062992125984"/>
  <pageSetup scale="138"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5"/>
  <sheetViews>
    <sheetView zoomScale="85" zoomScaleNormal="85" workbookViewId="0">
      <selection activeCell="F40" sqref="F40"/>
    </sheetView>
  </sheetViews>
  <sheetFormatPr defaultRowHeight="15" x14ac:dyDescent="0.25"/>
  <cols>
    <col min="1" max="1" width="5.42578125" bestFit="1" customWidth="1"/>
    <col min="2" max="2" width="11.85546875" bestFit="1" customWidth="1"/>
    <col min="3" max="3" width="14.140625" bestFit="1" customWidth="1"/>
    <col min="4" max="4" width="30.7109375" customWidth="1"/>
    <col min="5" max="5" width="6.42578125" bestFit="1" customWidth="1"/>
    <col min="6" max="6" width="18.85546875" customWidth="1"/>
    <col min="7" max="7" width="20.85546875" bestFit="1" customWidth="1"/>
    <col min="10" max="10" width="11.85546875" bestFit="1" customWidth="1"/>
    <col min="11" max="11" width="10.28515625" bestFit="1" customWidth="1"/>
    <col min="12" max="12" width="30" bestFit="1" customWidth="1"/>
    <col min="14" max="14" width="17.42578125" bestFit="1" customWidth="1"/>
    <col min="15" max="15" width="20.85546875" bestFit="1" customWidth="1"/>
  </cols>
  <sheetData>
    <row r="1" spans="1:15" ht="21.75" thickBot="1" x14ac:dyDescent="0.4">
      <c r="A1" s="326" t="s">
        <v>138</v>
      </c>
      <c r="B1" s="327"/>
      <c r="C1" s="327"/>
      <c r="D1" s="327"/>
      <c r="E1" s="327"/>
      <c r="F1" s="327"/>
      <c r="G1" s="328"/>
      <c r="I1" s="326" t="s">
        <v>138</v>
      </c>
      <c r="J1" s="327"/>
      <c r="K1" s="327"/>
      <c r="L1" s="327"/>
      <c r="M1" s="327"/>
      <c r="N1" s="327"/>
      <c r="O1" s="328"/>
    </row>
    <row r="2" spans="1:15" ht="19.5" thickBot="1" x14ac:dyDescent="0.35">
      <c r="A2" s="10" t="s">
        <v>0</v>
      </c>
      <c r="B2" s="11" t="s">
        <v>3</v>
      </c>
      <c r="C2" s="11" t="s">
        <v>24</v>
      </c>
      <c r="D2" s="11" t="s">
        <v>1</v>
      </c>
      <c r="E2" s="11" t="s">
        <v>26</v>
      </c>
      <c r="F2" s="11" t="s">
        <v>23</v>
      </c>
      <c r="G2" s="12" t="s">
        <v>27</v>
      </c>
      <c r="I2" s="10" t="s">
        <v>0</v>
      </c>
      <c r="J2" s="11" t="s">
        <v>3</v>
      </c>
      <c r="K2" s="11" t="s">
        <v>24</v>
      </c>
      <c r="L2" s="11" t="s">
        <v>1</v>
      </c>
      <c r="M2" s="11" t="s">
        <v>26</v>
      </c>
      <c r="N2" s="11" t="s">
        <v>23</v>
      </c>
      <c r="O2" s="12" t="s">
        <v>27</v>
      </c>
    </row>
    <row r="3" spans="1:15" x14ac:dyDescent="0.25">
      <c r="A3" s="3">
        <v>1</v>
      </c>
      <c r="B3" s="3" t="s">
        <v>5</v>
      </c>
      <c r="C3" s="3" t="s">
        <v>62</v>
      </c>
      <c r="D3" s="330" t="s">
        <v>68</v>
      </c>
      <c r="E3" s="3"/>
      <c r="F3" s="333" t="s">
        <v>69</v>
      </c>
      <c r="G3" s="3" t="s">
        <v>146</v>
      </c>
      <c r="I3" s="3">
        <v>1</v>
      </c>
      <c r="J3" s="3" t="s">
        <v>52</v>
      </c>
      <c r="K3" s="3" t="s">
        <v>62</v>
      </c>
      <c r="L3" s="330" t="s">
        <v>73</v>
      </c>
      <c r="M3" s="3"/>
      <c r="N3" s="333" t="s">
        <v>74</v>
      </c>
      <c r="O3" s="3" t="s">
        <v>146</v>
      </c>
    </row>
    <row r="4" spans="1:15" x14ac:dyDescent="0.25">
      <c r="A4" s="3">
        <v>2</v>
      </c>
      <c r="B4" s="3" t="s">
        <v>5</v>
      </c>
      <c r="C4" s="1" t="s">
        <v>63</v>
      </c>
      <c r="D4" s="331"/>
      <c r="E4" s="1"/>
      <c r="F4" s="334"/>
      <c r="G4" s="3" t="s">
        <v>146</v>
      </c>
      <c r="I4" s="3">
        <v>2</v>
      </c>
      <c r="J4" s="3" t="s">
        <v>52</v>
      </c>
      <c r="K4" s="1" t="s">
        <v>63</v>
      </c>
      <c r="L4" s="331"/>
      <c r="M4" s="1"/>
      <c r="N4" s="334"/>
      <c r="O4" s="3" t="s">
        <v>146</v>
      </c>
    </row>
    <row r="5" spans="1:15" x14ac:dyDescent="0.25">
      <c r="A5" s="3">
        <v>3</v>
      </c>
      <c r="B5" s="3" t="s">
        <v>5</v>
      </c>
      <c r="C5" s="1" t="s">
        <v>64</v>
      </c>
      <c r="D5" s="331"/>
      <c r="E5" s="1"/>
      <c r="F5" s="334"/>
      <c r="G5" s="3" t="s">
        <v>146</v>
      </c>
      <c r="I5" s="3">
        <v>3</v>
      </c>
      <c r="J5" s="3" t="s">
        <v>52</v>
      </c>
      <c r="K5" s="1" t="s">
        <v>64</v>
      </c>
      <c r="L5" s="331"/>
      <c r="M5" s="1"/>
      <c r="N5" s="334"/>
      <c r="O5" s="3" t="s">
        <v>146</v>
      </c>
    </row>
    <row r="6" spans="1:15" x14ac:dyDescent="0.25">
      <c r="A6" s="3">
        <v>4</v>
      </c>
      <c r="B6" s="3" t="s">
        <v>5</v>
      </c>
      <c r="C6" s="1" t="s">
        <v>65</v>
      </c>
      <c r="D6" s="331"/>
      <c r="E6" s="1"/>
      <c r="F6" s="334"/>
      <c r="G6" s="3" t="s">
        <v>146</v>
      </c>
      <c r="I6" s="3">
        <v>4</v>
      </c>
      <c r="J6" s="3" t="s">
        <v>52</v>
      </c>
      <c r="K6" s="1" t="s">
        <v>65</v>
      </c>
      <c r="L6" s="331"/>
      <c r="M6" s="1"/>
      <c r="N6" s="334"/>
      <c r="O6" s="3" t="s">
        <v>146</v>
      </c>
    </row>
    <row r="7" spans="1:15" x14ac:dyDescent="0.25">
      <c r="A7" s="3">
        <v>5</v>
      </c>
      <c r="B7" s="3" t="s">
        <v>5</v>
      </c>
      <c r="C7" s="24" t="s">
        <v>66</v>
      </c>
      <c r="D7" s="331"/>
      <c r="E7" s="1"/>
      <c r="F7" s="334"/>
      <c r="G7" s="3" t="s">
        <v>146</v>
      </c>
      <c r="I7" s="3">
        <v>5</v>
      </c>
      <c r="J7" s="3" t="s">
        <v>52</v>
      </c>
      <c r="K7" s="24" t="s">
        <v>66</v>
      </c>
      <c r="L7" s="331"/>
      <c r="M7" s="1"/>
      <c r="N7" s="334"/>
      <c r="O7" s="3" t="s">
        <v>146</v>
      </c>
    </row>
    <row r="8" spans="1:15" x14ac:dyDescent="0.25">
      <c r="A8" s="3">
        <v>6</v>
      </c>
      <c r="B8" s="3" t="s">
        <v>5</v>
      </c>
      <c r="C8" s="24" t="s">
        <v>67</v>
      </c>
      <c r="D8" s="332"/>
      <c r="E8" s="1"/>
      <c r="F8" s="335"/>
      <c r="G8" s="3" t="s">
        <v>146</v>
      </c>
      <c r="I8" s="3">
        <v>6</v>
      </c>
      <c r="J8" s="3" t="s">
        <v>52</v>
      </c>
      <c r="K8" s="24" t="s">
        <v>67</v>
      </c>
      <c r="L8" s="332"/>
      <c r="M8" s="1"/>
      <c r="N8" s="335"/>
      <c r="O8" s="3" t="s">
        <v>146</v>
      </c>
    </row>
    <row r="9" spans="1:15" x14ac:dyDescent="0.25">
      <c r="A9" s="294" t="s">
        <v>41</v>
      </c>
      <c r="B9" s="294"/>
      <c r="C9" s="294"/>
      <c r="D9" s="294"/>
      <c r="E9" s="294"/>
      <c r="F9" s="17">
        <v>1700</v>
      </c>
      <c r="G9" s="1"/>
      <c r="I9" s="294" t="s">
        <v>41</v>
      </c>
      <c r="J9" s="294"/>
      <c r="K9" s="294"/>
      <c r="L9" s="294"/>
      <c r="M9" s="294"/>
      <c r="N9" s="17">
        <v>1610</v>
      </c>
      <c r="O9" s="1"/>
    </row>
    <row r="10" spans="1:15" ht="15.75" thickBot="1" x14ac:dyDescent="0.3"/>
    <row r="11" spans="1:15" ht="15.75" thickBot="1" x14ac:dyDescent="0.3">
      <c r="A11" s="292" t="s">
        <v>39</v>
      </c>
      <c r="B11" s="293"/>
      <c r="C11" s="23"/>
      <c r="G11" s="14" t="s">
        <v>40</v>
      </c>
      <c r="I11" s="292" t="s">
        <v>39</v>
      </c>
      <c r="J11" s="293"/>
      <c r="K11" s="23"/>
      <c r="O11" s="14" t="s">
        <v>40</v>
      </c>
    </row>
    <row r="12" spans="1:15" ht="15.75" thickBot="1" x14ac:dyDescent="0.3"/>
    <row r="13" spans="1:15" ht="21.75" thickBot="1" x14ac:dyDescent="0.4">
      <c r="A13" s="326" t="s">
        <v>139</v>
      </c>
      <c r="B13" s="327"/>
      <c r="C13" s="327"/>
      <c r="D13" s="327"/>
      <c r="E13" s="327"/>
      <c r="F13" s="327"/>
      <c r="G13" s="328"/>
      <c r="I13" s="326" t="s">
        <v>140</v>
      </c>
      <c r="J13" s="327"/>
      <c r="K13" s="327"/>
      <c r="L13" s="327"/>
      <c r="M13" s="327"/>
      <c r="N13" s="327"/>
      <c r="O13" s="328"/>
    </row>
    <row r="14" spans="1:15" ht="19.5" thickBot="1" x14ac:dyDescent="0.35">
      <c r="A14" s="10" t="s">
        <v>0</v>
      </c>
      <c r="B14" s="11" t="s">
        <v>3</v>
      </c>
      <c r="C14" s="11" t="s">
        <v>24</v>
      </c>
      <c r="D14" s="11" t="s">
        <v>1</v>
      </c>
      <c r="E14" s="11" t="s">
        <v>26</v>
      </c>
      <c r="F14" s="11" t="s">
        <v>23</v>
      </c>
      <c r="G14" s="12" t="s">
        <v>27</v>
      </c>
      <c r="I14" s="10" t="s">
        <v>0</v>
      </c>
      <c r="J14" s="11" t="s">
        <v>3</v>
      </c>
      <c r="K14" s="11" t="s">
        <v>24</v>
      </c>
      <c r="L14" s="11" t="s">
        <v>1</v>
      </c>
      <c r="M14" s="11" t="s">
        <v>26</v>
      </c>
      <c r="N14" s="11" t="s">
        <v>23</v>
      </c>
      <c r="O14" s="12" t="s">
        <v>27</v>
      </c>
    </row>
    <row r="15" spans="1:15" x14ac:dyDescent="0.25">
      <c r="A15" s="3">
        <v>1</v>
      </c>
      <c r="B15" s="3" t="s">
        <v>5</v>
      </c>
      <c r="C15" s="3" t="s">
        <v>70</v>
      </c>
      <c r="D15" s="330" t="s">
        <v>71</v>
      </c>
      <c r="E15" s="3"/>
      <c r="F15" s="333" t="s">
        <v>72</v>
      </c>
      <c r="G15" s="3" t="s">
        <v>146</v>
      </c>
      <c r="I15" s="3">
        <v>1</v>
      </c>
      <c r="J15" s="3" t="s">
        <v>52</v>
      </c>
      <c r="K15" s="3" t="s">
        <v>62</v>
      </c>
      <c r="L15" s="330" t="s">
        <v>79</v>
      </c>
      <c r="M15" s="3"/>
      <c r="N15" s="333" t="s">
        <v>80</v>
      </c>
      <c r="O15" s="3" t="s">
        <v>146</v>
      </c>
    </row>
    <row r="16" spans="1:15" x14ac:dyDescent="0.25">
      <c r="A16" s="3">
        <v>2</v>
      </c>
      <c r="B16" s="3" t="s">
        <v>5</v>
      </c>
      <c r="C16" s="1" t="s">
        <v>63</v>
      </c>
      <c r="D16" s="331"/>
      <c r="E16" s="1"/>
      <c r="F16" s="334"/>
      <c r="G16" s="3" t="s">
        <v>146</v>
      </c>
      <c r="I16" s="3">
        <v>2</v>
      </c>
      <c r="J16" s="3" t="s">
        <v>52</v>
      </c>
      <c r="K16" s="1" t="s">
        <v>75</v>
      </c>
      <c r="L16" s="331"/>
      <c r="M16" s="1"/>
      <c r="N16" s="334"/>
      <c r="O16" s="3" t="s">
        <v>146</v>
      </c>
    </row>
    <row r="17" spans="1:15" x14ac:dyDescent="0.25">
      <c r="A17" s="3">
        <v>3</v>
      </c>
      <c r="B17" s="3" t="s">
        <v>5</v>
      </c>
      <c r="C17" s="1" t="s">
        <v>64</v>
      </c>
      <c r="D17" s="331"/>
      <c r="E17" s="1"/>
      <c r="F17" s="334"/>
      <c r="G17" s="3" t="s">
        <v>146</v>
      </c>
      <c r="I17" s="3">
        <v>3</v>
      </c>
      <c r="J17" s="3" t="s">
        <v>52</v>
      </c>
      <c r="K17" s="1" t="s">
        <v>76</v>
      </c>
      <c r="L17" s="331"/>
      <c r="M17" s="1"/>
      <c r="N17" s="334"/>
      <c r="O17" s="3" t="s">
        <v>146</v>
      </c>
    </row>
    <row r="18" spans="1:15" x14ac:dyDescent="0.25">
      <c r="A18" s="294" t="s">
        <v>41</v>
      </c>
      <c r="B18" s="294"/>
      <c r="C18" s="294"/>
      <c r="D18" s="294"/>
      <c r="E18" s="294"/>
      <c r="F18" s="17">
        <v>390</v>
      </c>
      <c r="G18" s="1"/>
      <c r="I18" s="3">
        <v>4</v>
      </c>
      <c r="J18" s="3" t="s">
        <v>52</v>
      </c>
      <c r="K18" s="1" t="s">
        <v>77</v>
      </c>
      <c r="L18" s="331"/>
      <c r="M18" s="1"/>
      <c r="N18" s="334"/>
      <c r="O18" s="3" t="s">
        <v>146</v>
      </c>
    </row>
    <row r="19" spans="1:15" ht="15.75" thickBot="1" x14ac:dyDescent="0.3">
      <c r="I19" s="3">
        <v>5</v>
      </c>
      <c r="J19" s="3" t="s">
        <v>52</v>
      </c>
      <c r="K19" s="24" t="s">
        <v>78</v>
      </c>
      <c r="L19" s="331"/>
      <c r="M19" s="1"/>
      <c r="N19" s="334"/>
      <c r="O19" s="3" t="s">
        <v>146</v>
      </c>
    </row>
    <row r="20" spans="1:15" ht="15.75" thickBot="1" x14ac:dyDescent="0.3">
      <c r="A20" s="292" t="s">
        <v>39</v>
      </c>
      <c r="B20" s="293"/>
      <c r="C20" s="23"/>
      <c r="G20" s="14" t="s">
        <v>40</v>
      </c>
      <c r="I20" s="3"/>
      <c r="J20" s="3"/>
      <c r="K20" s="24"/>
      <c r="L20" s="332"/>
      <c r="M20" s="1"/>
      <c r="N20" s="335"/>
      <c r="O20" s="3" t="s">
        <v>146</v>
      </c>
    </row>
    <row r="21" spans="1:15" x14ac:dyDescent="0.25">
      <c r="I21" s="294" t="s">
        <v>41</v>
      </c>
      <c r="J21" s="294"/>
      <c r="K21" s="294"/>
      <c r="L21" s="294"/>
      <c r="M21" s="294"/>
      <c r="N21" s="17">
        <v>295</v>
      </c>
      <c r="O21" s="1"/>
    </row>
    <row r="22" spans="1:15" ht="15.75" thickBot="1" x14ac:dyDescent="0.3"/>
    <row r="23" spans="1:15" ht="15.75" thickBot="1" x14ac:dyDescent="0.3">
      <c r="I23" s="292" t="s">
        <v>39</v>
      </c>
      <c r="J23" s="293"/>
      <c r="K23" s="23"/>
      <c r="O23" s="14" t="s">
        <v>40</v>
      </c>
    </row>
    <row r="26" spans="1:15" ht="15.75" thickBot="1" x14ac:dyDescent="0.3"/>
    <row r="27" spans="1:15" ht="21.75" thickBot="1" x14ac:dyDescent="0.4">
      <c r="A27" s="326" t="s">
        <v>138</v>
      </c>
      <c r="B27" s="327"/>
      <c r="C27" s="327"/>
      <c r="D27" s="327"/>
      <c r="E27" s="327"/>
      <c r="F27" s="327"/>
      <c r="G27" s="328"/>
      <c r="I27" s="326" t="s">
        <v>139</v>
      </c>
      <c r="J27" s="327"/>
      <c r="K27" s="327"/>
      <c r="L27" s="327"/>
      <c r="M27" s="327"/>
      <c r="N27" s="327"/>
      <c r="O27" s="328"/>
    </row>
    <row r="28" spans="1:15" ht="19.5" thickBot="1" x14ac:dyDescent="0.35">
      <c r="A28" s="10" t="s">
        <v>0</v>
      </c>
      <c r="B28" s="11" t="s">
        <v>3</v>
      </c>
      <c r="C28" s="11" t="s">
        <v>24</v>
      </c>
      <c r="D28" s="11" t="s">
        <v>1</v>
      </c>
      <c r="E28" s="11" t="s">
        <v>26</v>
      </c>
      <c r="F28" s="11" t="s">
        <v>23</v>
      </c>
      <c r="G28" s="12" t="s">
        <v>27</v>
      </c>
      <c r="I28" s="10" t="s">
        <v>0</v>
      </c>
      <c r="J28" s="11" t="s">
        <v>3</v>
      </c>
      <c r="K28" s="11" t="s">
        <v>24</v>
      </c>
      <c r="L28" s="11" t="s">
        <v>1</v>
      </c>
      <c r="M28" s="11" t="s">
        <v>26</v>
      </c>
      <c r="N28" s="11" t="s">
        <v>23</v>
      </c>
      <c r="O28" s="12" t="s">
        <v>27</v>
      </c>
    </row>
    <row r="29" spans="1:15" x14ac:dyDescent="0.25">
      <c r="A29" s="3">
        <v>1</v>
      </c>
      <c r="B29" s="3" t="s">
        <v>52</v>
      </c>
      <c r="C29" s="3" t="s">
        <v>148</v>
      </c>
      <c r="D29" s="330" t="s">
        <v>154</v>
      </c>
      <c r="E29" s="3"/>
      <c r="F29" s="333" t="s">
        <v>156</v>
      </c>
      <c r="G29" s="3" t="s">
        <v>146</v>
      </c>
      <c r="I29" s="3">
        <v>1</v>
      </c>
      <c r="J29" s="3" t="s">
        <v>52</v>
      </c>
      <c r="K29" s="3" t="s">
        <v>148</v>
      </c>
      <c r="L29" s="330" t="s">
        <v>155</v>
      </c>
      <c r="M29" s="3"/>
      <c r="N29" s="333" t="s">
        <v>157</v>
      </c>
      <c r="O29" s="3" t="s">
        <v>146</v>
      </c>
    </row>
    <row r="30" spans="1:15" x14ac:dyDescent="0.25">
      <c r="A30" s="3">
        <v>2</v>
      </c>
      <c r="B30" s="3" t="s">
        <v>52</v>
      </c>
      <c r="C30" s="1" t="s">
        <v>149</v>
      </c>
      <c r="D30" s="331"/>
      <c r="E30" s="1"/>
      <c r="F30" s="334"/>
      <c r="G30" s="3" t="s">
        <v>146</v>
      </c>
      <c r="I30" s="3">
        <v>2</v>
      </c>
      <c r="J30" s="3" t="s">
        <v>52</v>
      </c>
      <c r="K30" s="1" t="s">
        <v>149</v>
      </c>
      <c r="L30" s="331"/>
      <c r="M30" s="1"/>
      <c r="N30" s="334"/>
      <c r="O30" s="3" t="s">
        <v>146</v>
      </c>
    </row>
    <row r="31" spans="1:15" x14ac:dyDescent="0.25">
      <c r="A31" s="3">
        <v>3</v>
      </c>
      <c r="B31" s="3" t="s">
        <v>52</v>
      </c>
      <c r="C31" s="1" t="s">
        <v>150</v>
      </c>
      <c r="D31" s="331"/>
      <c r="E31" s="1"/>
      <c r="F31" s="334"/>
      <c r="G31" s="3" t="s">
        <v>146</v>
      </c>
      <c r="I31" s="3">
        <v>3</v>
      </c>
      <c r="J31" s="3" t="s">
        <v>52</v>
      </c>
      <c r="K31" s="1" t="s">
        <v>150</v>
      </c>
      <c r="L31" s="331"/>
      <c r="M31" s="1"/>
      <c r="N31" s="334"/>
      <c r="O31" s="3" t="s">
        <v>146</v>
      </c>
    </row>
    <row r="32" spans="1:15" x14ac:dyDescent="0.25">
      <c r="A32" s="3">
        <v>4</v>
      </c>
      <c r="B32" s="3" t="s">
        <v>52</v>
      </c>
      <c r="C32" s="1" t="s">
        <v>151</v>
      </c>
      <c r="D32" s="331"/>
      <c r="E32" s="1"/>
      <c r="F32" s="334"/>
      <c r="G32" s="3" t="s">
        <v>146</v>
      </c>
      <c r="I32" s="3">
        <v>4</v>
      </c>
      <c r="J32" s="3" t="s">
        <v>52</v>
      </c>
      <c r="K32" s="1" t="s">
        <v>151</v>
      </c>
      <c r="L32" s="331"/>
      <c r="M32" s="1"/>
      <c r="N32" s="334"/>
      <c r="O32" s="3" t="s">
        <v>146</v>
      </c>
    </row>
    <row r="33" spans="1:15" x14ac:dyDescent="0.25">
      <c r="A33" s="3">
        <v>5</v>
      </c>
      <c r="B33" s="3" t="s">
        <v>52</v>
      </c>
      <c r="C33" s="24" t="s">
        <v>152</v>
      </c>
      <c r="D33" s="331"/>
      <c r="E33" s="1"/>
      <c r="F33" s="334"/>
      <c r="G33" s="3" t="s">
        <v>146</v>
      </c>
      <c r="I33" s="3">
        <v>5</v>
      </c>
      <c r="J33" s="3" t="s">
        <v>52</v>
      </c>
      <c r="K33" s="24" t="s">
        <v>152</v>
      </c>
      <c r="L33" s="331"/>
      <c r="M33" s="1"/>
      <c r="N33" s="334"/>
      <c r="O33" s="3" t="s">
        <v>146</v>
      </c>
    </row>
    <row r="34" spans="1:15" x14ac:dyDescent="0.25">
      <c r="A34" s="3">
        <v>6</v>
      </c>
      <c r="B34" s="3" t="s">
        <v>52</v>
      </c>
      <c r="C34" s="24" t="s">
        <v>153</v>
      </c>
      <c r="D34" s="332"/>
      <c r="E34" s="1"/>
      <c r="F34" s="335"/>
      <c r="G34" s="3" t="s">
        <v>146</v>
      </c>
      <c r="I34" s="3">
        <v>6</v>
      </c>
      <c r="J34" s="3" t="s">
        <v>52</v>
      </c>
      <c r="K34" s="24" t="s">
        <v>153</v>
      </c>
      <c r="L34" s="332"/>
      <c r="M34" s="1"/>
      <c r="N34" s="335"/>
      <c r="O34" s="3" t="s">
        <v>146</v>
      </c>
    </row>
    <row r="35" spans="1:15" x14ac:dyDescent="0.25">
      <c r="A35" s="294" t="s">
        <v>41</v>
      </c>
      <c r="B35" s="294"/>
      <c r="C35" s="294"/>
      <c r="D35" s="294"/>
      <c r="E35" s="294"/>
      <c r="F35" s="17">
        <f>1200+225+120</f>
        <v>1545</v>
      </c>
      <c r="G35" s="1"/>
      <c r="I35" s="294" t="s">
        <v>41</v>
      </c>
      <c r="J35" s="294"/>
      <c r="K35" s="294"/>
      <c r="L35" s="294"/>
      <c r="M35" s="294"/>
      <c r="N35" s="17">
        <f>50+800+800+900</f>
        <v>2550</v>
      </c>
      <c r="O35" s="1"/>
    </row>
    <row r="36" spans="1:15" ht="15.75" thickBot="1" x14ac:dyDescent="0.3"/>
    <row r="37" spans="1:15" ht="15.75" thickBot="1" x14ac:dyDescent="0.3">
      <c r="A37" s="292" t="s">
        <v>39</v>
      </c>
      <c r="B37" s="293"/>
      <c r="C37" s="23"/>
      <c r="G37" s="14" t="s">
        <v>40</v>
      </c>
      <c r="I37" s="292" t="s">
        <v>39</v>
      </c>
      <c r="J37" s="293"/>
      <c r="K37" s="23"/>
      <c r="O37" s="14" t="s">
        <v>40</v>
      </c>
    </row>
    <row r="42" spans="1:15" ht="15.75" thickBot="1" x14ac:dyDescent="0.3"/>
    <row r="43" spans="1:15" ht="21.75" thickBot="1" x14ac:dyDescent="0.4">
      <c r="A43" s="326" t="s">
        <v>138</v>
      </c>
      <c r="B43" s="327"/>
      <c r="C43" s="327"/>
      <c r="D43" s="327"/>
      <c r="E43" s="327"/>
      <c r="F43" s="327"/>
      <c r="G43" s="328"/>
      <c r="I43" s="326" t="s">
        <v>139</v>
      </c>
      <c r="J43" s="327"/>
      <c r="K43" s="327"/>
      <c r="L43" s="327"/>
      <c r="M43" s="327"/>
      <c r="N43" s="327"/>
      <c r="O43" s="328"/>
    </row>
    <row r="44" spans="1:15" ht="19.5" thickBot="1" x14ac:dyDescent="0.35">
      <c r="A44" s="10" t="s">
        <v>0</v>
      </c>
      <c r="B44" s="11" t="s">
        <v>3</v>
      </c>
      <c r="C44" s="11" t="s">
        <v>24</v>
      </c>
      <c r="D44" s="11" t="s">
        <v>1</v>
      </c>
      <c r="E44" s="11" t="s">
        <v>26</v>
      </c>
      <c r="F44" s="11" t="s">
        <v>23</v>
      </c>
      <c r="G44" s="12" t="s">
        <v>27</v>
      </c>
      <c r="I44" s="10" t="s">
        <v>0</v>
      </c>
      <c r="J44" s="11" t="s">
        <v>3</v>
      </c>
      <c r="K44" s="11" t="s">
        <v>24</v>
      </c>
      <c r="L44" s="11" t="s">
        <v>1</v>
      </c>
      <c r="M44" s="11" t="s">
        <v>26</v>
      </c>
      <c r="N44" s="11" t="s">
        <v>23</v>
      </c>
      <c r="O44" s="12" t="s">
        <v>27</v>
      </c>
    </row>
    <row r="45" spans="1:15" x14ac:dyDescent="0.25">
      <c r="A45" s="3">
        <v>1</v>
      </c>
      <c r="B45" s="3" t="s">
        <v>108</v>
      </c>
      <c r="C45" s="329" t="s">
        <v>145</v>
      </c>
      <c r="D45" s="330" t="s">
        <v>159</v>
      </c>
      <c r="E45" s="3"/>
      <c r="F45" s="333" t="s">
        <v>158</v>
      </c>
      <c r="G45" s="3" t="s">
        <v>146</v>
      </c>
      <c r="I45" s="3">
        <v>1</v>
      </c>
      <c r="J45" s="3" t="s">
        <v>108</v>
      </c>
      <c r="K45" s="329" t="s">
        <v>62</v>
      </c>
      <c r="L45" s="330" t="s">
        <v>147</v>
      </c>
      <c r="M45" s="3"/>
      <c r="N45" s="333" t="s">
        <v>160</v>
      </c>
      <c r="O45" s="3" t="s">
        <v>146</v>
      </c>
    </row>
    <row r="46" spans="1:15" x14ac:dyDescent="0.25">
      <c r="A46" s="3">
        <v>2</v>
      </c>
      <c r="B46" s="3" t="s">
        <v>108</v>
      </c>
      <c r="C46" s="309"/>
      <c r="D46" s="331"/>
      <c r="E46" s="1"/>
      <c r="F46" s="334"/>
      <c r="G46" s="3" t="s">
        <v>146</v>
      </c>
      <c r="I46" s="3">
        <v>2</v>
      </c>
      <c r="J46" s="3" t="s">
        <v>108</v>
      </c>
      <c r="K46" s="309"/>
      <c r="L46" s="331"/>
      <c r="M46" s="1"/>
      <c r="N46" s="334"/>
      <c r="O46" s="3" t="s">
        <v>146</v>
      </c>
    </row>
    <row r="47" spans="1:15" x14ac:dyDescent="0.25">
      <c r="A47" s="3">
        <v>3</v>
      </c>
      <c r="B47" s="3" t="s">
        <v>108</v>
      </c>
      <c r="C47" s="309"/>
      <c r="D47" s="331"/>
      <c r="E47" s="1"/>
      <c r="F47" s="334"/>
      <c r="G47" s="3" t="s">
        <v>146</v>
      </c>
      <c r="I47" s="3">
        <v>3</v>
      </c>
      <c r="J47" s="3" t="s">
        <v>108</v>
      </c>
      <c r="K47" s="309"/>
      <c r="L47" s="331"/>
      <c r="M47" s="1"/>
      <c r="N47" s="334"/>
      <c r="O47" s="3" t="s">
        <v>146</v>
      </c>
    </row>
    <row r="48" spans="1:15" x14ac:dyDescent="0.25">
      <c r="A48" s="3">
        <v>4</v>
      </c>
      <c r="B48" s="3" t="s">
        <v>108</v>
      </c>
      <c r="C48" s="309"/>
      <c r="D48" s="331"/>
      <c r="E48" s="1"/>
      <c r="F48" s="334"/>
      <c r="G48" s="3" t="s">
        <v>146</v>
      </c>
      <c r="I48" s="3">
        <v>4</v>
      </c>
      <c r="J48" s="3" t="s">
        <v>108</v>
      </c>
      <c r="K48" s="309"/>
      <c r="L48" s="331"/>
      <c r="M48" s="1"/>
      <c r="N48" s="334"/>
      <c r="O48" s="3" t="s">
        <v>146</v>
      </c>
    </row>
    <row r="49" spans="1:15" x14ac:dyDescent="0.25">
      <c r="A49" s="3">
        <v>5</v>
      </c>
      <c r="B49" s="3" t="s">
        <v>108</v>
      </c>
      <c r="C49" s="309"/>
      <c r="D49" s="331"/>
      <c r="E49" s="1"/>
      <c r="F49" s="334"/>
      <c r="G49" s="3" t="s">
        <v>146</v>
      </c>
      <c r="I49" s="3">
        <v>5</v>
      </c>
      <c r="J49" s="3" t="s">
        <v>108</v>
      </c>
      <c r="K49" s="309"/>
      <c r="L49" s="331"/>
      <c r="M49" s="1"/>
      <c r="N49" s="334"/>
      <c r="O49" s="3" t="s">
        <v>146</v>
      </c>
    </row>
    <row r="50" spans="1:15" x14ac:dyDescent="0.25">
      <c r="A50" s="3">
        <v>6</v>
      </c>
      <c r="B50" s="3" t="s">
        <v>108</v>
      </c>
      <c r="C50" s="310"/>
      <c r="D50" s="332"/>
      <c r="E50" s="1"/>
      <c r="F50" s="335"/>
      <c r="G50" s="3" t="s">
        <v>146</v>
      </c>
      <c r="I50" s="3">
        <v>6</v>
      </c>
      <c r="J50" s="3" t="s">
        <v>108</v>
      </c>
      <c r="K50" s="310"/>
      <c r="L50" s="332"/>
      <c r="M50" s="1"/>
      <c r="N50" s="335"/>
      <c r="O50" s="3" t="s">
        <v>146</v>
      </c>
    </row>
    <row r="51" spans="1:15" x14ac:dyDescent="0.25">
      <c r="A51" s="294" t="s">
        <v>41</v>
      </c>
      <c r="B51" s="294"/>
      <c r="C51" s="294"/>
      <c r="D51" s="294"/>
      <c r="E51" s="294"/>
      <c r="F51" s="17">
        <f>225+600+240+180+20</f>
        <v>1265</v>
      </c>
      <c r="G51" s="1"/>
      <c r="I51" s="294" t="s">
        <v>41</v>
      </c>
      <c r="J51" s="294"/>
      <c r="K51" s="294"/>
      <c r="L51" s="294"/>
      <c r="M51" s="294"/>
      <c r="N51" s="17">
        <f>600+80+270</f>
        <v>950</v>
      </c>
      <c r="O51" s="1"/>
    </row>
    <row r="52" spans="1:15" ht="15.75" thickBot="1" x14ac:dyDescent="0.3"/>
    <row r="53" spans="1:15" ht="15.75" thickBot="1" x14ac:dyDescent="0.3">
      <c r="A53" s="292" t="s">
        <v>39</v>
      </c>
      <c r="B53" s="293"/>
      <c r="C53" s="23"/>
      <c r="G53" s="14" t="s">
        <v>40</v>
      </c>
      <c r="I53" s="292" t="s">
        <v>39</v>
      </c>
      <c r="J53" s="293"/>
      <c r="K53" s="23"/>
      <c r="O53" s="14" t="s">
        <v>40</v>
      </c>
    </row>
    <row r="55" spans="1:15" ht="15.75" thickBot="1" x14ac:dyDescent="0.3"/>
    <row r="56" spans="1:15" ht="21.75" thickBot="1" x14ac:dyDescent="0.4">
      <c r="A56" s="326" t="s">
        <v>138</v>
      </c>
      <c r="B56" s="327"/>
      <c r="C56" s="327"/>
      <c r="D56" s="327"/>
      <c r="E56" s="327"/>
      <c r="F56" s="327"/>
      <c r="G56" s="328"/>
    </row>
    <row r="57" spans="1:15" ht="19.5" thickBot="1" x14ac:dyDescent="0.35">
      <c r="A57" s="10" t="s">
        <v>0</v>
      </c>
      <c r="B57" s="11" t="s">
        <v>3</v>
      </c>
      <c r="C57" s="11" t="s">
        <v>24</v>
      </c>
      <c r="D57" s="11" t="s">
        <v>1</v>
      </c>
      <c r="E57" s="11" t="s">
        <v>26</v>
      </c>
      <c r="F57" s="11" t="s">
        <v>23</v>
      </c>
      <c r="G57" s="12" t="s">
        <v>27</v>
      </c>
    </row>
    <row r="58" spans="1:15" x14ac:dyDescent="0.25">
      <c r="A58" s="3">
        <v>1</v>
      </c>
      <c r="B58" s="3" t="s">
        <v>119</v>
      </c>
      <c r="C58" s="3" t="s">
        <v>148</v>
      </c>
      <c r="D58" s="330" t="s">
        <v>185</v>
      </c>
      <c r="E58" s="3"/>
      <c r="F58" s="333" t="s">
        <v>184</v>
      </c>
      <c r="G58" s="3" t="s">
        <v>146</v>
      </c>
    </row>
    <row r="59" spans="1:15" x14ac:dyDescent="0.25">
      <c r="A59" s="3">
        <v>2</v>
      </c>
      <c r="B59" s="3" t="s">
        <v>119</v>
      </c>
      <c r="C59" s="1" t="s">
        <v>149</v>
      </c>
      <c r="D59" s="331"/>
      <c r="E59" s="1"/>
      <c r="F59" s="334"/>
      <c r="G59" s="3" t="s">
        <v>146</v>
      </c>
    </row>
    <row r="60" spans="1:15" x14ac:dyDescent="0.25">
      <c r="A60" s="3">
        <v>3</v>
      </c>
      <c r="B60" s="3" t="s">
        <v>119</v>
      </c>
      <c r="C60" s="1" t="s">
        <v>150</v>
      </c>
      <c r="D60" s="331"/>
      <c r="E60" s="1"/>
      <c r="F60" s="334"/>
      <c r="G60" s="3" t="s">
        <v>146</v>
      </c>
    </row>
    <row r="61" spans="1:15" x14ac:dyDescent="0.25">
      <c r="A61" s="3">
        <v>4</v>
      </c>
      <c r="B61" s="3" t="s">
        <v>119</v>
      </c>
      <c r="C61" s="1" t="s">
        <v>151</v>
      </c>
      <c r="D61" s="331"/>
      <c r="E61" s="1"/>
      <c r="F61" s="334"/>
      <c r="G61" s="3" t="s">
        <v>146</v>
      </c>
    </row>
    <row r="62" spans="1:15" x14ac:dyDescent="0.25">
      <c r="A62" s="3">
        <v>5</v>
      </c>
      <c r="B62" s="3" t="s">
        <v>119</v>
      </c>
      <c r="C62" s="24" t="s">
        <v>153</v>
      </c>
      <c r="D62" s="331"/>
      <c r="E62" s="1"/>
      <c r="F62" s="334"/>
      <c r="G62" s="3" t="s">
        <v>146</v>
      </c>
    </row>
    <row r="63" spans="1:15" x14ac:dyDescent="0.25">
      <c r="A63" s="52" t="s">
        <v>41</v>
      </c>
      <c r="B63" s="52"/>
      <c r="C63" s="52"/>
      <c r="D63" s="332"/>
      <c r="E63" s="1"/>
      <c r="F63" s="335"/>
      <c r="G63" s="3" t="s">
        <v>146</v>
      </c>
    </row>
    <row r="64" spans="1:15" ht="15.75" thickBot="1" x14ac:dyDescent="0.3">
      <c r="D64" s="52"/>
      <c r="E64" s="52"/>
      <c r="F64" s="17">
        <f>900+200+500</f>
        <v>1600</v>
      </c>
      <c r="G64" s="1"/>
    </row>
    <row r="65" spans="1:15" ht="15.75" thickBot="1" x14ac:dyDescent="0.3">
      <c r="A65" s="292" t="s">
        <v>39</v>
      </c>
      <c r="B65" s="293"/>
      <c r="C65" s="23"/>
    </row>
    <row r="66" spans="1:15" ht="15.75" thickBot="1" x14ac:dyDescent="0.3">
      <c r="G66" s="14" t="s">
        <v>40</v>
      </c>
    </row>
    <row r="67" spans="1:15" ht="15.75" thickBot="1" x14ac:dyDescent="0.3"/>
    <row r="68" spans="1:15" ht="21.75" thickBot="1" x14ac:dyDescent="0.4">
      <c r="A68" s="326" t="s">
        <v>138</v>
      </c>
      <c r="B68" s="327"/>
      <c r="C68" s="327"/>
      <c r="D68" s="327"/>
      <c r="E68" s="327"/>
      <c r="F68" s="327"/>
      <c r="G68" s="328"/>
      <c r="I68" s="326" t="s">
        <v>139</v>
      </c>
      <c r="J68" s="327"/>
      <c r="K68" s="327"/>
      <c r="L68" s="327"/>
      <c r="M68" s="327"/>
      <c r="N68" s="327"/>
      <c r="O68" s="328"/>
    </row>
    <row r="69" spans="1:15" ht="19.5" thickBot="1" x14ac:dyDescent="0.35">
      <c r="A69" s="10" t="s">
        <v>0</v>
      </c>
      <c r="B69" s="11" t="s">
        <v>3</v>
      </c>
      <c r="C69" s="11" t="s">
        <v>24</v>
      </c>
      <c r="D69" s="11" t="s">
        <v>1</v>
      </c>
      <c r="E69" s="11" t="s">
        <v>26</v>
      </c>
      <c r="F69" s="11" t="s">
        <v>23</v>
      </c>
      <c r="G69" s="12" t="s">
        <v>27</v>
      </c>
      <c r="I69" s="10" t="s">
        <v>0</v>
      </c>
      <c r="J69" s="11" t="s">
        <v>3</v>
      </c>
      <c r="K69" s="11" t="s">
        <v>24</v>
      </c>
      <c r="L69" s="11" t="s">
        <v>1</v>
      </c>
      <c r="M69" s="11" t="s">
        <v>26</v>
      </c>
      <c r="N69" s="11" t="s">
        <v>23</v>
      </c>
      <c r="O69" s="12" t="s">
        <v>27</v>
      </c>
    </row>
    <row r="70" spans="1:15" x14ac:dyDescent="0.25">
      <c r="A70" s="3">
        <v>1</v>
      </c>
      <c r="B70" s="3" t="s">
        <v>119</v>
      </c>
      <c r="C70" s="329" t="s">
        <v>145</v>
      </c>
      <c r="D70" s="330" t="s">
        <v>186</v>
      </c>
      <c r="E70" s="3"/>
      <c r="F70" s="333" t="s">
        <v>187</v>
      </c>
      <c r="G70" s="3" t="s">
        <v>146</v>
      </c>
      <c r="I70" s="3">
        <v>1</v>
      </c>
      <c r="J70" s="3" t="s">
        <v>119</v>
      </c>
      <c r="K70" s="329" t="s">
        <v>145</v>
      </c>
      <c r="L70" s="330" t="s">
        <v>188</v>
      </c>
      <c r="M70" s="3"/>
      <c r="N70" s="333" t="s">
        <v>189</v>
      </c>
      <c r="O70" s="3" t="s">
        <v>146</v>
      </c>
    </row>
    <row r="71" spans="1:15" x14ac:dyDescent="0.25">
      <c r="A71" s="3">
        <v>2</v>
      </c>
      <c r="B71" s="3" t="s">
        <v>119</v>
      </c>
      <c r="C71" s="309"/>
      <c r="D71" s="331"/>
      <c r="E71" s="1"/>
      <c r="F71" s="334"/>
      <c r="G71" s="3" t="s">
        <v>146</v>
      </c>
      <c r="I71" s="3">
        <v>2</v>
      </c>
      <c r="J71" s="3" t="s">
        <v>119</v>
      </c>
      <c r="K71" s="309"/>
      <c r="L71" s="331"/>
      <c r="M71" s="1"/>
      <c r="N71" s="334"/>
      <c r="O71" s="3" t="s">
        <v>146</v>
      </c>
    </row>
    <row r="72" spans="1:15" x14ac:dyDescent="0.25">
      <c r="A72" s="3">
        <v>3</v>
      </c>
      <c r="B72" s="3" t="s">
        <v>119</v>
      </c>
      <c r="C72" s="309"/>
      <c r="D72" s="331"/>
      <c r="E72" s="1"/>
      <c r="F72" s="334"/>
      <c r="G72" s="3" t="s">
        <v>146</v>
      </c>
      <c r="I72" s="3">
        <v>3</v>
      </c>
      <c r="J72" s="3" t="s">
        <v>119</v>
      </c>
      <c r="K72" s="309"/>
      <c r="L72" s="331"/>
      <c r="M72" s="1"/>
      <c r="N72" s="334"/>
      <c r="O72" s="3" t="s">
        <v>146</v>
      </c>
    </row>
    <row r="73" spans="1:15" x14ac:dyDescent="0.25">
      <c r="A73" s="3">
        <v>4</v>
      </c>
      <c r="B73" s="3" t="s">
        <v>119</v>
      </c>
      <c r="C73" s="309"/>
      <c r="D73" s="331"/>
      <c r="E73" s="1"/>
      <c r="F73" s="334"/>
      <c r="G73" s="3" t="s">
        <v>146</v>
      </c>
      <c r="I73" s="3">
        <v>4</v>
      </c>
      <c r="J73" s="3" t="s">
        <v>119</v>
      </c>
      <c r="K73" s="309"/>
      <c r="L73" s="331"/>
      <c r="M73" s="1"/>
      <c r="N73" s="334"/>
      <c r="O73" s="3" t="s">
        <v>146</v>
      </c>
    </row>
    <row r="74" spans="1:15" x14ac:dyDescent="0.25">
      <c r="A74" s="3">
        <v>5</v>
      </c>
      <c r="B74" s="3" t="s">
        <v>119</v>
      </c>
      <c r="C74" s="309"/>
      <c r="D74" s="331"/>
      <c r="E74" s="1"/>
      <c r="F74" s="334"/>
      <c r="G74" s="3" t="s">
        <v>146</v>
      </c>
      <c r="I74" s="3">
        <v>5</v>
      </c>
      <c r="J74" s="3" t="s">
        <v>119</v>
      </c>
      <c r="K74" s="309"/>
      <c r="L74" s="331"/>
      <c r="M74" s="1"/>
      <c r="N74" s="334"/>
      <c r="O74" s="3" t="s">
        <v>146</v>
      </c>
    </row>
    <row r="75" spans="1:15" x14ac:dyDescent="0.25">
      <c r="A75" s="3">
        <v>6</v>
      </c>
      <c r="B75" s="3" t="s">
        <v>119</v>
      </c>
      <c r="C75" s="310"/>
      <c r="D75" s="332"/>
      <c r="E75" s="1"/>
      <c r="F75" s="335"/>
      <c r="G75" s="3" t="s">
        <v>146</v>
      </c>
      <c r="I75" s="3">
        <v>6</v>
      </c>
      <c r="J75" s="3" t="s">
        <v>119</v>
      </c>
      <c r="K75" s="310"/>
      <c r="L75" s="332"/>
      <c r="M75" s="1"/>
      <c r="N75" s="335"/>
      <c r="O75" s="3" t="s">
        <v>146</v>
      </c>
    </row>
    <row r="76" spans="1:15" x14ac:dyDescent="0.25">
      <c r="A76" s="294" t="s">
        <v>41</v>
      </c>
      <c r="B76" s="294"/>
      <c r="C76" s="294"/>
      <c r="D76" s="294"/>
      <c r="E76" s="294"/>
      <c r="F76" s="17">
        <f>500+20+1080</f>
        <v>1600</v>
      </c>
      <c r="G76" s="1"/>
      <c r="I76" s="294" t="s">
        <v>41</v>
      </c>
      <c r="J76" s="294"/>
      <c r="K76" s="294"/>
      <c r="L76" s="294"/>
      <c r="M76" s="294"/>
      <c r="N76" s="17">
        <f>100+200+540+315</f>
        <v>1155</v>
      </c>
      <c r="O76" s="1"/>
    </row>
    <row r="77" spans="1:15" ht="15.75" thickBot="1" x14ac:dyDescent="0.3"/>
    <row r="78" spans="1:15" ht="15.75" thickBot="1" x14ac:dyDescent="0.3">
      <c r="A78" s="292" t="s">
        <v>39</v>
      </c>
      <c r="B78" s="293"/>
      <c r="C78" s="23"/>
      <c r="G78" s="14" t="s">
        <v>40</v>
      </c>
      <c r="I78" s="292" t="s">
        <v>39</v>
      </c>
      <c r="J78" s="293"/>
      <c r="K78" s="23"/>
      <c r="O78" s="14" t="s">
        <v>40</v>
      </c>
    </row>
    <row r="82" spans="1:15" ht="15.75" thickBot="1" x14ac:dyDescent="0.3"/>
    <row r="83" spans="1:15" ht="21.75" thickBot="1" x14ac:dyDescent="0.4">
      <c r="A83" s="326" t="s">
        <v>138</v>
      </c>
      <c r="B83" s="327"/>
      <c r="C83" s="327"/>
      <c r="D83" s="327"/>
      <c r="E83" s="327"/>
      <c r="F83" s="327"/>
      <c r="G83" s="328"/>
      <c r="I83" s="326" t="s">
        <v>138</v>
      </c>
      <c r="J83" s="327"/>
      <c r="K83" s="327"/>
      <c r="L83" s="327"/>
      <c r="M83" s="327"/>
      <c r="N83" s="327"/>
      <c r="O83" s="328"/>
    </row>
    <row r="84" spans="1:15" ht="19.5" thickBot="1" x14ac:dyDescent="0.35">
      <c r="A84" s="10" t="s">
        <v>0</v>
      </c>
      <c r="B84" s="11" t="s">
        <v>3</v>
      </c>
      <c r="C84" s="11" t="s">
        <v>24</v>
      </c>
      <c r="D84" s="11" t="s">
        <v>1</v>
      </c>
      <c r="E84" s="11" t="s">
        <v>26</v>
      </c>
      <c r="F84" s="11" t="s">
        <v>23</v>
      </c>
      <c r="G84" s="12" t="s">
        <v>27</v>
      </c>
      <c r="I84" s="10" t="s">
        <v>0</v>
      </c>
      <c r="J84" s="11" t="s">
        <v>3</v>
      </c>
      <c r="K84" s="11" t="s">
        <v>24</v>
      </c>
      <c r="L84" s="11" t="s">
        <v>1</v>
      </c>
      <c r="M84" s="11" t="s">
        <v>26</v>
      </c>
      <c r="N84" s="11" t="s">
        <v>23</v>
      </c>
      <c r="O84" s="12" t="s">
        <v>27</v>
      </c>
    </row>
    <row r="85" spans="1:15" x14ac:dyDescent="0.25">
      <c r="A85" s="3">
        <v>1</v>
      </c>
      <c r="B85" s="3" t="s">
        <v>177</v>
      </c>
      <c r="C85" s="1" t="s">
        <v>149</v>
      </c>
      <c r="D85" s="331" t="s">
        <v>205</v>
      </c>
      <c r="E85" s="1"/>
      <c r="F85" s="334" t="s">
        <v>206</v>
      </c>
      <c r="G85" s="3" t="s">
        <v>146</v>
      </c>
      <c r="I85" s="3">
        <v>1</v>
      </c>
      <c r="J85" s="3" t="s">
        <v>177</v>
      </c>
      <c r="K85" s="329" t="s">
        <v>145</v>
      </c>
      <c r="L85" s="331" t="s">
        <v>207</v>
      </c>
      <c r="M85" s="1"/>
      <c r="N85" s="334" t="s">
        <v>208</v>
      </c>
      <c r="O85" s="3" t="s">
        <v>146</v>
      </c>
    </row>
    <row r="86" spans="1:15" x14ac:dyDescent="0.25">
      <c r="A86" s="3">
        <v>2</v>
      </c>
      <c r="B86" s="3" t="s">
        <v>177</v>
      </c>
      <c r="C86" s="1" t="s">
        <v>150</v>
      </c>
      <c r="D86" s="331"/>
      <c r="E86" s="1"/>
      <c r="F86" s="334"/>
      <c r="G86" s="3" t="s">
        <v>146</v>
      </c>
      <c r="I86" s="3">
        <v>2</v>
      </c>
      <c r="J86" s="3" t="s">
        <v>177</v>
      </c>
      <c r="K86" s="309"/>
      <c r="L86" s="331"/>
      <c r="M86" s="1"/>
      <c r="N86" s="334"/>
      <c r="O86" s="3" t="s">
        <v>146</v>
      </c>
    </row>
    <row r="87" spans="1:15" x14ac:dyDescent="0.25">
      <c r="A87" s="3">
        <v>3</v>
      </c>
      <c r="B87" s="3" t="s">
        <v>177</v>
      </c>
      <c r="C87" s="1" t="s">
        <v>151</v>
      </c>
      <c r="D87" s="331"/>
      <c r="E87" s="1"/>
      <c r="F87" s="334"/>
      <c r="G87" s="3" t="s">
        <v>146</v>
      </c>
      <c r="I87" s="3">
        <v>3</v>
      </c>
      <c r="J87" s="3" t="s">
        <v>177</v>
      </c>
      <c r="K87" s="309"/>
      <c r="L87" s="331"/>
      <c r="M87" s="1"/>
      <c r="N87" s="334"/>
      <c r="O87" s="3" t="s">
        <v>146</v>
      </c>
    </row>
    <row r="88" spans="1:15" x14ac:dyDescent="0.25">
      <c r="A88" s="3">
        <v>4</v>
      </c>
      <c r="B88" s="3" t="s">
        <v>177</v>
      </c>
      <c r="C88" s="24" t="s">
        <v>152</v>
      </c>
      <c r="D88" s="331"/>
      <c r="E88" s="1"/>
      <c r="F88" s="334"/>
      <c r="G88" s="3" t="s">
        <v>146</v>
      </c>
      <c r="I88" s="3">
        <v>4</v>
      </c>
      <c r="J88" s="3" t="s">
        <v>177</v>
      </c>
      <c r="K88" s="309"/>
      <c r="L88" s="331"/>
      <c r="M88" s="1"/>
      <c r="N88" s="334"/>
      <c r="O88" s="3" t="s">
        <v>146</v>
      </c>
    </row>
    <row r="89" spans="1:15" x14ac:dyDescent="0.25">
      <c r="A89" s="3">
        <v>5</v>
      </c>
      <c r="B89" s="3" t="s">
        <v>177</v>
      </c>
      <c r="C89" s="24" t="s">
        <v>153</v>
      </c>
      <c r="D89" s="332"/>
      <c r="E89" s="1"/>
      <c r="F89" s="335"/>
      <c r="G89" s="3" t="s">
        <v>146</v>
      </c>
      <c r="I89" s="3">
        <v>5</v>
      </c>
      <c r="J89" s="3" t="s">
        <v>177</v>
      </c>
      <c r="K89" s="310"/>
      <c r="L89" s="332"/>
      <c r="M89" s="1"/>
      <c r="N89" s="335"/>
      <c r="O89" s="3" t="s">
        <v>146</v>
      </c>
    </row>
    <row r="90" spans="1:15" x14ac:dyDescent="0.25">
      <c r="A90" s="294" t="s">
        <v>41</v>
      </c>
      <c r="B90" s="294"/>
      <c r="C90" s="294"/>
      <c r="D90" s="294"/>
      <c r="E90" s="294"/>
      <c r="F90" s="17">
        <f>160+600+100+225+50</f>
        <v>1135</v>
      </c>
      <c r="G90" s="1"/>
      <c r="I90" s="294" t="s">
        <v>41</v>
      </c>
      <c r="J90" s="294"/>
      <c r="K90" s="294"/>
      <c r="L90" s="294"/>
      <c r="M90" s="294"/>
      <c r="N90" s="17">
        <f>600+180+40</f>
        <v>820</v>
      </c>
      <c r="O90" s="1"/>
    </row>
    <row r="91" spans="1:15" ht="15.75" thickBot="1" x14ac:dyDescent="0.3"/>
    <row r="92" spans="1:15" ht="15.75" thickBot="1" x14ac:dyDescent="0.3">
      <c r="A92" s="292" t="s">
        <v>39</v>
      </c>
      <c r="B92" s="293"/>
      <c r="C92" s="23"/>
      <c r="G92" s="14" t="s">
        <v>40</v>
      </c>
      <c r="I92" s="292" t="s">
        <v>39</v>
      </c>
      <c r="J92" s="293"/>
      <c r="K92" s="23"/>
      <c r="O92" s="14" t="s">
        <v>40</v>
      </c>
    </row>
    <row r="95" spans="1:15" ht="15.75" thickBot="1" x14ac:dyDescent="0.3"/>
    <row r="96" spans="1:15" ht="21.75" thickBot="1" x14ac:dyDescent="0.4">
      <c r="A96" s="326" t="s">
        <v>138</v>
      </c>
      <c r="B96" s="327"/>
      <c r="C96" s="327"/>
      <c r="D96" s="327"/>
      <c r="E96" s="327"/>
      <c r="F96" s="327"/>
      <c r="G96" s="328"/>
      <c r="I96" s="326" t="s">
        <v>139</v>
      </c>
      <c r="J96" s="327"/>
      <c r="K96" s="327"/>
      <c r="L96" s="327"/>
      <c r="M96" s="327"/>
      <c r="N96" s="327"/>
      <c r="O96" s="328"/>
    </row>
    <row r="97" spans="1:15" ht="19.5" thickBot="1" x14ac:dyDescent="0.35">
      <c r="A97" s="10" t="s">
        <v>0</v>
      </c>
      <c r="B97" s="11" t="s">
        <v>3</v>
      </c>
      <c r="C97" s="27" t="s">
        <v>24</v>
      </c>
      <c r="D97" s="11" t="s">
        <v>1</v>
      </c>
      <c r="E97" s="11" t="s">
        <v>26</v>
      </c>
      <c r="F97" s="11" t="s">
        <v>23</v>
      </c>
      <c r="G97" s="12" t="s">
        <v>27</v>
      </c>
      <c r="I97" s="10" t="s">
        <v>0</v>
      </c>
      <c r="J97" s="11" t="s">
        <v>3</v>
      </c>
      <c r="K97" s="11" t="s">
        <v>24</v>
      </c>
      <c r="L97" s="11" t="s">
        <v>1</v>
      </c>
      <c r="M97" s="11" t="s">
        <v>26</v>
      </c>
      <c r="N97" s="11" t="s">
        <v>23</v>
      </c>
      <c r="O97" s="12" t="s">
        <v>27</v>
      </c>
    </row>
    <row r="98" spans="1:15" x14ac:dyDescent="0.25">
      <c r="A98" s="3">
        <v>1</v>
      </c>
      <c r="B98" s="3" t="s">
        <v>177</v>
      </c>
      <c r="C98" s="18" t="s">
        <v>66</v>
      </c>
      <c r="D98" s="331" t="s">
        <v>210</v>
      </c>
      <c r="E98" s="1"/>
      <c r="F98" s="334" t="s">
        <v>211</v>
      </c>
      <c r="G98" s="3" t="s">
        <v>146</v>
      </c>
      <c r="I98" s="3">
        <v>1</v>
      </c>
      <c r="J98" s="3" t="s">
        <v>177</v>
      </c>
      <c r="K98" s="329" t="s">
        <v>145</v>
      </c>
      <c r="L98" s="331" t="s">
        <v>212</v>
      </c>
      <c r="M98" s="1"/>
      <c r="N98" s="334" t="s">
        <v>213</v>
      </c>
      <c r="O98" s="3" t="s">
        <v>146</v>
      </c>
    </row>
    <row r="99" spans="1:15" x14ac:dyDescent="0.25">
      <c r="A99" s="3">
        <v>2</v>
      </c>
      <c r="B99" s="3" t="s">
        <v>177</v>
      </c>
      <c r="C99" s="18" t="s">
        <v>209</v>
      </c>
      <c r="D99" s="331"/>
      <c r="E99" s="1"/>
      <c r="F99" s="334"/>
      <c r="G99" s="3" t="s">
        <v>146</v>
      </c>
      <c r="I99" s="3">
        <v>2</v>
      </c>
      <c r="J99" s="3" t="s">
        <v>177</v>
      </c>
      <c r="K99" s="309"/>
      <c r="L99" s="331"/>
      <c r="M99" s="1"/>
      <c r="N99" s="334"/>
      <c r="O99" s="3" t="s">
        <v>146</v>
      </c>
    </row>
    <row r="100" spans="1:15" x14ac:dyDescent="0.25">
      <c r="A100" s="294" t="s">
        <v>41</v>
      </c>
      <c r="B100" s="294"/>
      <c r="C100" s="294"/>
      <c r="D100" s="294"/>
      <c r="E100" s="294"/>
      <c r="F100" s="17">
        <f>200+45</f>
        <v>245</v>
      </c>
      <c r="G100" s="1"/>
      <c r="I100" s="3">
        <v>3</v>
      </c>
      <c r="J100" s="3" t="s">
        <v>177</v>
      </c>
      <c r="K100" s="309"/>
      <c r="L100" s="331"/>
      <c r="M100" s="1"/>
      <c r="N100" s="334"/>
      <c r="O100" s="3" t="s">
        <v>146</v>
      </c>
    </row>
    <row r="101" spans="1:15" ht="15.75" thickBot="1" x14ac:dyDescent="0.3">
      <c r="I101" s="3">
        <v>4</v>
      </c>
      <c r="J101" s="3" t="s">
        <v>177</v>
      </c>
      <c r="K101" s="309"/>
      <c r="L101" s="331"/>
      <c r="M101" s="1"/>
      <c r="N101" s="334"/>
      <c r="O101" s="3" t="s">
        <v>146</v>
      </c>
    </row>
    <row r="102" spans="1:15" ht="15.75" thickBot="1" x14ac:dyDescent="0.3">
      <c r="A102" s="292" t="s">
        <v>39</v>
      </c>
      <c r="B102" s="293"/>
      <c r="C102" s="23"/>
      <c r="G102" s="14" t="s">
        <v>40</v>
      </c>
      <c r="I102" s="3">
        <v>5</v>
      </c>
      <c r="J102" s="3" t="s">
        <v>177</v>
      </c>
      <c r="K102" s="310"/>
      <c r="L102" s="332"/>
      <c r="M102" s="1"/>
      <c r="N102" s="335"/>
      <c r="O102" s="3" t="s">
        <v>146</v>
      </c>
    </row>
    <row r="103" spans="1:15" x14ac:dyDescent="0.25">
      <c r="I103" s="294" t="s">
        <v>41</v>
      </c>
      <c r="J103" s="294"/>
      <c r="K103" s="294"/>
      <c r="L103" s="294"/>
      <c r="M103" s="294"/>
      <c r="N103" s="17">
        <f>240+200+240</f>
        <v>680</v>
      </c>
      <c r="O103" s="1"/>
    </row>
    <row r="104" spans="1:15" ht="15.75" thickBot="1" x14ac:dyDescent="0.3"/>
    <row r="105" spans="1:15" ht="15.75" thickBot="1" x14ac:dyDescent="0.3">
      <c r="I105" s="292" t="s">
        <v>39</v>
      </c>
      <c r="J105" s="293"/>
      <c r="K105" s="23"/>
      <c r="O105" s="14" t="s">
        <v>40</v>
      </c>
    </row>
    <row r="107" spans="1:15" ht="15.75" thickBot="1" x14ac:dyDescent="0.3"/>
    <row r="108" spans="1:15" ht="21.75" thickBot="1" x14ac:dyDescent="0.4">
      <c r="A108" s="326" t="s">
        <v>138</v>
      </c>
      <c r="B108" s="327"/>
      <c r="C108" s="327"/>
      <c r="D108" s="327"/>
      <c r="E108" s="327"/>
      <c r="F108" s="327"/>
      <c r="G108" s="328"/>
      <c r="I108" s="326" t="s">
        <v>138</v>
      </c>
      <c r="J108" s="327"/>
      <c r="K108" s="327"/>
      <c r="L108" s="327"/>
      <c r="M108" s="327"/>
      <c r="N108" s="327"/>
      <c r="O108" s="328"/>
    </row>
    <row r="109" spans="1:15" ht="19.5" thickBot="1" x14ac:dyDescent="0.35">
      <c r="A109" s="10" t="s">
        <v>0</v>
      </c>
      <c r="B109" s="11" t="s">
        <v>3</v>
      </c>
      <c r="C109" s="11" t="s">
        <v>24</v>
      </c>
      <c r="D109" s="11" t="s">
        <v>1</v>
      </c>
      <c r="E109" s="11" t="s">
        <v>26</v>
      </c>
      <c r="F109" s="11" t="s">
        <v>23</v>
      </c>
      <c r="G109" s="12" t="s">
        <v>27</v>
      </c>
      <c r="I109" s="10" t="s">
        <v>0</v>
      </c>
      <c r="J109" s="11" t="s">
        <v>3</v>
      </c>
      <c r="K109" s="11" t="s">
        <v>24</v>
      </c>
      <c r="L109" s="11" t="s">
        <v>1</v>
      </c>
      <c r="M109" s="11" t="s">
        <v>26</v>
      </c>
      <c r="N109" s="11" t="s">
        <v>23</v>
      </c>
      <c r="O109" s="12" t="s">
        <v>27</v>
      </c>
    </row>
    <row r="110" spans="1:15" ht="15" customHeight="1" x14ac:dyDescent="0.25">
      <c r="A110" s="3">
        <v>1</v>
      </c>
      <c r="B110" s="3" t="s">
        <v>216</v>
      </c>
      <c r="C110" s="329" t="s">
        <v>227</v>
      </c>
      <c r="D110" s="331" t="s">
        <v>228</v>
      </c>
      <c r="E110" s="1"/>
      <c r="F110" s="334" t="s">
        <v>229</v>
      </c>
      <c r="G110" s="3" t="s">
        <v>146</v>
      </c>
      <c r="I110" s="3">
        <v>1</v>
      </c>
      <c r="J110" s="3" t="s">
        <v>216</v>
      </c>
      <c r="K110" s="329" t="s">
        <v>145</v>
      </c>
      <c r="L110" s="331" t="s">
        <v>230</v>
      </c>
      <c r="M110" s="1"/>
      <c r="N110" s="334" t="s">
        <v>231</v>
      </c>
      <c r="O110" s="3" t="s">
        <v>146</v>
      </c>
    </row>
    <row r="111" spans="1:15" x14ac:dyDescent="0.25">
      <c r="A111" s="3">
        <v>2</v>
      </c>
      <c r="B111" s="3" t="s">
        <v>216</v>
      </c>
      <c r="C111" s="309"/>
      <c r="D111" s="331"/>
      <c r="E111" s="1"/>
      <c r="F111" s="334"/>
      <c r="G111" s="3" t="s">
        <v>146</v>
      </c>
      <c r="I111" s="3">
        <v>2</v>
      </c>
      <c r="J111" s="3" t="s">
        <v>216</v>
      </c>
      <c r="K111" s="309"/>
      <c r="L111" s="331"/>
      <c r="M111" s="1"/>
      <c r="N111" s="334"/>
      <c r="O111" s="3" t="s">
        <v>146</v>
      </c>
    </row>
    <row r="112" spans="1:15" x14ac:dyDescent="0.25">
      <c r="A112" s="3">
        <v>3</v>
      </c>
      <c r="B112" s="3" t="s">
        <v>216</v>
      </c>
      <c r="C112" s="310"/>
      <c r="D112" s="331"/>
      <c r="E112" s="1"/>
      <c r="F112" s="334"/>
      <c r="G112" s="3" t="s">
        <v>146</v>
      </c>
      <c r="I112" s="3">
        <v>3</v>
      </c>
      <c r="J112" s="3" t="s">
        <v>216</v>
      </c>
      <c r="K112" s="309"/>
      <c r="L112" s="331"/>
      <c r="M112" s="1"/>
      <c r="N112" s="334"/>
      <c r="O112" s="3" t="s">
        <v>146</v>
      </c>
    </row>
    <row r="113" spans="1:15" x14ac:dyDescent="0.25">
      <c r="A113" s="294" t="s">
        <v>41</v>
      </c>
      <c r="B113" s="294"/>
      <c r="C113" s="294"/>
      <c r="D113" s="294"/>
      <c r="E113" s="294"/>
      <c r="F113" s="17">
        <f>80+100+20</f>
        <v>200</v>
      </c>
      <c r="G113" s="1"/>
      <c r="I113" s="3">
        <v>4</v>
      </c>
      <c r="J113" s="3" t="s">
        <v>216</v>
      </c>
      <c r="K113" s="309"/>
      <c r="L113" s="331"/>
      <c r="M113" s="1"/>
      <c r="N113" s="334"/>
      <c r="O113" s="3" t="s">
        <v>146</v>
      </c>
    </row>
    <row r="114" spans="1:15" ht="15.75" thickBot="1" x14ac:dyDescent="0.3">
      <c r="I114" s="3">
        <v>5</v>
      </c>
      <c r="J114" s="3" t="s">
        <v>216</v>
      </c>
      <c r="K114" s="310"/>
      <c r="L114" s="332"/>
      <c r="M114" s="1"/>
      <c r="N114" s="335"/>
      <c r="O114" s="3" t="s">
        <v>146</v>
      </c>
    </row>
    <row r="115" spans="1:15" ht="15.75" thickBot="1" x14ac:dyDescent="0.3">
      <c r="A115" s="292" t="s">
        <v>39</v>
      </c>
      <c r="B115" s="293"/>
      <c r="C115" s="23"/>
      <c r="G115" s="14" t="s">
        <v>40</v>
      </c>
      <c r="I115" s="294" t="s">
        <v>41</v>
      </c>
      <c r="J115" s="294"/>
      <c r="K115" s="294"/>
      <c r="L115" s="294"/>
      <c r="M115" s="294"/>
      <c r="N115" s="17">
        <f>160+150+40+240</f>
        <v>590</v>
      </c>
      <c r="O115" s="1"/>
    </row>
    <row r="116" spans="1:15" ht="15.75" thickBot="1" x14ac:dyDescent="0.3"/>
    <row r="117" spans="1:15" ht="15.75" thickBot="1" x14ac:dyDescent="0.3">
      <c r="I117" s="292" t="s">
        <v>39</v>
      </c>
      <c r="J117" s="293"/>
      <c r="K117" s="23"/>
      <c r="O117" s="14" t="s">
        <v>40</v>
      </c>
    </row>
    <row r="118" spans="1:15" ht="15.75" thickBot="1" x14ac:dyDescent="0.3"/>
    <row r="119" spans="1:15" ht="21.75" thickBot="1" x14ac:dyDescent="0.4">
      <c r="A119" s="326" t="s">
        <v>138</v>
      </c>
      <c r="B119" s="327"/>
      <c r="C119" s="327"/>
      <c r="D119" s="327"/>
      <c r="E119" s="327"/>
      <c r="F119" s="327"/>
      <c r="G119" s="328"/>
      <c r="I119" s="326" t="s">
        <v>255</v>
      </c>
      <c r="J119" s="327"/>
      <c r="K119" s="327"/>
      <c r="L119" s="327"/>
      <c r="M119" s="327"/>
      <c r="N119" s="327"/>
      <c r="O119" s="328"/>
    </row>
    <row r="120" spans="1:15" ht="19.5" thickBot="1" x14ac:dyDescent="0.35">
      <c r="A120" s="10" t="s">
        <v>0</v>
      </c>
      <c r="B120" s="11" t="s">
        <v>3</v>
      </c>
      <c r="C120" s="11" t="s">
        <v>24</v>
      </c>
      <c r="D120" s="11" t="s">
        <v>1</v>
      </c>
      <c r="E120" s="11" t="s">
        <v>26</v>
      </c>
      <c r="F120" s="11" t="s">
        <v>23</v>
      </c>
      <c r="G120" s="12" t="s">
        <v>27</v>
      </c>
      <c r="I120" s="10" t="s">
        <v>0</v>
      </c>
      <c r="J120" s="11" t="s">
        <v>3</v>
      </c>
      <c r="K120" s="11" t="s">
        <v>24</v>
      </c>
      <c r="L120" s="11" t="s">
        <v>1</v>
      </c>
      <c r="M120" s="11" t="s">
        <v>26</v>
      </c>
      <c r="N120" s="11" t="s">
        <v>23</v>
      </c>
      <c r="O120" s="12" t="s">
        <v>27</v>
      </c>
    </row>
    <row r="121" spans="1:15" x14ac:dyDescent="0.25">
      <c r="A121" s="3">
        <v>1</v>
      </c>
      <c r="B121" s="3" t="s">
        <v>233</v>
      </c>
      <c r="C121" s="3" t="s">
        <v>148</v>
      </c>
      <c r="D121" s="330" t="s">
        <v>250</v>
      </c>
      <c r="E121" s="3"/>
      <c r="F121" s="333" t="s">
        <v>251</v>
      </c>
      <c r="G121" s="3" t="s">
        <v>146</v>
      </c>
      <c r="I121" s="3">
        <v>1</v>
      </c>
      <c r="J121" s="3" t="s">
        <v>233</v>
      </c>
      <c r="K121" s="3" t="s">
        <v>148</v>
      </c>
      <c r="L121" s="330" t="s">
        <v>252</v>
      </c>
      <c r="M121" s="3"/>
      <c r="N121" s="333" t="s">
        <v>253</v>
      </c>
      <c r="O121" s="3" t="s">
        <v>146</v>
      </c>
    </row>
    <row r="122" spans="1:15" x14ac:dyDescent="0.25">
      <c r="A122" s="3">
        <v>2</v>
      </c>
      <c r="B122" s="3" t="s">
        <v>233</v>
      </c>
      <c r="C122" s="1" t="s">
        <v>149</v>
      </c>
      <c r="D122" s="331"/>
      <c r="E122" s="1"/>
      <c r="F122" s="334"/>
      <c r="G122" s="3" t="s">
        <v>146</v>
      </c>
      <c r="I122" s="3">
        <v>2</v>
      </c>
      <c r="J122" s="3" t="s">
        <v>233</v>
      </c>
      <c r="K122" s="1" t="s">
        <v>149</v>
      </c>
      <c r="L122" s="331"/>
      <c r="M122" s="1"/>
      <c r="N122" s="334"/>
      <c r="O122" s="3" t="s">
        <v>146</v>
      </c>
    </row>
    <row r="123" spans="1:15" x14ac:dyDescent="0.25">
      <c r="A123" s="3">
        <v>3</v>
      </c>
      <c r="B123" s="3" t="s">
        <v>233</v>
      </c>
      <c r="C123" s="1" t="s">
        <v>150</v>
      </c>
      <c r="D123" s="331"/>
      <c r="E123" s="1"/>
      <c r="F123" s="334"/>
      <c r="G123" s="3" t="s">
        <v>146</v>
      </c>
      <c r="I123" s="3">
        <v>3</v>
      </c>
      <c r="J123" s="3" t="s">
        <v>233</v>
      </c>
      <c r="K123" s="1" t="s">
        <v>150</v>
      </c>
      <c r="L123" s="331"/>
      <c r="M123" s="1"/>
      <c r="N123" s="334"/>
      <c r="O123" s="3" t="s">
        <v>146</v>
      </c>
    </row>
    <row r="124" spans="1:15" x14ac:dyDescent="0.25">
      <c r="A124" s="3">
        <v>6</v>
      </c>
      <c r="B124" s="3" t="s">
        <v>233</v>
      </c>
      <c r="C124" s="24" t="s">
        <v>153</v>
      </c>
      <c r="D124" s="332"/>
      <c r="E124" s="1"/>
      <c r="F124" s="335"/>
      <c r="G124" s="3" t="s">
        <v>146</v>
      </c>
      <c r="I124" s="3">
        <v>6</v>
      </c>
      <c r="J124" s="3" t="s">
        <v>233</v>
      </c>
      <c r="K124" s="24" t="s">
        <v>153</v>
      </c>
      <c r="L124" s="332"/>
      <c r="M124" s="1"/>
      <c r="N124" s="335"/>
      <c r="O124" s="3" t="s">
        <v>146</v>
      </c>
    </row>
    <row r="125" spans="1:15" x14ac:dyDescent="0.25">
      <c r="A125" s="294" t="s">
        <v>41</v>
      </c>
      <c r="B125" s="294"/>
      <c r="C125" s="294"/>
      <c r="D125" s="294"/>
      <c r="E125" s="294"/>
      <c r="F125" s="17">
        <f>800+180+400+100</f>
        <v>1480</v>
      </c>
      <c r="G125" s="1"/>
      <c r="I125" s="294" t="s">
        <v>41</v>
      </c>
      <c r="J125" s="294"/>
      <c r="K125" s="294"/>
      <c r="L125" s="294"/>
      <c r="M125" s="294"/>
      <c r="N125" s="17">
        <f>200+60+120</f>
        <v>380</v>
      </c>
      <c r="O125" s="1"/>
    </row>
    <row r="126" spans="1:15" ht="15.75" thickBot="1" x14ac:dyDescent="0.3"/>
    <row r="127" spans="1:15" ht="15.75" thickBot="1" x14ac:dyDescent="0.3">
      <c r="A127" s="292" t="s">
        <v>39</v>
      </c>
      <c r="B127" s="293"/>
      <c r="C127" s="23"/>
      <c r="G127" s="14" t="s">
        <v>40</v>
      </c>
      <c r="I127" s="292" t="s">
        <v>39</v>
      </c>
      <c r="J127" s="293"/>
      <c r="K127" s="23"/>
      <c r="O127" s="14" t="s">
        <v>40</v>
      </c>
    </row>
    <row r="128" spans="1:15" ht="15.75" thickBot="1" x14ac:dyDescent="0.3"/>
    <row r="129" spans="1:15" ht="21.75" thickBot="1" x14ac:dyDescent="0.4">
      <c r="A129" s="326" t="s">
        <v>138</v>
      </c>
      <c r="B129" s="327"/>
      <c r="C129" s="327"/>
      <c r="D129" s="327"/>
      <c r="E129" s="327"/>
      <c r="F129" s="327"/>
      <c r="G129" s="328"/>
      <c r="I129" s="326" t="s">
        <v>139</v>
      </c>
      <c r="J129" s="327"/>
      <c r="K129" s="327"/>
      <c r="L129" s="327"/>
      <c r="M129" s="327"/>
      <c r="N129" s="327"/>
      <c r="O129" s="328"/>
    </row>
    <row r="130" spans="1:15" ht="19.5" thickBot="1" x14ac:dyDescent="0.35">
      <c r="A130" s="10" t="s">
        <v>0</v>
      </c>
      <c r="B130" s="11" t="s">
        <v>3</v>
      </c>
      <c r="C130" s="11" t="s">
        <v>24</v>
      </c>
      <c r="D130" s="11" t="s">
        <v>1</v>
      </c>
      <c r="E130" s="11" t="s">
        <v>26</v>
      </c>
      <c r="F130" s="11" t="s">
        <v>23</v>
      </c>
      <c r="G130" s="12" t="s">
        <v>27</v>
      </c>
      <c r="I130" s="10" t="s">
        <v>0</v>
      </c>
      <c r="J130" s="11" t="s">
        <v>3</v>
      </c>
      <c r="K130" s="11" t="s">
        <v>24</v>
      </c>
      <c r="L130" s="11" t="s">
        <v>1</v>
      </c>
      <c r="M130" s="11" t="s">
        <v>26</v>
      </c>
      <c r="N130" s="11" t="s">
        <v>23</v>
      </c>
      <c r="O130" s="12" t="s">
        <v>27</v>
      </c>
    </row>
    <row r="131" spans="1:15" x14ac:dyDescent="0.25">
      <c r="A131" s="3">
        <v>1</v>
      </c>
      <c r="B131" s="3" t="s">
        <v>233</v>
      </c>
      <c r="C131" s="329" t="s">
        <v>145</v>
      </c>
      <c r="D131" s="331" t="s">
        <v>256</v>
      </c>
      <c r="E131" s="1"/>
      <c r="F131" s="334" t="s">
        <v>257</v>
      </c>
      <c r="G131" s="3" t="s">
        <v>146</v>
      </c>
      <c r="I131" s="3">
        <v>1</v>
      </c>
      <c r="J131" s="3" t="s">
        <v>233</v>
      </c>
      <c r="K131" s="329" t="s">
        <v>145</v>
      </c>
      <c r="L131" s="331" t="s">
        <v>258</v>
      </c>
      <c r="M131" s="1"/>
      <c r="N131" s="334" t="s">
        <v>259</v>
      </c>
      <c r="O131" s="3" t="s">
        <v>146</v>
      </c>
    </row>
    <row r="132" spans="1:15" x14ac:dyDescent="0.25">
      <c r="A132" s="3">
        <v>2</v>
      </c>
      <c r="B132" s="3" t="s">
        <v>233</v>
      </c>
      <c r="C132" s="309"/>
      <c r="D132" s="331"/>
      <c r="E132" s="1"/>
      <c r="F132" s="334"/>
      <c r="G132" s="3" t="s">
        <v>146</v>
      </c>
      <c r="I132" s="3">
        <v>2</v>
      </c>
      <c r="J132" s="3" t="s">
        <v>233</v>
      </c>
      <c r="K132" s="309"/>
      <c r="L132" s="331"/>
      <c r="M132" s="1"/>
      <c r="N132" s="334"/>
      <c r="O132" s="3" t="s">
        <v>146</v>
      </c>
    </row>
    <row r="133" spans="1:15" x14ac:dyDescent="0.25">
      <c r="A133" s="3">
        <v>3</v>
      </c>
      <c r="B133" s="3" t="s">
        <v>233</v>
      </c>
      <c r="C133" s="309"/>
      <c r="D133" s="331"/>
      <c r="E133" s="1"/>
      <c r="F133" s="334"/>
      <c r="G133" s="3" t="s">
        <v>146</v>
      </c>
      <c r="I133" s="3">
        <v>3</v>
      </c>
      <c r="J133" s="3" t="s">
        <v>233</v>
      </c>
      <c r="K133" s="309"/>
      <c r="L133" s="331"/>
      <c r="M133" s="1"/>
      <c r="N133" s="334"/>
      <c r="O133" s="3" t="s">
        <v>146</v>
      </c>
    </row>
    <row r="134" spans="1:15" x14ac:dyDescent="0.25">
      <c r="A134" s="3">
        <v>4</v>
      </c>
      <c r="B134" s="3" t="s">
        <v>233</v>
      </c>
      <c r="C134" s="309"/>
      <c r="D134" s="331"/>
      <c r="E134" s="1"/>
      <c r="F134" s="334"/>
      <c r="G134" s="3" t="s">
        <v>146</v>
      </c>
      <c r="I134" s="3">
        <v>4</v>
      </c>
      <c r="J134" s="3" t="s">
        <v>233</v>
      </c>
      <c r="K134" s="309"/>
      <c r="L134" s="331"/>
      <c r="M134" s="1"/>
      <c r="N134" s="334"/>
      <c r="O134" s="3" t="s">
        <v>146</v>
      </c>
    </row>
    <row r="135" spans="1:15" x14ac:dyDescent="0.25">
      <c r="A135" s="3">
        <v>5</v>
      </c>
      <c r="B135" s="3" t="s">
        <v>233</v>
      </c>
      <c r="C135" s="310"/>
      <c r="D135" s="332"/>
      <c r="E135" s="1"/>
      <c r="F135" s="335"/>
      <c r="G135" s="3" t="s">
        <v>146</v>
      </c>
      <c r="I135" s="3">
        <v>5</v>
      </c>
      <c r="J135" s="3" t="s">
        <v>233</v>
      </c>
      <c r="K135" s="310"/>
      <c r="L135" s="332"/>
      <c r="M135" s="1"/>
      <c r="N135" s="335"/>
      <c r="O135" s="3" t="s">
        <v>146</v>
      </c>
    </row>
    <row r="136" spans="1:15" x14ac:dyDescent="0.25">
      <c r="A136" s="294" t="s">
        <v>41</v>
      </c>
      <c r="B136" s="294"/>
      <c r="C136" s="294"/>
      <c r="D136" s="294"/>
      <c r="E136" s="294"/>
      <c r="F136" s="17">
        <f>400+220+270+40</f>
        <v>930</v>
      </c>
      <c r="G136" s="1"/>
      <c r="I136" s="294" t="s">
        <v>41</v>
      </c>
      <c r="J136" s="294"/>
      <c r="K136" s="294"/>
      <c r="L136" s="294"/>
      <c r="M136" s="294"/>
      <c r="N136" s="17">
        <f>240+480+135+35</f>
        <v>890</v>
      </c>
      <c r="O136" s="1"/>
    </row>
    <row r="137" spans="1:15" ht="15.75" thickBot="1" x14ac:dyDescent="0.3"/>
    <row r="138" spans="1:15" ht="15.75" thickBot="1" x14ac:dyDescent="0.3">
      <c r="A138" s="292" t="s">
        <v>39</v>
      </c>
      <c r="B138" s="293"/>
      <c r="C138" s="23"/>
      <c r="G138" s="14" t="s">
        <v>40</v>
      </c>
      <c r="I138" s="292" t="s">
        <v>39</v>
      </c>
      <c r="J138" s="293"/>
      <c r="K138" s="23"/>
      <c r="O138" s="14" t="s">
        <v>40</v>
      </c>
    </row>
    <row r="140" spans="1:15" ht="15.75" thickBot="1" x14ac:dyDescent="0.3"/>
    <row r="141" spans="1:15" ht="21.75" thickBot="1" x14ac:dyDescent="0.4">
      <c r="A141" s="326" t="s">
        <v>138</v>
      </c>
      <c r="B141" s="327"/>
      <c r="C141" s="327"/>
      <c r="D141" s="327"/>
      <c r="E141" s="327"/>
      <c r="F141" s="327"/>
      <c r="G141" s="328"/>
      <c r="I141" s="326" t="s">
        <v>139</v>
      </c>
      <c r="J141" s="327"/>
      <c r="K141" s="327"/>
      <c r="L141" s="327"/>
      <c r="M141" s="327"/>
      <c r="N141" s="327"/>
      <c r="O141" s="328"/>
    </row>
    <row r="142" spans="1:15" ht="19.5" thickBot="1" x14ac:dyDescent="0.35">
      <c r="A142" s="10" t="s">
        <v>0</v>
      </c>
      <c r="B142" s="11" t="s">
        <v>3</v>
      </c>
      <c r="C142" s="11" t="s">
        <v>24</v>
      </c>
      <c r="D142" s="11" t="s">
        <v>1</v>
      </c>
      <c r="E142" s="11" t="s">
        <v>26</v>
      </c>
      <c r="F142" s="11" t="s">
        <v>23</v>
      </c>
      <c r="G142" s="12" t="s">
        <v>27</v>
      </c>
      <c r="I142" s="10" t="s">
        <v>0</v>
      </c>
      <c r="J142" s="11" t="s">
        <v>3</v>
      </c>
      <c r="K142" s="11" t="s">
        <v>24</v>
      </c>
      <c r="L142" s="11" t="s">
        <v>1</v>
      </c>
      <c r="M142" s="11" t="s">
        <v>26</v>
      </c>
      <c r="N142" s="11" t="s">
        <v>23</v>
      </c>
      <c r="O142" s="12" t="s">
        <v>27</v>
      </c>
    </row>
    <row r="143" spans="1:15" x14ac:dyDescent="0.25">
      <c r="A143" s="3">
        <v>1</v>
      </c>
      <c r="B143" s="3" t="s">
        <v>261</v>
      </c>
      <c r="C143" s="329" t="s">
        <v>145</v>
      </c>
      <c r="D143" s="331" t="s">
        <v>274</v>
      </c>
      <c r="E143" s="1"/>
      <c r="F143" s="334" t="s">
        <v>275</v>
      </c>
      <c r="G143" s="3" t="s">
        <v>146</v>
      </c>
      <c r="I143" s="3">
        <v>1</v>
      </c>
      <c r="J143" s="3" t="s">
        <v>261</v>
      </c>
      <c r="K143" s="329" t="s">
        <v>145</v>
      </c>
      <c r="L143" s="331" t="s">
        <v>276</v>
      </c>
      <c r="M143" s="1"/>
      <c r="N143" s="334" t="s">
        <v>277</v>
      </c>
      <c r="O143" s="3" t="s">
        <v>146</v>
      </c>
    </row>
    <row r="144" spans="1:15" x14ac:dyDescent="0.25">
      <c r="A144" s="3">
        <v>2</v>
      </c>
      <c r="B144" s="3" t="s">
        <v>261</v>
      </c>
      <c r="C144" s="309"/>
      <c r="D144" s="331"/>
      <c r="E144" s="1"/>
      <c r="F144" s="334"/>
      <c r="G144" s="3" t="s">
        <v>146</v>
      </c>
      <c r="I144" s="3">
        <v>2</v>
      </c>
      <c r="J144" s="3" t="s">
        <v>261</v>
      </c>
      <c r="K144" s="309"/>
      <c r="L144" s="331"/>
      <c r="M144" s="1"/>
      <c r="N144" s="334"/>
      <c r="O144" s="3" t="s">
        <v>146</v>
      </c>
    </row>
    <row r="145" spans="1:15" x14ac:dyDescent="0.25">
      <c r="A145" s="3">
        <v>3</v>
      </c>
      <c r="B145" s="3" t="s">
        <v>261</v>
      </c>
      <c r="C145" s="309"/>
      <c r="D145" s="331"/>
      <c r="E145" s="1"/>
      <c r="F145" s="334"/>
      <c r="G145" s="3" t="s">
        <v>146</v>
      </c>
      <c r="I145" s="3">
        <v>3</v>
      </c>
      <c r="J145" s="3" t="s">
        <v>261</v>
      </c>
      <c r="K145" s="309"/>
      <c r="L145" s="331"/>
      <c r="M145" s="1"/>
      <c r="N145" s="334"/>
      <c r="O145" s="3" t="s">
        <v>146</v>
      </c>
    </row>
    <row r="146" spans="1:15" x14ac:dyDescent="0.25">
      <c r="A146" s="3">
        <v>4</v>
      </c>
      <c r="B146" s="3" t="s">
        <v>261</v>
      </c>
      <c r="C146" s="309"/>
      <c r="D146" s="331"/>
      <c r="E146" s="1"/>
      <c r="F146" s="334"/>
      <c r="G146" s="3" t="s">
        <v>146</v>
      </c>
      <c r="I146" s="3">
        <v>4</v>
      </c>
      <c r="J146" s="3" t="s">
        <v>261</v>
      </c>
      <c r="K146" s="309"/>
      <c r="L146" s="331"/>
      <c r="M146" s="1"/>
      <c r="N146" s="334"/>
      <c r="O146" s="3" t="s">
        <v>146</v>
      </c>
    </row>
    <row r="147" spans="1:15" x14ac:dyDescent="0.25">
      <c r="A147" s="3">
        <v>5</v>
      </c>
      <c r="B147" s="3" t="s">
        <v>261</v>
      </c>
      <c r="C147" s="310"/>
      <c r="D147" s="332"/>
      <c r="E147" s="1"/>
      <c r="F147" s="335"/>
      <c r="G147" s="3" t="s">
        <v>146</v>
      </c>
      <c r="I147" s="3">
        <v>5</v>
      </c>
      <c r="J147" s="3" t="s">
        <v>261</v>
      </c>
      <c r="K147" s="310"/>
      <c r="L147" s="332"/>
      <c r="M147" s="1"/>
      <c r="N147" s="335"/>
      <c r="O147" s="3" t="s">
        <v>146</v>
      </c>
    </row>
    <row r="148" spans="1:15" x14ac:dyDescent="0.25">
      <c r="A148" s="294" t="s">
        <v>41</v>
      </c>
      <c r="B148" s="294"/>
      <c r="C148" s="294"/>
      <c r="D148" s="294"/>
      <c r="E148" s="294"/>
      <c r="F148" s="17">
        <f>660+150+40</f>
        <v>850</v>
      </c>
      <c r="G148" s="1"/>
      <c r="I148" s="294" t="s">
        <v>41</v>
      </c>
      <c r="J148" s="294"/>
      <c r="K148" s="294"/>
      <c r="L148" s="294"/>
      <c r="M148" s="294"/>
      <c r="N148" s="17">
        <f>360+20+270+250</f>
        <v>900</v>
      </c>
      <c r="O148" s="1"/>
    </row>
    <row r="149" spans="1:15" ht="15.75" thickBot="1" x14ac:dyDescent="0.3"/>
    <row r="150" spans="1:15" ht="15.75" thickBot="1" x14ac:dyDescent="0.3">
      <c r="A150" s="292" t="s">
        <v>39</v>
      </c>
      <c r="B150" s="293"/>
      <c r="C150" s="23"/>
      <c r="G150" s="14" t="s">
        <v>40</v>
      </c>
      <c r="I150" s="292" t="s">
        <v>39</v>
      </c>
      <c r="J150" s="293"/>
      <c r="K150" s="23"/>
      <c r="O150" s="14" t="s">
        <v>40</v>
      </c>
    </row>
    <row r="152" spans="1:15" ht="15.75" thickBot="1" x14ac:dyDescent="0.3"/>
    <row r="153" spans="1:15" ht="21.75" thickBot="1" x14ac:dyDescent="0.4">
      <c r="A153" s="326" t="s">
        <v>138</v>
      </c>
      <c r="B153" s="327"/>
      <c r="C153" s="327"/>
      <c r="D153" s="327"/>
      <c r="E153" s="327"/>
      <c r="F153" s="327"/>
      <c r="G153" s="328"/>
    </row>
    <row r="154" spans="1:15" ht="19.5" thickBot="1" x14ac:dyDescent="0.35">
      <c r="A154" s="10" t="s">
        <v>0</v>
      </c>
      <c r="B154" s="11" t="s">
        <v>3</v>
      </c>
      <c r="C154" s="11" t="s">
        <v>24</v>
      </c>
      <c r="D154" s="11" t="s">
        <v>1</v>
      </c>
      <c r="E154" s="11" t="s">
        <v>26</v>
      </c>
      <c r="F154" s="11" t="s">
        <v>23</v>
      </c>
      <c r="G154" s="12" t="s">
        <v>27</v>
      </c>
    </row>
    <row r="155" spans="1:15" x14ac:dyDescent="0.25">
      <c r="A155" s="3">
        <v>1</v>
      </c>
      <c r="B155" s="3" t="s">
        <v>261</v>
      </c>
      <c r="C155" s="3" t="s">
        <v>148</v>
      </c>
      <c r="D155" s="330" t="s">
        <v>280</v>
      </c>
      <c r="E155" s="3"/>
      <c r="F155" s="333" t="s">
        <v>281</v>
      </c>
      <c r="G155" s="3" t="s">
        <v>146</v>
      </c>
    </row>
    <row r="156" spans="1:15" x14ac:dyDescent="0.25">
      <c r="A156" s="3">
        <v>2</v>
      </c>
      <c r="B156" s="3" t="s">
        <v>261</v>
      </c>
      <c r="C156" s="1" t="s">
        <v>149</v>
      </c>
      <c r="D156" s="331"/>
      <c r="E156" s="1"/>
      <c r="F156" s="334"/>
      <c r="G156" s="3" t="s">
        <v>146</v>
      </c>
    </row>
    <row r="157" spans="1:15" x14ac:dyDescent="0.25">
      <c r="A157" s="3">
        <v>3</v>
      </c>
      <c r="B157" s="3" t="s">
        <v>261</v>
      </c>
      <c r="C157" s="1" t="s">
        <v>150</v>
      </c>
      <c r="D157" s="331"/>
      <c r="E157" s="1"/>
      <c r="F157" s="334"/>
      <c r="G157" s="3" t="s">
        <v>146</v>
      </c>
    </row>
    <row r="158" spans="1:15" x14ac:dyDescent="0.25">
      <c r="A158" s="3">
        <v>6</v>
      </c>
      <c r="B158" s="3" t="s">
        <v>261</v>
      </c>
      <c r="C158" s="24" t="s">
        <v>153</v>
      </c>
      <c r="D158" s="332"/>
      <c r="E158" s="1"/>
      <c r="F158" s="335"/>
      <c r="G158" s="3" t="s">
        <v>146</v>
      </c>
    </row>
    <row r="159" spans="1:15" x14ac:dyDescent="0.25">
      <c r="A159" s="294" t="s">
        <v>41</v>
      </c>
      <c r="B159" s="294"/>
      <c r="C159" s="294"/>
      <c r="D159" s="294"/>
      <c r="E159" s="294"/>
      <c r="F159" s="17">
        <f>440+60+1920+20+250</f>
        <v>2690</v>
      </c>
      <c r="G159" s="1"/>
    </row>
    <row r="160" spans="1:15" ht="15.75" thickBot="1" x14ac:dyDescent="0.3"/>
    <row r="161" spans="1:15" ht="15.75" thickBot="1" x14ac:dyDescent="0.3">
      <c r="A161" s="292" t="s">
        <v>39</v>
      </c>
      <c r="B161" s="293"/>
      <c r="C161" s="23"/>
      <c r="G161" s="14" t="s">
        <v>40</v>
      </c>
    </row>
    <row r="162" spans="1:15" ht="15.75" thickBot="1" x14ac:dyDescent="0.3"/>
    <row r="163" spans="1:15" ht="21.75" thickBot="1" x14ac:dyDescent="0.4">
      <c r="A163" s="326" t="s">
        <v>138</v>
      </c>
      <c r="B163" s="327"/>
      <c r="C163" s="327"/>
      <c r="D163" s="327"/>
      <c r="E163" s="327"/>
      <c r="F163" s="327"/>
      <c r="G163" s="328"/>
      <c r="I163" s="326" t="s">
        <v>139</v>
      </c>
      <c r="J163" s="327"/>
      <c r="K163" s="327"/>
      <c r="L163" s="327"/>
      <c r="M163" s="327"/>
      <c r="N163" s="327"/>
      <c r="O163" s="328"/>
    </row>
    <row r="164" spans="1:15" ht="19.5" thickBot="1" x14ac:dyDescent="0.35">
      <c r="A164" s="10" t="s">
        <v>0</v>
      </c>
      <c r="B164" s="11" t="s">
        <v>3</v>
      </c>
      <c r="C164" s="11" t="s">
        <v>24</v>
      </c>
      <c r="D164" s="11" t="s">
        <v>1</v>
      </c>
      <c r="E164" s="11" t="s">
        <v>26</v>
      </c>
      <c r="F164" s="11" t="s">
        <v>23</v>
      </c>
      <c r="G164" s="12" t="s">
        <v>27</v>
      </c>
      <c r="I164" s="10" t="s">
        <v>0</v>
      </c>
      <c r="J164" s="11" t="s">
        <v>3</v>
      </c>
      <c r="K164" s="11" t="s">
        <v>24</v>
      </c>
      <c r="L164" s="11" t="s">
        <v>1</v>
      </c>
      <c r="M164" s="11" t="s">
        <v>26</v>
      </c>
      <c r="N164" s="11" t="s">
        <v>23</v>
      </c>
      <c r="O164" s="12" t="s">
        <v>27</v>
      </c>
    </row>
    <row r="165" spans="1:15" x14ac:dyDescent="0.25">
      <c r="A165" s="3">
        <v>1</v>
      </c>
      <c r="B165" s="3" t="s">
        <v>283</v>
      </c>
      <c r="C165" s="329" t="s">
        <v>145</v>
      </c>
      <c r="D165" s="331" t="s">
        <v>301</v>
      </c>
      <c r="E165" s="1"/>
      <c r="F165" s="334" t="s">
        <v>305</v>
      </c>
      <c r="G165" s="3" t="s">
        <v>146</v>
      </c>
      <c r="I165" s="3">
        <v>1</v>
      </c>
      <c r="J165" s="3" t="s">
        <v>283</v>
      </c>
      <c r="K165" s="329" t="s">
        <v>145</v>
      </c>
      <c r="L165" s="331" t="s">
        <v>302</v>
      </c>
      <c r="M165" s="1"/>
      <c r="N165" s="334" t="s">
        <v>306</v>
      </c>
      <c r="O165" s="3" t="s">
        <v>146</v>
      </c>
    </row>
    <row r="166" spans="1:15" x14ac:dyDescent="0.25">
      <c r="A166" s="3">
        <v>2</v>
      </c>
      <c r="B166" s="3" t="s">
        <v>283</v>
      </c>
      <c r="C166" s="309"/>
      <c r="D166" s="331"/>
      <c r="E166" s="1"/>
      <c r="F166" s="334"/>
      <c r="G166" s="3" t="s">
        <v>146</v>
      </c>
      <c r="I166" s="3">
        <v>2</v>
      </c>
      <c r="J166" s="3" t="s">
        <v>283</v>
      </c>
      <c r="K166" s="309"/>
      <c r="L166" s="331"/>
      <c r="M166" s="1"/>
      <c r="N166" s="334"/>
      <c r="O166" s="3" t="s">
        <v>146</v>
      </c>
    </row>
    <row r="167" spans="1:15" x14ac:dyDescent="0.25">
      <c r="A167" s="3">
        <v>3</v>
      </c>
      <c r="B167" s="3" t="s">
        <v>283</v>
      </c>
      <c r="C167" s="309"/>
      <c r="D167" s="331"/>
      <c r="E167" s="1"/>
      <c r="F167" s="334"/>
      <c r="G167" s="3" t="s">
        <v>146</v>
      </c>
      <c r="I167" s="3">
        <v>3</v>
      </c>
      <c r="J167" s="3" t="s">
        <v>283</v>
      </c>
      <c r="K167" s="309"/>
      <c r="L167" s="331"/>
      <c r="M167" s="1"/>
      <c r="N167" s="334"/>
      <c r="O167" s="3" t="s">
        <v>146</v>
      </c>
    </row>
    <row r="168" spans="1:15" x14ac:dyDescent="0.25">
      <c r="A168" s="3">
        <v>4</v>
      </c>
      <c r="B168" s="3" t="s">
        <v>283</v>
      </c>
      <c r="C168" s="309"/>
      <c r="D168" s="331"/>
      <c r="E168" s="1"/>
      <c r="F168" s="334"/>
      <c r="G168" s="3" t="s">
        <v>146</v>
      </c>
      <c r="I168" s="3">
        <v>4</v>
      </c>
      <c r="J168" s="3" t="s">
        <v>283</v>
      </c>
      <c r="K168" s="309"/>
      <c r="L168" s="331"/>
      <c r="M168" s="1"/>
      <c r="N168" s="334"/>
      <c r="O168" s="3" t="s">
        <v>146</v>
      </c>
    </row>
    <row r="169" spans="1:15" x14ac:dyDescent="0.25">
      <c r="A169" s="3">
        <v>5</v>
      </c>
      <c r="B169" s="3" t="s">
        <v>283</v>
      </c>
      <c r="C169" s="310"/>
      <c r="D169" s="332"/>
      <c r="E169" s="1"/>
      <c r="F169" s="335"/>
      <c r="G169" s="3" t="s">
        <v>146</v>
      </c>
      <c r="I169" s="3">
        <v>5</v>
      </c>
      <c r="J169" s="3" t="s">
        <v>283</v>
      </c>
      <c r="K169" s="310"/>
      <c r="L169" s="332"/>
      <c r="M169" s="1"/>
      <c r="N169" s="335"/>
      <c r="O169" s="3" t="s">
        <v>146</v>
      </c>
    </row>
    <row r="170" spans="1:15" x14ac:dyDescent="0.25">
      <c r="A170" s="294" t="s">
        <v>41</v>
      </c>
      <c r="B170" s="294"/>
      <c r="C170" s="294"/>
      <c r="D170" s="294"/>
      <c r="E170" s="294"/>
      <c r="F170" s="17">
        <f>360+150+100+200</f>
        <v>810</v>
      </c>
      <c r="G170" s="1"/>
      <c r="I170" s="294" t="s">
        <v>41</v>
      </c>
      <c r="J170" s="294"/>
      <c r="K170" s="294"/>
      <c r="L170" s="294"/>
      <c r="M170" s="294"/>
      <c r="N170" s="17">
        <f>880+20+100+240+200</f>
        <v>1440</v>
      </c>
      <c r="O170" s="1"/>
    </row>
    <row r="171" spans="1:15" ht="15.75" thickBot="1" x14ac:dyDescent="0.3"/>
    <row r="172" spans="1:15" ht="15.75" thickBot="1" x14ac:dyDescent="0.3">
      <c r="A172" s="292" t="s">
        <v>39</v>
      </c>
      <c r="B172" s="293"/>
      <c r="C172" s="23"/>
      <c r="G172" s="14" t="s">
        <v>40</v>
      </c>
      <c r="I172" s="292" t="s">
        <v>39</v>
      </c>
      <c r="J172" s="293"/>
      <c r="K172" s="23"/>
      <c r="O172" s="14" t="s">
        <v>40</v>
      </c>
    </row>
    <row r="174" spans="1:15" ht="15.75" thickBot="1" x14ac:dyDescent="0.3"/>
    <row r="175" spans="1:15" ht="21.75" thickBot="1" x14ac:dyDescent="0.4">
      <c r="A175" s="326" t="s">
        <v>138</v>
      </c>
      <c r="B175" s="327"/>
      <c r="C175" s="327"/>
      <c r="D175" s="327"/>
      <c r="E175" s="327"/>
      <c r="F175" s="327"/>
      <c r="G175" s="328"/>
      <c r="I175" s="326" t="s">
        <v>139</v>
      </c>
      <c r="J175" s="327"/>
      <c r="K175" s="327"/>
      <c r="L175" s="327"/>
      <c r="M175" s="327"/>
      <c r="N175" s="327"/>
      <c r="O175" s="328"/>
    </row>
    <row r="176" spans="1:15" ht="19.5" thickBot="1" x14ac:dyDescent="0.35">
      <c r="A176" s="10" t="s">
        <v>0</v>
      </c>
      <c r="B176" s="11" t="s">
        <v>3</v>
      </c>
      <c r="C176" s="11" t="s">
        <v>24</v>
      </c>
      <c r="D176" s="11" t="s">
        <v>1</v>
      </c>
      <c r="E176" s="11" t="s">
        <v>26</v>
      </c>
      <c r="F176" s="11" t="s">
        <v>23</v>
      </c>
      <c r="G176" s="12" t="s">
        <v>27</v>
      </c>
      <c r="I176" s="10" t="s">
        <v>0</v>
      </c>
      <c r="J176" s="11" t="s">
        <v>3</v>
      </c>
      <c r="K176" s="11" t="s">
        <v>24</v>
      </c>
      <c r="L176" s="11" t="s">
        <v>1</v>
      </c>
      <c r="M176" s="11" t="s">
        <v>26</v>
      </c>
      <c r="N176" s="11" t="s">
        <v>23</v>
      </c>
      <c r="O176" s="12" t="s">
        <v>27</v>
      </c>
    </row>
    <row r="177" spans="1:15" x14ac:dyDescent="0.25">
      <c r="A177" s="3">
        <v>1</v>
      </c>
      <c r="B177" s="3" t="s">
        <v>283</v>
      </c>
      <c r="C177" s="3" t="s">
        <v>148</v>
      </c>
      <c r="D177" s="330" t="s">
        <v>303</v>
      </c>
      <c r="E177" s="3"/>
      <c r="F177" s="333" t="s">
        <v>304</v>
      </c>
      <c r="G177" s="3" t="s">
        <v>146</v>
      </c>
      <c r="I177" s="3">
        <v>1</v>
      </c>
      <c r="J177" s="3" t="s">
        <v>309</v>
      </c>
      <c r="K177" s="329" t="s">
        <v>334</v>
      </c>
      <c r="L177" s="330" t="s">
        <v>335</v>
      </c>
      <c r="M177" s="3"/>
      <c r="N177" s="333" t="s">
        <v>336</v>
      </c>
      <c r="O177" s="3" t="s">
        <v>146</v>
      </c>
    </row>
    <row r="178" spans="1:15" x14ac:dyDescent="0.25">
      <c r="A178" s="3">
        <v>2</v>
      </c>
      <c r="B178" s="3" t="s">
        <v>283</v>
      </c>
      <c r="C178" s="1" t="s">
        <v>149</v>
      </c>
      <c r="D178" s="331"/>
      <c r="E178" s="1"/>
      <c r="F178" s="334"/>
      <c r="G178" s="3" t="s">
        <v>146</v>
      </c>
      <c r="I178" s="3">
        <v>2</v>
      </c>
      <c r="J178" s="3" t="s">
        <v>261</v>
      </c>
      <c r="K178" s="309"/>
      <c r="L178" s="331"/>
      <c r="M178" s="1"/>
      <c r="N178" s="334"/>
      <c r="O178" s="3" t="s">
        <v>146</v>
      </c>
    </row>
    <row r="179" spans="1:15" x14ac:dyDescent="0.25">
      <c r="A179" s="3">
        <v>3</v>
      </c>
      <c r="B179" s="3" t="s">
        <v>283</v>
      </c>
      <c r="C179" s="1" t="s">
        <v>150</v>
      </c>
      <c r="D179" s="331"/>
      <c r="E179" s="1"/>
      <c r="F179" s="334"/>
      <c r="G179" s="3" t="s">
        <v>146</v>
      </c>
      <c r="I179" s="3">
        <v>3</v>
      </c>
      <c r="J179" s="3" t="s">
        <v>261</v>
      </c>
      <c r="K179" s="309"/>
      <c r="L179" s="331"/>
      <c r="M179" s="1"/>
      <c r="N179" s="334"/>
      <c r="O179" s="3" t="s">
        <v>146</v>
      </c>
    </row>
    <row r="180" spans="1:15" x14ac:dyDescent="0.25">
      <c r="A180" s="3">
        <v>6</v>
      </c>
      <c r="B180" s="3" t="s">
        <v>283</v>
      </c>
      <c r="C180" s="24" t="s">
        <v>153</v>
      </c>
      <c r="D180" s="332"/>
      <c r="E180" s="1"/>
      <c r="F180" s="335"/>
      <c r="G180" s="3" t="s">
        <v>146</v>
      </c>
      <c r="I180" s="3">
        <v>6</v>
      </c>
      <c r="J180" s="3" t="s">
        <v>261</v>
      </c>
      <c r="K180" s="310"/>
      <c r="L180" s="332"/>
      <c r="M180" s="1"/>
      <c r="N180" s="335"/>
      <c r="O180" s="3" t="s">
        <v>146</v>
      </c>
    </row>
    <row r="181" spans="1:15" x14ac:dyDescent="0.25">
      <c r="A181" s="294" t="s">
        <v>41</v>
      </c>
      <c r="B181" s="294"/>
      <c r="C181" s="294"/>
      <c r="D181" s="294"/>
      <c r="E181" s="294"/>
      <c r="F181" s="17">
        <f>720+210+200+200</f>
        <v>1330</v>
      </c>
      <c r="G181" s="1"/>
      <c r="I181" s="294" t="s">
        <v>41</v>
      </c>
      <c r="J181" s="294"/>
      <c r="K181" s="294"/>
      <c r="L181" s="294"/>
      <c r="M181" s="294"/>
      <c r="N181" s="17">
        <f>220+30+20</f>
        <v>270</v>
      </c>
      <c r="O181" s="1"/>
    </row>
    <row r="182" spans="1:15" ht="15.75" thickBot="1" x14ac:dyDescent="0.3"/>
    <row r="183" spans="1:15" ht="15.75" thickBot="1" x14ac:dyDescent="0.3">
      <c r="A183" s="292" t="s">
        <v>39</v>
      </c>
      <c r="B183" s="293"/>
      <c r="C183" s="23"/>
      <c r="G183" s="14" t="s">
        <v>40</v>
      </c>
      <c r="I183" s="292" t="s">
        <v>39</v>
      </c>
      <c r="J183" s="293"/>
      <c r="K183" s="23"/>
      <c r="O183" s="14" t="s">
        <v>40</v>
      </c>
    </row>
    <row r="184" spans="1:15" ht="15.75" thickBot="1" x14ac:dyDescent="0.3"/>
    <row r="185" spans="1:15" ht="21.75" thickBot="1" x14ac:dyDescent="0.4">
      <c r="A185" s="326" t="s">
        <v>139</v>
      </c>
      <c r="B185" s="327"/>
      <c r="C185" s="327"/>
      <c r="D185" s="327"/>
      <c r="E185" s="327"/>
      <c r="F185" s="327"/>
      <c r="G185" s="328"/>
    </row>
    <row r="186" spans="1:15" ht="19.5" thickBot="1" x14ac:dyDescent="0.35">
      <c r="A186" s="10" t="s">
        <v>0</v>
      </c>
      <c r="B186" s="11" t="s">
        <v>3</v>
      </c>
      <c r="C186" s="11" t="s">
        <v>24</v>
      </c>
      <c r="D186" s="11" t="s">
        <v>1</v>
      </c>
      <c r="E186" s="11" t="s">
        <v>26</v>
      </c>
      <c r="F186" s="11" t="s">
        <v>23</v>
      </c>
      <c r="G186" s="12" t="s">
        <v>27</v>
      </c>
    </row>
    <row r="187" spans="1:15" x14ac:dyDescent="0.25">
      <c r="A187" s="3">
        <v>1</v>
      </c>
      <c r="B187" s="3" t="s">
        <v>309</v>
      </c>
      <c r="C187" s="329" t="s">
        <v>145</v>
      </c>
      <c r="D187" s="330" t="s">
        <v>337</v>
      </c>
      <c r="E187" s="1"/>
      <c r="F187" s="333" t="s">
        <v>338</v>
      </c>
      <c r="G187" s="3" t="s">
        <v>146</v>
      </c>
    </row>
    <row r="188" spans="1:15" x14ac:dyDescent="0.25">
      <c r="A188" s="3">
        <v>2</v>
      </c>
      <c r="B188" s="3" t="s">
        <v>309</v>
      </c>
      <c r="C188" s="309"/>
      <c r="D188" s="331"/>
      <c r="E188" s="1"/>
      <c r="F188" s="334"/>
      <c r="G188" s="3" t="s">
        <v>146</v>
      </c>
    </row>
    <row r="189" spans="1:15" ht="15" customHeight="1" x14ac:dyDescent="0.25">
      <c r="A189" s="3">
        <v>3</v>
      </c>
      <c r="B189" s="3" t="s">
        <v>309</v>
      </c>
      <c r="C189" s="309"/>
      <c r="D189" s="331"/>
      <c r="E189" s="1"/>
      <c r="F189" s="334"/>
      <c r="G189" s="3" t="s">
        <v>146</v>
      </c>
    </row>
    <row r="190" spans="1:15" x14ac:dyDescent="0.25">
      <c r="A190" s="3">
        <v>4</v>
      </c>
      <c r="B190" s="3" t="s">
        <v>309</v>
      </c>
      <c r="C190" s="309"/>
      <c r="D190" s="331"/>
      <c r="E190" s="1"/>
      <c r="F190" s="334"/>
      <c r="G190" s="3" t="s">
        <v>146</v>
      </c>
    </row>
    <row r="191" spans="1:15" x14ac:dyDescent="0.25">
      <c r="A191" s="3">
        <v>5</v>
      </c>
      <c r="B191" s="3" t="s">
        <v>309</v>
      </c>
      <c r="C191" s="310"/>
      <c r="D191" s="332"/>
      <c r="E191" s="1"/>
      <c r="F191" s="335"/>
      <c r="G191" s="3" t="s">
        <v>146</v>
      </c>
    </row>
    <row r="192" spans="1:15" x14ac:dyDescent="0.25">
      <c r="A192" s="62" t="s">
        <v>41</v>
      </c>
      <c r="B192" s="63"/>
      <c r="C192" s="63"/>
      <c r="D192" s="63"/>
      <c r="E192" s="64"/>
      <c r="F192" s="17">
        <f>440+200+270+110</f>
        <v>1020</v>
      </c>
      <c r="G192" s="1"/>
    </row>
    <row r="193" spans="1:15" ht="15.75" thickBot="1" x14ac:dyDescent="0.3"/>
    <row r="194" spans="1:15" ht="15.75" thickBot="1" x14ac:dyDescent="0.3">
      <c r="A194" s="292" t="s">
        <v>39</v>
      </c>
      <c r="B194" s="293"/>
      <c r="C194" s="23"/>
      <c r="G194" s="14" t="s">
        <v>40</v>
      </c>
    </row>
    <row r="195" spans="1:15" ht="15.75" thickBot="1" x14ac:dyDescent="0.3"/>
    <row r="196" spans="1:15" ht="21.75" thickBot="1" x14ac:dyDescent="0.4">
      <c r="A196" s="326" t="s">
        <v>138</v>
      </c>
      <c r="B196" s="327"/>
      <c r="C196" s="327"/>
      <c r="D196" s="327"/>
      <c r="E196" s="327"/>
      <c r="F196" s="327"/>
      <c r="G196" s="328"/>
      <c r="I196" s="326" t="s">
        <v>139</v>
      </c>
      <c r="J196" s="327"/>
      <c r="K196" s="327"/>
      <c r="L196" s="327"/>
      <c r="M196" s="327"/>
      <c r="N196" s="327"/>
      <c r="O196" s="328"/>
    </row>
    <row r="197" spans="1:15" ht="19.5" thickBot="1" x14ac:dyDescent="0.35">
      <c r="A197" s="10" t="s">
        <v>0</v>
      </c>
      <c r="B197" s="11" t="s">
        <v>3</v>
      </c>
      <c r="C197" s="11" t="s">
        <v>24</v>
      </c>
      <c r="D197" s="11" t="s">
        <v>1</v>
      </c>
      <c r="E197" s="11" t="s">
        <v>26</v>
      </c>
      <c r="F197" s="11" t="s">
        <v>23</v>
      </c>
      <c r="G197" s="12" t="s">
        <v>27</v>
      </c>
      <c r="I197" s="10" t="s">
        <v>0</v>
      </c>
      <c r="J197" s="11" t="s">
        <v>3</v>
      </c>
      <c r="K197" s="11" t="s">
        <v>24</v>
      </c>
      <c r="L197" s="11" t="s">
        <v>1</v>
      </c>
      <c r="M197" s="11" t="s">
        <v>26</v>
      </c>
      <c r="N197" s="11" t="s">
        <v>23</v>
      </c>
      <c r="O197" s="12" t="s">
        <v>27</v>
      </c>
    </row>
    <row r="198" spans="1:15" x14ac:dyDescent="0.25">
      <c r="A198" s="3">
        <v>1</v>
      </c>
      <c r="B198" s="3" t="s">
        <v>339</v>
      </c>
      <c r="C198" s="3" t="s">
        <v>148</v>
      </c>
      <c r="D198" s="330" t="s">
        <v>352</v>
      </c>
      <c r="E198" s="3"/>
      <c r="F198" s="333" t="s">
        <v>353</v>
      </c>
      <c r="G198" s="3" t="s">
        <v>146</v>
      </c>
      <c r="I198" s="3">
        <v>1</v>
      </c>
      <c r="J198" s="3" t="s">
        <v>339</v>
      </c>
      <c r="K198" s="329" t="s">
        <v>145</v>
      </c>
      <c r="L198" s="330" t="s">
        <v>354</v>
      </c>
      <c r="M198" s="1"/>
      <c r="N198" s="333" t="s">
        <v>355</v>
      </c>
      <c r="O198" s="3" t="s">
        <v>146</v>
      </c>
    </row>
    <row r="199" spans="1:15" x14ac:dyDescent="0.25">
      <c r="A199" s="3">
        <v>2</v>
      </c>
      <c r="B199" s="3" t="s">
        <v>339</v>
      </c>
      <c r="C199" s="1" t="s">
        <v>149</v>
      </c>
      <c r="D199" s="331"/>
      <c r="E199" s="1"/>
      <c r="F199" s="334"/>
      <c r="G199" s="3" t="s">
        <v>146</v>
      </c>
      <c r="I199" s="3">
        <v>2</v>
      </c>
      <c r="J199" s="3" t="s">
        <v>339</v>
      </c>
      <c r="K199" s="309"/>
      <c r="L199" s="331"/>
      <c r="M199" s="1"/>
      <c r="N199" s="334"/>
      <c r="O199" s="3" t="s">
        <v>146</v>
      </c>
    </row>
    <row r="200" spans="1:15" x14ac:dyDescent="0.25">
      <c r="A200" s="3">
        <v>3</v>
      </c>
      <c r="B200" s="3" t="s">
        <v>339</v>
      </c>
      <c r="C200" s="1" t="s">
        <v>150</v>
      </c>
      <c r="D200" s="331"/>
      <c r="E200" s="1"/>
      <c r="F200" s="334"/>
      <c r="G200" s="3" t="s">
        <v>146</v>
      </c>
      <c r="I200" s="3">
        <v>3</v>
      </c>
      <c r="J200" s="3" t="s">
        <v>339</v>
      </c>
      <c r="K200" s="309"/>
      <c r="L200" s="331"/>
      <c r="M200" s="1"/>
      <c r="N200" s="334"/>
      <c r="O200" s="3" t="s">
        <v>146</v>
      </c>
    </row>
    <row r="201" spans="1:15" x14ac:dyDescent="0.25">
      <c r="A201" s="3">
        <v>6</v>
      </c>
      <c r="B201" s="3" t="s">
        <v>339</v>
      </c>
      <c r="C201" s="24" t="s">
        <v>153</v>
      </c>
      <c r="D201" s="332"/>
      <c r="E201" s="1"/>
      <c r="F201" s="335"/>
      <c r="G201" s="3" t="s">
        <v>146</v>
      </c>
      <c r="I201" s="3">
        <v>4</v>
      </c>
      <c r="J201" s="3" t="s">
        <v>339</v>
      </c>
      <c r="K201" s="309"/>
      <c r="L201" s="331"/>
      <c r="M201" s="1"/>
      <c r="N201" s="334"/>
      <c r="O201" s="3" t="s">
        <v>146</v>
      </c>
    </row>
    <row r="202" spans="1:15" x14ac:dyDescent="0.25">
      <c r="A202" s="294" t="s">
        <v>41</v>
      </c>
      <c r="B202" s="294"/>
      <c r="C202" s="294"/>
      <c r="D202" s="294"/>
      <c r="E202" s="294"/>
      <c r="F202" s="17">
        <f>1600+200+400+30</f>
        <v>2230</v>
      </c>
      <c r="G202" s="1"/>
      <c r="I202" s="3">
        <v>5</v>
      </c>
      <c r="J202" s="3" t="s">
        <v>339</v>
      </c>
      <c r="K202" s="310"/>
      <c r="L202" s="332"/>
      <c r="M202" s="1"/>
      <c r="N202" s="335"/>
      <c r="O202" s="3" t="s">
        <v>146</v>
      </c>
    </row>
    <row r="203" spans="1:15" ht="15.75" thickBot="1" x14ac:dyDescent="0.3">
      <c r="I203" s="339" t="s">
        <v>41</v>
      </c>
      <c r="J203" s="340"/>
      <c r="K203" s="340"/>
      <c r="L203" s="340"/>
      <c r="M203" s="341"/>
      <c r="N203" s="17">
        <f>720+640+400+100+270+540</f>
        <v>2670</v>
      </c>
      <c r="O203" s="1"/>
    </row>
    <row r="204" spans="1:15" ht="15.75" thickBot="1" x14ac:dyDescent="0.3">
      <c r="A204" s="292" t="s">
        <v>39</v>
      </c>
      <c r="B204" s="293"/>
      <c r="C204" s="23"/>
      <c r="G204" s="14" t="s">
        <v>40</v>
      </c>
    </row>
    <row r="205" spans="1:15" ht="15.75" thickBot="1" x14ac:dyDescent="0.3">
      <c r="I205" s="292" t="s">
        <v>39</v>
      </c>
      <c r="J205" s="293"/>
      <c r="K205" s="23"/>
      <c r="O205" s="14" t="s">
        <v>40</v>
      </c>
    </row>
    <row r="206" spans="1:15" ht="15.75" thickBot="1" x14ac:dyDescent="0.3"/>
    <row r="207" spans="1:15" ht="21.75" thickBot="1" x14ac:dyDescent="0.4">
      <c r="A207" s="326" t="s">
        <v>372</v>
      </c>
      <c r="B207" s="327"/>
      <c r="C207" s="327"/>
      <c r="D207" s="327"/>
      <c r="E207" s="327"/>
      <c r="F207" s="327"/>
      <c r="G207" s="328"/>
      <c r="I207" s="326" t="s">
        <v>372</v>
      </c>
      <c r="J207" s="327"/>
      <c r="K207" s="327"/>
      <c r="L207" s="327"/>
      <c r="M207" s="327"/>
      <c r="N207" s="327"/>
      <c r="O207" s="328"/>
    </row>
    <row r="208" spans="1:15" ht="19.5" thickBot="1" x14ac:dyDescent="0.35">
      <c r="A208" s="10" t="s">
        <v>0</v>
      </c>
      <c r="B208" s="11" t="s">
        <v>3</v>
      </c>
      <c r="C208" s="11" t="s">
        <v>24</v>
      </c>
      <c r="D208" s="11" t="s">
        <v>1</v>
      </c>
      <c r="E208" s="11" t="s">
        <v>26</v>
      </c>
      <c r="F208" s="11" t="s">
        <v>23</v>
      </c>
      <c r="G208" s="12" t="s">
        <v>27</v>
      </c>
      <c r="I208" s="10" t="s">
        <v>0</v>
      </c>
      <c r="J208" s="11" t="s">
        <v>3</v>
      </c>
      <c r="K208" s="11" t="s">
        <v>24</v>
      </c>
      <c r="L208" s="11" t="s">
        <v>1</v>
      </c>
      <c r="M208" s="11" t="s">
        <v>26</v>
      </c>
      <c r="N208" s="11" t="s">
        <v>23</v>
      </c>
      <c r="O208" s="12" t="s">
        <v>27</v>
      </c>
    </row>
    <row r="209" spans="1:15" ht="15" customHeight="1" x14ac:dyDescent="0.25">
      <c r="A209" s="3">
        <v>1</v>
      </c>
      <c r="B209" s="3" t="s">
        <v>357</v>
      </c>
      <c r="C209" s="329" t="s">
        <v>145</v>
      </c>
      <c r="D209" s="330" t="s">
        <v>370</v>
      </c>
      <c r="E209" s="1"/>
      <c r="F209" s="333" t="s">
        <v>371</v>
      </c>
      <c r="G209" s="3" t="s">
        <v>146</v>
      </c>
      <c r="I209" s="3">
        <v>1</v>
      </c>
      <c r="J209" s="3" t="s">
        <v>387</v>
      </c>
      <c r="K209" s="329" t="s">
        <v>145</v>
      </c>
      <c r="L209" s="336" t="s">
        <v>415</v>
      </c>
      <c r="M209" s="1"/>
      <c r="N209" s="333">
        <f>225+225+225+225+400+25+25+25+25+25+25+375+80+180+180</f>
        <v>2265</v>
      </c>
      <c r="O209" s="3" t="s">
        <v>146</v>
      </c>
    </row>
    <row r="210" spans="1:15" x14ac:dyDescent="0.25">
      <c r="A210" s="3">
        <v>2</v>
      </c>
      <c r="B210" s="3" t="s">
        <v>357</v>
      </c>
      <c r="C210" s="309"/>
      <c r="D210" s="331"/>
      <c r="E210" s="1"/>
      <c r="F210" s="334"/>
      <c r="G210" s="3" t="s">
        <v>146</v>
      </c>
      <c r="I210" s="3">
        <v>2</v>
      </c>
      <c r="J210" s="3" t="s">
        <v>387</v>
      </c>
      <c r="K210" s="309"/>
      <c r="L210" s="337"/>
      <c r="M210" s="1"/>
      <c r="N210" s="334"/>
      <c r="O210" s="3" t="s">
        <v>146</v>
      </c>
    </row>
    <row r="211" spans="1:15" x14ac:dyDescent="0.25">
      <c r="A211" s="3">
        <v>3</v>
      </c>
      <c r="B211" s="3" t="s">
        <v>357</v>
      </c>
      <c r="C211" s="309"/>
      <c r="D211" s="331"/>
      <c r="E211" s="1"/>
      <c r="F211" s="334"/>
      <c r="G211" s="3" t="s">
        <v>146</v>
      </c>
      <c r="I211" s="3">
        <v>3</v>
      </c>
      <c r="J211" s="3" t="s">
        <v>387</v>
      </c>
      <c r="K211" s="309"/>
      <c r="L211" s="337"/>
      <c r="M211" s="1"/>
      <c r="N211" s="334"/>
      <c r="O211" s="3" t="s">
        <v>146</v>
      </c>
    </row>
    <row r="212" spans="1:15" x14ac:dyDescent="0.25">
      <c r="A212" s="3">
        <v>4</v>
      </c>
      <c r="B212" s="3" t="s">
        <v>357</v>
      </c>
      <c r="C212" s="309"/>
      <c r="D212" s="331"/>
      <c r="E212" s="1"/>
      <c r="F212" s="334"/>
      <c r="G212" s="3" t="s">
        <v>146</v>
      </c>
      <c r="I212" s="3">
        <v>4</v>
      </c>
      <c r="J212" s="3" t="s">
        <v>387</v>
      </c>
      <c r="K212" s="309"/>
      <c r="L212" s="337"/>
      <c r="M212" s="1"/>
      <c r="N212" s="334"/>
      <c r="O212" s="3" t="s">
        <v>146</v>
      </c>
    </row>
    <row r="213" spans="1:15" x14ac:dyDescent="0.25">
      <c r="A213" s="3">
        <v>5</v>
      </c>
      <c r="B213" s="3" t="s">
        <v>357</v>
      </c>
      <c r="C213" s="310"/>
      <c r="D213" s="332"/>
      <c r="E213" s="1"/>
      <c r="F213" s="335"/>
      <c r="G213" s="3" t="s">
        <v>146</v>
      </c>
      <c r="I213" s="3">
        <v>5</v>
      </c>
      <c r="J213" s="3" t="s">
        <v>387</v>
      </c>
      <c r="K213" s="310"/>
      <c r="L213" s="338"/>
      <c r="M213" s="1"/>
      <c r="N213" s="335"/>
      <c r="O213" s="3" t="s">
        <v>146</v>
      </c>
    </row>
    <row r="214" spans="1:15" x14ac:dyDescent="0.25">
      <c r="A214" s="339" t="s">
        <v>41</v>
      </c>
      <c r="B214" s="340"/>
      <c r="C214" s="340"/>
      <c r="D214" s="340"/>
      <c r="E214" s="341"/>
      <c r="F214" s="17">
        <f>150+540+330+1060</f>
        <v>2080</v>
      </c>
      <c r="G214" s="1"/>
      <c r="I214" s="339" t="s">
        <v>41</v>
      </c>
      <c r="J214" s="340"/>
      <c r="K214" s="340"/>
      <c r="L214" s="340"/>
      <c r="M214" s="341"/>
      <c r="N214" s="17">
        <v>2265</v>
      </c>
      <c r="O214" s="1"/>
    </row>
    <row r="215" spans="1:15" ht="15.75" thickBot="1" x14ac:dyDescent="0.3"/>
    <row r="216" spans="1:15" ht="15.75" thickBot="1" x14ac:dyDescent="0.3">
      <c r="A216" s="292" t="s">
        <v>39</v>
      </c>
      <c r="B216" s="293"/>
      <c r="C216" s="23"/>
      <c r="G216" s="14" t="s">
        <v>40</v>
      </c>
      <c r="I216" s="292" t="s">
        <v>39</v>
      </c>
      <c r="J216" s="293"/>
      <c r="K216" s="23"/>
      <c r="O216" s="14" t="s">
        <v>40</v>
      </c>
    </row>
    <row r="218" spans="1:15" ht="15.75" thickBot="1" x14ac:dyDescent="0.3"/>
    <row r="219" spans="1:15" ht="21.75" thickBot="1" x14ac:dyDescent="0.4">
      <c r="A219" s="326" t="s">
        <v>372</v>
      </c>
      <c r="B219" s="327"/>
      <c r="C219" s="327"/>
      <c r="D219" s="327"/>
      <c r="E219" s="327"/>
      <c r="F219" s="327"/>
      <c r="G219" s="328"/>
      <c r="I219" s="326" t="s">
        <v>372</v>
      </c>
      <c r="J219" s="327"/>
      <c r="K219" s="327"/>
      <c r="L219" s="327"/>
      <c r="M219" s="327"/>
      <c r="N219" s="327"/>
      <c r="O219" s="328"/>
    </row>
    <row r="220" spans="1:15" ht="19.5" thickBot="1" x14ac:dyDescent="0.35">
      <c r="A220" s="10" t="s">
        <v>0</v>
      </c>
      <c r="B220" s="11" t="s">
        <v>3</v>
      </c>
      <c r="C220" s="11" t="s">
        <v>24</v>
      </c>
      <c r="D220" s="11" t="s">
        <v>1</v>
      </c>
      <c r="E220" s="11" t="s">
        <v>26</v>
      </c>
      <c r="F220" s="11" t="s">
        <v>23</v>
      </c>
      <c r="G220" s="12" t="s">
        <v>27</v>
      </c>
      <c r="I220" s="10" t="s">
        <v>0</v>
      </c>
      <c r="J220" s="11" t="s">
        <v>3</v>
      </c>
      <c r="K220" s="11" t="s">
        <v>24</v>
      </c>
      <c r="L220" s="11" t="s">
        <v>1</v>
      </c>
      <c r="M220" s="11" t="s">
        <v>26</v>
      </c>
      <c r="N220" s="11" t="s">
        <v>23</v>
      </c>
      <c r="O220" s="12" t="s">
        <v>27</v>
      </c>
    </row>
    <row r="221" spans="1:15" x14ac:dyDescent="0.25">
      <c r="A221" s="3">
        <v>1</v>
      </c>
      <c r="B221" s="3" t="s">
        <v>398</v>
      </c>
      <c r="C221" s="329" t="s">
        <v>145</v>
      </c>
      <c r="D221" s="336" t="s">
        <v>421</v>
      </c>
      <c r="E221" s="1"/>
      <c r="F221" s="333" t="s">
        <v>422</v>
      </c>
      <c r="G221" s="3" t="s">
        <v>146</v>
      </c>
      <c r="I221" s="3">
        <v>1</v>
      </c>
      <c r="J221" s="3" t="s">
        <v>423</v>
      </c>
      <c r="K221" s="329" t="s">
        <v>145</v>
      </c>
      <c r="L221" s="336" t="s">
        <v>447</v>
      </c>
      <c r="M221" s="1"/>
      <c r="N221" s="333" t="s">
        <v>448</v>
      </c>
      <c r="O221" s="3" t="s">
        <v>146</v>
      </c>
    </row>
    <row r="222" spans="1:15" x14ac:dyDescent="0.25">
      <c r="A222" s="3">
        <v>2</v>
      </c>
      <c r="B222" s="3" t="s">
        <v>398</v>
      </c>
      <c r="C222" s="309"/>
      <c r="D222" s="337"/>
      <c r="E222" s="1"/>
      <c r="F222" s="334"/>
      <c r="G222" s="3" t="s">
        <v>146</v>
      </c>
      <c r="I222" s="3">
        <v>2</v>
      </c>
      <c r="J222" s="3" t="s">
        <v>423</v>
      </c>
      <c r="K222" s="309"/>
      <c r="L222" s="337"/>
      <c r="M222" s="1"/>
      <c r="N222" s="334"/>
      <c r="O222" s="3" t="s">
        <v>146</v>
      </c>
    </row>
    <row r="223" spans="1:15" x14ac:dyDescent="0.25">
      <c r="A223" s="3">
        <v>3</v>
      </c>
      <c r="B223" s="3" t="s">
        <v>398</v>
      </c>
      <c r="C223" s="309"/>
      <c r="D223" s="337"/>
      <c r="E223" s="1"/>
      <c r="F223" s="334"/>
      <c r="G223" s="3" t="s">
        <v>146</v>
      </c>
      <c r="I223" s="3">
        <v>3</v>
      </c>
      <c r="J223" s="3" t="s">
        <v>423</v>
      </c>
      <c r="K223" s="309"/>
      <c r="L223" s="337"/>
      <c r="M223" s="1"/>
      <c r="N223" s="334"/>
      <c r="O223" s="3" t="s">
        <v>146</v>
      </c>
    </row>
    <row r="224" spans="1:15" x14ac:dyDescent="0.25">
      <c r="A224" s="3">
        <v>4</v>
      </c>
      <c r="B224" s="3" t="s">
        <v>398</v>
      </c>
      <c r="C224" s="309"/>
      <c r="D224" s="337"/>
      <c r="E224" s="1"/>
      <c r="F224" s="334"/>
      <c r="G224" s="3" t="s">
        <v>146</v>
      </c>
      <c r="I224" s="3">
        <v>4</v>
      </c>
      <c r="J224" s="3" t="s">
        <v>423</v>
      </c>
      <c r="K224" s="309"/>
      <c r="L224" s="337"/>
      <c r="M224" s="1"/>
      <c r="N224" s="334"/>
      <c r="O224" s="3" t="s">
        <v>146</v>
      </c>
    </row>
    <row r="225" spans="1:15" x14ac:dyDescent="0.25">
      <c r="A225" s="3">
        <v>5</v>
      </c>
      <c r="B225" s="3" t="s">
        <v>398</v>
      </c>
      <c r="C225" s="310"/>
      <c r="D225" s="338"/>
      <c r="E225" s="1"/>
      <c r="F225" s="335"/>
      <c r="G225" s="3" t="s">
        <v>146</v>
      </c>
      <c r="I225" s="3">
        <v>5</v>
      </c>
      <c r="J225" s="3" t="s">
        <v>423</v>
      </c>
      <c r="K225" s="310"/>
      <c r="L225" s="338"/>
      <c r="M225" s="1"/>
      <c r="N225" s="335"/>
      <c r="O225" s="3" t="s">
        <v>146</v>
      </c>
    </row>
    <row r="226" spans="1:15" x14ac:dyDescent="0.25">
      <c r="A226" s="339" t="s">
        <v>41</v>
      </c>
      <c r="B226" s="340"/>
      <c r="C226" s="340"/>
      <c r="D226" s="340"/>
      <c r="E226" s="341"/>
      <c r="F226" s="17">
        <f>200+200+80+300+1000+810</f>
        <v>2590</v>
      </c>
      <c r="G226" s="1"/>
      <c r="I226" s="339" t="s">
        <v>41</v>
      </c>
      <c r="J226" s="340"/>
      <c r="K226" s="340"/>
      <c r="L226" s="340"/>
      <c r="M226" s="341"/>
      <c r="N226" s="17">
        <f>125+264+540+100+440+80</f>
        <v>1549</v>
      </c>
      <c r="O226" s="1"/>
    </row>
    <row r="227" spans="1:15" ht="15.75" thickBot="1" x14ac:dyDescent="0.3"/>
    <row r="228" spans="1:15" ht="15.75" thickBot="1" x14ac:dyDescent="0.3">
      <c r="A228" s="292" t="s">
        <v>39</v>
      </c>
      <c r="B228" s="293"/>
      <c r="C228" s="23"/>
      <c r="G228" s="14" t="s">
        <v>40</v>
      </c>
      <c r="I228" s="292" t="s">
        <v>39</v>
      </c>
      <c r="J228" s="293"/>
      <c r="K228" s="23"/>
      <c r="O228" s="14" t="s">
        <v>40</v>
      </c>
    </row>
    <row r="243" spans="1:7" ht="15.75" thickBot="1" x14ac:dyDescent="0.3"/>
    <row r="244" spans="1:7" ht="21.75" thickBot="1" x14ac:dyDescent="0.4">
      <c r="A244" s="326" t="s">
        <v>138</v>
      </c>
      <c r="B244" s="327"/>
      <c r="C244" s="327"/>
      <c r="D244" s="327"/>
      <c r="E244" s="327"/>
      <c r="F244" s="327"/>
      <c r="G244" s="328"/>
    </row>
    <row r="245" spans="1:7" ht="19.5" thickBot="1" x14ac:dyDescent="0.35">
      <c r="A245" s="10" t="s">
        <v>0</v>
      </c>
      <c r="B245" s="11" t="s">
        <v>3</v>
      </c>
      <c r="C245" s="11" t="s">
        <v>24</v>
      </c>
      <c r="D245" s="11" t="s">
        <v>1</v>
      </c>
      <c r="E245" s="11" t="s">
        <v>26</v>
      </c>
      <c r="F245" s="11" t="s">
        <v>23</v>
      </c>
      <c r="G245" s="12" t="s">
        <v>27</v>
      </c>
    </row>
    <row r="246" spans="1:7" x14ac:dyDescent="0.25">
      <c r="A246" s="3">
        <v>1</v>
      </c>
      <c r="B246" s="67">
        <v>46021</v>
      </c>
      <c r="C246" s="329" t="s">
        <v>470</v>
      </c>
      <c r="D246" s="336" t="s">
        <v>468</v>
      </c>
      <c r="E246" s="1"/>
      <c r="F246" s="333" t="s">
        <v>469</v>
      </c>
      <c r="G246" s="3" t="s">
        <v>146</v>
      </c>
    </row>
    <row r="247" spans="1:7" x14ac:dyDescent="0.25">
      <c r="A247" s="3">
        <v>2</v>
      </c>
      <c r="B247" s="67">
        <v>46021</v>
      </c>
      <c r="C247" s="309"/>
      <c r="D247" s="337"/>
      <c r="E247" s="1"/>
      <c r="F247" s="334"/>
      <c r="G247" s="3" t="s">
        <v>146</v>
      </c>
    </row>
    <row r="248" spans="1:7" x14ac:dyDescent="0.25">
      <c r="A248" s="3">
        <v>3</v>
      </c>
      <c r="B248" s="67">
        <v>46021</v>
      </c>
      <c r="C248" s="309"/>
      <c r="D248" s="337"/>
      <c r="E248" s="1"/>
      <c r="F248" s="334"/>
      <c r="G248" s="3" t="s">
        <v>146</v>
      </c>
    </row>
    <row r="249" spans="1:7" x14ac:dyDescent="0.25">
      <c r="A249" s="3">
        <v>4</v>
      </c>
      <c r="B249" s="67">
        <v>46021</v>
      </c>
      <c r="C249" s="309"/>
      <c r="D249" s="337"/>
      <c r="E249" s="1"/>
      <c r="F249" s="334"/>
      <c r="G249" s="3" t="s">
        <v>146</v>
      </c>
    </row>
    <row r="250" spans="1:7" x14ac:dyDescent="0.25">
      <c r="A250" s="3">
        <v>5</v>
      </c>
      <c r="B250" s="67">
        <v>46021</v>
      </c>
      <c r="C250" s="310"/>
      <c r="D250" s="338"/>
      <c r="E250" s="1"/>
      <c r="F250" s="335"/>
      <c r="G250" s="3" t="s">
        <v>146</v>
      </c>
    </row>
    <row r="251" spans="1:7" x14ac:dyDescent="0.25">
      <c r="A251" s="339" t="s">
        <v>41</v>
      </c>
      <c r="B251" s="340"/>
      <c r="C251" s="340"/>
      <c r="D251" s="340"/>
      <c r="E251" s="341"/>
      <c r="F251" s="17">
        <f>100+50+250</f>
        <v>400</v>
      </c>
      <c r="G251" s="1"/>
    </row>
    <row r="252" spans="1:7" ht="15.75" thickBot="1" x14ac:dyDescent="0.3"/>
    <row r="253" spans="1:7" ht="15.75" thickBot="1" x14ac:dyDescent="0.3">
      <c r="A253" s="292" t="s">
        <v>39</v>
      </c>
      <c r="B253" s="293"/>
      <c r="C253" s="23"/>
      <c r="G253" s="14" t="s">
        <v>40</v>
      </c>
    </row>
    <row r="255" spans="1:7" ht="15.75" thickBot="1" x14ac:dyDescent="0.3"/>
    <row r="256" spans="1:7" ht="21.75" thickBot="1" x14ac:dyDescent="0.4">
      <c r="A256" s="326" t="s">
        <v>138</v>
      </c>
      <c r="B256" s="327"/>
      <c r="C256" s="327"/>
      <c r="D256" s="327"/>
      <c r="E256" s="327"/>
      <c r="F256" s="327"/>
      <c r="G256" s="328"/>
    </row>
    <row r="257" spans="1:7" ht="19.5" thickBot="1" x14ac:dyDescent="0.35">
      <c r="A257" s="10" t="s">
        <v>0</v>
      </c>
      <c r="B257" s="11" t="s">
        <v>3</v>
      </c>
      <c r="C257" s="11" t="s">
        <v>24</v>
      </c>
      <c r="D257" s="11" t="s">
        <v>1</v>
      </c>
      <c r="E257" s="11" t="s">
        <v>26</v>
      </c>
      <c r="F257" s="11" t="s">
        <v>23</v>
      </c>
      <c r="G257" s="12" t="s">
        <v>27</v>
      </c>
    </row>
    <row r="258" spans="1:7" x14ac:dyDescent="0.25">
      <c r="A258" s="3">
        <v>1</v>
      </c>
      <c r="B258" s="67">
        <v>46021</v>
      </c>
      <c r="C258" s="329" t="s">
        <v>472</v>
      </c>
      <c r="D258" s="336" t="s">
        <v>468</v>
      </c>
      <c r="E258" s="1"/>
      <c r="F258" s="333" t="s">
        <v>469</v>
      </c>
      <c r="G258" s="3" t="s">
        <v>146</v>
      </c>
    </row>
    <row r="259" spans="1:7" x14ac:dyDescent="0.25">
      <c r="A259" s="3">
        <v>2</v>
      </c>
      <c r="B259" s="67">
        <v>46021</v>
      </c>
      <c r="C259" s="309"/>
      <c r="D259" s="337"/>
      <c r="E259" s="1"/>
      <c r="F259" s="334"/>
      <c r="G259" s="3" t="s">
        <v>146</v>
      </c>
    </row>
    <row r="260" spans="1:7" x14ac:dyDescent="0.25">
      <c r="A260" s="3">
        <v>3</v>
      </c>
      <c r="B260" s="67">
        <v>46021</v>
      </c>
      <c r="C260" s="309"/>
      <c r="D260" s="337"/>
      <c r="E260" s="1"/>
      <c r="F260" s="334"/>
      <c r="G260" s="3" t="s">
        <v>146</v>
      </c>
    </row>
    <row r="261" spans="1:7" x14ac:dyDescent="0.25">
      <c r="A261" s="3">
        <v>4</v>
      </c>
      <c r="B261" s="67">
        <v>46021</v>
      </c>
      <c r="C261" s="309"/>
      <c r="D261" s="337"/>
      <c r="E261" s="1"/>
      <c r="F261" s="334"/>
      <c r="G261" s="3" t="s">
        <v>146</v>
      </c>
    </row>
    <row r="262" spans="1:7" x14ac:dyDescent="0.25">
      <c r="A262" s="3">
        <v>5</v>
      </c>
      <c r="B262" s="67">
        <v>46021</v>
      </c>
      <c r="C262" s="310"/>
      <c r="D262" s="338"/>
      <c r="E262" s="1"/>
      <c r="F262" s="335"/>
      <c r="G262" s="3" t="s">
        <v>146</v>
      </c>
    </row>
    <row r="263" spans="1:7" x14ac:dyDescent="0.25">
      <c r="A263" s="339" t="s">
        <v>41</v>
      </c>
      <c r="B263" s="340"/>
      <c r="C263" s="340"/>
      <c r="D263" s="340"/>
      <c r="E263" s="341"/>
      <c r="F263" s="17">
        <f>100+50+250</f>
        <v>400</v>
      </c>
      <c r="G263" s="1"/>
    </row>
    <row r="264" spans="1:7" ht="15.75" thickBot="1" x14ac:dyDescent="0.3"/>
    <row r="265" spans="1:7" ht="15.75" thickBot="1" x14ac:dyDescent="0.3">
      <c r="A265" s="292" t="s">
        <v>39</v>
      </c>
      <c r="B265" s="293"/>
      <c r="C265" s="23"/>
      <c r="G265" s="14" t="s">
        <v>40</v>
      </c>
    </row>
  </sheetData>
  <mergeCells count="206">
    <mergeCell ref="C258:C262"/>
    <mergeCell ref="D258:D262"/>
    <mergeCell ref="F258:F262"/>
    <mergeCell ref="A263:E263"/>
    <mergeCell ref="A265:B265"/>
    <mergeCell ref="A251:E251"/>
    <mergeCell ref="A253:B253"/>
    <mergeCell ref="A256:G256"/>
    <mergeCell ref="A244:G244"/>
    <mergeCell ref="C246:C250"/>
    <mergeCell ref="D246:D250"/>
    <mergeCell ref="F246:F250"/>
    <mergeCell ref="A163:G163"/>
    <mergeCell ref="C165:C169"/>
    <mergeCell ref="D165:D169"/>
    <mergeCell ref="F165:F169"/>
    <mergeCell ref="A170:E170"/>
    <mergeCell ref="A172:B172"/>
    <mergeCell ref="A202:E202"/>
    <mergeCell ref="A204:B204"/>
    <mergeCell ref="A228:B228"/>
    <mergeCell ref="I163:O163"/>
    <mergeCell ref="K165:K169"/>
    <mergeCell ref="L165:L169"/>
    <mergeCell ref="N165:N169"/>
    <mergeCell ref="I170:M170"/>
    <mergeCell ref="I172:J172"/>
    <mergeCell ref="I125:M125"/>
    <mergeCell ref="I127:J127"/>
    <mergeCell ref="A119:G119"/>
    <mergeCell ref="D121:D124"/>
    <mergeCell ref="F121:F124"/>
    <mergeCell ref="A125:E125"/>
    <mergeCell ref="A127:B127"/>
    <mergeCell ref="A138:B138"/>
    <mergeCell ref="I129:O129"/>
    <mergeCell ref="K131:K135"/>
    <mergeCell ref="L131:L135"/>
    <mergeCell ref="N131:N135"/>
    <mergeCell ref="I136:M136"/>
    <mergeCell ref="I138:J138"/>
    <mergeCell ref="A129:G129"/>
    <mergeCell ref="C131:C135"/>
    <mergeCell ref="D131:D135"/>
    <mergeCell ref="F131:F135"/>
    <mergeCell ref="A136:E136"/>
    <mergeCell ref="I13:O13"/>
    <mergeCell ref="A9:E9"/>
    <mergeCell ref="A11:B11"/>
    <mergeCell ref="A1:G1"/>
    <mergeCell ref="D3:D8"/>
    <mergeCell ref="F3:F8"/>
    <mergeCell ref="A13:G13"/>
    <mergeCell ref="I1:O1"/>
    <mergeCell ref="L3:L8"/>
    <mergeCell ref="N3:N8"/>
    <mergeCell ref="I9:M9"/>
    <mergeCell ref="I11:J11"/>
    <mergeCell ref="C45:C50"/>
    <mergeCell ref="I21:M21"/>
    <mergeCell ref="I23:J23"/>
    <mergeCell ref="L15:L20"/>
    <mergeCell ref="N15:N20"/>
    <mergeCell ref="D15:D17"/>
    <mergeCell ref="F15:F17"/>
    <mergeCell ref="A18:E18"/>
    <mergeCell ref="A20:B20"/>
    <mergeCell ref="N45:N50"/>
    <mergeCell ref="A56:G56"/>
    <mergeCell ref="D58:D63"/>
    <mergeCell ref="F58:F63"/>
    <mergeCell ref="A65:B65"/>
    <mergeCell ref="I27:O27"/>
    <mergeCell ref="L29:L34"/>
    <mergeCell ref="N29:N34"/>
    <mergeCell ref="I35:M35"/>
    <mergeCell ref="I37:J37"/>
    <mergeCell ref="A27:G27"/>
    <mergeCell ref="D29:D34"/>
    <mergeCell ref="F29:F34"/>
    <mergeCell ref="A35:E35"/>
    <mergeCell ref="A37:B37"/>
    <mergeCell ref="I43:O43"/>
    <mergeCell ref="L45:L50"/>
    <mergeCell ref="I51:M51"/>
    <mergeCell ref="I53:J53"/>
    <mergeCell ref="K45:K50"/>
    <mergeCell ref="A43:G43"/>
    <mergeCell ref="D45:D50"/>
    <mergeCell ref="F45:F50"/>
    <mergeCell ref="A51:E51"/>
    <mergeCell ref="A53:B53"/>
    <mergeCell ref="A78:B78"/>
    <mergeCell ref="I68:O68"/>
    <mergeCell ref="K70:K75"/>
    <mergeCell ref="L70:L75"/>
    <mergeCell ref="N70:N75"/>
    <mergeCell ref="I76:M76"/>
    <mergeCell ref="I78:J78"/>
    <mergeCell ref="A68:G68"/>
    <mergeCell ref="C70:C75"/>
    <mergeCell ref="D70:D75"/>
    <mergeCell ref="F70:F75"/>
    <mergeCell ref="A76:E76"/>
    <mergeCell ref="I96:O96"/>
    <mergeCell ref="K98:K102"/>
    <mergeCell ref="L98:L102"/>
    <mergeCell ref="N98:N102"/>
    <mergeCell ref="A96:G96"/>
    <mergeCell ref="D98:D99"/>
    <mergeCell ref="F98:F99"/>
    <mergeCell ref="A100:E100"/>
    <mergeCell ref="A83:G83"/>
    <mergeCell ref="D85:D89"/>
    <mergeCell ref="F85:F89"/>
    <mergeCell ref="A90:E90"/>
    <mergeCell ref="A92:B92"/>
    <mergeCell ref="I83:O83"/>
    <mergeCell ref="L85:L89"/>
    <mergeCell ref="N85:N89"/>
    <mergeCell ref="I90:M90"/>
    <mergeCell ref="I92:J92"/>
    <mergeCell ref="K85:K89"/>
    <mergeCell ref="I141:O141"/>
    <mergeCell ref="K143:K147"/>
    <mergeCell ref="L143:L147"/>
    <mergeCell ref="N143:N147"/>
    <mergeCell ref="I148:M148"/>
    <mergeCell ref="I150:J150"/>
    <mergeCell ref="I103:M103"/>
    <mergeCell ref="I105:J105"/>
    <mergeCell ref="A102:B102"/>
    <mergeCell ref="I108:O108"/>
    <mergeCell ref="L110:L114"/>
    <mergeCell ref="N110:N114"/>
    <mergeCell ref="I115:M115"/>
    <mergeCell ref="I117:J117"/>
    <mergeCell ref="K110:K114"/>
    <mergeCell ref="A108:G108"/>
    <mergeCell ref="D110:D112"/>
    <mergeCell ref="F110:F112"/>
    <mergeCell ref="A113:E113"/>
    <mergeCell ref="A115:B115"/>
    <mergeCell ref="C110:C112"/>
    <mergeCell ref="I119:O119"/>
    <mergeCell ref="L121:L124"/>
    <mergeCell ref="N121:N124"/>
    <mergeCell ref="A153:G153"/>
    <mergeCell ref="D155:D158"/>
    <mergeCell ref="F155:F158"/>
    <mergeCell ref="A159:E159"/>
    <mergeCell ref="A161:B161"/>
    <mergeCell ref="A141:G141"/>
    <mergeCell ref="C143:C147"/>
    <mergeCell ref="D143:D147"/>
    <mergeCell ref="F143:F147"/>
    <mergeCell ref="A148:E148"/>
    <mergeCell ref="A150:B150"/>
    <mergeCell ref="I183:J183"/>
    <mergeCell ref="K177:K180"/>
    <mergeCell ref="A175:G175"/>
    <mergeCell ref="D177:D180"/>
    <mergeCell ref="F177:F180"/>
    <mergeCell ref="A181:E181"/>
    <mergeCell ref="A183:B183"/>
    <mergeCell ref="A207:G207"/>
    <mergeCell ref="C209:C213"/>
    <mergeCell ref="D209:D213"/>
    <mergeCell ref="F209:F213"/>
    <mergeCell ref="A194:B194"/>
    <mergeCell ref="A185:G185"/>
    <mergeCell ref="D187:D191"/>
    <mergeCell ref="F187:F191"/>
    <mergeCell ref="C187:C191"/>
    <mergeCell ref="I175:O175"/>
    <mergeCell ref="L177:L180"/>
    <mergeCell ref="N177:N180"/>
    <mergeCell ref="I181:M181"/>
    <mergeCell ref="I203:M203"/>
    <mergeCell ref="A196:G196"/>
    <mergeCell ref="D198:D201"/>
    <mergeCell ref="F198:F201"/>
    <mergeCell ref="I228:J228"/>
    <mergeCell ref="I196:O196"/>
    <mergeCell ref="K198:K202"/>
    <mergeCell ref="L198:L202"/>
    <mergeCell ref="N198:N202"/>
    <mergeCell ref="A219:G219"/>
    <mergeCell ref="C221:C225"/>
    <mergeCell ref="D221:D225"/>
    <mergeCell ref="F221:F225"/>
    <mergeCell ref="A226:E226"/>
    <mergeCell ref="A216:B216"/>
    <mergeCell ref="A214:E214"/>
    <mergeCell ref="I205:J205"/>
    <mergeCell ref="I207:O207"/>
    <mergeCell ref="K209:K213"/>
    <mergeCell ref="L209:L213"/>
    <mergeCell ref="N209:N213"/>
    <mergeCell ref="I216:J216"/>
    <mergeCell ref="I214:M214"/>
    <mergeCell ref="I219:O219"/>
    <mergeCell ref="K221:K225"/>
    <mergeCell ref="L221:L225"/>
    <mergeCell ref="N221:N225"/>
    <mergeCell ref="I226:M226"/>
  </mergeCells>
  <pageMargins left="0.70866141732283472" right="0.70866141732283472" top="0.74803149606299213" bottom="0.74803149606299213" header="0.31496062992125984" footer="0.31496062992125984"/>
  <pageSetup scale="103" orientation="landscape" horizontalDpi="4294967295" verticalDpi="4294967295" r:id="rId1"/>
  <rowBreaks count="3" manualBreakCount="3">
    <brk id="55" max="16383" man="1"/>
    <brk id="117" max="16383" man="1"/>
    <brk id="184" max="16383" man="1"/>
  </rowBreaks>
  <colBreaks count="1" manualBreakCount="1">
    <brk id="7" min="230" max="309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0"/>
  <sheetViews>
    <sheetView topLeftCell="A566" zoomScaleNormal="100" workbookViewId="0">
      <selection activeCell="G28" sqref="G28"/>
    </sheetView>
  </sheetViews>
  <sheetFormatPr defaultRowHeight="15" x14ac:dyDescent="0.25"/>
  <cols>
    <col min="2" max="2" width="11.85546875" bestFit="1" customWidth="1"/>
    <col min="3" max="3" width="14" bestFit="1" customWidth="1"/>
    <col min="4" max="4" width="46.42578125" bestFit="1" customWidth="1"/>
    <col min="5" max="5" width="13.5703125" bestFit="1" customWidth="1"/>
    <col min="6" max="6" width="20.85546875" bestFit="1" customWidth="1"/>
  </cols>
  <sheetData>
    <row r="1" spans="1:6" ht="21.75" thickBot="1" x14ac:dyDescent="0.4">
      <c r="A1" s="326" t="s">
        <v>138</v>
      </c>
      <c r="B1" s="327"/>
      <c r="C1" s="327"/>
      <c r="D1" s="327"/>
      <c r="E1" s="327"/>
      <c r="F1" s="328"/>
    </row>
    <row r="2" spans="1:6" ht="19.5" thickBot="1" x14ac:dyDescent="0.35">
      <c r="A2" s="10" t="s">
        <v>0</v>
      </c>
      <c r="B2" s="11" t="s">
        <v>3</v>
      </c>
      <c r="C2" s="11" t="s">
        <v>24</v>
      </c>
      <c r="D2" s="11" t="s">
        <v>1</v>
      </c>
      <c r="E2" s="11" t="s">
        <v>23</v>
      </c>
      <c r="F2" s="12" t="s">
        <v>27</v>
      </c>
    </row>
    <row r="3" spans="1:6" x14ac:dyDescent="0.25">
      <c r="A3" s="3">
        <v>1</v>
      </c>
      <c r="B3" s="67">
        <v>46020</v>
      </c>
      <c r="C3" s="329" t="s">
        <v>467</v>
      </c>
      <c r="D3" s="336" t="s">
        <v>473</v>
      </c>
      <c r="E3" s="333" t="s">
        <v>474</v>
      </c>
      <c r="F3" s="3" t="s">
        <v>146</v>
      </c>
    </row>
    <row r="4" spans="1:6" x14ac:dyDescent="0.25">
      <c r="A4" s="3">
        <v>2</v>
      </c>
      <c r="B4" s="67">
        <v>46020</v>
      </c>
      <c r="C4" s="309"/>
      <c r="D4" s="337"/>
      <c r="E4" s="334"/>
      <c r="F4" s="3" t="s">
        <v>146</v>
      </c>
    </row>
    <row r="5" spans="1:6" x14ac:dyDescent="0.25">
      <c r="A5" s="3">
        <v>3</v>
      </c>
      <c r="B5" s="67">
        <v>46020</v>
      </c>
      <c r="C5" s="309"/>
      <c r="D5" s="337"/>
      <c r="E5" s="334"/>
      <c r="F5" s="3" t="s">
        <v>146</v>
      </c>
    </row>
    <row r="6" spans="1:6" x14ac:dyDescent="0.25">
      <c r="A6" s="3">
        <v>4</v>
      </c>
      <c r="B6" s="67">
        <v>46020</v>
      </c>
      <c r="C6" s="309"/>
      <c r="D6" s="337"/>
      <c r="E6" s="334"/>
      <c r="F6" s="3" t="s">
        <v>146</v>
      </c>
    </row>
    <row r="7" spans="1:6" x14ac:dyDescent="0.25">
      <c r="A7" s="3">
        <v>5</v>
      </c>
      <c r="B7" s="67">
        <v>46020</v>
      </c>
      <c r="C7" s="310"/>
      <c r="D7" s="338"/>
      <c r="E7" s="335"/>
      <c r="F7" s="3" t="s">
        <v>146</v>
      </c>
    </row>
    <row r="8" spans="1:6" ht="15.75" thickBot="1" x14ac:dyDescent="0.3">
      <c r="A8" s="339" t="s">
        <v>41</v>
      </c>
      <c r="B8" s="340"/>
      <c r="C8" s="340"/>
      <c r="D8" s="340"/>
      <c r="E8" s="17">
        <f>225+20+60+75</f>
        <v>380</v>
      </c>
      <c r="F8" s="1"/>
    </row>
    <row r="9" spans="1:6" ht="15.75" thickBot="1" x14ac:dyDescent="0.3">
      <c r="A9" s="292" t="s">
        <v>39</v>
      </c>
      <c r="B9" s="293"/>
      <c r="C9" s="23"/>
      <c r="F9" s="14" t="s">
        <v>40</v>
      </c>
    </row>
    <row r="10" spans="1:6" ht="21.75" thickBot="1" x14ac:dyDescent="0.4">
      <c r="A10" s="326" t="s">
        <v>138</v>
      </c>
      <c r="B10" s="327"/>
      <c r="C10" s="327"/>
      <c r="D10" s="327"/>
      <c r="E10" s="327"/>
      <c r="F10" s="328"/>
    </row>
    <row r="11" spans="1:6" ht="19.5" thickBot="1" x14ac:dyDescent="0.35">
      <c r="A11" s="10" t="s">
        <v>0</v>
      </c>
      <c r="B11" s="11" t="s">
        <v>3</v>
      </c>
      <c r="C11" s="11" t="s">
        <v>24</v>
      </c>
      <c r="D11" s="11" t="s">
        <v>1</v>
      </c>
      <c r="E11" s="11" t="s">
        <v>23</v>
      </c>
      <c r="F11" s="12" t="s">
        <v>27</v>
      </c>
    </row>
    <row r="12" spans="1:6" x14ac:dyDescent="0.25">
      <c r="A12" s="3">
        <v>1</v>
      </c>
      <c r="B12" s="67">
        <v>46020</v>
      </c>
      <c r="C12" s="329" t="s">
        <v>471</v>
      </c>
      <c r="D12" s="336" t="s">
        <v>473</v>
      </c>
      <c r="E12" s="333" t="s">
        <v>474</v>
      </c>
      <c r="F12" s="3" t="s">
        <v>146</v>
      </c>
    </row>
    <row r="13" spans="1:6" x14ac:dyDescent="0.25">
      <c r="A13" s="3">
        <v>2</v>
      </c>
      <c r="B13" s="67">
        <v>46020</v>
      </c>
      <c r="C13" s="309"/>
      <c r="D13" s="337"/>
      <c r="E13" s="334"/>
      <c r="F13" s="3" t="s">
        <v>146</v>
      </c>
    </row>
    <row r="14" spans="1:6" x14ac:dyDescent="0.25">
      <c r="A14" s="3">
        <v>3</v>
      </c>
      <c r="B14" s="67">
        <v>46020</v>
      </c>
      <c r="C14" s="309"/>
      <c r="D14" s="337"/>
      <c r="E14" s="334"/>
      <c r="F14" s="3" t="s">
        <v>146</v>
      </c>
    </row>
    <row r="15" spans="1:6" x14ac:dyDescent="0.25">
      <c r="A15" s="3">
        <v>4</v>
      </c>
      <c r="B15" s="67">
        <v>46020</v>
      </c>
      <c r="C15" s="309"/>
      <c r="D15" s="337"/>
      <c r="E15" s="334"/>
      <c r="F15" s="3" t="s">
        <v>146</v>
      </c>
    </row>
    <row r="16" spans="1:6" x14ac:dyDescent="0.25">
      <c r="A16" s="3">
        <v>5</v>
      </c>
      <c r="B16" s="67">
        <v>46020</v>
      </c>
      <c r="C16" s="310"/>
      <c r="D16" s="338"/>
      <c r="E16" s="335"/>
      <c r="F16" s="3" t="s">
        <v>146</v>
      </c>
    </row>
    <row r="17" spans="1:8" ht="15.75" thickBot="1" x14ac:dyDescent="0.3">
      <c r="A17" s="339" t="s">
        <v>41</v>
      </c>
      <c r="B17" s="340"/>
      <c r="C17" s="340"/>
      <c r="D17" s="340"/>
      <c r="E17" s="17">
        <f>225+20+60+75</f>
        <v>380</v>
      </c>
      <c r="F17" s="1"/>
    </row>
    <row r="18" spans="1:8" ht="15.75" thickBot="1" x14ac:dyDescent="0.3">
      <c r="A18" s="292" t="s">
        <v>39</v>
      </c>
      <c r="B18" s="293"/>
      <c r="C18" s="23"/>
      <c r="F18" s="14" t="s">
        <v>40</v>
      </c>
    </row>
    <row r="19" spans="1:8" ht="21.75" thickBot="1" x14ac:dyDescent="0.4">
      <c r="A19" s="326" t="s">
        <v>138</v>
      </c>
      <c r="B19" s="327"/>
      <c r="C19" s="327"/>
      <c r="D19" s="327"/>
      <c r="E19" s="327"/>
      <c r="F19" s="328"/>
    </row>
    <row r="20" spans="1:8" ht="19.5" thickBot="1" x14ac:dyDescent="0.35">
      <c r="A20" s="10" t="s">
        <v>0</v>
      </c>
      <c r="B20" s="11" t="s">
        <v>3</v>
      </c>
      <c r="C20" s="11" t="s">
        <v>24</v>
      </c>
      <c r="D20" s="11" t="s">
        <v>1</v>
      </c>
      <c r="E20" s="11" t="s">
        <v>23</v>
      </c>
      <c r="F20" s="12" t="s">
        <v>27</v>
      </c>
    </row>
    <row r="21" spans="1:8" x14ac:dyDescent="0.25">
      <c r="A21" s="3">
        <v>1</v>
      </c>
      <c r="B21" s="67">
        <v>46020</v>
      </c>
      <c r="C21" s="329" t="s">
        <v>470</v>
      </c>
      <c r="D21" s="336" t="s">
        <v>473</v>
      </c>
      <c r="E21" s="333" t="s">
        <v>474</v>
      </c>
      <c r="F21" s="3" t="s">
        <v>146</v>
      </c>
    </row>
    <row r="22" spans="1:8" x14ac:dyDescent="0.25">
      <c r="A22" s="3">
        <v>2</v>
      </c>
      <c r="B22" s="67">
        <v>46020</v>
      </c>
      <c r="C22" s="309"/>
      <c r="D22" s="337"/>
      <c r="E22" s="334"/>
      <c r="F22" s="3" t="s">
        <v>146</v>
      </c>
      <c r="H22" s="53"/>
    </row>
    <row r="23" spans="1:8" x14ac:dyDescent="0.25">
      <c r="A23" s="3">
        <v>3</v>
      </c>
      <c r="B23" s="67">
        <v>46020</v>
      </c>
      <c r="C23" s="309"/>
      <c r="D23" s="337"/>
      <c r="E23" s="334"/>
      <c r="F23" s="3" t="s">
        <v>146</v>
      </c>
    </row>
    <row r="24" spans="1:8" x14ac:dyDescent="0.25">
      <c r="A24" s="3">
        <v>4</v>
      </c>
      <c r="B24" s="67">
        <v>46020</v>
      </c>
      <c r="C24" s="309"/>
      <c r="D24" s="337"/>
      <c r="E24" s="334"/>
      <c r="F24" s="3" t="s">
        <v>146</v>
      </c>
    </row>
    <row r="25" spans="1:8" x14ac:dyDescent="0.25">
      <c r="A25" s="3">
        <v>5</v>
      </c>
      <c r="B25" s="67">
        <v>46020</v>
      </c>
      <c r="C25" s="310"/>
      <c r="D25" s="338"/>
      <c r="E25" s="335"/>
      <c r="F25" s="3" t="s">
        <v>146</v>
      </c>
    </row>
    <row r="26" spans="1:8" ht="15.75" thickBot="1" x14ac:dyDescent="0.3">
      <c r="A26" s="339" t="s">
        <v>41</v>
      </c>
      <c r="B26" s="340"/>
      <c r="C26" s="340"/>
      <c r="D26" s="340"/>
      <c r="E26" s="17">
        <f>225+20+60+75</f>
        <v>380</v>
      </c>
      <c r="F26" s="1"/>
    </row>
    <row r="27" spans="1:8" ht="15.75" thickBot="1" x14ac:dyDescent="0.3">
      <c r="A27" s="292" t="s">
        <v>39</v>
      </c>
      <c r="B27" s="293"/>
      <c r="C27" s="23"/>
      <c r="F27" s="14" t="s">
        <v>40</v>
      </c>
    </row>
    <row r="28" spans="1:8" ht="21.75" thickBot="1" x14ac:dyDescent="0.4">
      <c r="A28" s="326" t="s">
        <v>138</v>
      </c>
      <c r="B28" s="327"/>
      <c r="C28" s="327"/>
      <c r="D28" s="327"/>
      <c r="E28" s="327"/>
      <c r="F28" s="328"/>
    </row>
    <row r="29" spans="1:8" ht="19.5" thickBot="1" x14ac:dyDescent="0.35">
      <c r="A29" s="10" t="s">
        <v>0</v>
      </c>
      <c r="B29" s="11" t="s">
        <v>3</v>
      </c>
      <c r="C29" s="11" t="s">
        <v>24</v>
      </c>
      <c r="D29" s="11" t="s">
        <v>1</v>
      </c>
      <c r="E29" s="11" t="s">
        <v>23</v>
      </c>
      <c r="F29" s="12" t="s">
        <v>27</v>
      </c>
    </row>
    <row r="30" spans="1:8" x14ac:dyDescent="0.25">
      <c r="A30" s="3">
        <v>1</v>
      </c>
      <c r="B30" s="67">
        <v>46020</v>
      </c>
      <c r="C30" s="329" t="s">
        <v>472</v>
      </c>
      <c r="D30" s="336" t="s">
        <v>475</v>
      </c>
      <c r="E30" s="333" t="s">
        <v>476</v>
      </c>
      <c r="F30" s="3" t="s">
        <v>146</v>
      </c>
    </row>
    <row r="31" spans="1:8" x14ac:dyDescent="0.25">
      <c r="A31" s="3">
        <v>2</v>
      </c>
      <c r="B31" s="67">
        <v>46020</v>
      </c>
      <c r="C31" s="309"/>
      <c r="D31" s="337"/>
      <c r="E31" s="334"/>
      <c r="F31" s="3" t="s">
        <v>146</v>
      </c>
    </row>
    <row r="32" spans="1:8" x14ac:dyDescent="0.25">
      <c r="A32" s="3">
        <v>3</v>
      </c>
      <c r="B32" s="67">
        <v>46020</v>
      </c>
      <c r="C32" s="309"/>
      <c r="D32" s="337"/>
      <c r="E32" s="334"/>
      <c r="F32" s="3" t="s">
        <v>146</v>
      </c>
    </row>
    <row r="33" spans="1:6" x14ac:dyDescent="0.25">
      <c r="A33" s="3">
        <v>4</v>
      </c>
      <c r="B33" s="67">
        <v>46020</v>
      </c>
      <c r="C33" s="309"/>
      <c r="D33" s="337"/>
      <c r="E33" s="334"/>
      <c r="F33" s="3" t="s">
        <v>146</v>
      </c>
    </row>
    <row r="34" spans="1:6" x14ac:dyDescent="0.25">
      <c r="A34" s="3">
        <v>5</v>
      </c>
      <c r="B34" s="67">
        <v>46020</v>
      </c>
      <c r="C34" s="310"/>
      <c r="D34" s="338"/>
      <c r="E34" s="335"/>
      <c r="F34" s="3" t="s">
        <v>146</v>
      </c>
    </row>
    <row r="35" spans="1:6" ht="15.75" thickBot="1" x14ac:dyDescent="0.3">
      <c r="A35" s="339" t="s">
        <v>41</v>
      </c>
      <c r="B35" s="340"/>
      <c r="C35" s="340"/>
      <c r="D35" s="340"/>
      <c r="E35" s="17">
        <f>225+20+45+75</f>
        <v>365</v>
      </c>
      <c r="F35" s="1"/>
    </row>
    <row r="36" spans="1:6" ht="15.75" thickBot="1" x14ac:dyDescent="0.3">
      <c r="A36" s="292" t="s">
        <v>39</v>
      </c>
      <c r="B36" s="293"/>
      <c r="C36" s="23"/>
      <c r="F36" s="14" t="s">
        <v>40</v>
      </c>
    </row>
    <row r="37" spans="1:6" ht="21.75" thickBot="1" x14ac:dyDescent="0.4">
      <c r="A37" s="326" t="s">
        <v>138</v>
      </c>
      <c r="B37" s="327"/>
      <c r="C37" s="327"/>
      <c r="D37" s="327"/>
      <c r="E37" s="327"/>
      <c r="F37" s="328"/>
    </row>
    <row r="38" spans="1:6" ht="19.5" thickBot="1" x14ac:dyDescent="0.35">
      <c r="A38" s="10" t="s">
        <v>0</v>
      </c>
      <c r="B38" s="11" t="s">
        <v>3</v>
      </c>
      <c r="C38" s="11" t="s">
        <v>24</v>
      </c>
      <c r="D38" s="11" t="s">
        <v>1</v>
      </c>
      <c r="E38" s="11" t="s">
        <v>23</v>
      </c>
      <c r="F38" s="12" t="s">
        <v>27</v>
      </c>
    </row>
    <row r="39" spans="1:6" x14ac:dyDescent="0.25">
      <c r="A39" s="3">
        <v>1</v>
      </c>
      <c r="B39" s="67">
        <v>46021</v>
      </c>
      <c r="C39" s="329" t="s">
        <v>467</v>
      </c>
      <c r="D39" s="336" t="s">
        <v>468</v>
      </c>
      <c r="E39" s="333" t="s">
        <v>469</v>
      </c>
      <c r="F39" s="3" t="s">
        <v>146</v>
      </c>
    </row>
    <row r="40" spans="1:6" x14ac:dyDescent="0.25">
      <c r="A40" s="3">
        <v>2</v>
      </c>
      <c r="B40" s="67">
        <v>46021</v>
      </c>
      <c r="C40" s="309"/>
      <c r="D40" s="337"/>
      <c r="E40" s="334"/>
      <c r="F40" s="3" t="s">
        <v>146</v>
      </c>
    </row>
    <row r="41" spans="1:6" x14ac:dyDescent="0.25">
      <c r="A41" s="3">
        <v>3</v>
      </c>
      <c r="B41" s="67">
        <v>46021</v>
      </c>
      <c r="C41" s="309"/>
      <c r="D41" s="337"/>
      <c r="E41" s="334"/>
      <c r="F41" s="3" t="s">
        <v>146</v>
      </c>
    </row>
    <row r="42" spans="1:6" x14ac:dyDescent="0.25">
      <c r="A42" s="3">
        <v>4</v>
      </c>
      <c r="B42" s="67">
        <v>46021</v>
      </c>
      <c r="C42" s="309"/>
      <c r="D42" s="337"/>
      <c r="E42" s="334"/>
      <c r="F42" s="3" t="s">
        <v>146</v>
      </c>
    </row>
    <row r="43" spans="1:6" x14ac:dyDescent="0.25">
      <c r="A43" s="3">
        <v>5</v>
      </c>
      <c r="B43" s="67">
        <v>46021</v>
      </c>
      <c r="C43" s="310"/>
      <c r="D43" s="338"/>
      <c r="E43" s="335"/>
      <c r="F43" s="3" t="s">
        <v>146</v>
      </c>
    </row>
    <row r="44" spans="1:6" ht="15.75" thickBot="1" x14ac:dyDescent="0.3">
      <c r="A44" s="339" t="s">
        <v>41</v>
      </c>
      <c r="B44" s="340"/>
      <c r="C44" s="340"/>
      <c r="D44" s="340"/>
      <c r="E44" s="17">
        <f>100+50+250</f>
        <v>400</v>
      </c>
      <c r="F44" s="1"/>
    </row>
    <row r="45" spans="1:6" ht="15.75" thickBot="1" x14ac:dyDescent="0.3">
      <c r="A45" s="292" t="s">
        <v>39</v>
      </c>
      <c r="B45" s="293"/>
      <c r="C45" s="23"/>
      <c r="F45" s="14" t="s">
        <v>40</v>
      </c>
    </row>
    <row r="46" spans="1:6" ht="21.75" thickBot="1" x14ac:dyDescent="0.4">
      <c r="A46" s="326" t="s">
        <v>138</v>
      </c>
      <c r="B46" s="327"/>
      <c r="C46" s="327"/>
      <c r="D46" s="327"/>
      <c r="E46" s="327"/>
      <c r="F46" s="328"/>
    </row>
    <row r="47" spans="1:6" ht="19.5" thickBot="1" x14ac:dyDescent="0.35">
      <c r="A47" s="10" t="s">
        <v>0</v>
      </c>
      <c r="B47" s="11" t="s">
        <v>3</v>
      </c>
      <c r="C47" s="11" t="s">
        <v>24</v>
      </c>
      <c r="D47" s="11" t="s">
        <v>1</v>
      </c>
      <c r="E47" s="11" t="s">
        <v>23</v>
      </c>
      <c r="F47" s="12" t="s">
        <v>27</v>
      </c>
    </row>
    <row r="48" spans="1:6" x14ac:dyDescent="0.25">
      <c r="A48" s="3">
        <v>1</v>
      </c>
      <c r="B48" s="67">
        <v>46021</v>
      </c>
      <c r="C48" s="329" t="s">
        <v>471</v>
      </c>
      <c r="D48" s="336" t="s">
        <v>468</v>
      </c>
      <c r="E48" s="333" t="s">
        <v>469</v>
      </c>
      <c r="F48" s="3" t="s">
        <v>146</v>
      </c>
    </row>
    <row r="49" spans="1:6" x14ac:dyDescent="0.25">
      <c r="A49" s="3">
        <v>2</v>
      </c>
      <c r="B49" s="67">
        <v>46021</v>
      </c>
      <c r="C49" s="309"/>
      <c r="D49" s="337"/>
      <c r="E49" s="334"/>
      <c r="F49" s="3" t="s">
        <v>146</v>
      </c>
    </row>
    <row r="50" spans="1:6" x14ac:dyDescent="0.25">
      <c r="A50" s="3">
        <v>3</v>
      </c>
      <c r="B50" s="67">
        <v>46021</v>
      </c>
      <c r="C50" s="309"/>
      <c r="D50" s="337"/>
      <c r="E50" s="334"/>
      <c r="F50" s="3" t="s">
        <v>146</v>
      </c>
    </row>
    <row r="51" spans="1:6" x14ac:dyDescent="0.25">
      <c r="A51" s="3">
        <v>4</v>
      </c>
      <c r="B51" s="67">
        <v>46021</v>
      </c>
      <c r="C51" s="309"/>
      <c r="D51" s="337"/>
      <c r="E51" s="334"/>
      <c r="F51" s="3" t="s">
        <v>146</v>
      </c>
    </row>
    <row r="52" spans="1:6" x14ac:dyDescent="0.25">
      <c r="A52" s="3">
        <v>5</v>
      </c>
      <c r="B52" s="67">
        <v>46021</v>
      </c>
      <c r="C52" s="310"/>
      <c r="D52" s="338"/>
      <c r="E52" s="335"/>
      <c r="F52" s="3" t="s">
        <v>146</v>
      </c>
    </row>
    <row r="53" spans="1:6" ht="15.75" thickBot="1" x14ac:dyDescent="0.3">
      <c r="A53" s="339" t="s">
        <v>41</v>
      </c>
      <c r="B53" s="340"/>
      <c r="C53" s="340"/>
      <c r="D53" s="340"/>
      <c r="E53" s="17">
        <f>100+50+250</f>
        <v>400</v>
      </c>
      <c r="F53" s="1"/>
    </row>
    <row r="54" spans="1:6" ht="15.75" thickBot="1" x14ac:dyDescent="0.3">
      <c r="A54" s="292" t="s">
        <v>39</v>
      </c>
      <c r="B54" s="293"/>
      <c r="C54" s="23"/>
      <c r="F54" s="14" t="s">
        <v>40</v>
      </c>
    </row>
    <row r="55" spans="1:6" ht="21.75" thickBot="1" x14ac:dyDescent="0.4">
      <c r="A55" s="326" t="s">
        <v>138</v>
      </c>
      <c r="B55" s="327"/>
      <c r="C55" s="327"/>
      <c r="D55" s="327"/>
      <c r="E55" s="327"/>
      <c r="F55" s="328"/>
    </row>
    <row r="56" spans="1:6" ht="19.5" thickBot="1" x14ac:dyDescent="0.35">
      <c r="A56" s="10" t="s">
        <v>0</v>
      </c>
      <c r="B56" s="11" t="s">
        <v>3</v>
      </c>
      <c r="C56" s="11" t="s">
        <v>24</v>
      </c>
      <c r="D56" s="11" t="s">
        <v>1</v>
      </c>
      <c r="E56" s="11" t="s">
        <v>23</v>
      </c>
      <c r="F56" s="12" t="s">
        <v>27</v>
      </c>
    </row>
    <row r="57" spans="1:6" x14ac:dyDescent="0.25">
      <c r="A57" s="3">
        <v>1</v>
      </c>
      <c r="B57" s="67">
        <v>46021</v>
      </c>
      <c r="C57" s="329" t="s">
        <v>470</v>
      </c>
      <c r="D57" s="336" t="s">
        <v>468</v>
      </c>
      <c r="E57" s="333" t="s">
        <v>469</v>
      </c>
      <c r="F57" s="3" t="s">
        <v>146</v>
      </c>
    </row>
    <row r="58" spans="1:6" x14ac:dyDescent="0.25">
      <c r="A58" s="3">
        <v>2</v>
      </c>
      <c r="B58" s="67">
        <v>46021</v>
      </c>
      <c r="C58" s="309"/>
      <c r="D58" s="337"/>
      <c r="E58" s="334"/>
      <c r="F58" s="3" t="s">
        <v>146</v>
      </c>
    </row>
    <row r="59" spans="1:6" x14ac:dyDescent="0.25">
      <c r="A59" s="3">
        <v>3</v>
      </c>
      <c r="B59" s="67">
        <v>46021</v>
      </c>
      <c r="C59" s="309"/>
      <c r="D59" s="337"/>
      <c r="E59" s="334"/>
      <c r="F59" s="3" t="s">
        <v>146</v>
      </c>
    </row>
    <row r="60" spans="1:6" x14ac:dyDescent="0.25">
      <c r="A60" s="3">
        <v>4</v>
      </c>
      <c r="B60" s="67">
        <v>46021</v>
      </c>
      <c r="C60" s="309"/>
      <c r="D60" s="337"/>
      <c r="E60" s="334"/>
      <c r="F60" s="3" t="s">
        <v>146</v>
      </c>
    </row>
    <row r="61" spans="1:6" x14ac:dyDescent="0.25">
      <c r="A61" s="3">
        <v>5</v>
      </c>
      <c r="B61" s="67">
        <v>46021</v>
      </c>
      <c r="C61" s="310"/>
      <c r="D61" s="338"/>
      <c r="E61" s="335"/>
      <c r="F61" s="3" t="s">
        <v>146</v>
      </c>
    </row>
    <row r="62" spans="1:6" ht="15.75" thickBot="1" x14ac:dyDescent="0.3">
      <c r="A62" s="339" t="s">
        <v>41</v>
      </c>
      <c r="B62" s="340"/>
      <c r="C62" s="340"/>
      <c r="D62" s="340"/>
      <c r="E62" s="17">
        <f>100+50+250</f>
        <v>400</v>
      </c>
      <c r="F62" s="1"/>
    </row>
    <row r="63" spans="1:6" ht="15.75" thickBot="1" x14ac:dyDescent="0.3">
      <c r="A63" s="292" t="s">
        <v>39</v>
      </c>
      <c r="B63" s="293"/>
      <c r="C63" s="23"/>
      <c r="F63" s="14" t="s">
        <v>40</v>
      </c>
    </row>
    <row r="64" spans="1:6" ht="21.75" thickBot="1" x14ac:dyDescent="0.4">
      <c r="A64" s="326" t="s">
        <v>138</v>
      </c>
      <c r="B64" s="327"/>
      <c r="C64" s="327"/>
      <c r="D64" s="327"/>
      <c r="E64" s="327"/>
      <c r="F64" s="328"/>
    </row>
    <row r="65" spans="1:6" ht="19.5" thickBot="1" x14ac:dyDescent="0.35">
      <c r="A65" s="10" t="s">
        <v>0</v>
      </c>
      <c r="B65" s="11" t="s">
        <v>3</v>
      </c>
      <c r="C65" s="11" t="s">
        <v>24</v>
      </c>
      <c r="D65" s="11" t="s">
        <v>1</v>
      </c>
      <c r="E65" s="11" t="s">
        <v>23</v>
      </c>
      <c r="F65" s="12" t="s">
        <v>27</v>
      </c>
    </row>
    <row r="66" spans="1:6" x14ac:dyDescent="0.25">
      <c r="A66" s="3">
        <v>1</v>
      </c>
      <c r="B66" s="67">
        <v>46021</v>
      </c>
      <c r="C66" s="329" t="s">
        <v>472</v>
      </c>
      <c r="D66" s="336" t="s">
        <v>468</v>
      </c>
      <c r="E66" s="333" t="s">
        <v>469</v>
      </c>
      <c r="F66" s="3" t="s">
        <v>146</v>
      </c>
    </row>
    <row r="67" spans="1:6" x14ac:dyDescent="0.25">
      <c r="A67" s="3">
        <v>2</v>
      </c>
      <c r="B67" s="67">
        <v>46021</v>
      </c>
      <c r="C67" s="309"/>
      <c r="D67" s="337"/>
      <c r="E67" s="334"/>
      <c r="F67" s="3" t="s">
        <v>146</v>
      </c>
    </row>
    <row r="68" spans="1:6" x14ac:dyDescent="0.25">
      <c r="A68" s="3">
        <v>3</v>
      </c>
      <c r="B68" s="67">
        <v>46021</v>
      </c>
      <c r="C68" s="309"/>
      <c r="D68" s="337"/>
      <c r="E68" s="334"/>
      <c r="F68" s="3" t="s">
        <v>146</v>
      </c>
    </row>
    <row r="69" spans="1:6" x14ac:dyDescent="0.25">
      <c r="A69" s="3">
        <v>4</v>
      </c>
      <c r="B69" s="67">
        <v>46021</v>
      </c>
      <c r="C69" s="309"/>
      <c r="D69" s="337"/>
      <c r="E69" s="334"/>
      <c r="F69" s="3" t="s">
        <v>146</v>
      </c>
    </row>
    <row r="70" spans="1:6" x14ac:dyDescent="0.25">
      <c r="A70" s="3">
        <v>5</v>
      </c>
      <c r="B70" s="67">
        <v>46021</v>
      </c>
      <c r="C70" s="310"/>
      <c r="D70" s="338"/>
      <c r="E70" s="335"/>
      <c r="F70" s="3" t="s">
        <v>146</v>
      </c>
    </row>
    <row r="71" spans="1:6" ht="15.75" thickBot="1" x14ac:dyDescent="0.3">
      <c r="A71" s="339" t="s">
        <v>41</v>
      </c>
      <c r="B71" s="340"/>
      <c r="C71" s="340"/>
      <c r="D71" s="340"/>
      <c r="E71" s="17">
        <f>100+50+250</f>
        <v>400</v>
      </c>
      <c r="F71" s="1"/>
    </row>
    <row r="72" spans="1:6" ht="15.75" thickBot="1" x14ac:dyDescent="0.3">
      <c r="A72" s="292" t="s">
        <v>39</v>
      </c>
      <c r="B72" s="293"/>
      <c r="C72" s="23"/>
      <c r="F72" s="14" t="s">
        <v>40</v>
      </c>
    </row>
    <row r="73" spans="1:6" ht="21.75" thickBot="1" x14ac:dyDescent="0.4">
      <c r="A73" s="326" t="s">
        <v>138</v>
      </c>
      <c r="B73" s="327"/>
      <c r="C73" s="327"/>
      <c r="D73" s="327"/>
      <c r="E73" s="327"/>
      <c r="F73" s="328"/>
    </row>
    <row r="74" spans="1:6" ht="19.5" thickBot="1" x14ac:dyDescent="0.35">
      <c r="A74" s="10" t="s">
        <v>0</v>
      </c>
      <c r="B74" s="11" t="s">
        <v>3</v>
      </c>
      <c r="C74" s="11" t="s">
        <v>24</v>
      </c>
      <c r="D74" s="11" t="s">
        <v>1</v>
      </c>
      <c r="E74" s="11" t="s">
        <v>23</v>
      </c>
      <c r="F74" s="12" t="s">
        <v>27</v>
      </c>
    </row>
    <row r="75" spans="1:6" x14ac:dyDescent="0.25">
      <c r="A75" s="3">
        <v>1</v>
      </c>
      <c r="B75" s="67">
        <v>46022</v>
      </c>
      <c r="C75" s="329" t="s">
        <v>467</v>
      </c>
      <c r="D75" s="336" t="s">
        <v>477</v>
      </c>
      <c r="E75" s="333" t="s">
        <v>478</v>
      </c>
      <c r="F75" s="3" t="s">
        <v>146</v>
      </c>
    </row>
    <row r="76" spans="1:6" x14ac:dyDescent="0.25">
      <c r="A76" s="3">
        <v>2</v>
      </c>
      <c r="B76" s="67">
        <v>46022</v>
      </c>
      <c r="C76" s="309"/>
      <c r="D76" s="337"/>
      <c r="E76" s="334"/>
      <c r="F76" s="3" t="s">
        <v>146</v>
      </c>
    </row>
    <row r="77" spans="1:6" x14ac:dyDescent="0.25">
      <c r="A77" s="3">
        <v>3</v>
      </c>
      <c r="B77" s="67">
        <v>46022</v>
      </c>
      <c r="C77" s="309"/>
      <c r="D77" s="337"/>
      <c r="E77" s="334"/>
      <c r="F77" s="3" t="s">
        <v>146</v>
      </c>
    </row>
    <row r="78" spans="1:6" x14ac:dyDescent="0.25">
      <c r="A78" s="3">
        <v>4</v>
      </c>
      <c r="B78" s="67">
        <v>46022</v>
      </c>
      <c r="C78" s="309"/>
      <c r="D78" s="337"/>
      <c r="E78" s="334"/>
      <c r="F78" s="3" t="s">
        <v>146</v>
      </c>
    </row>
    <row r="79" spans="1:6" x14ac:dyDescent="0.25">
      <c r="A79" s="3">
        <v>5</v>
      </c>
      <c r="B79" s="67">
        <v>46022</v>
      </c>
      <c r="C79" s="310"/>
      <c r="D79" s="338"/>
      <c r="E79" s="335"/>
      <c r="F79" s="3" t="s">
        <v>146</v>
      </c>
    </row>
    <row r="80" spans="1:6" ht="15.75" thickBot="1" x14ac:dyDescent="0.3">
      <c r="A80" s="339" t="s">
        <v>41</v>
      </c>
      <c r="B80" s="340"/>
      <c r="C80" s="340"/>
      <c r="D80" s="340"/>
      <c r="E80" s="17">
        <f>50+60+75</f>
        <v>185</v>
      </c>
      <c r="F80" s="1"/>
    </row>
    <row r="81" spans="1:6" ht="15.75" thickBot="1" x14ac:dyDescent="0.3">
      <c r="A81" s="292" t="s">
        <v>39</v>
      </c>
      <c r="B81" s="293"/>
      <c r="C81" s="23"/>
      <c r="F81" s="14" t="s">
        <v>40</v>
      </c>
    </row>
    <row r="82" spans="1:6" ht="21.75" thickBot="1" x14ac:dyDescent="0.4">
      <c r="A82" s="326" t="s">
        <v>138</v>
      </c>
      <c r="B82" s="327"/>
      <c r="C82" s="327"/>
      <c r="D82" s="327"/>
      <c r="E82" s="327"/>
      <c r="F82" s="328"/>
    </row>
    <row r="83" spans="1:6" ht="19.5" thickBot="1" x14ac:dyDescent="0.35">
      <c r="A83" s="10" t="s">
        <v>0</v>
      </c>
      <c r="B83" s="11" t="s">
        <v>3</v>
      </c>
      <c r="C83" s="11" t="s">
        <v>24</v>
      </c>
      <c r="D83" s="11" t="s">
        <v>1</v>
      </c>
      <c r="E83" s="11" t="s">
        <v>23</v>
      </c>
      <c r="F83" s="12" t="s">
        <v>27</v>
      </c>
    </row>
    <row r="84" spans="1:6" x14ac:dyDescent="0.25">
      <c r="A84" s="3">
        <v>1</v>
      </c>
      <c r="B84" s="67">
        <v>46022</v>
      </c>
      <c r="C84" s="329" t="s">
        <v>471</v>
      </c>
      <c r="D84" s="336" t="s">
        <v>477</v>
      </c>
      <c r="E84" s="333" t="s">
        <v>478</v>
      </c>
      <c r="F84" s="3" t="s">
        <v>146</v>
      </c>
    </row>
    <row r="85" spans="1:6" x14ac:dyDescent="0.25">
      <c r="A85" s="3">
        <v>2</v>
      </c>
      <c r="B85" s="67">
        <v>46022</v>
      </c>
      <c r="C85" s="309"/>
      <c r="D85" s="337"/>
      <c r="E85" s="334"/>
      <c r="F85" s="3" t="s">
        <v>146</v>
      </c>
    </row>
    <row r="86" spans="1:6" x14ac:dyDescent="0.25">
      <c r="A86" s="3">
        <v>3</v>
      </c>
      <c r="B86" s="67">
        <v>46022</v>
      </c>
      <c r="C86" s="309"/>
      <c r="D86" s="337"/>
      <c r="E86" s="334"/>
      <c r="F86" s="3" t="s">
        <v>146</v>
      </c>
    </row>
    <row r="87" spans="1:6" x14ac:dyDescent="0.25">
      <c r="A87" s="3">
        <v>4</v>
      </c>
      <c r="B87" s="67">
        <v>46022</v>
      </c>
      <c r="C87" s="309"/>
      <c r="D87" s="337"/>
      <c r="E87" s="334"/>
      <c r="F87" s="3" t="s">
        <v>146</v>
      </c>
    </row>
    <row r="88" spans="1:6" x14ac:dyDescent="0.25">
      <c r="A88" s="3">
        <v>5</v>
      </c>
      <c r="B88" s="67">
        <v>46022</v>
      </c>
      <c r="C88" s="310"/>
      <c r="D88" s="338"/>
      <c r="E88" s="335"/>
      <c r="F88" s="3" t="s">
        <v>146</v>
      </c>
    </row>
    <row r="89" spans="1:6" ht="15.75" thickBot="1" x14ac:dyDescent="0.3">
      <c r="A89" s="339" t="s">
        <v>41</v>
      </c>
      <c r="B89" s="340"/>
      <c r="C89" s="340"/>
      <c r="D89" s="340"/>
      <c r="E89" s="17">
        <f>50+60+75</f>
        <v>185</v>
      </c>
      <c r="F89" s="1"/>
    </row>
    <row r="90" spans="1:6" ht="15.75" thickBot="1" x14ac:dyDescent="0.3">
      <c r="A90" s="292" t="s">
        <v>39</v>
      </c>
      <c r="B90" s="293"/>
      <c r="C90" s="23"/>
      <c r="F90" s="14" t="s">
        <v>40</v>
      </c>
    </row>
    <row r="91" spans="1:6" ht="21.75" thickBot="1" x14ac:dyDescent="0.4">
      <c r="A91" s="326" t="s">
        <v>138</v>
      </c>
      <c r="B91" s="327"/>
      <c r="C91" s="327"/>
      <c r="D91" s="327"/>
      <c r="E91" s="327"/>
      <c r="F91" s="328"/>
    </row>
    <row r="92" spans="1:6" ht="19.5" thickBot="1" x14ac:dyDescent="0.35">
      <c r="A92" s="10" t="s">
        <v>0</v>
      </c>
      <c r="B92" s="11" t="s">
        <v>3</v>
      </c>
      <c r="C92" s="11" t="s">
        <v>24</v>
      </c>
      <c r="D92" s="11" t="s">
        <v>1</v>
      </c>
      <c r="E92" s="11" t="s">
        <v>23</v>
      </c>
      <c r="F92" s="12" t="s">
        <v>27</v>
      </c>
    </row>
    <row r="93" spans="1:6" x14ac:dyDescent="0.25">
      <c r="A93" s="3">
        <v>1</v>
      </c>
      <c r="B93" s="67">
        <v>46022</v>
      </c>
      <c r="C93" s="329" t="s">
        <v>470</v>
      </c>
      <c r="D93" s="336" t="s">
        <v>477</v>
      </c>
      <c r="E93" s="333" t="s">
        <v>478</v>
      </c>
      <c r="F93" s="3" t="s">
        <v>146</v>
      </c>
    </row>
    <row r="94" spans="1:6" x14ac:dyDescent="0.25">
      <c r="A94" s="3">
        <v>2</v>
      </c>
      <c r="B94" s="67">
        <v>46022</v>
      </c>
      <c r="C94" s="309"/>
      <c r="D94" s="337"/>
      <c r="E94" s="334"/>
      <c r="F94" s="3" t="s">
        <v>146</v>
      </c>
    </row>
    <row r="95" spans="1:6" x14ac:dyDescent="0.25">
      <c r="A95" s="3">
        <v>3</v>
      </c>
      <c r="B95" s="67">
        <v>46022</v>
      </c>
      <c r="C95" s="309"/>
      <c r="D95" s="337"/>
      <c r="E95" s="334"/>
      <c r="F95" s="3" t="s">
        <v>146</v>
      </c>
    </row>
    <row r="96" spans="1:6" x14ac:dyDescent="0.25">
      <c r="A96" s="3">
        <v>4</v>
      </c>
      <c r="B96" s="67">
        <v>46022</v>
      </c>
      <c r="C96" s="309"/>
      <c r="D96" s="337"/>
      <c r="E96" s="334"/>
      <c r="F96" s="3" t="s">
        <v>146</v>
      </c>
    </row>
    <row r="97" spans="1:6" x14ac:dyDescent="0.25">
      <c r="A97" s="3">
        <v>5</v>
      </c>
      <c r="B97" s="67">
        <v>46022</v>
      </c>
      <c r="C97" s="310"/>
      <c r="D97" s="338"/>
      <c r="E97" s="335"/>
      <c r="F97" s="3" t="s">
        <v>146</v>
      </c>
    </row>
    <row r="98" spans="1:6" ht="15.75" thickBot="1" x14ac:dyDescent="0.3">
      <c r="A98" s="339" t="s">
        <v>41</v>
      </c>
      <c r="B98" s="340"/>
      <c r="C98" s="340"/>
      <c r="D98" s="340"/>
      <c r="E98" s="17">
        <f>50+60+75</f>
        <v>185</v>
      </c>
      <c r="F98" s="1"/>
    </row>
    <row r="99" spans="1:6" ht="15.75" thickBot="1" x14ac:dyDescent="0.3">
      <c r="A99" s="292" t="s">
        <v>39</v>
      </c>
      <c r="B99" s="293"/>
      <c r="C99" s="23"/>
      <c r="F99" s="14" t="s">
        <v>40</v>
      </c>
    </row>
    <row r="100" spans="1:6" ht="21.75" thickBot="1" x14ac:dyDescent="0.4">
      <c r="A100" s="326" t="s">
        <v>138</v>
      </c>
      <c r="B100" s="327"/>
      <c r="C100" s="327"/>
      <c r="D100" s="327"/>
      <c r="E100" s="327"/>
      <c r="F100" s="328"/>
    </row>
    <row r="101" spans="1:6" ht="19.5" thickBot="1" x14ac:dyDescent="0.35">
      <c r="A101" s="10" t="s">
        <v>0</v>
      </c>
      <c r="B101" s="11" t="s">
        <v>3</v>
      </c>
      <c r="C101" s="11" t="s">
        <v>24</v>
      </c>
      <c r="D101" s="11" t="s">
        <v>1</v>
      </c>
      <c r="E101" s="11" t="s">
        <v>23</v>
      </c>
      <c r="F101" s="12" t="s">
        <v>27</v>
      </c>
    </row>
    <row r="102" spans="1:6" x14ac:dyDescent="0.25">
      <c r="A102" s="3">
        <v>1</v>
      </c>
      <c r="B102" s="67">
        <v>46022</v>
      </c>
      <c r="C102" s="329" t="s">
        <v>472</v>
      </c>
      <c r="D102" s="336" t="s">
        <v>479</v>
      </c>
      <c r="E102" s="333" t="s">
        <v>480</v>
      </c>
      <c r="F102" s="3" t="s">
        <v>146</v>
      </c>
    </row>
    <row r="103" spans="1:6" x14ac:dyDescent="0.25">
      <c r="A103" s="3">
        <v>2</v>
      </c>
      <c r="B103" s="67">
        <v>46022</v>
      </c>
      <c r="C103" s="309"/>
      <c r="D103" s="337"/>
      <c r="E103" s="334"/>
      <c r="F103" s="3" t="s">
        <v>146</v>
      </c>
    </row>
    <row r="104" spans="1:6" x14ac:dyDescent="0.25">
      <c r="A104" s="3">
        <v>3</v>
      </c>
      <c r="B104" s="67">
        <v>46022</v>
      </c>
      <c r="C104" s="309"/>
      <c r="D104" s="337"/>
      <c r="E104" s="334"/>
      <c r="F104" s="3" t="s">
        <v>146</v>
      </c>
    </row>
    <row r="105" spans="1:6" x14ac:dyDescent="0.25">
      <c r="A105" s="3">
        <v>4</v>
      </c>
      <c r="B105" s="67">
        <v>46022</v>
      </c>
      <c r="C105" s="309"/>
      <c r="D105" s="337"/>
      <c r="E105" s="334"/>
      <c r="F105" s="3" t="s">
        <v>146</v>
      </c>
    </row>
    <row r="106" spans="1:6" x14ac:dyDescent="0.25">
      <c r="A106" s="3">
        <v>5</v>
      </c>
      <c r="B106" s="67">
        <v>46022</v>
      </c>
      <c r="C106" s="310"/>
      <c r="D106" s="338"/>
      <c r="E106" s="335"/>
      <c r="F106" s="3" t="s">
        <v>146</v>
      </c>
    </row>
    <row r="107" spans="1:6" ht="15.75" thickBot="1" x14ac:dyDescent="0.3">
      <c r="A107" s="339" t="s">
        <v>41</v>
      </c>
      <c r="B107" s="340"/>
      <c r="C107" s="340"/>
      <c r="D107" s="340"/>
      <c r="E107" s="17">
        <f>50+45+75</f>
        <v>170</v>
      </c>
      <c r="F107" s="1"/>
    </row>
    <row r="108" spans="1:6" ht="15.75" thickBot="1" x14ac:dyDescent="0.3">
      <c r="A108" s="292" t="s">
        <v>39</v>
      </c>
      <c r="B108" s="293"/>
      <c r="C108" s="23"/>
      <c r="F108" s="14" t="s">
        <v>40</v>
      </c>
    </row>
    <row r="109" spans="1:6" ht="15.75" thickBot="1" x14ac:dyDescent="0.3"/>
    <row r="110" spans="1:6" ht="21.75" thickBot="1" x14ac:dyDescent="0.4">
      <c r="A110" s="326" t="s">
        <v>138</v>
      </c>
      <c r="B110" s="327"/>
      <c r="C110" s="327"/>
      <c r="D110" s="327"/>
      <c r="E110" s="327"/>
      <c r="F110" s="328"/>
    </row>
    <row r="111" spans="1:6" ht="19.5" thickBot="1" x14ac:dyDescent="0.35">
      <c r="A111" s="10" t="s">
        <v>0</v>
      </c>
      <c r="B111" s="11" t="s">
        <v>3</v>
      </c>
      <c r="C111" s="11" t="s">
        <v>24</v>
      </c>
      <c r="D111" s="11" t="s">
        <v>1</v>
      </c>
      <c r="E111" s="11" t="s">
        <v>23</v>
      </c>
      <c r="F111" s="12" t="s">
        <v>27</v>
      </c>
    </row>
    <row r="112" spans="1:6" x14ac:dyDescent="0.25">
      <c r="A112" s="3">
        <v>1</v>
      </c>
      <c r="B112" s="67">
        <v>46024</v>
      </c>
      <c r="C112" s="329" t="s">
        <v>467</v>
      </c>
      <c r="D112" s="336" t="s">
        <v>494</v>
      </c>
      <c r="E112" s="333" t="s">
        <v>495</v>
      </c>
      <c r="F112" s="3" t="s">
        <v>146</v>
      </c>
    </row>
    <row r="113" spans="1:6" x14ac:dyDescent="0.25">
      <c r="A113" s="3">
        <v>2</v>
      </c>
      <c r="B113" s="67">
        <v>46024</v>
      </c>
      <c r="C113" s="309"/>
      <c r="D113" s="337"/>
      <c r="E113" s="334"/>
      <c r="F113" s="3" t="s">
        <v>146</v>
      </c>
    </row>
    <row r="114" spans="1:6" x14ac:dyDescent="0.25">
      <c r="A114" s="3">
        <v>3</v>
      </c>
      <c r="B114" s="67">
        <v>46024</v>
      </c>
      <c r="C114" s="309"/>
      <c r="D114" s="337"/>
      <c r="E114" s="334"/>
      <c r="F114" s="3" t="s">
        <v>146</v>
      </c>
    </row>
    <row r="115" spans="1:6" x14ac:dyDescent="0.25">
      <c r="A115" s="3">
        <v>4</v>
      </c>
      <c r="B115" s="67">
        <v>46024</v>
      </c>
      <c r="C115" s="309"/>
      <c r="D115" s="337"/>
      <c r="E115" s="334"/>
      <c r="F115" s="3" t="s">
        <v>146</v>
      </c>
    </row>
    <row r="116" spans="1:6" x14ac:dyDescent="0.25">
      <c r="A116" s="3">
        <v>5</v>
      </c>
      <c r="B116" s="67">
        <v>46024</v>
      </c>
      <c r="C116" s="310"/>
      <c r="D116" s="338"/>
      <c r="E116" s="335"/>
      <c r="F116" s="3" t="s">
        <v>146</v>
      </c>
    </row>
    <row r="117" spans="1:6" ht="15.75" thickBot="1" x14ac:dyDescent="0.3">
      <c r="A117" s="339" t="s">
        <v>41</v>
      </c>
      <c r="B117" s="340"/>
      <c r="C117" s="340"/>
      <c r="D117" s="340"/>
      <c r="E117" s="17">
        <f>320+100+50</f>
        <v>470</v>
      </c>
      <c r="F117" s="1"/>
    </row>
    <row r="118" spans="1:6" ht="15.75" thickBot="1" x14ac:dyDescent="0.3">
      <c r="A118" s="292" t="s">
        <v>39</v>
      </c>
      <c r="B118" s="293"/>
      <c r="C118" s="23"/>
      <c r="F118" s="14" t="s">
        <v>40</v>
      </c>
    </row>
    <row r="119" spans="1:6" ht="15.75" thickBot="1" x14ac:dyDescent="0.3"/>
    <row r="120" spans="1:6" ht="21.75" thickBot="1" x14ac:dyDescent="0.4">
      <c r="A120" s="326" t="s">
        <v>138</v>
      </c>
      <c r="B120" s="327"/>
      <c r="C120" s="327"/>
      <c r="D120" s="327"/>
      <c r="E120" s="327"/>
      <c r="F120" s="328"/>
    </row>
    <row r="121" spans="1:6" ht="19.5" thickBot="1" x14ac:dyDescent="0.35">
      <c r="A121" s="10" t="s">
        <v>0</v>
      </c>
      <c r="B121" s="11" t="s">
        <v>3</v>
      </c>
      <c r="C121" s="11" t="s">
        <v>24</v>
      </c>
      <c r="D121" s="11" t="s">
        <v>1</v>
      </c>
      <c r="E121" s="11" t="s">
        <v>23</v>
      </c>
      <c r="F121" s="12" t="s">
        <v>27</v>
      </c>
    </row>
    <row r="122" spans="1:6" x14ac:dyDescent="0.25">
      <c r="A122" s="3">
        <v>1</v>
      </c>
      <c r="B122" s="67">
        <v>46024</v>
      </c>
      <c r="C122" s="329" t="s">
        <v>472</v>
      </c>
      <c r="D122" s="336" t="s">
        <v>494</v>
      </c>
      <c r="E122" s="333" t="s">
        <v>495</v>
      </c>
      <c r="F122" s="3" t="s">
        <v>146</v>
      </c>
    </row>
    <row r="123" spans="1:6" x14ac:dyDescent="0.25">
      <c r="A123" s="3">
        <v>2</v>
      </c>
      <c r="B123" s="67">
        <v>46024</v>
      </c>
      <c r="C123" s="309"/>
      <c r="D123" s="337"/>
      <c r="E123" s="334"/>
      <c r="F123" s="3" t="s">
        <v>146</v>
      </c>
    </row>
    <row r="124" spans="1:6" x14ac:dyDescent="0.25">
      <c r="A124" s="3">
        <v>3</v>
      </c>
      <c r="B124" s="67">
        <v>46024</v>
      </c>
      <c r="C124" s="309"/>
      <c r="D124" s="337"/>
      <c r="E124" s="334"/>
      <c r="F124" s="3" t="s">
        <v>146</v>
      </c>
    </row>
    <row r="125" spans="1:6" x14ac:dyDescent="0.25">
      <c r="A125" s="3">
        <v>4</v>
      </c>
      <c r="B125" s="67">
        <v>46024</v>
      </c>
      <c r="C125" s="309"/>
      <c r="D125" s="337"/>
      <c r="E125" s="334"/>
      <c r="F125" s="3" t="s">
        <v>146</v>
      </c>
    </row>
    <row r="126" spans="1:6" x14ac:dyDescent="0.25">
      <c r="A126" s="3">
        <v>5</v>
      </c>
      <c r="B126" s="67">
        <v>46024</v>
      </c>
      <c r="C126" s="310"/>
      <c r="D126" s="338"/>
      <c r="E126" s="335"/>
      <c r="F126" s="3" t="s">
        <v>146</v>
      </c>
    </row>
    <row r="127" spans="1:6" ht="15.75" thickBot="1" x14ac:dyDescent="0.3">
      <c r="A127" s="339" t="s">
        <v>41</v>
      </c>
      <c r="B127" s="340"/>
      <c r="C127" s="340"/>
      <c r="D127" s="340"/>
      <c r="E127" s="17">
        <f>320+100+50</f>
        <v>470</v>
      </c>
      <c r="F127" s="1"/>
    </row>
    <row r="128" spans="1:6" ht="15.75" thickBot="1" x14ac:dyDescent="0.3">
      <c r="A128" s="292" t="s">
        <v>39</v>
      </c>
      <c r="B128" s="293"/>
      <c r="C128" s="23"/>
      <c r="F128" s="14" t="s">
        <v>40</v>
      </c>
    </row>
    <row r="129" spans="1:6" ht="15.75" thickBot="1" x14ac:dyDescent="0.3"/>
    <row r="130" spans="1:6" ht="21.75" thickBot="1" x14ac:dyDescent="0.4">
      <c r="A130" s="326" t="s">
        <v>138</v>
      </c>
      <c r="B130" s="327"/>
      <c r="C130" s="327"/>
      <c r="D130" s="327"/>
      <c r="E130" s="327"/>
      <c r="F130" s="328"/>
    </row>
    <row r="131" spans="1:6" ht="19.5" thickBot="1" x14ac:dyDescent="0.35">
      <c r="A131" s="10" t="s">
        <v>0</v>
      </c>
      <c r="B131" s="11" t="s">
        <v>3</v>
      </c>
      <c r="C131" s="11" t="s">
        <v>24</v>
      </c>
      <c r="D131" s="11" t="s">
        <v>1</v>
      </c>
      <c r="E131" s="11" t="s">
        <v>23</v>
      </c>
      <c r="F131" s="12" t="s">
        <v>27</v>
      </c>
    </row>
    <row r="132" spans="1:6" x14ac:dyDescent="0.25">
      <c r="A132" s="3">
        <v>1</v>
      </c>
      <c r="B132" s="67">
        <v>46024</v>
      </c>
      <c r="C132" s="329" t="s">
        <v>470</v>
      </c>
      <c r="D132" s="336" t="s">
        <v>494</v>
      </c>
      <c r="E132" s="333" t="s">
        <v>495</v>
      </c>
      <c r="F132" s="3" t="s">
        <v>146</v>
      </c>
    </row>
    <row r="133" spans="1:6" x14ac:dyDescent="0.25">
      <c r="A133" s="3">
        <v>2</v>
      </c>
      <c r="B133" s="67">
        <v>46024</v>
      </c>
      <c r="C133" s="309"/>
      <c r="D133" s="337"/>
      <c r="E133" s="334"/>
      <c r="F133" s="3" t="s">
        <v>146</v>
      </c>
    </row>
    <row r="134" spans="1:6" x14ac:dyDescent="0.25">
      <c r="A134" s="3">
        <v>3</v>
      </c>
      <c r="B134" s="67">
        <v>46024</v>
      </c>
      <c r="C134" s="309"/>
      <c r="D134" s="337"/>
      <c r="E134" s="334"/>
      <c r="F134" s="3" t="s">
        <v>146</v>
      </c>
    </row>
    <row r="135" spans="1:6" x14ac:dyDescent="0.25">
      <c r="A135" s="3">
        <v>4</v>
      </c>
      <c r="B135" s="67">
        <v>46024</v>
      </c>
      <c r="C135" s="309"/>
      <c r="D135" s="337"/>
      <c r="E135" s="334"/>
      <c r="F135" s="3" t="s">
        <v>146</v>
      </c>
    </row>
    <row r="136" spans="1:6" x14ac:dyDescent="0.25">
      <c r="A136" s="3">
        <v>5</v>
      </c>
      <c r="B136" s="67">
        <v>46024</v>
      </c>
      <c r="C136" s="310"/>
      <c r="D136" s="338"/>
      <c r="E136" s="335"/>
      <c r="F136" s="3" t="s">
        <v>146</v>
      </c>
    </row>
    <row r="137" spans="1:6" ht="15.75" thickBot="1" x14ac:dyDescent="0.3">
      <c r="A137" s="339" t="s">
        <v>41</v>
      </c>
      <c r="B137" s="340"/>
      <c r="C137" s="340"/>
      <c r="D137" s="340"/>
      <c r="E137" s="17">
        <f>320+100+50</f>
        <v>470</v>
      </c>
      <c r="F137" s="1"/>
    </row>
    <row r="138" spans="1:6" ht="15.75" thickBot="1" x14ac:dyDescent="0.3">
      <c r="A138" s="292" t="s">
        <v>39</v>
      </c>
      <c r="B138" s="293"/>
      <c r="C138" s="23"/>
      <c r="F138" s="14" t="s">
        <v>40</v>
      </c>
    </row>
    <row r="139" spans="1:6" ht="15.75" thickBot="1" x14ac:dyDescent="0.3"/>
    <row r="140" spans="1:6" ht="21.75" thickBot="1" x14ac:dyDescent="0.4">
      <c r="A140" s="326" t="s">
        <v>138</v>
      </c>
      <c r="B140" s="327"/>
      <c r="C140" s="327"/>
      <c r="D140" s="327"/>
      <c r="E140" s="327"/>
      <c r="F140" s="328"/>
    </row>
    <row r="141" spans="1:6" ht="19.5" thickBot="1" x14ac:dyDescent="0.35">
      <c r="A141" s="10" t="s">
        <v>0</v>
      </c>
      <c r="B141" s="11" t="s">
        <v>3</v>
      </c>
      <c r="C141" s="11" t="s">
        <v>24</v>
      </c>
      <c r="D141" s="11" t="s">
        <v>1</v>
      </c>
      <c r="E141" s="11" t="s">
        <v>23</v>
      </c>
      <c r="F141" s="12" t="s">
        <v>27</v>
      </c>
    </row>
    <row r="142" spans="1:6" x14ac:dyDescent="0.25">
      <c r="A142" s="3">
        <v>1</v>
      </c>
      <c r="B142" s="67">
        <v>46024</v>
      </c>
      <c r="C142" s="329" t="s">
        <v>334</v>
      </c>
      <c r="D142" s="336" t="s">
        <v>494</v>
      </c>
      <c r="E142" s="333" t="s">
        <v>495</v>
      </c>
      <c r="F142" s="3" t="s">
        <v>146</v>
      </c>
    </row>
    <row r="143" spans="1:6" x14ac:dyDescent="0.25">
      <c r="A143" s="3">
        <v>2</v>
      </c>
      <c r="B143" s="67">
        <v>46024</v>
      </c>
      <c r="C143" s="309"/>
      <c r="D143" s="337"/>
      <c r="E143" s="334"/>
      <c r="F143" s="3" t="s">
        <v>146</v>
      </c>
    </row>
    <row r="144" spans="1:6" x14ac:dyDescent="0.25">
      <c r="A144" s="3">
        <v>3</v>
      </c>
      <c r="B144" s="67">
        <v>46024</v>
      </c>
      <c r="C144" s="309"/>
      <c r="D144" s="337"/>
      <c r="E144" s="334"/>
      <c r="F144" s="3" t="s">
        <v>146</v>
      </c>
    </row>
    <row r="145" spans="1:6" x14ac:dyDescent="0.25">
      <c r="A145" s="3">
        <v>4</v>
      </c>
      <c r="B145" s="67">
        <v>46024</v>
      </c>
      <c r="C145" s="309"/>
      <c r="D145" s="337"/>
      <c r="E145" s="334"/>
      <c r="F145" s="3" t="s">
        <v>146</v>
      </c>
    </row>
    <row r="146" spans="1:6" x14ac:dyDescent="0.25">
      <c r="A146" s="3">
        <v>5</v>
      </c>
      <c r="B146" s="67">
        <v>46024</v>
      </c>
      <c r="C146" s="310"/>
      <c r="D146" s="338"/>
      <c r="E146" s="335"/>
      <c r="F146" s="3" t="s">
        <v>146</v>
      </c>
    </row>
    <row r="147" spans="1:6" ht="15.75" thickBot="1" x14ac:dyDescent="0.3">
      <c r="A147" s="339" t="s">
        <v>41</v>
      </c>
      <c r="B147" s="340"/>
      <c r="C147" s="340"/>
      <c r="D147" s="340"/>
      <c r="E147" s="17">
        <f>320+100+50</f>
        <v>470</v>
      </c>
      <c r="F147" s="1"/>
    </row>
    <row r="148" spans="1:6" ht="15.75" thickBot="1" x14ac:dyDescent="0.3">
      <c r="A148" s="292" t="s">
        <v>39</v>
      </c>
      <c r="B148" s="293"/>
      <c r="C148" s="23"/>
      <c r="F148" s="14" t="s">
        <v>40</v>
      </c>
    </row>
    <row r="149" spans="1:6" ht="15.75" thickBot="1" x14ac:dyDescent="0.3"/>
    <row r="150" spans="1:6" ht="21.75" thickBot="1" x14ac:dyDescent="0.4">
      <c r="A150" s="326" t="s">
        <v>139</v>
      </c>
      <c r="B150" s="327"/>
      <c r="C150" s="327"/>
      <c r="D150" s="327"/>
      <c r="E150" s="327"/>
      <c r="F150" s="328"/>
    </row>
    <row r="151" spans="1:6" ht="19.5" thickBot="1" x14ac:dyDescent="0.35">
      <c r="A151" s="10" t="s">
        <v>0</v>
      </c>
      <c r="B151" s="11" t="s">
        <v>3</v>
      </c>
      <c r="C151" s="11" t="s">
        <v>24</v>
      </c>
      <c r="D151" s="11" t="s">
        <v>1</v>
      </c>
      <c r="E151" s="11" t="s">
        <v>23</v>
      </c>
      <c r="F151" s="12" t="s">
        <v>27</v>
      </c>
    </row>
    <row r="152" spans="1:6" x14ac:dyDescent="0.25">
      <c r="A152" s="3">
        <v>1</v>
      </c>
      <c r="B152" s="67">
        <v>46024</v>
      </c>
      <c r="C152" s="329" t="s">
        <v>334</v>
      </c>
      <c r="D152" s="336" t="s">
        <v>406</v>
      </c>
      <c r="E152" s="333">
        <v>120</v>
      </c>
      <c r="F152" s="3" t="s">
        <v>146</v>
      </c>
    </row>
    <row r="153" spans="1:6" x14ac:dyDescent="0.25">
      <c r="A153" s="3">
        <v>2</v>
      </c>
      <c r="B153" s="67">
        <v>46024</v>
      </c>
      <c r="C153" s="309"/>
      <c r="D153" s="337"/>
      <c r="E153" s="334"/>
      <c r="F153" s="3" t="s">
        <v>146</v>
      </c>
    </row>
    <row r="154" spans="1:6" x14ac:dyDescent="0.25">
      <c r="A154" s="3">
        <v>3</v>
      </c>
      <c r="B154" s="67">
        <v>46024</v>
      </c>
      <c r="C154" s="309"/>
      <c r="D154" s="337"/>
      <c r="E154" s="334"/>
      <c r="F154" s="3" t="s">
        <v>146</v>
      </c>
    </row>
    <row r="155" spans="1:6" x14ac:dyDescent="0.25">
      <c r="A155" s="3">
        <v>4</v>
      </c>
      <c r="B155" s="67">
        <v>46024</v>
      </c>
      <c r="C155" s="309"/>
      <c r="D155" s="337"/>
      <c r="E155" s="334"/>
      <c r="F155" s="3" t="s">
        <v>146</v>
      </c>
    </row>
    <row r="156" spans="1:6" x14ac:dyDescent="0.25">
      <c r="A156" s="3">
        <v>5</v>
      </c>
      <c r="B156" s="67">
        <v>46024</v>
      </c>
      <c r="C156" s="310"/>
      <c r="D156" s="338"/>
      <c r="E156" s="335"/>
      <c r="F156" s="3" t="s">
        <v>146</v>
      </c>
    </row>
    <row r="157" spans="1:6" ht="15.75" thickBot="1" x14ac:dyDescent="0.3">
      <c r="A157" s="339" t="s">
        <v>41</v>
      </c>
      <c r="B157" s="340"/>
      <c r="C157" s="340"/>
      <c r="D157" s="340"/>
      <c r="E157" s="17">
        <v>120</v>
      </c>
      <c r="F157" s="1"/>
    </row>
    <row r="158" spans="1:6" ht="15.75" thickBot="1" x14ac:dyDescent="0.3">
      <c r="A158" s="292" t="s">
        <v>39</v>
      </c>
      <c r="B158" s="293"/>
      <c r="C158" s="23"/>
      <c r="F158" s="14" t="s">
        <v>40</v>
      </c>
    </row>
    <row r="159" spans="1:6" ht="15.75" thickBot="1" x14ac:dyDescent="0.3"/>
    <row r="160" spans="1:6" ht="19.5" thickBot="1" x14ac:dyDescent="0.35">
      <c r="A160" s="10" t="s">
        <v>0</v>
      </c>
      <c r="B160" s="11" t="s">
        <v>3</v>
      </c>
      <c r="C160" s="11" t="s">
        <v>24</v>
      </c>
      <c r="D160" s="11" t="s">
        <v>1</v>
      </c>
      <c r="E160" s="11" t="s">
        <v>23</v>
      </c>
      <c r="F160" s="12" t="s">
        <v>27</v>
      </c>
    </row>
    <row r="161" spans="1:6" x14ac:dyDescent="0.25">
      <c r="A161" s="3">
        <v>1</v>
      </c>
      <c r="B161" s="67">
        <v>46025</v>
      </c>
      <c r="C161" s="329" t="s">
        <v>467</v>
      </c>
      <c r="D161" s="336" t="s">
        <v>513</v>
      </c>
      <c r="E161" s="333" t="s">
        <v>514</v>
      </c>
      <c r="F161" s="3" t="s">
        <v>146</v>
      </c>
    </row>
    <row r="162" spans="1:6" x14ac:dyDescent="0.25">
      <c r="A162" s="3">
        <v>2</v>
      </c>
      <c r="B162" s="67">
        <v>46025</v>
      </c>
      <c r="C162" s="309"/>
      <c r="D162" s="337"/>
      <c r="E162" s="334"/>
      <c r="F162" s="3" t="s">
        <v>146</v>
      </c>
    </row>
    <row r="163" spans="1:6" x14ac:dyDescent="0.25">
      <c r="A163" s="3">
        <v>3</v>
      </c>
      <c r="B163" s="67">
        <v>46025</v>
      </c>
      <c r="C163" s="309"/>
      <c r="D163" s="337"/>
      <c r="E163" s="334"/>
      <c r="F163" s="3" t="s">
        <v>146</v>
      </c>
    </row>
    <row r="164" spans="1:6" x14ac:dyDescent="0.25">
      <c r="A164" s="3">
        <v>4</v>
      </c>
      <c r="B164" s="67">
        <v>46025</v>
      </c>
      <c r="C164" s="309"/>
      <c r="D164" s="337"/>
      <c r="E164" s="334"/>
      <c r="F164" s="3" t="s">
        <v>146</v>
      </c>
    </row>
    <row r="165" spans="1:6" x14ac:dyDescent="0.25">
      <c r="A165" s="3">
        <v>5</v>
      </c>
      <c r="B165" s="67">
        <v>46025</v>
      </c>
      <c r="C165" s="310"/>
      <c r="D165" s="338"/>
      <c r="E165" s="335"/>
      <c r="F165" s="3" t="s">
        <v>146</v>
      </c>
    </row>
    <row r="166" spans="1:6" ht="15.75" thickBot="1" x14ac:dyDescent="0.3">
      <c r="A166" s="339" t="s">
        <v>41</v>
      </c>
      <c r="B166" s="340"/>
      <c r="C166" s="340"/>
      <c r="D166" s="340"/>
      <c r="E166" s="17">
        <f>220+60+127.5+20</f>
        <v>427.5</v>
      </c>
      <c r="F166" s="1"/>
    </row>
    <row r="167" spans="1:6" ht="15.75" thickBot="1" x14ac:dyDescent="0.3">
      <c r="A167" s="292" t="s">
        <v>39</v>
      </c>
      <c r="B167" s="293"/>
      <c r="C167" s="23"/>
      <c r="F167" s="14" t="s">
        <v>40</v>
      </c>
    </row>
    <row r="168" spans="1:6" ht="15.75" thickBot="1" x14ac:dyDescent="0.3"/>
    <row r="169" spans="1:6" ht="21.75" thickBot="1" x14ac:dyDescent="0.4">
      <c r="A169" s="326" t="s">
        <v>138</v>
      </c>
      <c r="B169" s="327"/>
      <c r="C169" s="327"/>
      <c r="D169" s="327"/>
      <c r="E169" s="327"/>
      <c r="F169" s="328"/>
    </row>
    <row r="170" spans="1:6" ht="19.5" thickBot="1" x14ac:dyDescent="0.35">
      <c r="A170" s="10" t="s">
        <v>0</v>
      </c>
      <c r="B170" s="11" t="s">
        <v>3</v>
      </c>
      <c r="C170" s="11" t="s">
        <v>24</v>
      </c>
      <c r="D170" s="11" t="s">
        <v>1</v>
      </c>
      <c r="E170" s="11" t="s">
        <v>23</v>
      </c>
      <c r="F170" s="12" t="s">
        <v>27</v>
      </c>
    </row>
    <row r="171" spans="1:6" x14ac:dyDescent="0.25">
      <c r="A171" s="3">
        <v>1</v>
      </c>
      <c r="B171" s="67">
        <v>46025</v>
      </c>
      <c r="C171" s="329" t="s">
        <v>472</v>
      </c>
      <c r="D171" s="336" t="s">
        <v>513</v>
      </c>
      <c r="E171" s="333" t="s">
        <v>514</v>
      </c>
      <c r="F171" s="3" t="s">
        <v>146</v>
      </c>
    </row>
    <row r="172" spans="1:6" x14ac:dyDescent="0.25">
      <c r="A172" s="3">
        <v>2</v>
      </c>
      <c r="B172" s="67">
        <v>46025</v>
      </c>
      <c r="C172" s="309"/>
      <c r="D172" s="337"/>
      <c r="E172" s="334"/>
      <c r="F172" s="3" t="s">
        <v>146</v>
      </c>
    </row>
    <row r="173" spans="1:6" x14ac:dyDescent="0.25">
      <c r="A173" s="3">
        <v>3</v>
      </c>
      <c r="B173" s="67">
        <v>46025</v>
      </c>
      <c r="C173" s="309"/>
      <c r="D173" s="337"/>
      <c r="E173" s="334"/>
      <c r="F173" s="3" t="s">
        <v>146</v>
      </c>
    </row>
    <row r="174" spans="1:6" x14ac:dyDescent="0.25">
      <c r="A174" s="3">
        <v>4</v>
      </c>
      <c r="B174" s="67">
        <v>46025</v>
      </c>
      <c r="C174" s="309"/>
      <c r="D174" s="337"/>
      <c r="E174" s="334"/>
      <c r="F174" s="3" t="s">
        <v>146</v>
      </c>
    </row>
    <row r="175" spans="1:6" x14ac:dyDescent="0.25">
      <c r="A175" s="3">
        <v>5</v>
      </c>
      <c r="B175" s="67">
        <v>46025</v>
      </c>
      <c r="C175" s="310"/>
      <c r="D175" s="338"/>
      <c r="E175" s="335"/>
      <c r="F175" s="3" t="s">
        <v>146</v>
      </c>
    </row>
    <row r="176" spans="1:6" ht="15.75" thickBot="1" x14ac:dyDescent="0.3">
      <c r="A176" s="339" t="s">
        <v>41</v>
      </c>
      <c r="B176" s="340"/>
      <c r="C176" s="340"/>
      <c r="D176" s="340"/>
      <c r="E176" s="17">
        <f>220+60+127.5+20</f>
        <v>427.5</v>
      </c>
      <c r="F176" s="1"/>
    </row>
    <row r="177" spans="1:6" ht="15.75" thickBot="1" x14ac:dyDescent="0.3">
      <c r="A177" s="292" t="s">
        <v>39</v>
      </c>
      <c r="B177" s="293"/>
      <c r="C177" s="23"/>
      <c r="F177" s="14" t="s">
        <v>40</v>
      </c>
    </row>
    <row r="178" spans="1:6" ht="15.75" thickBot="1" x14ac:dyDescent="0.3"/>
    <row r="179" spans="1:6" ht="21.75" thickBot="1" x14ac:dyDescent="0.4">
      <c r="A179" s="326" t="s">
        <v>138</v>
      </c>
      <c r="B179" s="327"/>
      <c r="C179" s="327"/>
      <c r="D179" s="327"/>
      <c r="E179" s="327"/>
      <c r="F179" s="328"/>
    </row>
    <row r="180" spans="1:6" ht="19.5" thickBot="1" x14ac:dyDescent="0.35">
      <c r="A180" s="10" t="s">
        <v>0</v>
      </c>
      <c r="B180" s="11" t="s">
        <v>3</v>
      </c>
      <c r="C180" s="11" t="s">
        <v>24</v>
      </c>
      <c r="D180" s="11" t="s">
        <v>1</v>
      </c>
      <c r="E180" s="11" t="s">
        <v>23</v>
      </c>
      <c r="F180" s="12" t="s">
        <v>27</v>
      </c>
    </row>
    <row r="181" spans="1:6" x14ac:dyDescent="0.25">
      <c r="A181" s="3">
        <v>1</v>
      </c>
      <c r="B181" s="67">
        <v>46025</v>
      </c>
      <c r="C181" s="329" t="s">
        <v>470</v>
      </c>
      <c r="D181" s="336" t="s">
        <v>513</v>
      </c>
      <c r="E181" s="333" t="s">
        <v>514</v>
      </c>
      <c r="F181" s="3" t="s">
        <v>146</v>
      </c>
    </row>
    <row r="182" spans="1:6" x14ac:dyDescent="0.25">
      <c r="A182" s="3">
        <v>2</v>
      </c>
      <c r="B182" s="67">
        <v>46025</v>
      </c>
      <c r="C182" s="309"/>
      <c r="D182" s="337"/>
      <c r="E182" s="334"/>
      <c r="F182" s="3" t="s">
        <v>146</v>
      </c>
    </row>
    <row r="183" spans="1:6" x14ac:dyDescent="0.25">
      <c r="A183" s="3">
        <v>3</v>
      </c>
      <c r="B183" s="67">
        <v>46025</v>
      </c>
      <c r="C183" s="309"/>
      <c r="D183" s="337"/>
      <c r="E183" s="334"/>
      <c r="F183" s="3" t="s">
        <v>146</v>
      </c>
    </row>
    <row r="184" spans="1:6" x14ac:dyDescent="0.25">
      <c r="A184" s="3">
        <v>4</v>
      </c>
      <c r="B184" s="67">
        <v>46025</v>
      </c>
      <c r="C184" s="309"/>
      <c r="D184" s="337"/>
      <c r="E184" s="334"/>
      <c r="F184" s="3" t="s">
        <v>146</v>
      </c>
    </row>
    <row r="185" spans="1:6" x14ac:dyDescent="0.25">
      <c r="A185" s="3">
        <v>5</v>
      </c>
      <c r="B185" s="67">
        <v>46025</v>
      </c>
      <c r="C185" s="310"/>
      <c r="D185" s="338"/>
      <c r="E185" s="335"/>
      <c r="F185" s="3" t="s">
        <v>146</v>
      </c>
    </row>
    <row r="186" spans="1:6" ht="15.75" thickBot="1" x14ac:dyDescent="0.3">
      <c r="A186" s="339" t="s">
        <v>41</v>
      </c>
      <c r="B186" s="340"/>
      <c r="C186" s="340"/>
      <c r="D186" s="340"/>
      <c r="E186" s="17">
        <f>220+60+127.5+20</f>
        <v>427.5</v>
      </c>
      <c r="F186" s="1"/>
    </row>
    <row r="187" spans="1:6" ht="15.75" thickBot="1" x14ac:dyDescent="0.3">
      <c r="A187" s="292" t="s">
        <v>39</v>
      </c>
      <c r="B187" s="293"/>
      <c r="C187" s="23"/>
      <c r="F187" s="14" t="s">
        <v>40</v>
      </c>
    </row>
    <row r="188" spans="1:6" ht="15.75" thickBot="1" x14ac:dyDescent="0.3"/>
    <row r="189" spans="1:6" ht="21.75" thickBot="1" x14ac:dyDescent="0.4">
      <c r="A189" s="326" t="s">
        <v>138</v>
      </c>
      <c r="B189" s="327"/>
      <c r="C189" s="327"/>
      <c r="D189" s="327"/>
      <c r="E189" s="327"/>
      <c r="F189" s="328"/>
    </row>
    <row r="190" spans="1:6" ht="19.5" thickBot="1" x14ac:dyDescent="0.35">
      <c r="A190" s="10" t="s">
        <v>0</v>
      </c>
      <c r="B190" s="11" t="s">
        <v>3</v>
      </c>
      <c r="C190" s="11" t="s">
        <v>24</v>
      </c>
      <c r="D190" s="11" t="s">
        <v>1</v>
      </c>
      <c r="E190" s="11" t="s">
        <v>23</v>
      </c>
      <c r="F190" s="12" t="s">
        <v>27</v>
      </c>
    </row>
    <row r="191" spans="1:6" x14ac:dyDescent="0.25">
      <c r="A191" s="3">
        <v>1</v>
      </c>
      <c r="B191" s="67">
        <v>46025</v>
      </c>
      <c r="C191" s="329" t="s">
        <v>334</v>
      </c>
      <c r="D191" s="336" t="s">
        <v>513</v>
      </c>
      <c r="E191" s="333" t="s">
        <v>514</v>
      </c>
      <c r="F191" s="3" t="s">
        <v>146</v>
      </c>
    </row>
    <row r="192" spans="1:6" x14ac:dyDescent="0.25">
      <c r="A192" s="3">
        <v>2</v>
      </c>
      <c r="B192" s="67">
        <v>46025</v>
      </c>
      <c r="C192" s="309"/>
      <c r="D192" s="337"/>
      <c r="E192" s="334"/>
      <c r="F192" s="3" t="s">
        <v>146</v>
      </c>
    </row>
    <row r="193" spans="1:6" x14ac:dyDescent="0.25">
      <c r="A193" s="3">
        <v>3</v>
      </c>
      <c r="B193" s="67">
        <v>46025</v>
      </c>
      <c r="C193" s="309"/>
      <c r="D193" s="337"/>
      <c r="E193" s="334"/>
      <c r="F193" s="3" t="s">
        <v>146</v>
      </c>
    </row>
    <row r="194" spans="1:6" x14ac:dyDescent="0.25">
      <c r="A194" s="3">
        <v>4</v>
      </c>
      <c r="B194" s="67">
        <v>46025</v>
      </c>
      <c r="C194" s="309"/>
      <c r="D194" s="337"/>
      <c r="E194" s="334"/>
      <c r="F194" s="3" t="s">
        <v>146</v>
      </c>
    </row>
    <row r="195" spans="1:6" x14ac:dyDescent="0.25">
      <c r="A195" s="3">
        <v>5</v>
      </c>
      <c r="B195" s="67">
        <v>46025</v>
      </c>
      <c r="C195" s="310"/>
      <c r="D195" s="338"/>
      <c r="E195" s="335"/>
      <c r="F195" s="3" t="s">
        <v>146</v>
      </c>
    </row>
    <row r="196" spans="1:6" ht="15.75" thickBot="1" x14ac:dyDescent="0.3">
      <c r="A196" s="339" t="s">
        <v>41</v>
      </c>
      <c r="B196" s="340"/>
      <c r="C196" s="340"/>
      <c r="D196" s="340"/>
      <c r="E196" s="17">
        <f>220+60+127.5+20</f>
        <v>427.5</v>
      </c>
      <c r="F196" s="1"/>
    </row>
    <row r="197" spans="1:6" ht="15.75" thickBot="1" x14ac:dyDescent="0.3">
      <c r="A197" s="292" t="s">
        <v>39</v>
      </c>
      <c r="B197" s="293"/>
      <c r="C197" s="23"/>
      <c r="F197" s="14" t="s">
        <v>40</v>
      </c>
    </row>
    <row r="198" spans="1:6" ht="15.75" thickBot="1" x14ac:dyDescent="0.3"/>
    <row r="199" spans="1:6" ht="21.75" thickBot="1" x14ac:dyDescent="0.4">
      <c r="A199" s="326" t="s">
        <v>138</v>
      </c>
      <c r="B199" s="327"/>
      <c r="C199" s="327"/>
      <c r="D199" s="327"/>
      <c r="E199" s="327"/>
      <c r="F199" s="328"/>
    </row>
    <row r="200" spans="1:6" ht="19.5" thickBot="1" x14ac:dyDescent="0.35">
      <c r="A200" s="10" t="s">
        <v>0</v>
      </c>
      <c r="B200" s="11" t="s">
        <v>3</v>
      </c>
      <c r="C200" s="11" t="s">
        <v>24</v>
      </c>
      <c r="D200" s="11" t="s">
        <v>1</v>
      </c>
      <c r="E200" s="11" t="s">
        <v>23</v>
      </c>
      <c r="F200" s="12" t="s">
        <v>27</v>
      </c>
    </row>
    <row r="201" spans="1:6" x14ac:dyDescent="0.25">
      <c r="A201" s="3">
        <v>1</v>
      </c>
      <c r="B201" s="67">
        <v>46026</v>
      </c>
      <c r="C201" s="329" t="s">
        <v>334</v>
      </c>
      <c r="D201" s="336" t="s">
        <v>557</v>
      </c>
      <c r="E201" s="333" t="s">
        <v>558</v>
      </c>
      <c r="F201" s="3" t="s">
        <v>146</v>
      </c>
    </row>
    <row r="202" spans="1:6" x14ac:dyDescent="0.25">
      <c r="A202" s="3">
        <v>2</v>
      </c>
      <c r="B202" s="67">
        <v>46026</v>
      </c>
      <c r="C202" s="309"/>
      <c r="D202" s="337"/>
      <c r="E202" s="334"/>
      <c r="F202" s="3" t="s">
        <v>146</v>
      </c>
    </row>
    <row r="203" spans="1:6" x14ac:dyDescent="0.25">
      <c r="A203" s="3">
        <v>3</v>
      </c>
      <c r="B203" s="67">
        <v>46026</v>
      </c>
      <c r="C203" s="309"/>
      <c r="D203" s="337"/>
      <c r="E203" s="334"/>
      <c r="F203" s="3" t="s">
        <v>146</v>
      </c>
    </row>
    <row r="204" spans="1:6" x14ac:dyDescent="0.25">
      <c r="A204" s="3">
        <v>4</v>
      </c>
      <c r="B204" s="67">
        <v>46026</v>
      </c>
      <c r="C204" s="309"/>
      <c r="D204" s="337"/>
      <c r="E204" s="334"/>
      <c r="F204" s="3" t="s">
        <v>146</v>
      </c>
    </row>
    <row r="205" spans="1:6" x14ac:dyDescent="0.25">
      <c r="A205" s="3">
        <v>5</v>
      </c>
      <c r="B205" s="67">
        <v>46026</v>
      </c>
      <c r="C205" s="310"/>
      <c r="D205" s="338"/>
      <c r="E205" s="335"/>
      <c r="F205" s="3" t="s">
        <v>146</v>
      </c>
    </row>
    <row r="206" spans="1:6" ht="15.75" thickBot="1" x14ac:dyDescent="0.3">
      <c r="A206" s="339" t="s">
        <v>41</v>
      </c>
      <c r="B206" s="340"/>
      <c r="C206" s="340"/>
      <c r="D206" s="340"/>
      <c r="E206" s="17">
        <f>200+60</f>
        <v>260</v>
      </c>
      <c r="F206" s="1"/>
    </row>
    <row r="207" spans="1:6" ht="15.75" thickBot="1" x14ac:dyDescent="0.3">
      <c r="A207" s="292" t="s">
        <v>39</v>
      </c>
      <c r="B207" s="293"/>
      <c r="C207" s="23"/>
      <c r="F207" s="14" t="s">
        <v>40</v>
      </c>
    </row>
    <row r="208" spans="1:6" ht="15.75" thickBot="1" x14ac:dyDescent="0.3"/>
    <row r="209" spans="1:6" ht="21.75" thickBot="1" x14ac:dyDescent="0.4">
      <c r="A209" s="326" t="s">
        <v>139</v>
      </c>
      <c r="B209" s="327"/>
      <c r="C209" s="327"/>
      <c r="D209" s="327"/>
      <c r="E209" s="327"/>
      <c r="F209" s="328"/>
    </row>
    <row r="210" spans="1:6" ht="19.5" thickBot="1" x14ac:dyDescent="0.35">
      <c r="A210" s="10" t="s">
        <v>0</v>
      </c>
      <c r="B210" s="11" t="s">
        <v>3</v>
      </c>
      <c r="C210" s="11" t="s">
        <v>24</v>
      </c>
      <c r="D210" s="11" t="s">
        <v>1</v>
      </c>
      <c r="E210" s="11" t="s">
        <v>23</v>
      </c>
      <c r="F210" s="12" t="s">
        <v>27</v>
      </c>
    </row>
    <row r="211" spans="1:6" x14ac:dyDescent="0.25">
      <c r="A211" s="3">
        <v>1</v>
      </c>
      <c r="B211" s="67">
        <v>46026</v>
      </c>
      <c r="C211" s="329" t="s">
        <v>334</v>
      </c>
      <c r="D211" s="336" t="s">
        <v>531</v>
      </c>
      <c r="E211" s="333" t="s">
        <v>532</v>
      </c>
      <c r="F211" s="3" t="s">
        <v>146</v>
      </c>
    </row>
    <row r="212" spans="1:6" x14ac:dyDescent="0.25">
      <c r="A212" s="3">
        <v>2</v>
      </c>
      <c r="B212" s="67">
        <v>46026</v>
      </c>
      <c r="C212" s="309"/>
      <c r="D212" s="337"/>
      <c r="E212" s="334"/>
      <c r="F212" s="3" t="s">
        <v>146</v>
      </c>
    </row>
    <row r="213" spans="1:6" x14ac:dyDescent="0.25">
      <c r="A213" s="3">
        <v>3</v>
      </c>
      <c r="B213" s="67">
        <v>46026</v>
      </c>
      <c r="C213" s="309"/>
      <c r="D213" s="337"/>
      <c r="E213" s="334"/>
      <c r="F213" s="3" t="s">
        <v>146</v>
      </c>
    </row>
    <row r="214" spans="1:6" x14ac:dyDescent="0.25">
      <c r="A214" s="3">
        <v>4</v>
      </c>
      <c r="B214" s="67">
        <v>46026</v>
      </c>
      <c r="C214" s="309"/>
      <c r="D214" s="337"/>
      <c r="E214" s="334"/>
      <c r="F214" s="3" t="s">
        <v>146</v>
      </c>
    </row>
    <row r="215" spans="1:6" x14ac:dyDescent="0.25">
      <c r="A215" s="3">
        <v>5</v>
      </c>
      <c r="B215" s="67">
        <v>46026</v>
      </c>
      <c r="C215" s="310"/>
      <c r="D215" s="338"/>
      <c r="E215" s="335"/>
      <c r="F215" s="3" t="s">
        <v>146</v>
      </c>
    </row>
    <row r="216" spans="1:6" ht="15.75" thickBot="1" x14ac:dyDescent="0.3">
      <c r="A216" s="339" t="s">
        <v>41</v>
      </c>
      <c r="B216" s="340"/>
      <c r="C216" s="340"/>
      <c r="D216" s="340"/>
      <c r="E216" s="17">
        <f>45+150</f>
        <v>195</v>
      </c>
      <c r="F216" s="1"/>
    </row>
    <row r="217" spans="1:6" ht="15.75" thickBot="1" x14ac:dyDescent="0.3">
      <c r="A217" s="292" t="s">
        <v>39</v>
      </c>
      <c r="B217" s="293"/>
      <c r="C217" s="23"/>
      <c r="F217" s="14" t="s">
        <v>40</v>
      </c>
    </row>
    <row r="218" spans="1:6" ht="15.75" thickBot="1" x14ac:dyDescent="0.3"/>
    <row r="219" spans="1:6" ht="19.5" thickBot="1" x14ac:dyDescent="0.35">
      <c r="A219" s="10" t="s">
        <v>0</v>
      </c>
      <c r="B219" s="11" t="s">
        <v>3</v>
      </c>
      <c r="C219" s="11" t="s">
        <v>24</v>
      </c>
      <c r="D219" s="11" t="s">
        <v>1</v>
      </c>
      <c r="E219" s="11" t="s">
        <v>23</v>
      </c>
      <c r="F219" s="12" t="s">
        <v>27</v>
      </c>
    </row>
    <row r="220" spans="1:6" x14ac:dyDescent="0.25">
      <c r="A220" s="3">
        <v>1</v>
      </c>
      <c r="B220" s="67">
        <v>46027</v>
      </c>
      <c r="C220" s="329" t="s">
        <v>467</v>
      </c>
      <c r="D220" s="336" t="s">
        <v>572</v>
      </c>
      <c r="E220" s="333" t="s">
        <v>573</v>
      </c>
      <c r="F220" s="3" t="s">
        <v>146</v>
      </c>
    </row>
    <row r="221" spans="1:6" x14ac:dyDescent="0.25">
      <c r="A221" s="3">
        <v>2</v>
      </c>
      <c r="B221" s="67">
        <v>46027</v>
      </c>
      <c r="C221" s="309"/>
      <c r="D221" s="337"/>
      <c r="E221" s="334"/>
      <c r="F221" s="3" t="s">
        <v>146</v>
      </c>
    </row>
    <row r="222" spans="1:6" x14ac:dyDescent="0.25">
      <c r="A222" s="3">
        <v>3</v>
      </c>
      <c r="B222" s="67">
        <v>46027</v>
      </c>
      <c r="C222" s="309"/>
      <c r="D222" s="337"/>
      <c r="E222" s="334"/>
      <c r="F222" s="3" t="s">
        <v>146</v>
      </c>
    </row>
    <row r="223" spans="1:6" x14ac:dyDescent="0.25">
      <c r="A223" s="3">
        <v>4</v>
      </c>
      <c r="B223" s="67">
        <v>46027</v>
      </c>
      <c r="C223" s="309"/>
      <c r="D223" s="337"/>
      <c r="E223" s="334"/>
      <c r="F223" s="3" t="s">
        <v>146</v>
      </c>
    </row>
    <row r="224" spans="1:6" x14ac:dyDescent="0.25">
      <c r="A224" s="3">
        <v>5</v>
      </c>
      <c r="B224" s="67">
        <v>46027</v>
      </c>
      <c r="C224" s="310"/>
      <c r="D224" s="338"/>
      <c r="E224" s="335"/>
      <c r="F224" s="3" t="s">
        <v>146</v>
      </c>
    </row>
    <row r="225" spans="1:6" ht="15.75" thickBot="1" x14ac:dyDescent="0.3">
      <c r="A225" s="339" t="s">
        <v>41</v>
      </c>
      <c r="B225" s="340"/>
      <c r="C225" s="340"/>
      <c r="D225" s="340"/>
      <c r="E225" s="17">
        <f>60+220+30</f>
        <v>310</v>
      </c>
      <c r="F225" s="1"/>
    </row>
    <row r="226" spans="1:6" ht="15.75" thickBot="1" x14ac:dyDescent="0.3">
      <c r="A226" s="292" t="s">
        <v>39</v>
      </c>
      <c r="B226" s="293"/>
      <c r="C226" s="23"/>
      <c r="F226" s="14" t="s">
        <v>40</v>
      </c>
    </row>
    <row r="227" spans="1:6" ht="15.75" thickBot="1" x14ac:dyDescent="0.3"/>
    <row r="228" spans="1:6" ht="19.5" thickBot="1" x14ac:dyDescent="0.35">
      <c r="A228" s="10" t="s">
        <v>0</v>
      </c>
      <c r="B228" s="11" t="s">
        <v>3</v>
      </c>
      <c r="C228" s="11" t="s">
        <v>24</v>
      </c>
      <c r="D228" s="11" t="s">
        <v>1</v>
      </c>
      <c r="E228" s="11" t="s">
        <v>23</v>
      </c>
      <c r="F228" s="12" t="s">
        <v>27</v>
      </c>
    </row>
    <row r="229" spans="1:6" x14ac:dyDescent="0.25">
      <c r="A229" s="3">
        <v>1</v>
      </c>
      <c r="B229" s="67">
        <v>46027</v>
      </c>
      <c r="C229" s="329" t="s">
        <v>472</v>
      </c>
      <c r="D229" s="336" t="s">
        <v>572</v>
      </c>
      <c r="E229" s="333" t="s">
        <v>573</v>
      </c>
      <c r="F229" s="3" t="s">
        <v>146</v>
      </c>
    </row>
    <row r="230" spans="1:6" x14ac:dyDescent="0.25">
      <c r="A230" s="3">
        <v>2</v>
      </c>
      <c r="B230" s="67">
        <v>46027</v>
      </c>
      <c r="C230" s="309"/>
      <c r="D230" s="337"/>
      <c r="E230" s="334"/>
      <c r="F230" s="3" t="s">
        <v>146</v>
      </c>
    </row>
    <row r="231" spans="1:6" x14ac:dyDescent="0.25">
      <c r="A231" s="3">
        <v>3</v>
      </c>
      <c r="B231" s="67">
        <v>46027</v>
      </c>
      <c r="C231" s="309"/>
      <c r="D231" s="337"/>
      <c r="E231" s="334"/>
      <c r="F231" s="3" t="s">
        <v>146</v>
      </c>
    </row>
    <row r="232" spans="1:6" x14ac:dyDescent="0.25">
      <c r="A232" s="3">
        <v>4</v>
      </c>
      <c r="B232" s="67">
        <v>46027</v>
      </c>
      <c r="C232" s="309"/>
      <c r="D232" s="337"/>
      <c r="E232" s="334"/>
      <c r="F232" s="3" t="s">
        <v>146</v>
      </c>
    </row>
    <row r="233" spans="1:6" x14ac:dyDescent="0.25">
      <c r="A233" s="3">
        <v>5</v>
      </c>
      <c r="B233" s="67">
        <v>46027</v>
      </c>
      <c r="C233" s="310"/>
      <c r="D233" s="338"/>
      <c r="E233" s="335"/>
      <c r="F233" s="3" t="s">
        <v>146</v>
      </c>
    </row>
    <row r="234" spans="1:6" ht="15.75" thickBot="1" x14ac:dyDescent="0.3">
      <c r="A234" s="339" t="s">
        <v>41</v>
      </c>
      <c r="B234" s="340"/>
      <c r="C234" s="340"/>
      <c r="D234" s="340"/>
      <c r="E234" s="17">
        <f>60+220+30</f>
        <v>310</v>
      </c>
      <c r="F234" s="1"/>
    </row>
    <row r="235" spans="1:6" ht="15.75" thickBot="1" x14ac:dyDescent="0.3">
      <c r="A235" s="292" t="s">
        <v>39</v>
      </c>
      <c r="B235" s="293"/>
      <c r="C235" s="23"/>
      <c r="F235" s="14" t="s">
        <v>40</v>
      </c>
    </row>
    <row r="236" spans="1:6" ht="15.75" thickBot="1" x14ac:dyDescent="0.3"/>
    <row r="237" spans="1:6" ht="19.5" thickBot="1" x14ac:dyDescent="0.35">
      <c r="A237" s="10" t="s">
        <v>0</v>
      </c>
      <c r="B237" s="11" t="s">
        <v>3</v>
      </c>
      <c r="C237" s="11" t="s">
        <v>24</v>
      </c>
      <c r="D237" s="11" t="s">
        <v>1</v>
      </c>
      <c r="E237" s="11" t="s">
        <v>23</v>
      </c>
      <c r="F237" s="12" t="s">
        <v>27</v>
      </c>
    </row>
    <row r="238" spans="1:6" x14ac:dyDescent="0.25">
      <c r="A238" s="3">
        <v>1</v>
      </c>
      <c r="B238" s="67">
        <v>46027</v>
      </c>
      <c r="C238" s="329" t="s">
        <v>470</v>
      </c>
      <c r="D238" s="336" t="s">
        <v>572</v>
      </c>
      <c r="E238" s="333" t="s">
        <v>573</v>
      </c>
      <c r="F238" s="3" t="s">
        <v>146</v>
      </c>
    </row>
    <row r="239" spans="1:6" x14ac:dyDescent="0.25">
      <c r="A239" s="3">
        <v>2</v>
      </c>
      <c r="B239" s="67">
        <v>46027</v>
      </c>
      <c r="C239" s="309"/>
      <c r="D239" s="337"/>
      <c r="E239" s="334"/>
      <c r="F239" s="3" t="s">
        <v>146</v>
      </c>
    </row>
    <row r="240" spans="1:6" x14ac:dyDescent="0.25">
      <c r="A240" s="3">
        <v>3</v>
      </c>
      <c r="B240" s="67">
        <v>46027</v>
      </c>
      <c r="C240" s="309"/>
      <c r="D240" s="337"/>
      <c r="E240" s="334"/>
      <c r="F240" s="3" t="s">
        <v>146</v>
      </c>
    </row>
    <row r="241" spans="1:6" x14ac:dyDescent="0.25">
      <c r="A241" s="3">
        <v>4</v>
      </c>
      <c r="B241" s="67">
        <v>46027</v>
      </c>
      <c r="C241" s="309"/>
      <c r="D241" s="337"/>
      <c r="E241" s="334"/>
      <c r="F241" s="3" t="s">
        <v>146</v>
      </c>
    </row>
    <row r="242" spans="1:6" x14ac:dyDescent="0.25">
      <c r="A242" s="3">
        <v>5</v>
      </c>
      <c r="B242" s="67">
        <v>46027</v>
      </c>
      <c r="C242" s="310"/>
      <c r="D242" s="338"/>
      <c r="E242" s="335"/>
      <c r="F242" s="3" t="s">
        <v>146</v>
      </c>
    </row>
    <row r="243" spans="1:6" ht="15.75" thickBot="1" x14ac:dyDescent="0.3">
      <c r="A243" s="339" t="s">
        <v>41</v>
      </c>
      <c r="B243" s="340"/>
      <c r="C243" s="340"/>
      <c r="D243" s="340"/>
      <c r="E243" s="17">
        <f>60+220+30</f>
        <v>310</v>
      </c>
      <c r="F243" s="1"/>
    </row>
    <row r="244" spans="1:6" ht="15.75" thickBot="1" x14ac:dyDescent="0.3">
      <c r="A244" s="292" t="s">
        <v>39</v>
      </c>
      <c r="B244" s="293"/>
      <c r="C244" s="23"/>
      <c r="F244" s="14" t="s">
        <v>40</v>
      </c>
    </row>
    <row r="245" spans="1:6" ht="15.75" thickBot="1" x14ac:dyDescent="0.3"/>
    <row r="246" spans="1:6" ht="19.5" thickBot="1" x14ac:dyDescent="0.35">
      <c r="A246" s="10" t="s">
        <v>0</v>
      </c>
      <c r="B246" s="11" t="s">
        <v>3</v>
      </c>
      <c r="C246" s="11" t="s">
        <v>24</v>
      </c>
      <c r="D246" s="11" t="s">
        <v>1</v>
      </c>
      <c r="E246" s="11" t="s">
        <v>23</v>
      </c>
      <c r="F246" s="12" t="s">
        <v>27</v>
      </c>
    </row>
    <row r="247" spans="1:6" x14ac:dyDescent="0.25">
      <c r="A247" s="3">
        <v>1</v>
      </c>
      <c r="B247" s="67">
        <v>46027</v>
      </c>
      <c r="C247" s="329" t="s">
        <v>334</v>
      </c>
      <c r="D247" s="336" t="s">
        <v>572</v>
      </c>
      <c r="E247" s="333" t="s">
        <v>573</v>
      </c>
      <c r="F247" s="3" t="s">
        <v>146</v>
      </c>
    </row>
    <row r="248" spans="1:6" x14ac:dyDescent="0.25">
      <c r="A248" s="3">
        <v>2</v>
      </c>
      <c r="B248" s="67">
        <v>46027</v>
      </c>
      <c r="C248" s="309"/>
      <c r="D248" s="337"/>
      <c r="E248" s="334"/>
      <c r="F248" s="3" t="s">
        <v>146</v>
      </c>
    </row>
    <row r="249" spans="1:6" x14ac:dyDescent="0.25">
      <c r="A249" s="3">
        <v>3</v>
      </c>
      <c r="B249" s="67">
        <v>46027</v>
      </c>
      <c r="C249" s="309"/>
      <c r="D249" s="337"/>
      <c r="E249" s="334"/>
      <c r="F249" s="3" t="s">
        <v>146</v>
      </c>
    </row>
    <row r="250" spans="1:6" x14ac:dyDescent="0.25">
      <c r="A250" s="3">
        <v>4</v>
      </c>
      <c r="B250" s="67">
        <v>46027</v>
      </c>
      <c r="C250" s="309"/>
      <c r="D250" s="337"/>
      <c r="E250" s="334"/>
      <c r="F250" s="3" t="s">
        <v>146</v>
      </c>
    </row>
    <row r="251" spans="1:6" x14ac:dyDescent="0.25">
      <c r="A251" s="3">
        <v>5</v>
      </c>
      <c r="B251" s="67">
        <v>46027</v>
      </c>
      <c r="C251" s="310"/>
      <c r="D251" s="338"/>
      <c r="E251" s="335"/>
      <c r="F251" s="3" t="s">
        <v>146</v>
      </c>
    </row>
    <row r="252" spans="1:6" ht="15.75" thickBot="1" x14ac:dyDescent="0.3">
      <c r="A252" s="339" t="s">
        <v>41</v>
      </c>
      <c r="B252" s="340"/>
      <c r="C252" s="340"/>
      <c r="D252" s="340"/>
      <c r="E252" s="17">
        <f>60+220+30</f>
        <v>310</v>
      </c>
      <c r="F252" s="1"/>
    </row>
    <row r="253" spans="1:6" ht="15.75" thickBot="1" x14ac:dyDescent="0.3">
      <c r="A253" s="292" t="s">
        <v>39</v>
      </c>
      <c r="B253" s="293"/>
      <c r="C253" s="23"/>
      <c r="F253" s="14" t="s">
        <v>40</v>
      </c>
    </row>
    <row r="254" spans="1:6" ht="15.75" thickBot="1" x14ac:dyDescent="0.3"/>
    <row r="255" spans="1:6" ht="19.5" thickBot="1" x14ac:dyDescent="0.35">
      <c r="A255" s="10" t="s">
        <v>0</v>
      </c>
      <c r="B255" s="11" t="s">
        <v>3</v>
      </c>
      <c r="C255" s="11" t="s">
        <v>24</v>
      </c>
      <c r="D255" s="11" t="s">
        <v>1</v>
      </c>
      <c r="E255" s="11" t="s">
        <v>23</v>
      </c>
      <c r="F255" s="12" t="s">
        <v>27</v>
      </c>
    </row>
    <row r="256" spans="1:6" x14ac:dyDescent="0.25">
      <c r="A256" s="3">
        <v>1</v>
      </c>
      <c r="B256" s="67">
        <v>46027</v>
      </c>
      <c r="C256" s="329" t="s">
        <v>334</v>
      </c>
      <c r="D256" s="336" t="s">
        <v>574</v>
      </c>
      <c r="E256" s="333" t="s">
        <v>575</v>
      </c>
      <c r="F256" s="3" t="s">
        <v>146</v>
      </c>
    </row>
    <row r="257" spans="1:6" x14ac:dyDescent="0.25">
      <c r="A257" s="3">
        <v>2</v>
      </c>
      <c r="B257" s="67">
        <v>46027</v>
      </c>
      <c r="C257" s="309"/>
      <c r="D257" s="337"/>
      <c r="E257" s="334"/>
      <c r="F257" s="3" t="s">
        <v>146</v>
      </c>
    </row>
    <row r="258" spans="1:6" x14ac:dyDescent="0.25">
      <c r="A258" s="3">
        <v>3</v>
      </c>
      <c r="B258" s="67">
        <v>46027</v>
      </c>
      <c r="C258" s="309"/>
      <c r="D258" s="337"/>
      <c r="E258" s="334"/>
      <c r="F258" s="3" t="s">
        <v>146</v>
      </c>
    </row>
    <row r="259" spans="1:6" x14ac:dyDescent="0.25">
      <c r="A259" s="3">
        <v>4</v>
      </c>
      <c r="B259" s="67">
        <v>46027</v>
      </c>
      <c r="C259" s="309"/>
      <c r="D259" s="337"/>
      <c r="E259" s="334"/>
      <c r="F259" s="3" t="s">
        <v>146</v>
      </c>
    </row>
    <row r="260" spans="1:6" x14ac:dyDescent="0.25">
      <c r="A260" s="3">
        <v>5</v>
      </c>
      <c r="B260" s="67">
        <v>46027</v>
      </c>
      <c r="C260" s="310"/>
      <c r="D260" s="338"/>
      <c r="E260" s="335"/>
      <c r="F260" s="3" t="s">
        <v>146</v>
      </c>
    </row>
    <row r="261" spans="1:6" ht="15.75" thickBot="1" x14ac:dyDescent="0.3">
      <c r="A261" s="339" t="s">
        <v>41</v>
      </c>
      <c r="B261" s="340"/>
      <c r="C261" s="340"/>
      <c r="D261" s="340"/>
      <c r="E261" s="17">
        <f>180+45</f>
        <v>225</v>
      </c>
      <c r="F261" s="1"/>
    </row>
    <row r="262" spans="1:6" ht="15.75" thickBot="1" x14ac:dyDescent="0.3">
      <c r="A262" s="292" t="s">
        <v>39</v>
      </c>
      <c r="B262" s="293"/>
      <c r="C262" s="23"/>
      <c r="F262" s="14" t="s">
        <v>40</v>
      </c>
    </row>
    <row r="263" spans="1:6" ht="21.75" thickBot="1" x14ac:dyDescent="0.4">
      <c r="A263" s="326" t="s">
        <v>138</v>
      </c>
      <c r="B263" s="327"/>
      <c r="C263" s="327"/>
      <c r="D263" s="327"/>
      <c r="E263" s="327"/>
      <c r="F263" s="328"/>
    </row>
    <row r="264" spans="1:6" ht="19.5" thickBot="1" x14ac:dyDescent="0.35">
      <c r="A264" s="10" t="s">
        <v>0</v>
      </c>
      <c r="B264" s="11" t="s">
        <v>3</v>
      </c>
      <c r="C264" s="11" t="s">
        <v>24</v>
      </c>
      <c r="D264" s="11" t="s">
        <v>1</v>
      </c>
      <c r="E264" s="11" t="s">
        <v>23</v>
      </c>
      <c r="F264" s="12" t="s">
        <v>27</v>
      </c>
    </row>
    <row r="265" spans="1:6" x14ac:dyDescent="0.25">
      <c r="A265" s="3">
        <v>1</v>
      </c>
      <c r="B265" s="67">
        <v>46028</v>
      </c>
      <c r="C265" s="329" t="s">
        <v>467</v>
      </c>
      <c r="D265" s="336" t="s">
        <v>596</v>
      </c>
      <c r="E265" s="333" t="s">
        <v>597</v>
      </c>
      <c r="F265" s="3" t="s">
        <v>146</v>
      </c>
    </row>
    <row r="266" spans="1:6" x14ac:dyDescent="0.25">
      <c r="A266" s="3">
        <v>2</v>
      </c>
      <c r="B266" s="67">
        <v>46028</v>
      </c>
      <c r="C266" s="309"/>
      <c r="D266" s="337"/>
      <c r="E266" s="334"/>
      <c r="F266" s="3" t="s">
        <v>146</v>
      </c>
    </row>
    <row r="267" spans="1:6" x14ac:dyDescent="0.25">
      <c r="A267" s="3">
        <v>3</v>
      </c>
      <c r="B267" s="67">
        <v>46028</v>
      </c>
      <c r="C267" s="309"/>
      <c r="D267" s="337"/>
      <c r="E267" s="334"/>
      <c r="F267" s="3" t="s">
        <v>146</v>
      </c>
    </row>
    <row r="268" spans="1:6" x14ac:dyDescent="0.25">
      <c r="A268" s="3">
        <v>4</v>
      </c>
      <c r="B268" s="67">
        <v>46028</v>
      </c>
      <c r="C268" s="309"/>
      <c r="D268" s="337"/>
      <c r="E268" s="334"/>
      <c r="F268" s="3" t="s">
        <v>146</v>
      </c>
    </row>
    <row r="269" spans="1:6" x14ac:dyDescent="0.25">
      <c r="A269" s="3">
        <v>5</v>
      </c>
      <c r="B269" s="67">
        <v>46028</v>
      </c>
      <c r="C269" s="310"/>
      <c r="D269" s="338"/>
      <c r="E269" s="335"/>
      <c r="F269" s="3" t="s">
        <v>146</v>
      </c>
    </row>
    <row r="270" spans="1:6" ht="15.75" thickBot="1" x14ac:dyDescent="0.3">
      <c r="A270" s="339"/>
      <c r="B270" s="340"/>
      <c r="C270" s="340"/>
      <c r="D270" s="340"/>
      <c r="E270" s="17">
        <f>270+50</f>
        <v>320</v>
      </c>
      <c r="F270" s="1"/>
    </row>
    <row r="271" spans="1:6" ht="15.75" thickBot="1" x14ac:dyDescent="0.3">
      <c r="A271" s="292" t="s">
        <v>39</v>
      </c>
      <c r="B271" s="293"/>
      <c r="C271" s="23"/>
      <c r="F271" s="14" t="s">
        <v>40</v>
      </c>
    </row>
    <row r="272" spans="1:6" ht="21.75" thickBot="1" x14ac:dyDescent="0.4">
      <c r="A272" s="326" t="s">
        <v>138</v>
      </c>
      <c r="B272" s="327"/>
      <c r="C272" s="327"/>
      <c r="D272" s="327"/>
      <c r="E272" s="327"/>
      <c r="F272" s="328"/>
    </row>
    <row r="273" spans="1:6" ht="19.5" thickBot="1" x14ac:dyDescent="0.35">
      <c r="A273" s="10" t="s">
        <v>0</v>
      </c>
      <c r="B273" s="11" t="s">
        <v>3</v>
      </c>
      <c r="C273" s="11" t="s">
        <v>24</v>
      </c>
      <c r="D273" s="11" t="s">
        <v>1</v>
      </c>
      <c r="E273" s="11" t="s">
        <v>23</v>
      </c>
      <c r="F273" s="12" t="s">
        <v>27</v>
      </c>
    </row>
    <row r="274" spans="1:6" x14ac:dyDescent="0.25">
      <c r="A274" s="3">
        <v>1</v>
      </c>
      <c r="B274" s="67">
        <v>46028</v>
      </c>
      <c r="C274" s="329" t="s">
        <v>472</v>
      </c>
      <c r="D274" s="336" t="s">
        <v>596</v>
      </c>
      <c r="E274" s="333" t="s">
        <v>597</v>
      </c>
      <c r="F274" s="3" t="s">
        <v>146</v>
      </c>
    </row>
    <row r="275" spans="1:6" x14ac:dyDescent="0.25">
      <c r="A275" s="3">
        <v>2</v>
      </c>
      <c r="B275" s="67">
        <v>46028</v>
      </c>
      <c r="C275" s="309"/>
      <c r="D275" s="337"/>
      <c r="E275" s="334"/>
      <c r="F275" s="3" t="s">
        <v>146</v>
      </c>
    </row>
    <row r="276" spans="1:6" x14ac:dyDescent="0.25">
      <c r="A276" s="3">
        <v>3</v>
      </c>
      <c r="B276" s="67">
        <v>46028</v>
      </c>
      <c r="C276" s="309"/>
      <c r="D276" s="337"/>
      <c r="E276" s="334"/>
      <c r="F276" s="3" t="s">
        <v>146</v>
      </c>
    </row>
    <row r="277" spans="1:6" x14ac:dyDescent="0.25">
      <c r="A277" s="3">
        <v>4</v>
      </c>
      <c r="B277" s="67">
        <v>46028</v>
      </c>
      <c r="C277" s="309"/>
      <c r="D277" s="337"/>
      <c r="E277" s="334"/>
      <c r="F277" s="3" t="s">
        <v>146</v>
      </c>
    </row>
    <row r="278" spans="1:6" x14ac:dyDescent="0.25">
      <c r="A278" s="3">
        <v>5</v>
      </c>
      <c r="B278" s="67">
        <v>46028</v>
      </c>
      <c r="C278" s="310"/>
      <c r="D278" s="338"/>
      <c r="E278" s="335"/>
      <c r="F278" s="3" t="s">
        <v>146</v>
      </c>
    </row>
    <row r="279" spans="1:6" ht="15.75" thickBot="1" x14ac:dyDescent="0.3">
      <c r="A279" s="339" t="s">
        <v>41</v>
      </c>
      <c r="B279" s="340"/>
      <c r="C279" s="340"/>
      <c r="D279" s="340"/>
      <c r="E279" s="17">
        <v>320</v>
      </c>
      <c r="F279" s="1"/>
    </row>
    <row r="280" spans="1:6" ht="15.75" thickBot="1" x14ac:dyDescent="0.3">
      <c r="A280" s="292" t="s">
        <v>39</v>
      </c>
      <c r="B280" s="293"/>
      <c r="C280" s="23"/>
      <c r="F280" s="14" t="s">
        <v>40</v>
      </c>
    </row>
    <row r="281" spans="1:6" ht="21.75" thickBot="1" x14ac:dyDescent="0.4">
      <c r="A281" s="326" t="s">
        <v>138</v>
      </c>
      <c r="B281" s="327"/>
      <c r="C281" s="327"/>
      <c r="D281" s="327"/>
      <c r="E281" s="327"/>
      <c r="F281" s="328"/>
    </row>
    <row r="282" spans="1:6" ht="19.5" thickBot="1" x14ac:dyDescent="0.35">
      <c r="A282" s="10" t="s">
        <v>0</v>
      </c>
      <c r="B282" s="11" t="s">
        <v>3</v>
      </c>
      <c r="C282" s="11" t="s">
        <v>24</v>
      </c>
      <c r="D282" s="11" t="s">
        <v>1</v>
      </c>
      <c r="E282" s="11" t="s">
        <v>23</v>
      </c>
      <c r="F282" s="12" t="s">
        <v>27</v>
      </c>
    </row>
    <row r="283" spans="1:6" x14ac:dyDescent="0.25">
      <c r="A283" s="3">
        <v>1</v>
      </c>
      <c r="B283" s="67">
        <v>46028</v>
      </c>
      <c r="C283" s="329" t="s">
        <v>470</v>
      </c>
      <c r="D283" s="336" t="s">
        <v>596</v>
      </c>
      <c r="E283" s="333" t="s">
        <v>597</v>
      </c>
      <c r="F283" s="3" t="s">
        <v>146</v>
      </c>
    </row>
    <row r="284" spans="1:6" x14ac:dyDescent="0.25">
      <c r="A284" s="3">
        <v>2</v>
      </c>
      <c r="B284" s="67">
        <v>46028</v>
      </c>
      <c r="C284" s="309"/>
      <c r="D284" s="342"/>
      <c r="E284" s="334"/>
      <c r="F284" s="3" t="s">
        <v>146</v>
      </c>
    </row>
    <row r="285" spans="1:6" x14ac:dyDescent="0.25">
      <c r="A285" s="3">
        <v>3</v>
      </c>
      <c r="B285" s="67">
        <v>46028</v>
      </c>
      <c r="C285" s="309"/>
      <c r="D285" s="342"/>
      <c r="E285" s="334"/>
      <c r="F285" s="3" t="s">
        <v>146</v>
      </c>
    </row>
    <row r="286" spans="1:6" x14ac:dyDescent="0.25">
      <c r="A286" s="3">
        <v>4</v>
      </c>
      <c r="B286" s="67">
        <v>46028</v>
      </c>
      <c r="C286" s="309"/>
      <c r="D286" s="342"/>
      <c r="E286" s="334"/>
      <c r="F286" s="3" t="s">
        <v>146</v>
      </c>
    </row>
    <row r="287" spans="1:6" x14ac:dyDescent="0.25">
      <c r="A287" s="3">
        <v>5</v>
      </c>
      <c r="B287" s="67">
        <v>46028</v>
      </c>
      <c r="C287" s="310"/>
      <c r="D287" s="343"/>
      <c r="E287" s="335"/>
      <c r="F287" s="3" t="s">
        <v>146</v>
      </c>
    </row>
    <row r="288" spans="1:6" ht="15.75" thickBot="1" x14ac:dyDescent="0.3">
      <c r="A288" s="339" t="s">
        <v>41</v>
      </c>
      <c r="B288" s="340"/>
      <c r="C288" s="340"/>
      <c r="D288" s="340"/>
      <c r="E288" s="17">
        <v>320</v>
      </c>
      <c r="F288" s="1"/>
    </row>
    <row r="289" spans="1:6" ht="15.75" thickBot="1" x14ac:dyDescent="0.3">
      <c r="A289" s="292" t="s">
        <v>39</v>
      </c>
      <c r="B289" s="293"/>
      <c r="C289" s="23"/>
      <c r="F289" s="14" t="s">
        <v>40</v>
      </c>
    </row>
    <row r="290" spans="1:6" ht="21.75" thickBot="1" x14ac:dyDescent="0.4">
      <c r="A290" s="326" t="s">
        <v>138</v>
      </c>
      <c r="B290" s="327"/>
      <c r="C290" s="327"/>
      <c r="D290" s="327"/>
      <c r="E290" s="327"/>
      <c r="F290" s="328"/>
    </row>
    <row r="291" spans="1:6" ht="19.5" thickBot="1" x14ac:dyDescent="0.35">
      <c r="A291" s="10" t="s">
        <v>0</v>
      </c>
      <c r="B291" s="11" t="s">
        <v>3</v>
      </c>
      <c r="C291" s="11" t="s">
        <v>24</v>
      </c>
      <c r="D291" s="11" t="s">
        <v>1</v>
      </c>
      <c r="E291" s="11" t="s">
        <v>23</v>
      </c>
      <c r="F291" s="12" t="s">
        <v>27</v>
      </c>
    </row>
    <row r="292" spans="1:6" x14ac:dyDescent="0.25">
      <c r="A292" s="3">
        <v>1</v>
      </c>
      <c r="B292" s="67">
        <v>46028</v>
      </c>
      <c r="C292" s="329" t="s">
        <v>334</v>
      </c>
      <c r="D292" s="336" t="s">
        <v>596</v>
      </c>
      <c r="E292" s="333" t="s">
        <v>597</v>
      </c>
      <c r="F292" s="3" t="s">
        <v>146</v>
      </c>
    </row>
    <row r="293" spans="1:6" x14ac:dyDescent="0.25">
      <c r="A293" s="3">
        <v>2</v>
      </c>
      <c r="B293" s="67">
        <v>46028</v>
      </c>
      <c r="C293" s="309"/>
      <c r="D293" s="342"/>
      <c r="E293" s="334"/>
      <c r="F293" s="3" t="s">
        <v>146</v>
      </c>
    </row>
    <row r="294" spans="1:6" x14ac:dyDescent="0.25">
      <c r="A294" s="3">
        <v>3</v>
      </c>
      <c r="B294" s="67">
        <v>46028</v>
      </c>
      <c r="C294" s="309"/>
      <c r="D294" s="342"/>
      <c r="E294" s="334"/>
      <c r="F294" s="3" t="s">
        <v>146</v>
      </c>
    </row>
    <row r="295" spans="1:6" x14ac:dyDescent="0.25">
      <c r="A295" s="3">
        <v>4</v>
      </c>
      <c r="B295" s="67">
        <v>46028</v>
      </c>
      <c r="C295" s="309"/>
      <c r="D295" s="342"/>
      <c r="E295" s="334"/>
      <c r="F295" s="3" t="s">
        <v>146</v>
      </c>
    </row>
    <row r="296" spans="1:6" x14ac:dyDescent="0.25">
      <c r="A296" s="3">
        <v>5</v>
      </c>
      <c r="B296" s="67">
        <v>46028</v>
      </c>
      <c r="C296" s="310"/>
      <c r="D296" s="343"/>
      <c r="E296" s="335"/>
      <c r="F296" s="3" t="s">
        <v>146</v>
      </c>
    </row>
    <row r="297" spans="1:6" ht="15.75" thickBot="1" x14ac:dyDescent="0.3">
      <c r="A297" s="339" t="s">
        <v>41</v>
      </c>
      <c r="B297" s="340"/>
      <c r="C297" s="340"/>
      <c r="D297" s="340"/>
      <c r="E297" s="17">
        <v>320</v>
      </c>
      <c r="F297" s="1"/>
    </row>
    <row r="298" spans="1:6" ht="15.75" thickBot="1" x14ac:dyDescent="0.3">
      <c r="A298" s="292" t="s">
        <v>39</v>
      </c>
      <c r="B298" s="293"/>
      <c r="C298" s="23"/>
      <c r="F298" s="14" t="s">
        <v>40</v>
      </c>
    </row>
    <row r="299" spans="1:6" ht="21.75" thickBot="1" x14ac:dyDescent="0.4">
      <c r="A299" s="326" t="s">
        <v>138</v>
      </c>
      <c r="B299" s="327"/>
      <c r="C299" s="327"/>
      <c r="D299" s="327"/>
      <c r="E299" s="327"/>
      <c r="F299" s="328"/>
    </row>
    <row r="300" spans="1:6" ht="19.5" thickBot="1" x14ac:dyDescent="0.35">
      <c r="A300" s="10" t="s">
        <v>0</v>
      </c>
      <c r="B300" s="11" t="s">
        <v>3</v>
      </c>
      <c r="C300" s="11" t="s">
        <v>24</v>
      </c>
      <c r="D300" s="11" t="s">
        <v>1</v>
      </c>
      <c r="E300" s="11" t="s">
        <v>23</v>
      </c>
      <c r="F300" s="12" t="s">
        <v>27</v>
      </c>
    </row>
    <row r="301" spans="1:6" x14ac:dyDescent="0.25">
      <c r="A301" s="3">
        <v>1</v>
      </c>
      <c r="B301" s="67">
        <v>46028</v>
      </c>
      <c r="C301" s="329" t="s">
        <v>598</v>
      </c>
      <c r="D301" s="336" t="s">
        <v>599</v>
      </c>
      <c r="E301" s="333" t="s">
        <v>600</v>
      </c>
      <c r="F301" s="3" t="s">
        <v>146</v>
      </c>
    </row>
    <row r="302" spans="1:6" x14ac:dyDescent="0.25">
      <c r="A302" s="3">
        <v>2</v>
      </c>
      <c r="B302" s="67">
        <v>46028</v>
      </c>
      <c r="C302" s="309"/>
      <c r="D302" s="342"/>
      <c r="E302" s="334"/>
      <c r="F302" s="3" t="s">
        <v>146</v>
      </c>
    </row>
    <row r="303" spans="1:6" x14ac:dyDescent="0.25">
      <c r="A303" s="3">
        <v>3</v>
      </c>
      <c r="B303" s="67">
        <v>46028</v>
      </c>
      <c r="C303" s="309"/>
      <c r="D303" s="342"/>
      <c r="E303" s="334"/>
      <c r="F303" s="3" t="s">
        <v>146</v>
      </c>
    </row>
    <row r="304" spans="1:6" x14ac:dyDescent="0.25">
      <c r="A304" s="3">
        <v>4</v>
      </c>
      <c r="B304" s="67">
        <v>46028</v>
      </c>
      <c r="C304" s="309"/>
      <c r="D304" s="342"/>
      <c r="E304" s="334"/>
      <c r="F304" s="3" t="s">
        <v>146</v>
      </c>
    </row>
    <row r="305" spans="1:6" x14ac:dyDescent="0.25">
      <c r="A305" s="3">
        <v>5</v>
      </c>
      <c r="B305" s="67">
        <v>46028</v>
      </c>
      <c r="C305" s="310"/>
      <c r="D305" s="343"/>
      <c r="E305" s="335"/>
      <c r="F305" s="3" t="s">
        <v>146</v>
      </c>
    </row>
    <row r="306" spans="1:6" ht="15.75" thickBot="1" x14ac:dyDescent="0.3">
      <c r="A306" s="339" t="s">
        <v>41</v>
      </c>
      <c r="B306" s="340"/>
      <c r="C306" s="340"/>
      <c r="D306" s="340"/>
      <c r="E306" s="17">
        <f>270+50+50</f>
        <v>370</v>
      </c>
      <c r="F306" s="1"/>
    </row>
    <row r="307" spans="1:6" ht="15.75" thickBot="1" x14ac:dyDescent="0.3">
      <c r="A307" s="292" t="s">
        <v>39</v>
      </c>
      <c r="B307" s="293"/>
      <c r="C307" s="23"/>
      <c r="F307" s="14" t="s">
        <v>40</v>
      </c>
    </row>
    <row r="308" spans="1:6" ht="21.75" thickBot="1" x14ac:dyDescent="0.4">
      <c r="A308" s="326" t="s">
        <v>138</v>
      </c>
      <c r="B308" s="327"/>
      <c r="C308" s="327"/>
      <c r="D308" s="327"/>
      <c r="E308" s="327"/>
      <c r="F308" s="328"/>
    </row>
    <row r="309" spans="1:6" ht="19.5" thickBot="1" x14ac:dyDescent="0.35">
      <c r="A309" s="10" t="s">
        <v>0</v>
      </c>
      <c r="B309" s="11" t="s">
        <v>3</v>
      </c>
      <c r="C309" s="11" t="s">
        <v>24</v>
      </c>
      <c r="D309" s="11" t="s">
        <v>1</v>
      </c>
      <c r="E309" s="11" t="s">
        <v>23</v>
      </c>
      <c r="F309" s="12" t="s">
        <v>27</v>
      </c>
    </row>
    <row r="310" spans="1:6" x14ac:dyDescent="0.25">
      <c r="A310" s="3">
        <v>1</v>
      </c>
      <c r="B310" s="67">
        <v>46029</v>
      </c>
      <c r="C310" s="329" t="s">
        <v>467</v>
      </c>
      <c r="D310" s="336" t="s">
        <v>604</v>
      </c>
      <c r="E310" s="333" t="s">
        <v>601</v>
      </c>
      <c r="F310" s="3" t="s">
        <v>146</v>
      </c>
    </row>
    <row r="311" spans="1:6" x14ac:dyDescent="0.25">
      <c r="A311" s="3">
        <v>2</v>
      </c>
      <c r="B311" s="67">
        <v>46029</v>
      </c>
      <c r="C311" s="309"/>
      <c r="D311" s="337"/>
      <c r="E311" s="334"/>
      <c r="F311" s="3" t="s">
        <v>146</v>
      </c>
    </row>
    <row r="312" spans="1:6" x14ac:dyDescent="0.25">
      <c r="A312" s="3">
        <v>3</v>
      </c>
      <c r="B312" s="67">
        <v>46029</v>
      </c>
      <c r="C312" s="309"/>
      <c r="D312" s="337"/>
      <c r="E312" s="334"/>
      <c r="F312" s="3" t="s">
        <v>146</v>
      </c>
    </row>
    <row r="313" spans="1:6" x14ac:dyDescent="0.25">
      <c r="A313" s="3">
        <v>4</v>
      </c>
      <c r="B313" s="67">
        <v>46029</v>
      </c>
      <c r="C313" s="309"/>
      <c r="D313" s="337"/>
      <c r="E313" s="334"/>
      <c r="F313" s="3" t="s">
        <v>146</v>
      </c>
    </row>
    <row r="314" spans="1:6" x14ac:dyDescent="0.25">
      <c r="A314" s="3">
        <v>5</v>
      </c>
      <c r="B314" s="67">
        <v>46029</v>
      </c>
      <c r="C314" s="310"/>
      <c r="D314" s="338"/>
      <c r="E314" s="335"/>
      <c r="F314" s="3" t="s">
        <v>146</v>
      </c>
    </row>
    <row r="315" spans="1:6" ht="15.75" thickBot="1" x14ac:dyDescent="0.3">
      <c r="A315" s="339"/>
      <c r="B315" s="340"/>
      <c r="C315" s="340"/>
      <c r="D315" s="340"/>
      <c r="E315" s="17">
        <f>220+90+320+100</f>
        <v>730</v>
      </c>
      <c r="F315" s="1"/>
    </row>
    <row r="316" spans="1:6" ht="15.75" thickBot="1" x14ac:dyDescent="0.3">
      <c r="A316" s="292" t="s">
        <v>39</v>
      </c>
      <c r="B316" s="293"/>
      <c r="C316" s="23"/>
      <c r="F316" s="14" t="s">
        <v>40</v>
      </c>
    </row>
    <row r="317" spans="1:6" ht="21.75" thickBot="1" x14ac:dyDescent="0.4">
      <c r="A317" s="326" t="s">
        <v>138</v>
      </c>
      <c r="B317" s="327"/>
      <c r="C317" s="327"/>
      <c r="D317" s="327"/>
      <c r="E317" s="327"/>
      <c r="F317" s="328"/>
    </row>
    <row r="318" spans="1:6" ht="19.5" thickBot="1" x14ac:dyDescent="0.35">
      <c r="A318" s="10" t="s">
        <v>0</v>
      </c>
      <c r="B318" s="11" t="s">
        <v>3</v>
      </c>
      <c r="C318" s="11" t="s">
        <v>24</v>
      </c>
      <c r="D318" s="11" t="s">
        <v>1</v>
      </c>
      <c r="E318" s="11" t="s">
        <v>23</v>
      </c>
      <c r="F318" s="12" t="s">
        <v>27</v>
      </c>
    </row>
    <row r="319" spans="1:6" x14ac:dyDescent="0.25">
      <c r="A319" s="3">
        <v>1</v>
      </c>
      <c r="B319" s="67">
        <v>46029</v>
      </c>
      <c r="C319" s="329" t="s">
        <v>472</v>
      </c>
      <c r="D319" s="336" t="s">
        <v>602</v>
      </c>
      <c r="E319" s="333" t="s">
        <v>603</v>
      </c>
      <c r="F319" s="3" t="s">
        <v>146</v>
      </c>
    </row>
    <row r="320" spans="1:6" x14ac:dyDescent="0.25">
      <c r="A320" s="3">
        <v>2</v>
      </c>
      <c r="B320" s="67">
        <v>46029</v>
      </c>
      <c r="C320" s="309"/>
      <c r="D320" s="337"/>
      <c r="E320" s="334"/>
      <c r="F320" s="3" t="s">
        <v>146</v>
      </c>
    </row>
    <row r="321" spans="1:6" x14ac:dyDescent="0.25">
      <c r="A321" s="3">
        <v>3</v>
      </c>
      <c r="B321" s="67">
        <v>46029</v>
      </c>
      <c r="C321" s="309"/>
      <c r="D321" s="337"/>
      <c r="E321" s="334"/>
      <c r="F321" s="3" t="s">
        <v>146</v>
      </c>
    </row>
    <row r="322" spans="1:6" x14ac:dyDescent="0.25">
      <c r="A322" s="3">
        <v>4</v>
      </c>
      <c r="B322" s="67">
        <v>46029</v>
      </c>
      <c r="C322" s="309"/>
      <c r="D322" s="337"/>
      <c r="E322" s="334"/>
      <c r="F322" s="3" t="s">
        <v>146</v>
      </c>
    </row>
    <row r="323" spans="1:6" x14ac:dyDescent="0.25">
      <c r="A323" s="3">
        <v>5</v>
      </c>
      <c r="B323" s="67">
        <v>46029</v>
      </c>
      <c r="C323" s="310"/>
      <c r="D323" s="338"/>
      <c r="E323" s="335"/>
      <c r="F323" s="3" t="s">
        <v>146</v>
      </c>
    </row>
    <row r="324" spans="1:6" ht="15.75" thickBot="1" x14ac:dyDescent="0.3">
      <c r="A324" s="339" t="s">
        <v>41</v>
      </c>
      <c r="B324" s="340"/>
      <c r="C324" s="340"/>
      <c r="D324" s="340"/>
      <c r="E324" s="17">
        <f>320+50</f>
        <v>370</v>
      </c>
      <c r="F324" s="1"/>
    </row>
    <row r="325" spans="1:6" ht="15.75" thickBot="1" x14ac:dyDescent="0.3">
      <c r="A325" s="292" t="s">
        <v>39</v>
      </c>
      <c r="B325" s="293"/>
      <c r="C325" s="23"/>
      <c r="F325" s="14" t="s">
        <v>40</v>
      </c>
    </row>
    <row r="326" spans="1:6" ht="21.75" thickBot="1" x14ac:dyDescent="0.4">
      <c r="A326" s="326" t="s">
        <v>138</v>
      </c>
      <c r="B326" s="327"/>
      <c r="C326" s="327"/>
      <c r="D326" s="327"/>
      <c r="E326" s="327"/>
      <c r="F326" s="328"/>
    </row>
    <row r="327" spans="1:6" ht="19.5" thickBot="1" x14ac:dyDescent="0.35">
      <c r="A327" s="10" t="s">
        <v>0</v>
      </c>
      <c r="B327" s="11" t="s">
        <v>3</v>
      </c>
      <c r="C327" s="11" t="s">
        <v>24</v>
      </c>
      <c r="D327" s="11" t="s">
        <v>1</v>
      </c>
      <c r="E327" s="11" t="s">
        <v>23</v>
      </c>
      <c r="F327" s="12" t="s">
        <v>27</v>
      </c>
    </row>
    <row r="328" spans="1:6" x14ac:dyDescent="0.25">
      <c r="A328" s="3">
        <v>1</v>
      </c>
      <c r="B328" s="67">
        <v>46029</v>
      </c>
      <c r="C328" s="329" t="s">
        <v>470</v>
      </c>
      <c r="D328" s="336" t="s">
        <v>602</v>
      </c>
      <c r="E328" s="333" t="s">
        <v>603</v>
      </c>
      <c r="F328" s="3" t="s">
        <v>146</v>
      </c>
    </row>
    <row r="329" spans="1:6" x14ac:dyDescent="0.25">
      <c r="A329" s="3">
        <v>2</v>
      </c>
      <c r="B329" s="67">
        <v>46029</v>
      </c>
      <c r="C329" s="309"/>
      <c r="D329" s="342"/>
      <c r="E329" s="334"/>
      <c r="F329" s="3" t="s">
        <v>146</v>
      </c>
    </row>
    <row r="330" spans="1:6" x14ac:dyDescent="0.25">
      <c r="A330" s="3">
        <v>3</v>
      </c>
      <c r="B330" s="67">
        <v>46029</v>
      </c>
      <c r="C330" s="309"/>
      <c r="D330" s="342"/>
      <c r="E330" s="334"/>
      <c r="F330" s="3" t="s">
        <v>146</v>
      </c>
    </row>
    <row r="331" spans="1:6" x14ac:dyDescent="0.25">
      <c r="A331" s="3">
        <v>4</v>
      </c>
      <c r="B331" s="67">
        <v>46029</v>
      </c>
      <c r="C331" s="309"/>
      <c r="D331" s="342"/>
      <c r="E331" s="334"/>
      <c r="F331" s="3" t="s">
        <v>146</v>
      </c>
    </row>
    <row r="332" spans="1:6" x14ac:dyDescent="0.25">
      <c r="A332" s="3">
        <v>5</v>
      </c>
      <c r="B332" s="67">
        <v>46029</v>
      </c>
      <c r="C332" s="310"/>
      <c r="D332" s="343"/>
      <c r="E332" s="335"/>
      <c r="F332" s="3" t="s">
        <v>146</v>
      </c>
    </row>
    <row r="333" spans="1:6" ht="15.75" thickBot="1" x14ac:dyDescent="0.3">
      <c r="A333" s="339" t="s">
        <v>41</v>
      </c>
      <c r="B333" s="340"/>
      <c r="C333" s="340"/>
      <c r="D333" s="340"/>
      <c r="E333" s="17">
        <f>320+50</f>
        <v>370</v>
      </c>
      <c r="F333" s="1"/>
    </row>
    <row r="334" spans="1:6" ht="15.75" thickBot="1" x14ac:dyDescent="0.3">
      <c r="A334" s="292" t="s">
        <v>39</v>
      </c>
      <c r="B334" s="293"/>
      <c r="C334" s="23"/>
      <c r="F334" s="14" t="s">
        <v>40</v>
      </c>
    </row>
    <row r="335" spans="1:6" ht="21.75" thickBot="1" x14ac:dyDescent="0.4">
      <c r="A335" s="326" t="s">
        <v>139</v>
      </c>
      <c r="B335" s="327"/>
      <c r="C335" s="327"/>
      <c r="D335" s="327"/>
      <c r="E335" s="327"/>
      <c r="F335" s="328"/>
    </row>
    <row r="336" spans="1:6" ht="19.5" thickBot="1" x14ac:dyDescent="0.35">
      <c r="A336" s="10" t="s">
        <v>0</v>
      </c>
      <c r="B336" s="11" t="s">
        <v>3</v>
      </c>
      <c r="C336" s="11" t="s">
        <v>24</v>
      </c>
      <c r="D336" s="11" t="s">
        <v>1</v>
      </c>
      <c r="E336" s="11" t="s">
        <v>23</v>
      </c>
      <c r="F336" s="12" t="s">
        <v>27</v>
      </c>
    </row>
    <row r="337" spans="1:6" x14ac:dyDescent="0.25">
      <c r="A337" s="3">
        <v>1</v>
      </c>
      <c r="B337" s="67">
        <v>46029</v>
      </c>
      <c r="C337" s="329" t="s">
        <v>334</v>
      </c>
      <c r="D337" s="336" t="s">
        <v>587</v>
      </c>
      <c r="E337" s="333">
        <v>320</v>
      </c>
      <c r="F337" s="3" t="s">
        <v>146</v>
      </c>
    </row>
    <row r="338" spans="1:6" x14ac:dyDescent="0.25">
      <c r="A338" s="3">
        <v>2</v>
      </c>
      <c r="B338" s="67">
        <v>46029</v>
      </c>
      <c r="C338" s="309"/>
      <c r="D338" s="342"/>
      <c r="E338" s="334"/>
      <c r="F338" s="3" t="s">
        <v>146</v>
      </c>
    </row>
    <row r="339" spans="1:6" x14ac:dyDescent="0.25">
      <c r="A339" s="3">
        <v>3</v>
      </c>
      <c r="B339" s="67">
        <v>46029</v>
      </c>
      <c r="C339" s="309"/>
      <c r="D339" s="342"/>
      <c r="E339" s="334"/>
      <c r="F339" s="3" t="s">
        <v>146</v>
      </c>
    </row>
    <row r="340" spans="1:6" x14ac:dyDescent="0.25">
      <c r="A340" s="3">
        <v>4</v>
      </c>
      <c r="B340" s="67">
        <v>46029</v>
      </c>
      <c r="C340" s="309"/>
      <c r="D340" s="342"/>
      <c r="E340" s="334"/>
      <c r="F340" s="3" t="s">
        <v>146</v>
      </c>
    </row>
    <row r="341" spans="1:6" x14ac:dyDescent="0.25">
      <c r="A341" s="3">
        <v>5</v>
      </c>
      <c r="B341" s="67">
        <v>46029</v>
      </c>
      <c r="C341" s="310"/>
      <c r="D341" s="343"/>
      <c r="E341" s="335"/>
      <c r="F341" s="3" t="s">
        <v>146</v>
      </c>
    </row>
    <row r="342" spans="1:6" ht="15.75" thickBot="1" x14ac:dyDescent="0.3">
      <c r="A342" s="339" t="s">
        <v>41</v>
      </c>
      <c r="B342" s="340"/>
      <c r="C342" s="340"/>
      <c r="D342" s="340"/>
      <c r="E342" s="17">
        <f>320</f>
        <v>320</v>
      </c>
      <c r="F342" s="1"/>
    </row>
    <row r="343" spans="1:6" ht="15.75" thickBot="1" x14ac:dyDescent="0.3">
      <c r="A343" s="292" t="s">
        <v>39</v>
      </c>
      <c r="B343" s="293"/>
      <c r="C343" s="23"/>
      <c r="F343" s="14" t="s">
        <v>40</v>
      </c>
    </row>
    <row r="344" spans="1:6" ht="15.75" thickBot="1" x14ac:dyDescent="0.3"/>
    <row r="345" spans="1:6" ht="21.75" thickBot="1" x14ac:dyDescent="0.4">
      <c r="A345" s="326" t="s">
        <v>138</v>
      </c>
      <c r="B345" s="327"/>
      <c r="C345" s="327"/>
      <c r="D345" s="327"/>
      <c r="E345" s="327"/>
      <c r="F345" s="328"/>
    </row>
    <row r="346" spans="1:6" ht="19.5" thickBot="1" x14ac:dyDescent="0.35">
      <c r="A346" s="10" t="s">
        <v>0</v>
      </c>
      <c r="B346" s="11" t="s">
        <v>3</v>
      </c>
      <c r="C346" s="11" t="s">
        <v>24</v>
      </c>
      <c r="D346" s="11" t="s">
        <v>1</v>
      </c>
      <c r="E346" s="11" t="s">
        <v>23</v>
      </c>
      <c r="F346" s="12" t="s">
        <v>27</v>
      </c>
    </row>
    <row r="347" spans="1:6" x14ac:dyDescent="0.25">
      <c r="A347" s="3">
        <v>1</v>
      </c>
      <c r="B347" s="67">
        <v>46030</v>
      </c>
      <c r="C347" s="329" t="s">
        <v>467</v>
      </c>
      <c r="D347" s="336" t="s">
        <v>627</v>
      </c>
      <c r="E347" s="333" t="s">
        <v>628</v>
      </c>
      <c r="F347" s="3" t="s">
        <v>146</v>
      </c>
    </row>
    <row r="348" spans="1:6" x14ac:dyDescent="0.25">
      <c r="A348" s="3">
        <v>2</v>
      </c>
      <c r="B348" s="67">
        <v>46030</v>
      </c>
      <c r="C348" s="309"/>
      <c r="D348" s="337"/>
      <c r="E348" s="334"/>
      <c r="F348" s="3" t="s">
        <v>146</v>
      </c>
    </row>
    <row r="349" spans="1:6" x14ac:dyDescent="0.25">
      <c r="A349" s="3">
        <v>3</v>
      </c>
      <c r="B349" s="67">
        <v>46030</v>
      </c>
      <c r="C349" s="309"/>
      <c r="D349" s="337"/>
      <c r="E349" s="334"/>
      <c r="F349" s="3" t="s">
        <v>146</v>
      </c>
    </row>
    <row r="350" spans="1:6" x14ac:dyDescent="0.25">
      <c r="A350" s="3">
        <v>4</v>
      </c>
      <c r="B350" s="67">
        <v>46030</v>
      </c>
      <c r="C350" s="309"/>
      <c r="D350" s="337"/>
      <c r="E350" s="334"/>
      <c r="F350" s="3" t="s">
        <v>146</v>
      </c>
    </row>
    <row r="351" spans="1:6" x14ac:dyDescent="0.25">
      <c r="A351" s="3">
        <v>5</v>
      </c>
      <c r="B351" s="67">
        <v>46030</v>
      </c>
      <c r="C351" s="310"/>
      <c r="D351" s="338"/>
      <c r="E351" s="335"/>
      <c r="F351" s="3" t="s">
        <v>146</v>
      </c>
    </row>
    <row r="352" spans="1:6" ht="15.75" thickBot="1" x14ac:dyDescent="0.3">
      <c r="A352" s="339"/>
      <c r="B352" s="340"/>
      <c r="C352" s="340"/>
      <c r="D352" s="340"/>
      <c r="E352" s="17">
        <f>220+60</f>
        <v>280</v>
      </c>
      <c r="F352" s="1"/>
    </row>
    <row r="353" spans="1:6" ht="15.75" thickBot="1" x14ac:dyDescent="0.3">
      <c r="A353" s="292" t="s">
        <v>39</v>
      </c>
      <c r="B353" s="293"/>
      <c r="C353" s="23"/>
      <c r="F353" s="14" t="s">
        <v>40</v>
      </c>
    </row>
    <row r="354" spans="1:6" ht="15.75" thickBot="1" x14ac:dyDescent="0.3"/>
    <row r="355" spans="1:6" ht="21.75" thickBot="1" x14ac:dyDescent="0.4">
      <c r="A355" s="326" t="s">
        <v>138</v>
      </c>
      <c r="B355" s="327"/>
      <c r="C355" s="327"/>
      <c r="D355" s="327"/>
      <c r="E355" s="327"/>
      <c r="F355" s="328"/>
    </row>
    <row r="356" spans="1:6" ht="19.5" thickBot="1" x14ac:dyDescent="0.35">
      <c r="A356" s="10" t="s">
        <v>0</v>
      </c>
      <c r="B356" s="11" t="s">
        <v>3</v>
      </c>
      <c r="C356" s="11" t="s">
        <v>24</v>
      </c>
      <c r="D356" s="11" t="s">
        <v>1</v>
      </c>
      <c r="E356" s="11" t="s">
        <v>23</v>
      </c>
      <c r="F356" s="12" t="s">
        <v>27</v>
      </c>
    </row>
    <row r="357" spans="1:6" x14ac:dyDescent="0.25">
      <c r="A357" s="3">
        <v>1</v>
      </c>
      <c r="B357" s="67">
        <v>46030</v>
      </c>
      <c r="C357" s="329" t="s">
        <v>470</v>
      </c>
      <c r="D357" s="336" t="s">
        <v>627</v>
      </c>
      <c r="E357" s="333" t="s">
        <v>628</v>
      </c>
      <c r="F357" s="3" t="s">
        <v>146</v>
      </c>
    </row>
    <row r="358" spans="1:6" x14ac:dyDescent="0.25">
      <c r="A358" s="3">
        <v>2</v>
      </c>
      <c r="B358" s="67">
        <v>46030</v>
      </c>
      <c r="C358" s="309"/>
      <c r="D358" s="337"/>
      <c r="E358" s="334"/>
      <c r="F358" s="3" t="s">
        <v>146</v>
      </c>
    </row>
    <row r="359" spans="1:6" x14ac:dyDescent="0.25">
      <c r="A359" s="3">
        <v>3</v>
      </c>
      <c r="B359" s="67">
        <v>46030</v>
      </c>
      <c r="C359" s="309"/>
      <c r="D359" s="337"/>
      <c r="E359" s="334"/>
      <c r="F359" s="3" t="s">
        <v>146</v>
      </c>
    </row>
    <row r="360" spans="1:6" x14ac:dyDescent="0.25">
      <c r="A360" s="3">
        <v>4</v>
      </c>
      <c r="B360" s="67">
        <v>46030</v>
      </c>
      <c r="C360" s="309"/>
      <c r="D360" s="337"/>
      <c r="E360" s="334"/>
      <c r="F360" s="3" t="s">
        <v>146</v>
      </c>
    </row>
    <row r="361" spans="1:6" x14ac:dyDescent="0.25">
      <c r="A361" s="3">
        <v>5</v>
      </c>
      <c r="B361" s="67">
        <v>46030</v>
      </c>
      <c r="C361" s="310"/>
      <c r="D361" s="338"/>
      <c r="E361" s="335"/>
      <c r="F361" s="3" t="s">
        <v>146</v>
      </c>
    </row>
    <row r="362" spans="1:6" ht="15.75" thickBot="1" x14ac:dyDescent="0.3">
      <c r="A362" s="339" t="s">
        <v>41</v>
      </c>
      <c r="B362" s="340"/>
      <c r="C362" s="340"/>
      <c r="D362" s="340"/>
      <c r="E362" s="17">
        <f>220+60</f>
        <v>280</v>
      </c>
      <c r="F362" s="1"/>
    </row>
    <row r="363" spans="1:6" ht="15.75" thickBot="1" x14ac:dyDescent="0.3">
      <c r="A363" s="292" t="s">
        <v>39</v>
      </c>
      <c r="B363" s="293"/>
      <c r="C363" s="23"/>
      <c r="F363" s="14" t="s">
        <v>40</v>
      </c>
    </row>
    <row r="364" spans="1:6" ht="15.75" thickBot="1" x14ac:dyDescent="0.3"/>
    <row r="365" spans="1:6" ht="21.75" thickBot="1" x14ac:dyDescent="0.4">
      <c r="A365" s="326" t="s">
        <v>139</v>
      </c>
      <c r="B365" s="327"/>
      <c r="C365" s="327"/>
      <c r="D365" s="327"/>
      <c r="E365" s="327"/>
      <c r="F365" s="328"/>
    </row>
    <row r="366" spans="1:6" ht="19.5" thickBot="1" x14ac:dyDescent="0.35">
      <c r="A366" s="10" t="s">
        <v>0</v>
      </c>
      <c r="B366" s="11" t="s">
        <v>3</v>
      </c>
      <c r="C366" s="11" t="s">
        <v>24</v>
      </c>
      <c r="D366" s="11" t="s">
        <v>1</v>
      </c>
      <c r="E366" s="11" t="s">
        <v>23</v>
      </c>
      <c r="F366" s="12" t="s">
        <v>27</v>
      </c>
    </row>
    <row r="367" spans="1:6" x14ac:dyDescent="0.25">
      <c r="A367" s="3">
        <v>1</v>
      </c>
      <c r="B367" s="67">
        <v>46030</v>
      </c>
      <c r="C367" s="329" t="s">
        <v>334</v>
      </c>
      <c r="D367" s="336" t="s">
        <v>629</v>
      </c>
      <c r="E367" s="333" t="s">
        <v>628</v>
      </c>
      <c r="F367" s="3" t="s">
        <v>146</v>
      </c>
    </row>
    <row r="368" spans="1:6" x14ac:dyDescent="0.25">
      <c r="A368" s="3">
        <v>2</v>
      </c>
      <c r="B368" s="67">
        <v>46030</v>
      </c>
      <c r="C368" s="309"/>
      <c r="D368" s="342"/>
      <c r="E368" s="334"/>
      <c r="F368" s="3" t="s">
        <v>146</v>
      </c>
    </row>
    <row r="369" spans="1:6" x14ac:dyDescent="0.25">
      <c r="A369" s="3">
        <v>3</v>
      </c>
      <c r="B369" s="67">
        <v>46030</v>
      </c>
      <c r="C369" s="309"/>
      <c r="D369" s="342"/>
      <c r="E369" s="334"/>
      <c r="F369" s="3" t="s">
        <v>146</v>
      </c>
    </row>
    <row r="370" spans="1:6" x14ac:dyDescent="0.25">
      <c r="A370" s="3">
        <v>4</v>
      </c>
      <c r="B370" s="67">
        <v>46030</v>
      </c>
      <c r="C370" s="309"/>
      <c r="D370" s="342"/>
      <c r="E370" s="334"/>
      <c r="F370" s="3" t="s">
        <v>146</v>
      </c>
    </row>
    <row r="371" spans="1:6" x14ac:dyDescent="0.25">
      <c r="A371" s="3">
        <v>5</v>
      </c>
      <c r="B371" s="67">
        <v>46030</v>
      </c>
      <c r="C371" s="310"/>
      <c r="D371" s="343"/>
      <c r="E371" s="335"/>
      <c r="F371" s="3" t="s">
        <v>146</v>
      </c>
    </row>
    <row r="372" spans="1:6" ht="15.75" thickBot="1" x14ac:dyDescent="0.3">
      <c r="A372" s="339" t="s">
        <v>41</v>
      </c>
      <c r="B372" s="340"/>
      <c r="C372" s="340"/>
      <c r="D372" s="340"/>
      <c r="E372" s="17">
        <f>220+60</f>
        <v>280</v>
      </c>
      <c r="F372" s="1"/>
    </row>
    <row r="373" spans="1:6" ht="15.75" thickBot="1" x14ac:dyDescent="0.3">
      <c r="A373" s="292" t="s">
        <v>39</v>
      </c>
      <c r="B373" s="293"/>
      <c r="C373" s="23"/>
      <c r="F373" s="14" t="s">
        <v>40</v>
      </c>
    </row>
    <row r="374" spans="1:6" ht="15.75" thickBot="1" x14ac:dyDescent="0.3"/>
    <row r="375" spans="1:6" ht="21.75" thickBot="1" x14ac:dyDescent="0.4">
      <c r="A375" s="326" t="s">
        <v>138</v>
      </c>
      <c r="B375" s="327"/>
      <c r="C375" s="327"/>
      <c r="D375" s="327"/>
      <c r="E375" s="327"/>
      <c r="F375" s="328"/>
    </row>
    <row r="376" spans="1:6" ht="19.5" thickBot="1" x14ac:dyDescent="0.35">
      <c r="A376" s="10" t="s">
        <v>0</v>
      </c>
      <c r="B376" s="11" t="s">
        <v>3</v>
      </c>
      <c r="C376" s="11" t="s">
        <v>24</v>
      </c>
      <c r="D376" s="11" t="s">
        <v>1</v>
      </c>
      <c r="E376" s="11" t="s">
        <v>23</v>
      </c>
      <c r="F376" s="12" t="s">
        <v>27</v>
      </c>
    </row>
    <row r="377" spans="1:6" x14ac:dyDescent="0.25">
      <c r="A377" s="3">
        <v>1</v>
      </c>
      <c r="B377" s="67">
        <v>46031</v>
      </c>
      <c r="C377" s="329" t="s">
        <v>467</v>
      </c>
      <c r="D377" s="336" t="s">
        <v>644</v>
      </c>
      <c r="E377" s="333" t="s">
        <v>603</v>
      </c>
      <c r="F377" s="3" t="s">
        <v>146</v>
      </c>
    </row>
    <row r="378" spans="1:6" x14ac:dyDescent="0.25">
      <c r="A378" s="3">
        <v>2</v>
      </c>
      <c r="B378" s="67">
        <v>46031</v>
      </c>
      <c r="C378" s="309"/>
      <c r="D378" s="337"/>
      <c r="E378" s="334"/>
      <c r="F378" s="3" t="s">
        <v>146</v>
      </c>
    </row>
    <row r="379" spans="1:6" x14ac:dyDescent="0.25">
      <c r="A379" s="3">
        <v>3</v>
      </c>
      <c r="B379" s="67">
        <v>46031</v>
      </c>
      <c r="C379" s="309"/>
      <c r="D379" s="337"/>
      <c r="E379" s="334"/>
      <c r="F379" s="3" t="s">
        <v>146</v>
      </c>
    </row>
    <row r="380" spans="1:6" x14ac:dyDescent="0.25">
      <c r="A380" s="3">
        <v>4</v>
      </c>
      <c r="B380" s="67">
        <v>46031</v>
      </c>
      <c r="C380" s="309"/>
      <c r="D380" s="337"/>
      <c r="E380" s="334"/>
      <c r="F380" s="3" t="s">
        <v>146</v>
      </c>
    </row>
    <row r="381" spans="1:6" x14ac:dyDescent="0.25">
      <c r="A381" s="3">
        <v>5</v>
      </c>
      <c r="B381" s="67">
        <v>46031</v>
      </c>
      <c r="C381" s="310"/>
      <c r="D381" s="338"/>
      <c r="E381" s="335"/>
      <c r="F381" s="3" t="s">
        <v>146</v>
      </c>
    </row>
    <row r="382" spans="1:6" ht="15.75" thickBot="1" x14ac:dyDescent="0.3">
      <c r="A382" s="339"/>
      <c r="B382" s="340"/>
      <c r="C382" s="340"/>
      <c r="D382" s="340"/>
      <c r="E382" s="17">
        <f>320+50</f>
        <v>370</v>
      </c>
      <c r="F382" s="1"/>
    </row>
    <row r="383" spans="1:6" ht="15.75" thickBot="1" x14ac:dyDescent="0.3">
      <c r="A383" s="292" t="s">
        <v>39</v>
      </c>
      <c r="B383" s="293"/>
      <c r="C383" s="23"/>
      <c r="F383" s="14" t="s">
        <v>40</v>
      </c>
    </row>
    <row r="384" spans="1:6" ht="21.75" thickBot="1" x14ac:dyDescent="0.4">
      <c r="A384" s="326" t="s">
        <v>138</v>
      </c>
      <c r="B384" s="327"/>
      <c r="C384" s="327"/>
      <c r="D384" s="327"/>
      <c r="E384" s="327"/>
      <c r="F384" s="328"/>
    </row>
    <row r="385" spans="1:6" ht="19.5" thickBot="1" x14ac:dyDescent="0.35">
      <c r="A385" s="10" t="s">
        <v>0</v>
      </c>
      <c r="B385" s="11" t="s">
        <v>3</v>
      </c>
      <c r="C385" s="11" t="s">
        <v>24</v>
      </c>
      <c r="D385" s="11" t="s">
        <v>1</v>
      </c>
      <c r="E385" s="11" t="s">
        <v>23</v>
      </c>
      <c r="F385" s="12" t="s">
        <v>27</v>
      </c>
    </row>
    <row r="386" spans="1:6" x14ac:dyDescent="0.25">
      <c r="A386" s="3">
        <v>1</v>
      </c>
      <c r="B386" s="67">
        <v>46031</v>
      </c>
      <c r="C386" s="329" t="s">
        <v>472</v>
      </c>
      <c r="D386" s="336" t="s">
        <v>644</v>
      </c>
      <c r="E386" s="333" t="s">
        <v>603</v>
      </c>
      <c r="F386" s="3" t="s">
        <v>146</v>
      </c>
    </row>
    <row r="387" spans="1:6" x14ac:dyDescent="0.25">
      <c r="A387" s="3">
        <v>2</v>
      </c>
      <c r="B387" s="67">
        <v>46031</v>
      </c>
      <c r="C387" s="309"/>
      <c r="D387" s="337"/>
      <c r="E387" s="334"/>
      <c r="F387" s="3" t="s">
        <v>146</v>
      </c>
    </row>
    <row r="388" spans="1:6" x14ac:dyDescent="0.25">
      <c r="A388" s="3">
        <v>3</v>
      </c>
      <c r="B388" s="67">
        <v>46031</v>
      </c>
      <c r="C388" s="309"/>
      <c r="D388" s="337"/>
      <c r="E388" s="334"/>
      <c r="F388" s="3" t="s">
        <v>146</v>
      </c>
    </row>
    <row r="389" spans="1:6" x14ac:dyDescent="0.25">
      <c r="A389" s="3">
        <v>4</v>
      </c>
      <c r="B389" s="67">
        <v>46031</v>
      </c>
      <c r="C389" s="309"/>
      <c r="D389" s="337"/>
      <c r="E389" s="334"/>
      <c r="F389" s="3" t="s">
        <v>146</v>
      </c>
    </row>
    <row r="390" spans="1:6" x14ac:dyDescent="0.25">
      <c r="A390" s="3">
        <v>5</v>
      </c>
      <c r="B390" s="67">
        <v>46031</v>
      </c>
      <c r="C390" s="310"/>
      <c r="D390" s="338"/>
      <c r="E390" s="335"/>
      <c r="F390" s="3" t="s">
        <v>146</v>
      </c>
    </row>
    <row r="391" spans="1:6" ht="15.75" thickBot="1" x14ac:dyDescent="0.3">
      <c r="A391" s="339" t="s">
        <v>41</v>
      </c>
      <c r="B391" s="340"/>
      <c r="C391" s="340"/>
      <c r="D391" s="340"/>
      <c r="E391" s="17">
        <f>320+50</f>
        <v>370</v>
      </c>
      <c r="F391" s="1"/>
    </row>
    <row r="392" spans="1:6" ht="15.75" thickBot="1" x14ac:dyDescent="0.3">
      <c r="A392" s="292" t="s">
        <v>39</v>
      </c>
      <c r="B392" s="293"/>
      <c r="C392" s="23"/>
      <c r="F392" s="14" t="s">
        <v>40</v>
      </c>
    </row>
    <row r="393" spans="1:6" ht="21.75" thickBot="1" x14ac:dyDescent="0.4">
      <c r="A393" s="326" t="s">
        <v>138</v>
      </c>
      <c r="B393" s="327"/>
      <c r="C393" s="327"/>
      <c r="D393" s="327"/>
      <c r="E393" s="327"/>
      <c r="F393" s="328"/>
    </row>
    <row r="394" spans="1:6" ht="19.5" thickBot="1" x14ac:dyDescent="0.35">
      <c r="A394" s="10" t="s">
        <v>0</v>
      </c>
      <c r="B394" s="11" t="s">
        <v>3</v>
      </c>
      <c r="C394" s="11" t="s">
        <v>24</v>
      </c>
      <c r="D394" s="11" t="s">
        <v>1</v>
      </c>
      <c r="E394" s="11" t="s">
        <v>23</v>
      </c>
      <c r="F394" s="12" t="s">
        <v>27</v>
      </c>
    </row>
    <row r="395" spans="1:6" x14ac:dyDescent="0.25">
      <c r="A395" s="3">
        <v>1</v>
      </c>
      <c r="B395" s="67">
        <v>46031</v>
      </c>
      <c r="C395" s="329" t="s">
        <v>470</v>
      </c>
      <c r="D395" s="336" t="s">
        <v>645</v>
      </c>
      <c r="E395" s="333" t="s">
        <v>646</v>
      </c>
      <c r="F395" s="3" t="s">
        <v>146</v>
      </c>
    </row>
    <row r="396" spans="1:6" x14ac:dyDescent="0.25">
      <c r="A396" s="3">
        <v>2</v>
      </c>
      <c r="B396" s="67">
        <v>46031</v>
      </c>
      <c r="C396" s="309"/>
      <c r="D396" s="337"/>
      <c r="E396" s="334"/>
      <c r="F396" s="3" t="s">
        <v>146</v>
      </c>
    </row>
    <row r="397" spans="1:6" x14ac:dyDescent="0.25">
      <c r="A397" s="3">
        <v>3</v>
      </c>
      <c r="B397" s="67">
        <v>46031</v>
      </c>
      <c r="C397" s="309"/>
      <c r="D397" s="337"/>
      <c r="E397" s="334"/>
      <c r="F397" s="3" t="s">
        <v>146</v>
      </c>
    </row>
    <row r="398" spans="1:6" x14ac:dyDescent="0.25">
      <c r="A398" s="3">
        <v>4</v>
      </c>
      <c r="B398" s="67">
        <v>46031</v>
      </c>
      <c r="C398" s="309"/>
      <c r="D398" s="337"/>
      <c r="E398" s="334"/>
      <c r="F398" s="3" t="s">
        <v>146</v>
      </c>
    </row>
    <row r="399" spans="1:6" x14ac:dyDescent="0.25">
      <c r="A399" s="3">
        <v>5</v>
      </c>
      <c r="B399" s="67">
        <v>46031</v>
      </c>
      <c r="C399" s="310"/>
      <c r="D399" s="338"/>
      <c r="E399" s="335"/>
      <c r="F399" s="3" t="s">
        <v>146</v>
      </c>
    </row>
    <row r="400" spans="1:6" ht="15.75" thickBot="1" x14ac:dyDescent="0.3">
      <c r="A400" s="339" t="s">
        <v>41</v>
      </c>
      <c r="B400" s="340"/>
      <c r="C400" s="340"/>
      <c r="D400" s="340"/>
      <c r="E400" s="17">
        <f>1280+50</f>
        <v>1330</v>
      </c>
      <c r="F400" s="1"/>
    </row>
    <row r="401" spans="1:6" ht="15.75" thickBot="1" x14ac:dyDescent="0.3">
      <c r="A401" s="292" t="s">
        <v>39</v>
      </c>
      <c r="B401" s="293"/>
      <c r="C401" s="23"/>
      <c r="F401" s="14" t="s">
        <v>40</v>
      </c>
    </row>
    <row r="402" spans="1:6" ht="21.75" thickBot="1" x14ac:dyDescent="0.4">
      <c r="A402" s="326" t="s">
        <v>138</v>
      </c>
      <c r="B402" s="327"/>
      <c r="C402" s="327"/>
      <c r="D402" s="327"/>
      <c r="E402" s="327"/>
      <c r="F402" s="328"/>
    </row>
    <row r="403" spans="1:6" ht="19.5" thickBot="1" x14ac:dyDescent="0.35">
      <c r="A403" s="10" t="s">
        <v>0</v>
      </c>
      <c r="B403" s="11" t="s">
        <v>3</v>
      </c>
      <c r="C403" s="11" t="s">
        <v>24</v>
      </c>
      <c r="D403" s="11" t="s">
        <v>1</v>
      </c>
      <c r="E403" s="11" t="s">
        <v>23</v>
      </c>
      <c r="F403" s="12" t="s">
        <v>27</v>
      </c>
    </row>
    <row r="404" spans="1:6" x14ac:dyDescent="0.25">
      <c r="A404" s="3">
        <v>1</v>
      </c>
      <c r="B404" s="67">
        <v>46031</v>
      </c>
      <c r="C404" s="329" t="s">
        <v>334</v>
      </c>
      <c r="D404" s="336" t="s">
        <v>645</v>
      </c>
      <c r="E404" s="333" t="s">
        <v>603</v>
      </c>
      <c r="F404" s="3" t="s">
        <v>146</v>
      </c>
    </row>
    <row r="405" spans="1:6" x14ac:dyDescent="0.25">
      <c r="A405" s="3">
        <v>2</v>
      </c>
      <c r="B405" s="67">
        <v>46031</v>
      </c>
      <c r="C405" s="309"/>
      <c r="D405" s="337"/>
      <c r="E405" s="334"/>
      <c r="F405" s="3" t="s">
        <v>146</v>
      </c>
    </row>
    <row r="406" spans="1:6" x14ac:dyDescent="0.25">
      <c r="A406" s="3">
        <v>3</v>
      </c>
      <c r="B406" s="67">
        <v>46031</v>
      </c>
      <c r="C406" s="309"/>
      <c r="D406" s="337"/>
      <c r="E406" s="334"/>
      <c r="F406" s="3" t="s">
        <v>146</v>
      </c>
    </row>
    <row r="407" spans="1:6" x14ac:dyDescent="0.25">
      <c r="A407" s="3">
        <v>4</v>
      </c>
      <c r="B407" s="67">
        <v>46031</v>
      </c>
      <c r="C407" s="309"/>
      <c r="D407" s="337"/>
      <c r="E407" s="334"/>
      <c r="F407" s="3" t="s">
        <v>146</v>
      </c>
    </row>
    <row r="408" spans="1:6" x14ac:dyDescent="0.25">
      <c r="A408" s="3">
        <v>5</v>
      </c>
      <c r="B408" s="67">
        <v>46031</v>
      </c>
      <c r="C408" s="310"/>
      <c r="D408" s="338"/>
      <c r="E408" s="335"/>
      <c r="F408" s="3" t="s">
        <v>146</v>
      </c>
    </row>
    <row r="409" spans="1:6" ht="15.75" thickBot="1" x14ac:dyDescent="0.3">
      <c r="A409" s="339" t="s">
        <v>41</v>
      </c>
      <c r="B409" s="340"/>
      <c r="C409" s="340"/>
      <c r="D409" s="340"/>
      <c r="E409" s="17">
        <f>320+50</f>
        <v>370</v>
      </c>
      <c r="F409" s="1"/>
    </row>
    <row r="410" spans="1:6" ht="15.75" thickBot="1" x14ac:dyDescent="0.3">
      <c r="A410" s="292" t="s">
        <v>39</v>
      </c>
      <c r="B410" s="293"/>
      <c r="C410" s="23"/>
      <c r="F410" s="14" t="s">
        <v>40</v>
      </c>
    </row>
    <row r="411" spans="1:6" ht="15.75" thickBot="1" x14ac:dyDescent="0.3"/>
    <row r="412" spans="1:6" ht="21.75" thickBot="1" x14ac:dyDescent="0.4">
      <c r="A412" s="326" t="s">
        <v>138</v>
      </c>
      <c r="B412" s="327"/>
      <c r="C412" s="327"/>
      <c r="D412" s="327"/>
      <c r="E412" s="327"/>
      <c r="F412" s="328"/>
    </row>
    <row r="413" spans="1:6" ht="19.5" thickBot="1" x14ac:dyDescent="0.35">
      <c r="A413" s="10" t="s">
        <v>0</v>
      </c>
      <c r="B413" s="11" t="s">
        <v>3</v>
      </c>
      <c r="C413" s="11" t="s">
        <v>24</v>
      </c>
      <c r="D413" s="11" t="s">
        <v>1</v>
      </c>
      <c r="E413" s="11" t="s">
        <v>23</v>
      </c>
      <c r="F413" s="12" t="s">
        <v>27</v>
      </c>
    </row>
    <row r="414" spans="1:6" x14ac:dyDescent="0.25">
      <c r="A414" s="3">
        <v>1</v>
      </c>
      <c r="B414" s="67">
        <v>46032</v>
      </c>
      <c r="C414" s="329" t="s">
        <v>467</v>
      </c>
      <c r="D414" s="336" t="s">
        <v>661</v>
      </c>
      <c r="E414" s="333" t="s">
        <v>662</v>
      </c>
      <c r="F414" s="3" t="s">
        <v>146</v>
      </c>
    </row>
    <row r="415" spans="1:6" x14ac:dyDescent="0.25">
      <c r="A415" s="3">
        <v>2</v>
      </c>
      <c r="B415" s="67">
        <v>46032</v>
      </c>
      <c r="C415" s="309"/>
      <c r="D415" s="337"/>
      <c r="E415" s="334"/>
      <c r="F415" s="3" t="s">
        <v>146</v>
      </c>
    </row>
    <row r="416" spans="1:6" x14ac:dyDescent="0.25">
      <c r="A416" s="3">
        <v>3</v>
      </c>
      <c r="B416" s="67">
        <v>46032</v>
      </c>
      <c r="C416" s="309"/>
      <c r="D416" s="337"/>
      <c r="E416" s="334"/>
      <c r="F416" s="3" t="s">
        <v>146</v>
      </c>
    </row>
    <row r="417" spans="1:6" x14ac:dyDescent="0.25">
      <c r="A417" s="3">
        <v>4</v>
      </c>
      <c r="B417" s="67">
        <v>46032</v>
      </c>
      <c r="C417" s="309"/>
      <c r="D417" s="337"/>
      <c r="E417" s="334"/>
      <c r="F417" s="3" t="s">
        <v>146</v>
      </c>
    </row>
    <row r="418" spans="1:6" x14ac:dyDescent="0.25">
      <c r="A418" s="3">
        <v>5</v>
      </c>
      <c r="B418" s="67">
        <v>46032</v>
      </c>
      <c r="C418" s="310"/>
      <c r="D418" s="338"/>
      <c r="E418" s="335"/>
      <c r="F418" s="3" t="s">
        <v>146</v>
      </c>
    </row>
    <row r="419" spans="1:6" ht="15.75" thickBot="1" x14ac:dyDescent="0.3">
      <c r="A419" s="339"/>
      <c r="B419" s="340"/>
      <c r="C419" s="340"/>
      <c r="D419" s="340"/>
      <c r="E419" s="17">
        <f>220+45</f>
        <v>265</v>
      </c>
      <c r="F419" s="1"/>
    </row>
    <row r="420" spans="1:6" ht="15.75" thickBot="1" x14ac:dyDescent="0.3">
      <c r="A420" s="292" t="s">
        <v>39</v>
      </c>
      <c r="B420" s="293"/>
      <c r="C420" s="23"/>
      <c r="F420" s="14" t="s">
        <v>40</v>
      </c>
    </row>
    <row r="421" spans="1:6" ht="15.75" thickBot="1" x14ac:dyDescent="0.3"/>
    <row r="422" spans="1:6" ht="21.75" thickBot="1" x14ac:dyDescent="0.4">
      <c r="A422" s="326" t="s">
        <v>138</v>
      </c>
      <c r="B422" s="327"/>
      <c r="C422" s="327"/>
      <c r="D422" s="327"/>
      <c r="E422" s="327"/>
      <c r="F422" s="328"/>
    </row>
    <row r="423" spans="1:6" ht="19.5" thickBot="1" x14ac:dyDescent="0.35">
      <c r="A423" s="10" t="s">
        <v>0</v>
      </c>
      <c r="B423" s="11" t="s">
        <v>3</v>
      </c>
      <c r="C423" s="11" t="s">
        <v>24</v>
      </c>
      <c r="D423" s="11" t="s">
        <v>1</v>
      </c>
      <c r="E423" s="11" t="s">
        <v>23</v>
      </c>
      <c r="F423" s="12" t="s">
        <v>27</v>
      </c>
    </row>
    <row r="424" spans="1:6" x14ac:dyDescent="0.25">
      <c r="A424" s="3">
        <v>1</v>
      </c>
      <c r="B424" s="67">
        <v>46032</v>
      </c>
      <c r="C424" s="329" t="s">
        <v>470</v>
      </c>
      <c r="D424" s="336" t="s">
        <v>661</v>
      </c>
      <c r="E424" s="333" t="s">
        <v>662</v>
      </c>
      <c r="F424" s="3" t="s">
        <v>146</v>
      </c>
    </row>
    <row r="425" spans="1:6" x14ac:dyDescent="0.25">
      <c r="A425" s="3">
        <v>2</v>
      </c>
      <c r="B425" s="67">
        <v>46032</v>
      </c>
      <c r="C425" s="309"/>
      <c r="D425" s="337"/>
      <c r="E425" s="334"/>
      <c r="F425" s="3" t="s">
        <v>146</v>
      </c>
    </row>
    <row r="426" spans="1:6" x14ac:dyDescent="0.25">
      <c r="A426" s="3">
        <v>3</v>
      </c>
      <c r="B426" s="67">
        <v>46032</v>
      </c>
      <c r="C426" s="309"/>
      <c r="D426" s="337"/>
      <c r="E426" s="334"/>
      <c r="F426" s="3" t="s">
        <v>146</v>
      </c>
    </row>
    <row r="427" spans="1:6" x14ac:dyDescent="0.25">
      <c r="A427" s="3">
        <v>4</v>
      </c>
      <c r="B427" s="67">
        <v>46032</v>
      </c>
      <c r="C427" s="309"/>
      <c r="D427" s="337"/>
      <c r="E427" s="334"/>
      <c r="F427" s="3" t="s">
        <v>146</v>
      </c>
    </row>
    <row r="428" spans="1:6" x14ac:dyDescent="0.25">
      <c r="A428" s="3">
        <v>5</v>
      </c>
      <c r="B428" s="67">
        <v>46032</v>
      </c>
      <c r="C428" s="310"/>
      <c r="D428" s="338"/>
      <c r="E428" s="335"/>
      <c r="F428" s="3" t="s">
        <v>146</v>
      </c>
    </row>
    <row r="429" spans="1:6" ht="15.75" thickBot="1" x14ac:dyDescent="0.3">
      <c r="A429" s="339" t="s">
        <v>41</v>
      </c>
      <c r="B429" s="340"/>
      <c r="C429" s="340"/>
      <c r="D429" s="340"/>
      <c r="E429" s="17">
        <f>220+45</f>
        <v>265</v>
      </c>
      <c r="F429" s="1"/>
    </row>
    <row r="430" spans="1:6" ht="15.75" thickBot="1" x14ac:dyDescent="0.3">
      <c r="A430" s="292" t="s">
        <v>39</v>
      </c>
      <c r="B430" s="293"/>
      <c r="C430" s="23"/>
      <c r="F430" s="14" t="s">
        <v>40</v>
      </c>
    </row>
    <row r="431" spans="1:6" ht="15.75" thickBot="1" x14ac:dyDescent="0.3"/>
    <row r="432" spans="1:6" ht="21.75" thickBot="1" x14ac:dyDescent="0.4">
      <c r="A432" s="326" t="s">
        <v>138</v>
      </c>
      <c r="B432" s="327"/>
      <c r="C432" s="327"/>
      <c r="D432" s="327"/>
      <c r="E432" s="327"/>
      <c r="F432" s="328"/>
    </row>
    <row r="433" spans="1:6" ht="19.5" thickBot="1" x14ac:dyDescent="0.35">
      <c r="A433" s="10" t="s">
        <v>0</v>
      </c>
      <c r="B433" s="11" t="s">
        <v>3</v>
      </c>
      <c r="C433" s="11" t="s">
        <v>24</v>
      </c>
      <c r="D433" s="11" t="s">
        <v>1</v>
      </c>
      <c r="E433" s="11" t="s">
        <v>23</v>
      </c>
      <c r="F433" s="12" t="s">
        <v>27</v>
      </c>
    </row>
    <row r="434" spans="1:6" x14ac:dyDescent="0.25">
      <c r="A434" s="3">
        <v>1</v>
      </c>
      <c r="B434" s="67">
        <v>46034</v>
      </c>
      <c r="C434" s="329" t="s">
        <v>467</v>
      </c>
      <c r="D434" s="336" t="s">
        <v>686</v>
      </c>
      <c r="E434" s="333" t="s">
        <v>687</v>
      </c>
      <c r="F434" s="3" t="s">
        <v>146</v>
      </c>
    </row>
    <row r="435" spans="1:6" x14ac:dyDescent="0.25">
      <c r="A435" s="3">
        <v>2</v>
      </c>
      <c r="B435" s="67">
        <v>46034</v>
      </c>
      <c r="C435" s="309"/>
      <c r="D435" s="337"/>
      <c r="E435" s="334"/>
      <c r="F435" s="3" t="s">
        <v>146</v>
      </c>
    </row>
    <row r="436" spans="1:6" x14ac:dyDescent="0.25">
      <c r="A436" s="3">
        <v>3</v>
      </c>
      <c r="B436" s="67">
        <v>46034</v>
      </c>
      <c r="C436" s="309"/>
      <c r="D436" s="337"/>
      <c r="E436" s="334"/>
      <c r="F436" s="3" t="s">
        <v>146</v>
      </c>
    </row>
    <row r="437" spans="1:6" x14ac:dyDescent="0.25">
      <c r="A437" s="3">
        <v>4</v>
      </c>
      <c r="B437" s="67">
        <v>46034</v>
      </c>
      <c r="C437" s="309"/>
      <c r="D437" s="337"/>
      <c r="E437" s="334"/>
      <c r="F437" s="3" t="s">
        <v>146</v>
      </c>
    </row>
    <row r="438" spans="1:6" x14ac:dyDescent="0.25">
      <c r="A438" s="3">
        <v>5</v>
      </c>
      <c r="B438" s="67">
        <v>46034</v>
      </c>
      <c r="C438" s="310"/>
      <c r="D438" s="338"/>
      <c r="E438" s="335"/>
      <c r="F438" s="3" t="s">
        <v>146</v>
      </c>
    </row>
    <row r="439" spans="1:6" ht="15.75" thickBot="1" x14ac:dyDescent="0.3">
      <c r="A439" s="339"/>
      <c r="B439" s="340"/>
      <c r="C439" s="340"/>
      <c r="D439" s="340"/>
      <c r="E439" s="131">
        <f>220+52.5</f>
        <v>272.5</v>
      </c>
      <c r="F439" s="1"/>
    </row>
    <row r="440" spans="1:6" ht="15.75" thickBot="1" x14ac:dyDescent="0.3">
      <c r="A440" s="292" t="s">
        <v>39</v>
      </c>
      <c r="B440" s="293"/>
      <c r="C440" s="23"/>
      <c r="F440" s="14" t="s">
        <v>40</v>
      </c>
    </row>
    <row r="441" spans="1:6" ht="21.75" thickBot="1" x14ac:dyDescent="0.4">
      <c r="A441" s="326" t="s">
        <v>138</v>
      </c>
      <c r="B441" s="327"/>
      <c r="C441" s="327"/>
      <c r="D441" s="327"/>
      <c r="E441" s="327"/>
      <c r="F441" s="328"/>
    </row>
    <row r="442" spans="1:6" ht="19.5" thickBot="1" x14ac:dyDescent="0.35">
      <c r="A442" s="10" t="s">
        <v>0</v>
      </c>
      <c r="B442" s="11" t="s">
        <v>3</v>
      </c>
      <c r="C442" s="11" t="s">
        <v>24</v>
      </c>
      <c r="D442" s="11" t="s">
        <v>1</v>
      </c>
      <c r="E442" s="11" t="s">
        <v>23</v>
      </c>
      <c r="F442" s="12" t="s">
        <v>27</v>
      </c>
    </row>
    <row r="443" spans="1:6" x14ac:dyDescent="0.25">
      <c r="A443" s="3">
        <v>1</v>
      </c>
      <c r="B443" s="67">
        <v>46034</v>
      </c>
      <c r="C443" s="329" t="s">
        <v>472</v>
      </c>
      <c r="D443" s="336" t="s">
        <v>686</v>
      </c>
      <c r="E443" s="333" t="s">
        <v>687</v>
      </c>
      <c r="F443" s="3" t="s">
        <v>146</v>
      </c>
    </row>
    <row r="444" spans="1:6" x14ac:dyDescent="0.25">
      <c r="A444" s="3">
        <v>2</v>
      </c>
      <c r="B444" s="67">
        <v>46034</v>
      </c>
      <c r="C444" s="309"/>
      <c r="D444" s="337"/>
      <c r="E444" s="334"/>
      <c r="F444" s="3" t="s">
        <v>146</v>
      </c>
    </row>
    <row r="445" spans="1:6" x14ac:dyDescent="0.25">
      <c r="A445" s="3">
        <v>3</v>
      </c>
      <c r="B445" s="67">
        <v>46034</v>
      </c>
      <c r="C445" s="309"/>
      <c r="D445" s="337"/>
      <c r="E445" s="334"/>
      <c r="F445" s="3" t="s">
        <v>146</v>
      </c>
    </row>
    <row r="446" spans="1:6" x14ac:dyDescent="0.25">
      <c r="A446" s="3">
        <v>4</v>
      </c>
      <c r="B446" s="67">
        <v>46034</v>
      </c>
      <c r="C446" s="309"/>
      <c r="D446" s="337"/>
      <c r="E446" s="334"/>
      <c r="F446" s="3" t="s">
        <v>146</v>
      </c>
    </row>
    <row r="447" spans="1:6" x14ac:dyDescent="0.25">
      <c r="A447" s="3">
        <v>5</v>
      </c>
      <c r="B447" s="67">
        <v>46034</v>
      </c>
      <c r="C447" s="310"/>
      <c r="D447" s="338"/>
      <c r="E447" s="335"/>
      <c r="F447" s="3" t="s">
        <v>146</v>
      </c>
    </row>
    <row r="448" spans="1:6" ht="15.75" thickBot="1" x14ac:dyDescent="0.3">
      <c r="A448" s="339" t="s">
        <v>41</v>
      </c>
      <c r="B448" s="340"/>
      <c r="C448" s="340"/>
      <c r="D448" s="340"/>
      <c r="E448" s="131">
        <f>220+52.5</f>
        <v>272.5</v>
      </c>
      <c r="F448" s="1"/>
    </row>
    <row r="449" spans="1:6" ht="15.75" thickBot="1" x14ac:dyDescent="0.3">
      <c r="A449" s="292" t="s">
        <v>39</v>
      </c>
      <c r="B449" s="293"/>
      <c r="C449" s="23"/>
      <c r="F449" s="14" t="s">
        <v>40</v>
      </c>
    </row>
    <row r="450" spans="1:6" ht="21.75" thickBot="1" x14ac:dyDescent="0.4">
      <c r="A450" s="326" t="s">
        <v>138</v>
      </c>
      <c r="B450" s="327"/>
      <c r="C450" s="327"/>
      <c r="D450" s="327"/>
      <c r="E450" s="327"/>
      <c r="F450" s="328"/>
    </row>
    <row r="451" spans="1:6" ht="19.5" thickBot="1" x14ac:dyDescent="0.35">
      <c r="A451" s="10" t="s">
        <v>0</v>
      </c>
      <c r="B451" s="11" t="s">
        <v>3</v>
      </c>
      <c r="C451" s="11" t="s">
        <v>24</v>
      </c>
      <c r="D451" s="11" t="s">
        <v>1</v>
      </c>
      <c r="E451" s="11" t="s">
        <v>23</v>
      </c>
      <c r="F451" s="12" t="s">
        <v>27</v>
      </c>
    </row>
    <row r="452" spans="1:6" x14ac:dyDescent="0.25">
      <c r="A452" s="3">
        <v>1</v>
      </c>
      <c r="B452" s="67">
        <v>46034</v>
      </c>
      <c r="C452" s="329" t="s">
        <v>470</v>
      </c>
      <c r="D452" s="336" t="s">
        <v>686</v>
      </c>
      <c r="E452" s="333" t="s">
        <v>687</v>
      </c>
      <c r="F452" s="3" t="s">
        <v>146</v>
      </c>
    </row>
    <row r="453" spans="1:6" x14ac:dyDescent="0.25">
      <c r="A453" s="3">
        <v>2</v>
      </c>
      <c r="B453" s="67">
        <v>46034</v>
      </c>
      <c r="C453" s="309"/>
      <c r="D453" s="337"/>
      <c r="E453" s="334"/>
      <c r="F453" s="3" t="s">
        <v>146</v>
      </c>
    </row>
    <row r="454" spans="1:6" x14ac:dyDescent="0.25">
      <c r="A454" s="3">
        <v>3</v>
      </c>
      <c r="B454" s="67">
        <v>46034</v>
      </c>
      <c r="C454" s="309"/>
      <c r="D454" s="337"/>
      <c r="E454" s="334"/>
      <c r="F454" s="3" t="s">
        <v>146</v>
      </c>
    </row>
    <row r="455" spans="1:6" x14ac:dyDescent="0.25">
      <c r="A455" s="3">
        <v>4</v>
      </c>
      <c r="B455" s="67">
        <v>46034</v>
      </c>
      <c r="C455" s="309"/>
      <c r="D455" s="337"/>
      <c r="E455" s="334"/>
      <c r="F455" s="3" t="s">
        <v>146</v>
      </c>
    </row>
    <row r="456" spans="1:6" x14ac:dyDescent="0.25">
      <c r="A456" s="3">
        <v>5</v>
      </c>
      <c r="B456" s="67">
        <v>46034</v>
      </c>
      <c r="C456" s="310"/>
      <c r="D456" s="338"/>
      <c r="E456" s="335"/>
      <c r="F456" s="3" t="s">
        <v>146</v>
      </c>
    </row>
    <row r="457" spans="1:6" ht="15.75" thickBot="1" x14ac:dyDescent="0.3">
      <c r="A457" s="339" t="s">
        <v>41</v>
      </c>
      <c r="B457" s="340"/>
      <c r="C457" s="340"/>
      <c r="D457" s="340"/>
      <c r="E457" s="131">
        <f>220+52.5</f>
        <v>272.5</v>
      </c>
      <c r="F457" s="1"/>
    </row>
    <row r="458" spans="1:6" ht="15.75" thickBot="1" x14ac:dyDescent="0.3">
      <c r="A458" s="292" t="s">
        <v>39</v>
      </c>
      <c r="B458" s="293"/>
      <c r="C458" s="23"/>
      <c r="F458" s="14" t="s">
        <v>40</v>
      </c>
    </row>
    <row r="459" spans="1:6" ht="21.75" thickBot="1" x14ac:dyDescent="0.4">
      <c r="A459" s="326" t="s">
        <v>138</v>
      </c>
      <c r="B459" s="327"/>
      <c r="C459" s="327"/>
      <c r="D459" s="327"/>
      <c r="E459" s="327"/>
      <c r="F459" s="328"/>
    </row>
    <row r="460" spans="1:6" ht="19.5" thickBot="1" x14ac:dyDescent="0.35">
      <c r="A460" s="10" t="s">
        <v>0</v>
      </c>
      <c r="B460" s="11" t="s">
        <v>3</v>
      </c>
      <c r="C460" s="11" t="s">
        <v>24</v>
      </c>
      <c r="D460" s="11" t="s">
        <v>1</v>
      </c>
      <c r="E460" s="11" t="s">
        <v>23</v>
      </c>
      <c r="F460" s="12" t="s">
        <v>27</v>
      </c>
    </row>
    <row r="461" spans="1:6" x14ac:dyDescent="0.25">
      <c r="A461" s="3">
        <v>1</v>
      </c>
      <c r="B461" s="67">
        <v>46034</v>
      </c>
      <c r="C461" s="329" t="s">
        <v>334</v>
      </c>
      <c r="D461" s="336" t="s">
        <v>686</v>
      </c>
      <c r="E461" s="333" t="s">
        <v>687</v>
      </c>
      <c r="F461" s="3" t="s">
        <v>146</v>
      </c>
    </row>
    <row r="462" spans="1:6" x14ac:dyDescent="0.25">
      <c r="A462" s="3">
        <v>2</v>
      </c>
      <c r="B462" s="67">
        <v>46034</v>
      </c>
      <c r="C462" s="309"/>
      <c r="D462" s="337"/>
      <c r="E462" s="334"/>
      <c r="F462" s="3" t="s">
        <v>146</v>
      </c>
    </row>
    <row r="463" spans="1:6" x14ac:dyDescent="0.25">
      <c r="A463" s="3">
        <v>3</v>
      </c>
      <c r="B463" s="67">
        <v>46034</v>
      </c>
      <c r="C463" s="309"/>
      <c r="D463" s="337"/>
      <c r="E463" s="334"/>
      <c r="F463" s="3" t="s">
        <v>146</v>
      </c>
    </row>
    <row r="464" spans="1:6" x14ac:dyDescent="0.25">
      <c r="A464" s="3">
        <v>4</v>
      </c>
      <c r="B464" s="67">
        <v>46034</v>
      </c>
      <c r="C464" s="309"/>
      <c r="D464" s="337"/>
      <c r="E464" s="334"/>
      <c r="F464" s="3" t="s">
        <v>146</v>
      </c>
    </row>
    <row r="465" spans="1:6" x14ac:dyDescent="0.25">
      <c r="A465" s="3">
        <v>5</v>
      </c>
      <c r="B465" s="67">
        <v>46034</v>
      </c>
      <c r="C465" s="310"/>
      <c r="D465" s="338"/>
      <c r="E465" s="335"/>
      <c r="F465" s="3" t="s">
        <v>146</v>
      </c>
    </row>
    <row r="466" spans="1:6" ht="15.75" thickBot="1" x14ac:dyDescent="0.3">
      <c r="A466" s="339" t="s">
        <v>41</v>
      </c>
      <c r="B466" s="340"/>
      <c r="C466" s="340"/>
      <c r="D466" s="340"/>
      <c r="E466" s="131">
        <f>220+52.5</f>
        <v>272.5</v>
      </c>
      <c r="F466" s="1"/>
    </row>
    <row r="467" spans="1:6" ht="15.75" thickBot="1" x14ac:dyDescent="0.3">
      <c r="A467" s="292" t="s">
        <v>39</v>
      </c>
      <c r="B467" s="293"/>
      <c r="C467" s="23"/>
      <c r="F467" s="14" t="s">
        <v>40</v>
      </c>
    </row>
    <row r="468" spans="1:6" ht="21.75" thickBot="1" x14ac:dyDescent="0.4">
      <c r="A468" s="326" t="s">
        <v>139</v>
      </c>
      <c r="B468" s="327"/>
      <c r="C468" s="327"/>
      <c r="D468" s="327"/>
      <c r="E468" s="327"/>
      <c r="F468" s="328"/>
    </row>
    <row r="469" spans="1:6" ht="19.5" thickBot="1" x14ac:dyDescent="0.35">
      <c r="A469" s="10" t="s">
        <v>0</v>
      </c>
      <c r="B469" s="11" t="s">
        <v>3</v>
      </c>
      <c r="C469" s="11" t="s">
        <v>24</v>
      </c>
      <c r="D469" s="11" t="s">
        <v>1</v>
      </c>
      <c r="E469" s="11" t="s">
        <v>23</v>
      </c>
      <c r="F469" s="12" t="s">
        <v>27</v>
      </c>
    </row>
    <row r="470" spans="1:6" x14ac:dyDescent="0.25">
      <c r="A470" s="3">
        <v>1</v>
      </c>
      <c r="B470" s="67">
        <v>46034</v>
      </c>
      <c r="C470" s="329" t="s">
        <v>334</v>
      </c>
      <c r="D470" s="336" t="s">
        <v>688</v>
      </c>
      <c r="E470" s="333" t="s">
        <v>689</v>
      </c>
      <c r="F470" s="3" t="s">
        <v>146</v>
      </c>
    </row>
    <row r="471" spans="1:6" x14ac:dyDescent="0.25">
      <c r="A471" s="3">
        <v>2</v>
      </c>
      <c r="B471" s="67">
        <v>46034</v>
      </c>
      <c r="C471" s="309"/>
      <c r="D471" s="337"/>
      <c r="E471" s="334"/>
      <c r="F471" s="3" t="s">
        <v>146</v>
      </c>
    </row>
    <row r="472" spans="1:6" x14ac:dyDescent="0.25">
      <c r="A472" s="3">
        <v>3</v>
      </c>
      <c r="B472" s="67">
        <v>46034</v>
      </c>
      <c r="C472" s="309"/>
      <c r="D472" s="337"/>
      <c r="E472" s="334"/>
      <c r="F472" s="3" t="s">
        <v>146</v>
      </c>
    </row>
    <row r="473" spans="1:6" x14ac:dyDescent="0.25">
      <c r="A473" s="3">
        <v>4</v>
      </c>
      <c r="B473" s="67">
        <v>46034</v>
      </c>
      <c r="C473" s="309"/>
      <c r="D473" s="337"/>
      <c r="E473" s="334"/>
      <c r="F473" s="3" t="s">
        <v>146</v>
      </c>
    </row>
    <row r="474" spans="1:6" x14ac:dyDescent="0.25">
      <c r="A474" s="3">
        <v>5</v>
      </c>
      <c r="B474" s="67">
        <v>46034</v>
      </c>
      <c r="C474" s="310"/>
      <c r="D474" s="338"/>
      <c r="E474" s="335"/>
      <c r="F474" s="3" t="s">
        <v>146</v>
      </c>
    </row>
    <row r="475" spans="1:6" ht="15.75" thickBot="1" x14ac:dyDescent="0.3">
      <c r="A475" s="339" t="s">
        <v>41</v>
      </c>
      <c r="B475" s="340"/>
      <c r="C475" s="340"/>
      <c r="D475" s="340"/>
      <c r="E475" s="17">
        <f>180+180</f>
        <v>360</v>
      </c>
      <c r="F475" s="1"/>
    </row>
    <row r="476" spans="1:6" ht="15.75" thickBot="1" x14ac:dyDescent="0.3">
      <c r="A476" s="292" t="s">
        <v>39</v>
      </c>
      <c r="B476" s="293"/>
      <c r="C476" s="23"/>
      <c r="F476" s="14" t="s">
        <v>40</v>
      </c>
    </row>
    <row r="477" spans="1:6" ht="15.75" thickBot="1" x14ac:dyDescent="0.3"/>
    <row r="478" spans="1:6" ht="21.75" thickBot="1" x14ac:dyDescent="0.4">
      <c r="A478" s="326" t="s">
        <v>138</v>
      </c>
      <c r="B478" s="327"/>
      <c r="C478" s="327"/>
      <c r="D478" s="327"/>
      <c r="E478" s="327"/>
      <c r="F478" s="328"/>
    </row>
    <row r="479" spans="1:6" ht="19.5" thickBot="1" x14ac:dyDescent="0.35">
      <c r="A479" s="10" t="s">
        <v>0</v>
      </c>
      <c r="B479" s="11" t="s">
        <v>3</v>
      </c>
      <c r="C479" s="11" t="s">
        <v>24</v>
      </c>
      <c r="D479" s="11" t="s">
        <v>1</v>
      </c>
      <c r="E479" s="11" t="s">
        <v>23</v>
      </c>
      <c r="F479" s="12" t="s">
        <v>27</v>
      </c>
    </row>
    <row r="480" spans="1:6" x14ac:dyDescent="0.25">
      <c r="A480" s="3">
        <v>1</v>
      </c>
      <c r="B480" s="67">
        <v>46035</v>
      </c>
      <c r="C480" s="329" t="s">
        <v>334</v>
      </c>
      <c r="D480" s="336" t="s">
        <v>726</v>
      </c>
      <c r="E480" s="333" t="s">
        <v>727</v>
      </c>
      <c r="F480" s="3" t="s">
        <v>146</v>
      </c>
    </row>
    <row r="481" spans="1:6" x14ac:dyDescent="0.25">
      <c r="A481" s="3">
        <v>2</v>
      </c>
      <c r="B481" s="67">
        <v>46035</v>
      </c>
      <c r="C481" s="309"/>
      <c r="D481" s="337"/>
      <c r="E481" s="334"/>
      <c r="F481" s="3" t="s">
        <v>146</v>
      </c>
    </row>
    <row r="482" spans="1:6" x14ac:dyDescent="0.25">
      <c r="A482" s="3">
        <v>3</v>
      </c>
      <c r="B482" s="67">
        <v>46035</v>
      </c>
      <c r="C482" s="309"/>
      <c r="D482" s="337"/>
      <c r="E482" s="334"/>
      <c r="F482" s="3" t="s">
        <v>146</v>
      </c>
    </row>
    <row r="483" spans="1:6" x14ac:dyDescent="0.25">
      <c r="A483" s="3">
        <v>4</v>
      </c>
      <c r="B483" s="67">
        <v>46035</v>
      </c>
      <c r="C483" s="309"/>
      <c r="D483" s="337"/>
      <c r="E483" s="334"/>
      <c r="F483" s="3" t="s">
        <v>146</v>
      </c>
    </row>
    <row r="484" spans="1:6" x14ac:dyDescent="0.25">
      <c r="A484" s="3">
        <v>5</v>
      </c>
      <c r="B484" s="67">
        <v>46035</v>
      </c>
      <c r="C484" s="310"/>
      <c r="D484" s="338"/>
      <c r="E484" s="335"/>
      <c r="F484" s="3" t="s">
        <v>146</v>
      </c>
    </row>
    <row r="485" spans="1:6" ht="15.75" thickBot="1" x14ac:dyDescent="0.3">
      <c r="A485" s="339" t="s">
        <v>41</v>
      </c>
      <c r="B485" s="340"/>
      <c r="C485" s="340"/>
      <c r="D485" s="340"/>
      <c r="E485" s="131">
        <f>250+50+60</f>
        <v>360</v>
      </c>
      <c r="F485" s="1"/>
    </row>
    <row r="486" spans="1:6" ht="15.75" thickBot="1" x14ac:dyDescent="0.3">
      <c r="A486" s="292" t="s">
        <v>39</v>
      </c>
      <c r="B486" s="293"/>
      <c r="C486" s="23"/>
      <c r="F486" s="14" t="s">
        <v>40</v>
      </c>
    </row>
    <row r="487" spans="1:6" ht="15.75" thickBot="1" x14ac:dyDescent="0.3"/>
    <row r="488" spans="1:6" ht="21.75" thickBot="1" x14ac:dyDescent="0.4">
      <c r="A488" s="326" t="s">
        <v>138</v>
      </c>
      <c r="B488" s="327"/>
      <c r="C488" s="327"/>
      <c r="D488" s="327"/>
      <c r="E488" s="327"/>
      <c r="F488" s="328"/>
    </row>
    <row r="489" spans="1:6" ht="19.5" thickBot="1" x14ac:dyDescent="0.35">
      <c r="A489" s="10" t="s">
        <v>0</v>
      </c>
      <c r="B489" s="11" t="s">
        <v>3</v>
      </c>
      <c r="C489" s="11" t="s">
        <v>24</v>
      </c>
      <c r="D489" s="11" t="s">
        <v>1</v>
      </c>
      <c r="E489" s="11" t="s">
        <v>23</v>
      </c>
      <c r="F489" s="12" t="s">
        <v>27</v>
      </c>
    </row>
    <row r="490" spans="1:6" x14ac:dyDescent="0.25">
      <c r="A490" s="3">
        <v>1</v>
      </c>
      <c r="B490" s="67">
        <v>46035</v>
      </c>
      <c r="C490" s="329" t="s">
        <v>467</v>
      </c>
      <c r="D490" s="336" t="s">
        <v>726</v>
      </c>
      <c r="E490" s="333" t="s">
        <v>727</v>
      </c>
      <c r="F490" s="3" t="s">
        <v>146</v>
      </c>
    </row>
    <row r="491" spans="1:6" x14ac:dyDescent="0.25">
      <c r="A491" s="3">
        <v>2</v>
      </c>
      <c r="B491" s="67">
        <v>46035</v>
      </c>
      <c r="C491" s="309"/>
      <c r="D491" s="337"/>
      <c r="E491" s="334"/>
      <c r="F491" s="3" t="s">
        <v>146</v>
      </c>
    </row>
    <row r="492" spans="1:6" x14ac:dyDescent="0.25">
      <c r="A492" s="3">
        <v>3</v>
      </c>
      <c r="B492" s="67">
        <v>46035</v>
      </c>
      <c r="C492" s="309"/>
      <c r="D492" s="337"/>
      <c r="E492" s="334"/>
      <c r="F492" s="3" t="s">
        <v>146</v>
      </c>
    </row>
    <row r="493" spans="1:6" x14ac:dyDescent="0.25">
      <c r="A493" s="3">
        <v>4</v>
      </c>
      <c r="B493" s="67">
        <v>46035</v>
      </c>
      <c r="C493" s="309"/>
      <c r="D493" s="337"/>
      <c r="E493" s="334"/>
      <c r="F493" s="3" t="s">
        <v>146</v>
      </c>
    </row>
    <row r="494" spans="1:6" x14ac:dyDescent="0.25">
      <c r="A494" s="3">
        <v>5</v>
      </c>
      <c r="B494" s="67">
        <v>46035</v>
      </c>
      <c r="C494" s="310"/>
      <c r="D494" s="338"/>
      <c r="E494" s="335"/>
      <c r="F494" s="3" t="s">
        <v>146</v>
      </c>
    </row>
    <row r="495" spans="1:6" ht="15.75" thickBot="1" x14ac:dyDescent="0.3">
      <c r="A495" s="339"/>
      <c r="B495" s="340"/>
      <c r="C495" s="340"/>
      <c r="D495" s="340"/>
      <c r="E495" s="131">
        <f>250+50+60</f>
        <v>360</v>
      </c>
      <c r="F495" s="1"/>
    </row>
    <row r="496" spans="1:6" ht="15.75" thickBot="1" x14ac:dyDescent="0.3">
      <c r="A496" s="292" t="s">
        <v>39</v>
      </c>
      <c r="B496" s="293"/>
      <c r="C496" s="23"/>
      <c r="F496" s="14" t="s">
        <v>40</v>
      </c>
    </row>
    <row r="497" spans="1:6" ht="15.75" thickBot="1" x14ac:dyDescent="0.3"/>
    <row r="498" spans="1:6" ht="21.75" thickBot="1" x14ac:dyDescent="0.4">
      <c r="A498" s="326" t="s">
        <v>138</v>
      </c>
      <c r="B498" s="327"/>
      <c r="C498" s="327"/>
      <c r="D498" s="327"/>
      <c r="E498" s="327"/>
      <c r="F498" s="328"/>
    </row>
    <row r="499" spans="1:6" ht="19.5" thickBot="1" x14ac:dyDescent="0.35">
      <c r="A499" s="10" t="s">
        <v>0</v>
      </c>
      <c r="B499" s="11" t="s">
        <v>3</v>
      </c>
      <c r="C499" s="11" t="s">
        <v>24</v>
      </c>
      <c r="D499" s="11" t="s">
        <v>1</v>
      </c>
      <c r="E499" s="11" t="s">
        <v>23</v>
      </c>
      <c r="F499" s="12" t="s">
        <v>27</v>
      </c>
    </row>
    <row r="500" spans="1:6" x14ac:dyDescent="0.25">
      <c r="A500" s="3">
        <v>1</v>
      </c>
      <c r="B500" s="67">
        <v>46035</v>
      </c>
      <c r="C500" s="329" t="s">
        <v>470</v>
      </c>
      <c r="D500" s="336" t="s">
        <v>726</v>
      </c>
      <c r="E500" s="333" t="s">
        <v>727</v>
      </c>
      <c r="F500" s="3" t="s">
        <v>146</v>
      </c>
    </row>
    <row r="501" spans="1:6" x14ac:dyDescent="0.25">
      <c r="A501" s="3">
        <v>2</v>
      </c>
      <c r="B501" s="67">
        <v>46035</v>
      </c>
      <c r="C501" s="309"/>
      <c r="D501" s="337"/>
      <c r="E501" s="334"/>
      <c r="F501" s="3" t="s">
        <v>146</v>
      </c>
    </row>
    <row r="502" spans="1:6" x14ac:dyDescent="0.25">
      <c r="A502" s="3">
        <v>3</v>
      </c>
      <c r="B502" s="67">
        <v>46035</v>
      </c>
      <c r="C502" s="309"/>
      <c r="D502" s="337"/>
      <c r="E502" s="334"/>
      <c r="F502" s="3" t="s">
        <v>146</v>
      </c>
    </row>
    <row r="503" spans="1:6" x14ac:dyDescent="0.25">
      <c r="A503" s="3">
        <v>4</v>
      </c>
      <c r="B503" s="67">
        <v>46035</v>
      </c>
      <c r="C503" s="309"/>
      <c r="D503" s="337"/>
      <c r="E503" s="334"/>
      <c r="F503" s="3" t="s">
        <v>146</v>
      </c>
    </row>
    <row r="504" spans="1:6" x14ac:dyDescent="0.25">
      <c r="A504" s="3">
        <v>5</v>
      </c>
      <c r="B504" s="67">
        <v>46035</v>
      </c>
      <c r="C504" s="310"/>
      <c r="D504" s="338"/>
      <c r="E504" s="335"/>
      <c r="F504" s="3" t="s">
        <v>146</v>
      </c>
    </row>
    <row r="505" spans="1:6" ht="15.75" thickBot="1" x14ac:dyDescent="0.3">
      <c r="A505" s="339" t="s">
        <v>41</v>
      </c>
      <c r="B505" s="340"/>
      <c r="C505" s="340"/>
      <c r="D505" s="340"/>
      <c r="E505" s="131">
        <f>250+50+60</f>
        <v>360</v>
      </c>
      <c r="F505" s="1"/>
    </row>
    <row r="506" spans="1:6" ht="15.75" thickBot="1" x14ac:dyDescent="0.3">
      <c r="A506" s="292" t="s">
        <v>39</v>
      </c>
      <c r="B506" s="293"/>
      <c r="C506" s="23"/>
      <c r="F506" s="14" t="s">
        <v>40</v>
      </c>
    </row>
    <row r="507" spans="1:6" ht="15.75" thickBot="1" x14ac:dyDescent="0.3"/>
    <row r="508" spans="1:6" ht="21.75" thickBot="1" x14ac:dyDescent="0.4">
      <c r="A508" s="326" t="s">
        <v>138</v>
      </c>
      <c r="B508" s="327"/>
      <c r="C508" s="327"/>
      <c r="D508" s="327"/>
      <c r="E508" s="327"/>
      <c r="F508" s="328"/>
    </row>
    <row r="509" spans="1:6" ht="19.5" thickBot="1" x14ac:dyDescent="0.35">
      <c r="A509" s="10" t="s">
        <v>0</v>
      </c>
      <c r="B509" s="11" t="s">
        <v>3</v>
      </c>
      <c r="C509" s="11" t="s">
        <v>24</v>
      </c>
      <c r="D509" s="11" t="s">
        <v>1</v>
      </c>
      <c r="E509" s="11" t="s">
        <v>23</v>
      </c>
      <c r="F509" s="12" t="s">
        <v>27</v>
      </c>
    </row>
    <row r="510" spans="1:6" x14ac:dyDescent="0.25">
      <c r="A510" s="3">
        <v>1</v>
      </c>
      <c r="B510" s="67">
        <v>46036</v>
      </c>
      <c r="C510" s="329" t="s">
        <v>467</v>
      </c>
      <c r="D510" s="336" t="s">
        <v>745</v>
      </c>
      <c r="E510" s="333" t="s">
        <v>746</v>
      </c>
      <c r="F510" s="3" t="s">
        <v>146</v>
      </c>
    </row>
    <row r="511" spans="1:6" x14ac:dyDescent="0.25">
      <c r="A511" s="3">
        <v>2</v>
      </c>
      <c r="B511" s="67">
        <v>46036</v>
      </c>
      <c r="C511" s="309"/>
      <c r="D511" s="337"/>
      <c r="E511" s="334"/>
      <c r="F511" s="3" t="s">
        <v>146</v>
      </c>
    </row>
    <row r="512" spans="1:6" x14ac:dyDescent="0.25">
      <c r="A512" s="3">
        <v>3</v>
      </c>
      <c r="B512" s="67">
        <v>46036</v>
      </c>
      <c r="C512" s="309"/>
      <c r="D512" s="337"/>
      <c r="E512" s="334"/>
      <c r="F512" s="3" t="s">
        <v>146</v>
      </c>
    </row>
    <row r="513" spans="1:6" x14ac:dyDescent="0.25">
      <c r="A513" s="3">
        <v>4</v>
      </c>
      <c r="B513" s="67">
        <v>46036</v>
      </c>
      <c r="C513" s="309"/>
      <c r="D513" s="337"/>
      <c r="E513" s="334"/>
      <c r="F513" s="3" t="s">
        <v>146</v>
      </c>
    </row>
    <row r="514" spans="1:6" x14ac:dyDescent="0.25">
      <c r="A514" s="3">
        <v>5</v>
      </c>
      <c r="B514" s="67">
        <v>46036</v>
      </c>
      <c r="C514" s="310"/>
      <c r="D514" s="338"/>
      <c r="E514" s="335"/>
      <c r="F514" s="3" t="s">
        <v>146</v>
      </c>
    </row>
    <row r="515" spans="1:6" ht="15.75" thickBot="1" x14ac:dyDescent="0.3">
      <c r="A515" s="339"/>
      <c r="B515" s="340"/>
      <c r="C515" s="340"/>
      <c r="D515" s="340"/>
      <c r="E515" s="131">
        <f>320+100+30</f>
        <v>450</v>
      </c>
      <c r="F515" s="1"/>
    </row>
    <row r="516" spans="1:6" ht="15.75" thickBot="1" x14ac:dyDescent="0.3">
      <c r="A516" s="292" t="s">
        <v>39</v>
      </c>
      <c r="B516" s="293"/>
      <c r="C516" s="23"/>
      <c r="F516" s="14" t="s">
        <v>40</v>
      </c>
    </row>
    <row r="517" spans="1:6" ht="21.75" thickBot="1" x14ac:dyDescent="0.4">
      <c r="A517" s="326" t="s">
        <v>138</v>
      </c>
      <c r="B517" s="327"/>
      <c r="C517" s="327"/>
      <c r="D517" s="327"/>
      <c r="E517" s="327"/>
      <c r="F517" s="328"/>
    </row>
    <row r="518" spans="1:6" ht="19.5" thickBot="1" x14ac:dyDescent="0.35">
      <c r="A518" s="10" t="s">
        <v>0</v>
      </c>
      <c r="B518" s="11" t="s">
        <v>3</v>
      </c>
      <c r="C518" s="11" t="s">
        <v>24</v>
      </c>
      <c r="D518" s="11" t="s">
        <v>1</v>
      </c>
      <c r="E518" s="11" t="s">
        <v>23</v>
      </c>
      <c r="F518" s="12" t="s">
        <v>27</v>
      </c>
    </row>
    <row r="519" spans="1:6" x14ac:dyDescent="0.25">
      <c r="A519" s="3">
        <v>1</v>
      </c>
      <c r="B519" s="67">
        <v>46036</v>
      </c>
      <c r="C519" s="329" t="s">
        <v>472</v>
      </c>
      <c r="D519" s="336" t="s">
        <v>745</v>
      </c>
      <c r="E519" s="333" t="s">
        <v>746</v>
      </c>
      <c r="F519" s="3" t="s">
        <v>146</v>
      </c>
    </row>
    <row r="520" spans="1:6" x14ac:dyDescent="0.25">
      <c r="A520" s="3">
        <v>2</v>
      </c>
      <c r="B520" s="67">
        <v>46036</v>
      </c>
      <c r="C520" s="309"/>
      <c r="D520" s="337"/>
      <c r="E520" s="334"/>
      <c r="F520" s="3" t="s">
        <v>146</v>
      </c>
    </row>
    <row r="521" spans="1:6" x14ac:dyDescent="0.25">
      <c r="A521" s="3">
        <v>3</v>
      </c>
      <c r="B521" s="67">
        <v>46036</v>
      </c>
      <c r="C521" s="309"/>
      <c r="D521" s="337"/>
      <c r="E521" s="334"/>
      <c r="F521" s="3" t="s">
        <v>146</v>
      </c>
    </row>
    <row r="522" spans="1:6" x14ac:dyDescent="0.25">
      <c r="A522" s="3">
        <v>4</v>
      </c>
      <c r="B522" s="67">
        <v>46036</v>
      </c>
      <c r="C522" s="309"/>
      <c r="D522" s="337"/>
      <c r="E522" s="334"/>
      <c r="F522" s="3" t="s">
        <v>146</v>
      </c>
    </row>
    <row r="523" spans="1:6" x14ac:dyDescent="0.25">
      <c r="A523" s="3">
        <v>5</v>
      </c>
      <c r="B523" s="67">
        <v>46036</v>
      </c>
      <c r="C523" s="310"/>
      <c r="D523" s="338"/>
      <c r="E523" s="335"/>
      <c r="F523" s="3" t="s">
        <v>146</v>
      </c>
    </row>
    <row r="524" spans="1:6" ht="15.75" thickBot="1" x14ac:dyDescent="0.3">
      <c r="A524" s="339" t="s">
        <v>41</v>
      </c>
      <c r="B524" s="340"/>
      <c r="C524" s="340"/>
      <c r="D524" s="340"/>
      <c r="E524" s="131">
        <f>320+100+30</f>
        <v>450</v>
      </c>
      <c r="F524" s="1"/>
    </row>
    <row r="525" spans="1:6" ht="15.75" thickBot="1" x14ac:dyDescent="0.3">
      <c r="A525" s="292" t="s">
        <v>39</v>
      </c>
      <c r="B525" s="293"/>
      <c r="C525" s="23"/>
      <c r="F525" s="14" t="s">
        <v>40</v>
      </c>
    </row>
    <row r="526" spans="1:6" ht="21.75" thickBot="1" x14ac:dyDescent="0.4">
      <c r="A526" s="326" t="s">
        <v>747</v>
      </c>
      <c r="B526" s="327"/>
      <c r="C526" s="327"/>
      <c r="D526" s="327"/>
      <c r="E526" s="327"/>
      <c r="F526" s="328"/>
    </row>
    <row r="527" spans="1:6" ht="19.5" thickBot="1" x14ac:dyDescent="0.35">
      <c r="A527" s="10" t="s">
        <v>0</v>
      </c>
      <c r="B527" s="11" t="s">
        <v>3</v>
      </c>
      <c r="C527" s="11" t="s">
        <v>24</v>
      </c>
      <c r="D527" s="11" t="s">
        <v>1</v>
      </c>
      <c r="E527" s="11" t="s">
        <v>23</v>
      </c>
      <c r="F527" s="12" t="s">
        <v>27</v>
      </c>
    </row>
    <row r="528" spans="1:6" x14ac:dyDescent="0.25">
      <c r="A528" s="3">
        <v>1</v>
      </c>
      <c r="B528" s="67">
        <v>46036</v>
      </c>
      <c r="C528" s="329" t="s">
        <v>472</v>
      </c>
      <c r="D528" s="336" t="s">
        <v>749</v>
      </c>
      <c r="E528" s="333">
        <v>100</v>
      </c>
      <c r="F528" s="3" t="s">
        <v>146</v>
      </c>
    </row>
    <row r="529" spans="1:6" x14ac:dyDescent="0.25">
      <c r="A529" s="3">
        <v>2</v>
      </c>
      <c r="B529" s="67">
        <v>46036</v>
      </c>
      <c r="C529" s="309"/>
      <c r="D529" s="337"/>
      <c r="E529" s="334"/>
      <c r="F529" s="3" t="s">
        <v>146</v>
      </c>
    </row>
    <row r="530" spans="1:6" x14ac:dyDescent="0.25">
      <c r="A530" s="3">
        <v>3</v>
      </c>
      <c r="B530" s="67">
        <v>46036</v>
      </c>
      <c r="C530" s="309"/>
      <c r="D530" s="337"/>
      <c r="E530" s="334"/>
      <c r="F530" s="3" t="s">
        <v>146</v>
      </c>
    </row>
    <row r="531" spans="1:6" x14ac:dyDescent="0.25">
      <c r="A531" s="3">
        <v>4</v>
      </c>
      <c r="B531" s="67">
        <v>46036</v>
      </c>
      <c r="C531" s="309"/>
      <c r="D531" s="337"/>
      <c r="E531" s="334"/>
      <c r="F531" s="3" t="s">
        <v>146</v>
      </c>
    </row>
    <row r="532" spans="1:6" x14ac:dyDescent="0.25">
      <c r="A532" s="3">
        <v>5</v>
      </c>
      <c r="B532" s="67">
        <v>46036</v>
      </c>
      <c r="C532" s="310"/>
      <c r="D532" s="338"/>
      <c r="E532" s="335"/>
      <c r="F532" s="3" t="s">
        <v>146</v>
      </c>
    </row>
    <row r="533" spans="1:6" ht="15.75" thickBot="1" x14ac:dyDescent="0.3">
      <c r="A533" s="339"/>
      <c r="B533" s="340"/>
      <c r="C533" s="340"/>
      <c r="D533" s="340"/>
      <c r="E533" s="131">
        <f>100</f>
        <v>100</v>
      </c>
      <c r="F533" s="1"/>
    </row>
    <row r="534" spans="1:6" ht="15.75" thickBot="1" x14ac:dyDescent="0.3">
      <c r="A534" s="292" t="s">
        <v>39</v>
      </c>
      <c r="B534" s="293"/>
      <c r="C534" s="23"/>
      <c r="F534" s="14" t="s">
        <v>40</v>
      </c>
    </row>
    <row r="535" spans="1:6" ht="21.75" thickBot="1" x14ac:dyDescent="0.4">
      <c r="A535" s="326" t="s">
        <v>747</v>
      </c>
      <c r="B535" s="327"/>
      <c r="C535" s="327"/>
      <c r="D535" s="327"/>
      <c r="E535" s="327"/>
      <c r="F535" s="328"/>
    </row>
    <row r="536" spans="1:6" ht="19.5" thickBot="1" x14ac:dyDescent="0.35">
      <c r="A536" s="10" t="s">
        <v>0</v>
      </c>
      <c r="B536" s="11" t="s">
        <v>3</v>
      </c>
      <c r="C536" s="11" t="s">
        <v>24</v>
      </c>
      <c r="D536" s="11" t="s">
        <v>1</v>
      </c>
      <c r="E536" s="11" t="s">
        <v>23</v>
      </c>
      <c r="F536" s="12" t="s">
        <v>27</v>
      </c>
    </row>
    <row r="537" spans="1:6" x14ac:dyDescent="0.25">
      <c r="A537" s="3">
        <v>1</v>
      </c>
      <c r="B537" s="67">
        <v>46036</v>
      </c>
      <c r="C537" s="329" t="s">
        <v>748</v>
      </c>
      <c r="D537" s="336" t="s">
        <v>749</v>
      </c>
      <c r="E537" s="333">
        <v>100</v>
      </c>
      <c r="F537" s="3" t="s">
        <v>146</v>
      </c>
    </row>
    <row r="538" spans="1:6" x14ac:dyDescent="0.25">
      <c r="A538" s="3">
        <v>2</v>
      </c>
      <c r="B538" s="67">
        <v>46036</v>
      </c>
      <c r="C538" s="309"/>
      <c r="D538" s="337"/>
      <c r="E538" s="334"/>
      <c r="F538" s="3" t="s">
        <v>146</v>
      </c>
    </row>
    <row r="539" spans="1:6" x14ac:dyDescent="0.25">
      <c r="A539" s="3">
        <v>3</v>
      </c>
      <c r="B539" s="67">
        <v>46036</v>
      </c>
      <c r="C539" s="309"/>
      <c r="D539" s="337"/>
      <c r="E539" s="334"/>
      <c r="F539" s="3" t="s">
        <v>146</v>
      </c>
    </row>
    <row r="540" spans="1:6" x14ac:dyDescent="0.25">
      <c r="A540" s="3">
        <v>4</v>
      </c>
      <c r="B540" s="67">
        <v>46036</v>
      </c>
      <c r="C540" s="309"/>
      <c r="D540" s="337"/>
      <c r="E540" s="334"/>
      <c r="F540" s="3" t="s">
        <v>146</v>
      </c>
    </row>
    <row r="541" spans="1:6" x14ac:dyDescent="0.25">
      <c r="A541" s="3">
        <v>5</v>
      </c>
      <c r="B541" s="67">
        <v>46036</v>
      </c>
      <c r="C541" s="310"/>
      <c r="D541" s="338"/>
      <c r="E541" s="335"/>
      <c r="F541" s="3" t="s">
        <v>146</v>
      </c>
    </row>
    <row r="542" spans="1:6" ht="15.75" thickBot="1" x14ac:dyDescent="0.3">
      <c r="A542" s="339" t="s">
        <v>41</v>
      </c>
      <c r="B542" s="340"/>
      <c r="C542" s="340"/>
      <c r="D542" s="340"/>
      <c r="E542" s="131">
        <v>100</v>
      </c>
      <c r="F542" s="1"/>
    </row>
    <row r="543" spans="1:6" ht="15.75" thickBot="1" x14ac:dyDescent="0.3">
      <c r="A543" s="292" t="s">
        <v>39</v>
      </c>
      <c r="B543" s="293"/>
      <c r="C543" s="23"/>
      <c r="F543" s="14" t="s">
        <v>40</v>
      </c>
    </row>
    <row r="544" spans="1:6" ht="15.75" thickBot="1" x14ac:dyDescent="0.3"/>
    <row r="545" spans="1:6" ht="21.75" thickBot="1" x14ac:dyDescent="0.4">
      <c r="A545" s="326" t="s">
        <v>138</v>
      </c>
      <c r="B545" s="327"/>
      <c r="C545" s="327"/>
      <c r="D545" s="327"/>
      <c r="E545" s="327"/>
      <c r="F545" s="328"/>
    </row>
    <row r="546" spans="1:6" ht="19.5" thickBot="1" x14ac:dyDescent="0.35">
      <c r="A546" s="10" t="s">
        <v>0</v>
      </c>
      <c r="B546" s="11" t="s">
        <v>3</v>
      </c>
      <c r="C546" s="11" t="s">
        <v>24</v>
      </c>
      <c r="D546" s="11" t="s">
        <v>1</v>
      </c>
      <c r="E546" s="11" t="s">
        <v>23</v>
      </c>
      <c r="F546" s="12" t="s">
        <v>27</v>
      </c>
    </row>
    <row r="547" spans="1:6" x14ac:dyDescent="0.25">
      <c r="A547" s="3">
        <v>1</v>
      </c>
      <c r="B547" s="67">
        <v>46037</v>
      </c>
      <c r="C547" s="329" t="s">
        <v>467</v>
      </c>
      <c r="D547" s="336" t="s">
        <v>768</v>
      </c>
      <c r="E547" s="333" t="s">
        <v>767</v>
      </c>
      <c r="F547" s="3" t="s">
        <v>146</v>
      </c>
    </row>
    <row r="548" spans="1:6" x14ac:dyDescent="0.25">
      <c r="A548" s="3">
        <v>2</v>
      </c>
      <c r="B548" s="67">
        <v>46037</v>
      </c>
      <c r="C548" s="309"/>
      <c r="D548" s="337"/>
      <c r="E548" s="334"/>
      <c r="F548" s="3" t="s">
        <v>146</v>
      </c>
    </row>
    <row r="549" spans="1:6" x14ac:dyDescent="0.25">
      <c r="A549" s="3">
        <v>3</v>
      </c>
      <c r="B549" s="67">
        <v>46037</v>
      </c>
      <c r="C549" s="309"/>
      <c r="D549" s="337"/>
      <c r="E549" s="334"/>
      <c r="F549" s="3" t="s">
        <v>146</v>
      </c>
    </row>
    <row r="550" spans="1:6" x14ac:dyDescent="0.25">
      <c r="A550" s="3">
        <v>4</v>
      </c>
      <c r="B550" s="67">
        <v>46037</v>
      </c>
      <c r="C550" s="309"/>
      <c r="D550" s="337"/>
      <c r="E550" s="334"/>
      <c r="F550" s="3" t="s">
        <v>146</v>
      </c>
    </row>
    <row r="551" spans="1:6" x14ac:dyDescent="0.25">
      <c r="A551" s="3">
        <v>5</v>
      </c>
      <c r="B551" s="67">
        <v>46037</v>
      </c>
      <c r="C551" s="310"/>
      <c r="D551" s="338"/>
      <c r="E551" s="335"/>
      <c r="F551" s="3" t="s">
        <v>146</v>
      </c>
    </row>
    <row r="552" spans="1:6" ht="15.75" thickBot="1" x14ac:dyDescent="0.3">
      <c r="A552" s="339"/>
      <c r="B552" s="340"/>
      <c r="C552" s="340"/>
      <c r="D552" s="340"/>
      <c r="E552" s="131">
        <f>180+60</f>
        <v>240</v>
      </c>
      <c r="F552" s="1"/>
    </row>
    <row r="553" spans="1:6" ht="15.75" thickBot="1" x14ac:dyDescent="0.3">
      <c r="A553" s="292" t="s">
        <v>39</v>
      </c>
      <c r="B553" s="293"/>
      <c r="C553" s="23"/>
      <c r="F553" s="14" t="s">
        <v>40</v>
      </c>
    </row>
    <row r="554" spans="1:6" ht="21.75" thickBot="1" x14ac:dyDescent="0.4">
      <c r="A554" s="326" t="s">
        <v>138</v>
      </c>
      <c r="B554" s="327"/>
      <c r="C554" s="327"/>
      <c r="D554" s="327"/>
      <c r="E554" s="327"/>
      <c r="F554" s="328"/>
    </row>
    <row r="555" spans="1:6" ht="19.5" thickBot="1" x14ac:dyDescent="0.35">
      <c r="A555" s="10" t="s">
        <v>0</v>
      </c>
      <c r="B555" s="11" t="s">
        <v>3</v>
      </c>
      <c r="C555" s="11" t="s">
        <v>24</v>
      </c>
      <c r="D555" s="11" t="s">
        <v>1</v>
      </c>
      <c r="E555" s="11" t="s">
        <v>23</v>
      </c>
      <c r="F555" s="12" t="s">
        <v>27</v>
      </c>
    </row>
    <row r="556" spans="1:6" x14ac:dyDescent="0.25">
      <c r="A556" s="3">
        <v>1</v>
      </c>
      <c r="B556" s="67">
        <v>46037</v>
      </c>
      <c r="C556" s="329" t="s">
        <v>472</v>
      </c>
      <c r="D556" s="336" t="s">
        <v>768</v>
      </c>
      <c r="E556" s="333" t="s">
        <v>767</v>
      </c>
      <c r="F556" s="3" t="s">
        <v>146</v>
      </c>
    </row>
    <row r="557" spans="1:6" x14ac:dyDescent="0.25">
      <c r="A557" s="3">
        <v>2</v>
      </c>
      <c r="B557" s="67">
        <v>46037</v>
      </c>
      <c r="C557" s="309"/>
      <c r="D557" s="337"/>
      <c r="E557" s="334"/>
      <c r="F557" s="3" t="s">
        <v>146</v>
      </c>
    </row>
    <row r="558" spans="1:6" x14ac:dyDescent="0.25">
      <c r="A558" s="3">
        <v>3</v>
      </c>
      <c r="B558" s="67">
        <v>46037</v>
      </c>
      <c r="C558" s="309"/>
      <c r="D558" s="337"/>
      <c r="E558" s="334"/>
      <c r="F558" s="3" t="s">
        <v>146</v>
      </c>
    </row>
    <row r="559" spans="1:6" x14ac:dyDescent="0.25">
      <c r="A559" s="3">
        <v>4</v>
      </c>
      <c r="B559" s="67">
        <v>46037</v>
      </c>
      <c r="C559" s="309"/>
      <c r="D559" s="337"/>
      <c r="E559" s="334"/>
      <c r="F559" s="3" t="s">
        <v>146</v>
      </c>
    </row>
    <row r="560" spans="1:6" x14ac:dyDescent="0.25">
      <c r="A560" s="3">
        <v>5</v>
      </c>
      <c r="B560" s="67">
        <v>46037</v>
      </c>
      <c r="C560" s="310"/>
      <c r="D560" s="338"/>
      <c r="E560" s="335"/>
      <c r="F560" s="3" t="s">
        <v>146</v>
      </c>
    </row>
    <row r="561" spans="1:6" ht="15.75" thickBot="1" x14ac:dyDescent="0.3">
      <c r="A561" s="339" t="s">
        <v>41</v>
      </c>
      <c r="B561" s="340"/>
      <c r="C561" s="340"/>
      <c r="D561" s="340"/>
      <c r="E561" s="131">
        <f>180+60</f>
        <v>240</v>
      </c>
      <c r="F561" s="1"/>
    </row>
    <row r="562" spans="1:6" ht="15.75" thickBot="1" x14ac:dyDescent="0.3">
      <c r="A562" s="292" t="s">
        <v>39</v>
      </c>
      <c r="B562" s="293"/>
      <c r="C562" s="23"/>
      <c r="F562" s="14" t="s">
        <v>40</v>
      </c>
    </row>
    <row r="563" spans="1:6" ht="15.75" thickBot="1" x14ac:dyDescent="0.3"/>
    <row r="564" spans="1:6" ht="21.75" thickBot="1" x14ac:dyDescent="0.4">
      <c r="A564" s="326" t="s">
        <v>138</v>
      </c>
      <c r="B564" s="327"/>
      <c r="C564" s="327"/>
      <c r="D564" s="327"/>
      <c r="E564" s="327"/>
      <c r="F564" s="328"/>
    </row>
    <row r="565" spans="1:6" ht="19.5" thickBot="1" x14ac:dyDescent="0.35">
      <c r="A565" s="10" t="s">
        <v>0</v>
      </c>
      <c r="B565" s="11" t="s">
        <v>3</v>
      </c>
      <c r="C565" s="11" t="s">
        <v>24</v>
      </c>
      <c r="D565" s="11" t="s">
        <v>1</v>
      </c>
      <c r="E565" s="11" t="s">
        <v>23</v>
      </c>
      <c r="F565" s="12" t="s">
        <v>27</v>
      </c>
    </row>
    <row r="566" spans="1:6" x14ac:dyDescent="0.25">
      <c r="A566" s="3">
        <v>1</v>
      </c>
      <c r="B566" s="67">
        <v>46038</v>
      </c>
      <c r="C566" s="329" t="s">
        <v>467</v>
      </c>
      <c r="D566" s="336" t="s">
        <v>773</v>
      </c>
      <c r="E566" s="333" t="s">
        <v>774</v>
      </c>
      <c r="F566" s="3" t="s">
        <v>146</v>
      </c>
    </row>
    <row r="567" spans="1:6" x14ac:dyDescent="0.25">
      <c r="A567" s="3">
        <v>2</v>
      </c>
      <c r="B567" s="67">
        <v>46038</v>
      </c>
      <c r="C567" s="309"/>
      <c r="D567" s="337"/>
      <c r="E567" s="334"/>
      <c r="F567" s="3" t="s">
        <v>146</v>
      </c>
    </row>
    <row r="568" spans="1:6" x14ac:dyDescent="0.25">
      <c r="A568" s="3">
        <v>3</v>
      </c>
      <c r="B568" s="67">
        <v>46038</v>
      </c>
      <c r="C568" s="309"/>
      <c r="D568" s="337"/>
      <c r="E568" s="334"/>
      <c r="F568" s="3" t="s">
        <v>146</v>
      </c>
    </row>
    <row r="569" spans="1:6" x14ac:dyDescent="0.25">
      <c r="A569" s="3">
        <v>4</v>
      </c>
      <c r="B569" s="67">
        <v>46038</v>
      </c>
      <c r="C569" s="309"/>
      <c r="D569" s="337"/>
      <c r="E569" s="334"/>
      <c r="F569" s="3" t="s">
        <v>146</v>
      </c>
    </row>
    <row r="570" spans="1:6" x14ac:dyDescent="0.25">
      <c r="A570" s="3">
        <v>5</v>
      </c>
      <c r="B570" s="67">
        <v>46038</v>
      </c>
      <c r="C570" s="310"/>
      <c r="D570" s="338"/>
      <c r="E570" s="335"/>
      <c r="F570" s="3" t="s">
        <v>146</v>
      </c>
    </row>
    <row r="571" spans="1:6" ht="15.75" thickBot="1" x14ac:dyDescent="0.3">
      <c r="A571" s="339"/>
      <c r="B571" s="340"/>
      <c r="C571" s="340"/>
      <c r="D571" s="340"/>
      <c r="E571" s="131">
        <f>480+30+100</f>
        <v>610</v>
      </c>
      <c r="F571" s="1"/>
    </row>
    <row r="572" spans="1:6" ht="15.75" thickBot="1" x14ac:dyDescent="0.3">
      <c r="A572" s="292" t="s">
        <v>39</v>
      </c>
      <c r="B572" s="293"/>
      <c r="C572" s="23"/>
      <c r="F572" s="14" t="s">
        <v>40</v>
      </c>
    </row>
    <row r="573" spans="1:6" ht="21.75" thickBot="1" x14ac:dyDescent="0.4">
      <c r="A573" s="326" t="s">
        <v>138</v>
      </c>
      <c r="B573" s="327"/>
      <c r="C573" s="327"/>
      <c r="D573" s="327"/>
      <c r="E573" s="327"/>
      <c r="F573" s="328"/>
    </row>
    <row r="574" spans="1:6" ht="19.5" thickBot="1" x14ac:dyDescent="0.35">
      <c r="A574" s="10" t="s">
        <v>0</v>
      </c>
      <c r="B574" s="11" t="s">
        <v>3</v>
      </c>
      <c r="C574" s="11" t="s">
        <v>24</v>
      </c>
      <c r="D574" s="11" t="s">
        <v>1</v>
      </c>
      <c r="E574" s="11" t="s">
        <v>23</v>
      </c>
      <c r="F574" s="12" t="s">
        <v>27</v>
      </c>
    </row>
    <row r="575" spans="1:6" x14ac:dyDescent="0.25">
      <c r="A575" s="3">
        <v>1</v>
      </c>
      <c r="B575" s="67">
        <v>46038</v>
      </c>
      <c r="C575" s="329" t="s">
        <v>472</v>
      </c>
      <c r="D575" s="336" t="s">
        <v>773</v>
      </c>
      <c r="E575" s="333" t="s">
        <v>774</v>
      </c>
      <c r="F575" s="3" t="s">
        <v>146</v>
      </c>
    </row>
    <row r="576" spans="1:6" x14ac:dyDescent="0.25">
      <c r="A576" s="3">
        <v>2</v>
      </c>
      <c r="B576" s="67">
        <v>46038</v>
      </c>
      <c r="C576" s="309"/>
      <c r="D576" s="337"/>
      <c r="E576" s="334"/>
      <c r="F576" s="3" t="s">
        <v>146</v>
      </c>
    </row>
    <row r="577" spans="1:6" x14ac:dyDescent="0.25">
      <c r="A577" s="3">
        <v>3</v>
      </c>
      <c r="B577" s="67">
        <v>46038</v>
      </c>
      <c r="C577" s="309"/>
      <c r="D577" s="337"/>
      <c r="E577" s="334"/>
      <c r="F577" s="3" t="s">
        <v>146</v>
      </c>
    </row>
    <row r="578" spans="1:6" x14ac:dyDescent="0.25">
      <c r="A578" s="3">
        <v>4</v>
      </c>
      <c r="B578" s="67">
        <v>46038</v>
      </c>
      <c r="C578" s="309"/>
      <c r="D578" s="337"/>
      <c r="E578" s="334"/>
      <c r="F578" s="3" t="s">
        <v>146</v>
      </c>
    </row>
    <row r="579" spans="1:6" x14ac:dyDescent="0.25">
      <c r="A579" s="3">
        <v>5</v>
      </c>
      <c r="B579" s="67">
        <v>46038</v>
      </c>
      <c r="C579" s="310"/>
      <c r="D579" s="338"/>
      <c r="E579" s="335"/>
      <c r="F579" s="3" t="s">
        <v>146</v>
      </c>
    </row>
    <row r="580" spans="1:6" ht="15.75" thickBot="1" x14ac:dyDescent="0.3">
      <c r="A580" s="339" t="s">
        <v>41</v>
      </c>
      <c r="B580" s="340"/>
      <c r="C580" s="340"/>
      <c r="D580" s="340"/>
      <c r="E580" s="131">
        <f>480+30+100</f>
        <v>610</v>
      </c>
      <c r="F580" s="1"/>
    </row>
    <row r="581" spans="1:6" ht="15.75" thickBot="1" x14ac:dyDescent="0.3">
      <c r="A581" s="292" t="s">
        <v>39</v>
      </c>
      <c r="B581" s="293"/>
      <c r="C581" s="23"/>
      <c r="F581" s="14" t="s">
        <v>40</v>
      </c>
    </row>
    <row r="582" spans="1:6" ht="15.75" thickBot="1" x14ac:dyDescent="0.3"/>
    <row r="583" spans="1:6" ht="21.75" thickBot="1" x14ac:dyDescent="0.4">
      <c r="A583" s="326" t="s">
        <v>138</v>
      </c>
      <c r="B583" s="327"/>
      <c r="C583" s="327"/>
      <c r="D583" s="327"/>
      <c r="E583" s="327"/>
      <c r="F583" s="328"/>
    </row>
    <row r="584" spans="1:6" ht="19.5" thickBot="1" x14ac:dyDescent="0.35">
      <c r="A584" s="10" t="s">
        <v>0</v>
      </c>
      <c r="B584" s="11" t="s">
        <v>3</v>
      </c>
      <c r="C584" s="11" t="s">
        <v>24</v>
      </c>
      <c r="D584" s="11" t="s">
        <v>1</v>
      </c>
      <c r="E584" s="11" t="s">
        <v>23</v>
      </c>
      <c r="F584" s="12" t="s">
        <v>27</v>
      </c>
    </row>
    <row r="585" spans="1:6" x14ac:dyDescent="0.25">
      <c r="A585" s="3">
        <v>1</v>
      </c>
      <c r="B585" s="67">
        <v>46039</v>
      </c>
      <c r="C585" s="329" t="s">
        <v>467</v>
      </c>
      <c r="D585" s="336" t="s">
        <v>941</v>
      </c>
      <c r="E585" s="333" t="s">
        <v>942</v>
      </c>
      <c r="F585" s="3" t="s">
        <v>146</v>
      </c>
    </row>
    <row r="586" spans="1:6" x14ac:dyDescent="0.25">
      <c r="A586" s="3">
        <v>2</v>
      </c>
      <c r="B586" s="67">
        <v>46039</v>
      </c>
      <c r="C586" s="309"/>
      <c r="D586" s="337"/>
      <c r="E586" s="334"/>
      <c r="F586" s="3" t="s">
        <v>146</v>
      </c>
    </row>
    <row r="587" spans="1:6" x14ac:dyDescent="0.25">
      <c r="A587" s="3">
        <v>3</v>
      </c>
      <c r="B587" s="67">
        <v>46039</v>
      </c>
      <c r="C587" s="309"/>
      <c r="D587" s="337"/>
      <c r="E587" s="334"/>
      <c r="F587" s="3" t="s">
        <v>146</v>
      </c>
    </row>
    <row r="588" spans="1:6" x14ac:dyDescent="0.25">
      <c r="A588" s="3">
        <v>4</v>
      </c>
      <c r="B588" s="67">
        <v>46039</v>
      </c>
      <c r="C588" s="309"/>
      <c r="D588" s="337"/>
      <c r="E588" s="334"/>
      <c r="F588" s="3" t="s">
        <v>146</v>
      </c>
    </row>
    <row r="589" spans="1:6" x14ac:dyDescent="0.25">
      <c r="A589" s="3">
        <v>5</v>
      </c>
      <c r="B589" s="67">
        <v>46039</v>
      </c>
      <c r="C589" s="310"/>
      <c r="D589" s="338"/>
      <c r="E589" s="335"/>
      <c r="F589" s="3" t="s">
        <v>146</v>
      </c>
    </row>
    <row r="590" spans="1:6" ht="15.75" thickBot="1" x14ac:dyDescent="0.3">
      <c r="A590" s="339"/>
      <c r="B590" s="340"/>
      <c r="C590" s="340"/>
      <c r="D590" s="340"/>
      <c r="E590" s="131">
        <f>225+30+60</f>
        <v>315</v>
      </c>
      <c r="F590" s="1"/>
    </row>
    <row r="591" spans="1:6" ht="15.75" thickBot="1" x14ac:dyDescent="0.3">
      <c r="A591" s="292" t="s">
        <v>39</v>
      </c>
      <c r="B591" s="293"/>
      <c r="C591" s="23"/>
      <c r="F591" s="14" t="s">
        <v>40</v>
      </c>
    </row>
    <row r="592" spans="1:6" ht="21.75" thickBot="1" x14ac:dyDescent="0.4">
      <c r="A592" s="326" t="s">
        <v>372</v>
      </c>
      <c r="B592" s="327"/>
      <c r="C592" s="327"/>
      <c r="D592" s="327"/>
      <c r="E592" s="327"/>
      <c r="F592" s="328"/>
    </row>
    <row r="593" spans="1:6" ht="19.5" thickBot="1" x14ac:dyDescent="0.35">
      <c r="A593" s="10" t="s">
        <v>0</v>
      </c>
      <c r="B593" s="11" t="s">
        <v>3</v>
      </c>
      <c r="C593" s="11" t="s">
        <v>24</v>
      </c>
      <c r="D593" s="11" t="s">
        <v>1</v>
      </c>
      <c r="E593" s="11" t="s">
        <v>23</v>
      </c>
      <c r="F593" s="12" t="s">
        <v>27</v>
      </c>
    </row>
    <row r="594" spans="1:6" x14ac:dyDescent="0.25">
      <c r="A594" s="3">
        <v>1</v>
      </c>
      <c r="B594" s="67">
        <v>46039</v>
      </c>
      <c r="C594" s="329" t="s">
        <v>472</v>
      </c>
      <c r="D594" s="336" t="s">
        <v>949</v>
      </c>
      <c r="E594" s="333" t="s">
        <v>950</v>
      </c>
      <c r="F594" s="3" t="s">
        <v>146</v>
      </c>
    </row>
    <row r="595" spans="1:6" x14ac:dyDescent="0.25">
      <c r="A595" s="3">
        <v>2</v>
      </c>
      <c r="B595" s="67">
        <v>46039</v>
      </c>
      <c r="C595" s="309"/>
      <c r="D595" s="337"/>
      <c r="E595" s="334"/>
      <c r="F595" s="3" t="s">
        <v>146</v>
      </c>
    </row>
    <row r="596" spans="1:6" x14ac:dyDescent="0.25">
      <c r="A596" s="3">
        <v>3</v>
      </c>
      <c r="B596" s="67">
        <v>46039</v>
      </c>
      <c r="C596" s="309"/>
      <c r="D596" s="337"/>
      <c r="E596" s="334"/>
      <c r="F596" s="3" t="s">
        <v>146</v>
      </c>
    </row>
    <row r="597" spans="1:6" x14ac:dyDescent="0.25">
      <c r="A597" s="3">
        <v>4</v>
      </c>
      <c r="B597" s="67">
        <v>46039</v>
      </c>
      <c r="C597" s="309"/>
      <c r="D597" s="337"/>
      <c r="E597" s="334"/>
      <c r="F597" s="3" t="s">
        <v>146</v>
      </c>
    </row>
    <row r="598" spans="1:6" x14ac:dyDescent="0.25">
      <c r="A598" s="3">
        <v>5</v>
      </c>
      <c r="B598" s="67">
        <v>46039</v>
      </c>
      <c r="C598" s="310"/>
      <c r="D598" s="338"/>
      <c r="E598" s="335"/>
      <c r="F598" s="3" t="s">
        <v>146</v>
      </c>
    </row>
    <row r="599" spans="1:6" ht="15.75" thickBot="1" x14ac:dyDescent="0.3">
      <c r="A599" s="339" t="s">
        <v>41</v>
      </c>
      <c r="B599" s="340"/>
      <c r="C599" s="340"/>
      <c r="D599" s="340"/>
      <c r="E599" s="131">
        <f>225+30+60+350</f>
        <v>665</v>
      </c>
      <c r="F599" s="1"/>
    </row>
    <row r="600" spans="1:6" ht="15.75" thickBot="1" x14ac:dyDescent="0.3">
      <c r="A600" s="292" t="s">
        <v>39</v>
      </c>
      <c r="B600" s="293"/>
      <c r="C600" s="23"/>
      <c r="F600" s="14" t="s">
        <v>40</v>
      </c>
    </row>
  </sheetData>
  <mergeCells count="378">
    <mergeCell ref="A561:D561"/>
    <mergeCell ref="A562:B562"/>
    <mergeCell ref="A545:F545"/>
    <mergeCell ref="C547:C551"/>
    <mergeCell ref="D547:D551"/>
    <mergeCell ref="E547:E551"/>
    <mergeCell ref="A552:D552"/>
    <mergeCell ref="A553:B553"/>
    <mergeCell ref="A554:F554"/>
    <mergeCell ref="C556:C560"/>
    <mergeCell ref="D556:D560"/>
    <mergeCell ref="E556:E560"/>
    <mergeCell ref="C537:C541"/>
    <mergeCell ref="D537:D541"/>
    <mergeCell ref="E537:E541"/>
    <mergeCell ref="A542:D542"/>
    <mergeCell ref="A543:B543"/>
    <mergeCell ref="A524:D524"/>
    <mergeCell ref="A525:B525"/>
    <mergeCell ref="A526:F526"/>
    <mergeCell ref="C528:C532"/>
    <mergeCell ref="D528:D532"/>
    <mergeCell ref="E528:E532"/>
    <mergeCell ref="A533:D533"/>
    <mergeCell ref="A534:B534"/>
    <mergeCell ref="A535:F535"/>
    <mergeCell ref="A508:F508"/>
    <mergeCell ref="C510:C514"/>
    <mergeCell ref="D510:D514"/>
    <mergeCell ref="E510:E514"/>
    <mergeCell ref="A515:D515"/>
    <mergeCell ref="A516:B516"/>
    <mergeCell ref="A517:F517"/>
    <mergeCell ref="C519:C523"/>
    <mergeCell ref="D519:D523"/>
    <mergeCell ref="E519:E523"/>
    <mergeCell ref="A495:D495"/>
    <mergeCell ref="A496:B496"/>
    <mergeCell ref="A498:F498"/>
    <mergeCell ref="C500:C504"/>
    <mergeCell ref="D500:D504"/>
    <mergeCell ref="E500:E504"/>
    <mergeCell ref="A505:D505"/>
    <mergeCell ref="A506:B506"/>
    <mergeCell ref="A478:F478"/>
    <mergeCell ref="C480:C484"/>
    <mergeCell ref="D480:D484"/>
    <mergeCell ref="E480:E484"/>
    <mergeCell ref="A485:D485"/>
    <mergeCell ref="A486:B486"/>
    <mergeCell ref="A488:F488"/>
    <mergeCell ref="C490:C494"/>
    <mergeCell ref="D490:D494"/>
    <mergeCell ref="E490:E494"/>
    <mergeCell ref="A475:D475"/>
    <mergeCell ref="A476:B476"/>
    <mergeCell ref="C461:C465"/>
    <mergeCell ref="D461:D465"/>
    <mergeCell ref="E461:E465"/>
    <mergeCell ref="A466:D466"/>
    <mergeCell ref="A467:B467"/>
    <mergeCell ref="A468:F468"/>
    <mergeCell ref="C470:C474"/>
    <mergeCell ref="D470:D474"/>
    <mergeCell ref="E470:E474"/>
    <mergeCell ref="A448:D448"/>
    <mergeCell ref="A449:B449"/>
    <mergeCell ref="A450:F450"/>
    <mergeCell ref="C452:C456"/>
    <mergeCell ref="D452:D456"/>
    <mergeCell ref="E452:E456"/>
    <mergeCell ref="A457:D457"/>
    <mergeCell ref="A458:B458"/>
    <mergeCell ref="A459:F459"/>
    <mergeCell ref="A432:F432"/>
    <mergeCell ref="C434:C438"/>
    <mergeCell ref="D434:D438"/>
    <mergeCell ref="E434:E438"/>
    <mergeCell ref="A439:D439"/>
    <mergeCell ref="A440:B440"/>
    <mergeCell ref="A441:F441"/>
    <mergeCell ref="C443:C447"/>
    <mergeCell ref="D443:D447"/>
    <mergeCell ref="E443:E447"/>
    <mergeCell ref="A429:D429"/>
    <mergeCell ref="A430:B430"/>
    <mergeCell ref="A412:F412"/>
    <mergeCell ref="C414:C418"/>
    <mergeCell ref="D414:D418"/>
    <mergeCell ref="E414:E418"/>
    <mergeCell ref="A419:D419"/>
    <mergeCell ref="A420:B420"/>
    <mergeCell ref="A422:F422"/>
    <mergeCell ref="C424:C428"/>
    <mergeCell ref="D424:D428"/>
    <mergeCell ref="E424:E428"/>
    <mergeCell ref="C404:C408"/>
    <mergeCell ref="D404:D408"/>
    <mergeCell ref="E404:E408"/>
    <mergeCell ref="A409:D409"/>
    <mergeCell ref="A410:B410"/>
    <mergeCell ref="A391:D391"/>
    <mergeCell ref="A392:B392"/>
    <mergeCell ref="A393:F393"/>
    <mergeCell ref="C395:C399"/>
    <mergeCell ref="D395:D399"/>
    <mergeCell ref="E395:E399"/>
    <mergeCell ref="A400:D400"/>
    <mergeCell ref="A401:B401"/>
    <mergeCell ref="A402:F402"/>
    <mergeCell ref="A375:F375"/>
    <mergeCell ref="C377:C381"/>
    <mergeCell ref="D377:D381"/>
    <mergeCell ref="E377:E381"/>
    <mergeCell ref="A382:D382"/>
    <mergeCell ref="A383:B383"/>
    <mergeCell ref="A384:F384"/>
    <mergeCell ref="C386:C390"/>
    <mergeCell ref="D386:D390"/>
    <mergeCell ref="E386:E390"/>
    <mergeCell ref="C191:C195"/>
    <mergeCell ref="D191:D195"/>
    <mergeCell ref="E191:E195"/>
    <mergeCell ref="A196:D196"/>
    <mergeCell ref="A197:B197"/>
    <mergeCell ref="A176:D176"/>
    <mergeCell ref="A177:B177"/>
    <mergeCell ref="A179:F179"/>
    <mergeCell ref="C181:C185"/>
    <mergeCell ref="D181:D185"/>
    <mergeCell ref="E181:E185"/>
    <mergeCell ref="A186:D186"/>
    <mergeCell ref="A187:B187"/>
    <mergeCell ref="A189:F189"/>
    <mergeCell ref="C161:C165"/>
    <mergeCell ref="D161:D165"/>
    <mergeCell ref="E161:E165"/>
    <mergeCell ref="A166:D166"/>
    <mergeCell ref="A167:B167"/>
    <mergeCell ref="A169:F169"/>
    <mergeCell ref="C171:C175"/>
    <mergeCell ref="D171:D175"/>
    <mergeCell ref="E171:E175"/>
    <mergeCell ref="A150:F150"/>
    <mergeCell ref="C152:C156"/>
    <mergeCell ref="D152:D156"/>
    <mergeCell ref="E152:E156"/>
    <mergeCell ref="A157:D157"/>
    <mergeCell ref="A158:B158"/>
    <mergeCell ref="A140:F140"/>
    <mergeCell ref="C142:C146"/>
    <mergeCell ref="D142:D146"/>
    <mergeCell ref="E142:E146"/>
    <mergeCell ref="A147:D147"/>
    <mergeCell ref="A148:B148"/>
    <mergeCell ref="A130:F130"/>
    <mergeCell ref="C132:C136"/>
    <mergeCell ref="D132:D136"/>
    <mergeCell ref="E132:E136"/>
    <mergeCell ref="A137:D137"/>
    <mergeCell ref="A138:B138"/>
    <mergeCell ref="A120:F120"/>
    <mergeCell ref="C122:C126"/>
    <mergeCell ref="D122:D126"/>
    <mergeCell ref="E122:E126"/>
    <mergeCell ref="A127:D127"/>
    <mergeCell ref="A128:B128"/>
    <mergeCell ref="A110:F110"/>
    <mergeCell ref="C112:C116"/>
    <mergeCell ref="D112:D116"/>
    <mergeCell ref="E112:E116"/>
    <mergeCell ref="A117:D117"/>
    <mergeCell ref="A118:B118"/>
    <mergeCell ref="A91:F91"/>
    <mergeCell ref="C93:C97"/>
    <mergeCell ref="D93:D97"/>
    <mergeCell ref="E93:E97"/>
    <mergeCell ref="A98:D98"/>
    <mergeCell ref="A99:B99"/>
    <mergeCell ref="A100:F100"/>
    <mergeCell ref="C102:C106"/>
    <mergeCell ref="D102:D106"/>
    <mergeCell ref="E102:E106"/>
    <mergeCell ref="A107:D107"/>
    <mergeCell ref="A108:B108"/>
    <mergeCell ref="A89:D89"/>
    <mergeCell ref="A90:B90"/>
    <mergeCell ref="A64:F64"/>
    <mergeCell ref="C66:C70"/>
    <mergeCell ref="D66:D70"/>
    <mergeCell ref="E66:E70"/>
    <mergeCell ref="A71:D71"/>
    <mergeCell ref="A72:B72"/>
    <mergeCell ref="A55:F55"/>
    <mergeCell ref="C57:C61"/>
    <mergeCell ref="D57:D61"/>
    <mergeCell ref="E57:E61"/>
    <mergeCell ref="A62:D62"/>
    <mergeCell ref="A63:B63"/>
    <mergeCell ref="A73:F73"/>
    <mergeCell ref="C75:C79"/>
    <mergeCell ref="D75:D79"/>
    <mergeCell ref="E75:E79"/>
    <mergeCell ref="A80:D80"/>
    <mergeCell ref="A81:B81"/>
    <mergeCell ref="A82:F82"/>
    <mergeCell ref="C84:C88"/>
    <mergeCell ref="D84:D88"/>
    <mergeCell ref="E84:E88"/>
    <mergeCell ref="A53:D53"/>
    <mergeCell ref="A54:B54"/>
    <mergeCell ref="A19:F19"/>
    <mergeCell ref="C21:C25"/>
    <mergeCell ref="D21:D25"/>
    <mergeCell ref="E21:E25"/>
    <mergeCell ref="A26:D26"/>
    <mergeCell ref="A27:B27"/>
    <mergeCell ref="A28:F28"/>
    <mergeCell ref="C30:C34"/>
    <mergeCell ref="D30:D34"/>
    <mergeCell ref="E30:E34"/>
    <mergeCell ref="A35:D35"/>
    <mergeCell ref="A36:B36"/>
    <mergeCell ref="A37:F37"/>
    <mergeCell ref="C39:C43"/>
    <mergeCell ref="D39:D43"/>
    <mergeCell ref="E39:E43"/>
    <mergeCell ref="A44:D44"/>
    <mergeCell ref="A45:B45"/>
    <mergeCell ref="A46:F46"/>
    <mergeCell ref="C48:C52"/>
    <mergeCell ref="D48:D52"/>
    <mergeCell ref="E48:E52"/>
    <mergeCell ref="A17:D17"/>
    <mergeCell ref="A18:B18"/>
    <mergeCell ref="A1:F1"/>
    <mergeCell ref="C3:C7"/>
    <mergeCell ref="D3:D7"/>
    <mergeCell ref="E3:E7"/>
    <mergeCell ref="A8:D8"/>
    <mergeCell ref="A9:B9"/>
    <mergeCell ref="A10:F10"/>
    <mergeCell ref="C12:C16"/>
    <mergeCell ref="D12:D16"/>
    <mergeCell ref="E12:E16"/>
    <mergeCell ref="A216:D216"/>
    <mergeCell ref="A217:B217"/>
    <mergeCell ref="A199:F199"/>
    <mergeCell ref="C201:C205"/>
    <mergeCell ref="D201:D205"/>
    <mergeCell ref="E201:E205"/>
    <mergeCell ref="A206:D206"/>
    <mergeCell ref="A207:B207"/>
    <mergeCell ref="A209:F209"/>
    <mergeCell ref="C211:C215"/>
    <mergeCell ref="D211:D215"/>
    <mergeCell ref="E211:E215"/>
    <mergeCell ref="C220:C224"/>
    <mergeCell ref="D220:D224"/>
    <mergeCell ref="E220:E224"/>
    <mergeCell ref="A225:D225"/>
    <mergeCell ref="A226:B226"/>
    <mergeCell ref="C229:C233"/>
    <mergeCell ref="D229:D233"/>
    <mergeCell ref="E229:E233"/>
    <mergeCell ref="A234:D234"/>
    <mergeCell ref="A252:D252"/>
    <mergeCell ref="A253:B253"/>
    <mergeCell ref="C256:C260"/>
    <mergeCell ref="D256:D260"/>
    <mergeCell ref="E256:E260"/>
    <mergeCell ref="A261:D261"/>
    <mergeCell ref="A262:B262"/>
    <mergeCell ref="A235:B235"/>
    <mergeCell ref="C238:C242"/>
    <mergeCell ref="D238:D242"/>
    <mergeCell ref="E238:E242"/>
    <mergeCell ref="A243:D243"/>
    <mergeCell ref="A244:B244"/>
    <mergeCell ref="C247:C251"/>
    <mergeCell ref="D247:D251"/>
    <mergeCell ref="E247:E251"/>
    <mergeCell ref="C265:C269"/>
    <mergeCell ref="D265:D269"/>
    <mergeCell ref="E265:E269"/>
    <mergeCell ref="A270:D270"/>
    <mergeCell ref="A271:B271"/>
    <mergeCell ref="C274:C278"/>
    <mergeCell ref="D274:D278"/>
    <mergeCell ref="E274:E278"/>
    <mergeCell ref="A279:D279"/>
    <mergeCell ref="A280:B280"/>
    <mergeCell ref="C283:C287"/>
    <mergeCell ref="D283:D287"/>
    <mergeCell ref="E283:E287"/>
    <mergeCell ref="A288:D288"/>
    <mergeCell ref="A289:B289"/>
    <mergeCell ref="C292:C296"/>
    <mergeCell ref="D292:D296"/>
    <mergeCell ref="E292:E296"/>
    <mergeCell ref="D328:D332"/>
    <mergeCell ref="E328:E332"/>
    <mergeCell ref="A297:D297"/>
    <mergeCell ref="A298:B298"/>
    <mergeCell ref="C301:C305"/>
    <mergeCell ref="D301:D305"/>
    <mergeCell ref="E301:E305"/>
    <mergeCell ref="A306:D306"/>
    <mergeCell ref="A307:B307"/>
    <mergeCell ref="C310:C314"/>
    <mergeCell ref="D310:D314"/>
    <mergeCell ref="E310:E314"/>
    <mergeCell ref="A333:D333"/>
    <mergeCell ref="A334:B334"/>
    <mergeCell ref="C337:C341"/>
    <mergeCell ref="D337:D341"/>
    <mergeCell ref="E337:E341"/>
    <mergeCell ref="A342:D342"/>
    <mergeCell ref="A343:B343"/>
    <mergeCell ref="A263:F263"/>
    <mergeCell ref="A272:F272"/>
    <mergeCell ref="A281:F281"/>
    <mergeCell ref="A290:F290"/>
    <mergeCell ref="A299:F299"/>
    <mergeCell ref="A308:F308"/>
    <mergeCell ref="A317:F317"/>
    <mergeCell ref="A326:F326"/>
    <mergeCell ref="A335:F335"/>
    <mergeCell ref="A315:D315"/>
    <mergeCell ref="A316:B316"/>
    <mergeCell ref="C319:C323"/>
    <mergeCell ref="D319:D323"/>
    <mergeCell ref="E319:E323"/>
    <mergeCell ref="A324:D324"/>
    <mergeCell ref="A325:B325"/>
    <mergeCell ref="C328:C332"/>
    <mergeCell ref="A362:D362"/>
    <mergeCell ref="A363:B363"/>
    <mergeCell ref="A365:F365"/>
    <mergeCell ref="C367:C371"/>
    <mergeCell ref="D367:D371"/>
    <mergeCell ref="E367:E371"/>
    <mergeCell ref="A372:D372"/>
    <mergeCell ref="A373:B373"/>
    <mergeCell ref="A345:F345"/>
    <mergeCell ref="C347:C351"/>
    <mergeCell ref="D347:D351"/>
    <mergeCell ref="E347:E351"/>
    <mergeCell ref="A352:D352"/>
    <mergeCell ref="A353:B353"/>
    <mergeCell ref="A355:F355"/>
    <mergeCell ref="C357:C361"/>
    <mergeCell ref="D357:D361"/>
    <mergeCell ref="E357:E361"/>
    <mergeCell ref="A580:D580"/>
    <mergeCell ref="A581:B581"/>
    <mergeCell ref="A564:F564"/>
    <mergeCell ref="C566:C570"/>
    <mergeCell ref="D566:D570"/>
    <mergeCell ref="E566:E570"/>
    <mergeCell ref="A571:D571"/>
    <mergeCell ref="A572:B572"/>
    <mergeCell ref="A573:F573"/>
    <mergeCell ref="C575:C579"/>
    <mergeCell ref="D575:D579"/>
    <mergeCell ref="E575:E579"/>
    <mergeCell ref="A599:D599"/>
    <mergeCell ref="A600:B600"/>
    <mergeCell ref="A583:F583"/>
    <mergeCell ref="C585:C589"/>
    <mergeCell ref="D585:D589"/>
    <mergeCell ref="E585:E589"/>
    <mergeCell ref="A590:D590"/>
    <mergeCell ref="A591:B591"/>
    <mergeCell ref="A592:F592"/>
    <mergeCell ref="C594:C598"/>
    <mergeCell ref="D594:D598"/>
    <mergeCell ref="E594:E598"/>
  </mergeCells>
  <pageMargins left="0.70866141732283472" right="0.70866141732283472" top="0.74803149606299213" bottom="0.74803149606299213" header="0.31496062992125984" footer="0.31496062992125984"/>
  <pageSetup scale="88" orientation="landscape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zoomScaleNormal="100" workbookViewId="0">
      <selection activeCell="I28" sqref="I28"/>
    </sheetView>
  </sheetViews>
  <sheetFormatPr defaultRowHeight="15" x14ac:dyDescent="0.25"/>
  <cols>
    <col min="2" max="2" width="19.85546875" bestFit="1" customWidth="1"/>
    <col min="3" max="3" width="13.42578125" bestFit="1" customWidth="1"/>
    <col min="4" max="4" width="14.85546875" bestFit="1" customWidth="1"/>
    <col min="5" max="5" width="30.5703125" customWidth="1"/>
    <col min="6" max="6" width="33.7109375" bestFit="1" customWidth="1"/>
    <col min="8" max="8" width="9.140625" customWidth="1"/>
    <col min="9" max="9" width="28.28515625" bestFit="1" customWidth="1"/>
    <col min="10" max="10" width="13.42578125" customWidth="1"/>
    <col min="11" max="11" width="12.7109375" bestFit="1" customWidth="1"/>
    <col min="12" max="12" width="15.5703125" bestFit="1" customWidth="1"/>
    <col min="13" max="13" width="33.7109375" bestFit="1" customWidth="1"/>
  </cols>
  <sheetData>
    <row r="1" spans="1:13" ht="21" x14ac:dyDescent="0.35">
      <c r="A1" s="288" t="s">
        <v>449</v>
      </c>
      <c r="B1" s="288"/>
      <c r="C1" s="288"/>
      <c r="D1" s="288"/>
      <c r="E1" s="288"/>
      <c r="F1" s="288"/>
    </row>
    <row r="2" spans="1:13" ht="15.75" x14ac:dyDescent="0.25">
      <c r="A2" s="90" t="s">
        <v>0</v>
      </c>
      <c r="B2" s="90" t="s">
        <v>3</v>
      </c>
      <c r="C2" s="90" t="s">
        <v>24</v>
      </c>
      <c r="D2" s="90" t="s">
        <v>8</v>
      </c>
      <c r="E2" s="90" t="s">
        <v>106</v>
      </c>
      <c r="F2" s="90" t="s">
        <v>455</v>
      </c>
    </row>
    <row r="3" spans="1:13" x14ac:dyDescent="0.25">
      <c r="A3" s="1">
        <v>1</v>
      </c>
      <c r="B3" s="66" t="s">
        <v>454</v>
      </c>
      <c r="C3" s="1" t="s">
        <v>450</v>
      </c>
      <c r="D3" s="5">
        <f>3892.5+D12</f>
        <v>4857.5</v>
      </c>
      <c r="E3" s="1"/>
      <c r="F3" s="1"/>
    </row>
    <row r="4" spans="1:13" x14ac:dyDescent="0.25">
      <c r="A4" s="1">
        <v>2</v>
      </c>
      <c r="B4" s="66" t="s">
        <v>454</v>
      </c>
      <c r="C4" s="1" t="s">
        <v>451</v>
      </c>
      <c r="D4" s="5">
        <f>3893.5+D14</f>
        <v>4858.5</v>
      </c>
      <c r="E4" s="1"/>
      <c r="F4" s="1"/>
    </row>
    <row r="5" spans="1:13" x14ac:dyDescent="0.25">
      <c r="A5" s="1">
        <v>3</v>
      </c>
      <c r="B5" s="66" t="s">
        <v>454</v>
      </c>
      <c r="C5" s="1" t="s">
        <v>452</v>
      </c>
      <c r="D5" s="5">
        <f>3894.5+D15</f>
        <v>4829.5</v>
      </c>
      <c r="E5" s="1"/>
      <c r="F5" s="1"/>
    </row>
    <row r="6" spans="1:13" x14ac:dyDescent="0.25">
      <c r="A6" s="1">
        <v>4</v>
      </c>
      <c r="B6" s="66" t="s">
        <v>454</v>
      </c>
      <c r="C6" s="1" t="s">
        <v>453</v>
      </c>
      <c r="D6" s="5">
        <f>3895.5+D13</f>
        <v>4860.5</v>
      </c>
      <c r="E6" s="1"/>
      <c r="F6" s="1"/>
    </row>
    <row r="7" spans="1:13" ht="21.75" thickBot="1" x14ac:dyDescent="0.4">
      <c r="A7" s="314" t="s">
        <v>456</v>
      </c>
      <c r="B7" s="314"/>
      <c r="C7" s="314"/>
      <c r="D7" s="91">
        <f>SUM(D3:D6)</f>
        <v>19406</v>
      </c>
    </row>
    <row r="8" spans="1:13" ht="15.75" thickBot="1" x14ac:dyDescent="0.3">
      <c r="A8" s="119" t="s">
        <v>630</v>
      </c>
      <c r="B8" s="120"/>
      <c r="F8" s="14" t="s">
        <v>631</v>
      </c>
    </row>
    <row r="10" spans="1:13" ht="21" x14ac:dyDescent="0.35">
      <c r="A10" s="288" t="s">
        <v>449</v>
      </c>
      <c r="B10" s="288"/>
      <c r="C10" s="288"/>
      <c r="D10" s="288"/>
      <c r="E10" s="288"/>
      <c r="F10" s="288"/>
      <c r="H10" s="288" t="s">
        <v>449</v>
      </c>
      <c r="I10" s="288"/>
      <c r="J10" s="288"/>
      <c r="K10" s="288"/>
      <c r="L10" s="288"/>
      <c r="M10" s="288"/>
    </row>
    <row r="11" spans="1:13" ht="15.75" x14ac:dyDescent="0.25">
      <c r="A11" s="90" t="s">
        <v>0</v>
      </c>
      <c r="B11" s="90" t="s">
        <v>3</v>
      </c>
      <c r="C11" s="90" t="s">
        <v>24</v>
      </c>
      <c r="D11" s="90" t="s">
        <v>8</v>
      </c>
      <c r="E11" s="90" t="s">
        <v>106</v>
      </c>
      <c r="F11" s="90" t="s">
        <v>455</v>
      </c>
      <c r="H11" s="90" t="s">
        <v>0</v>
      </c>
      <c r="I11" s="90" t="s">
        <v>3</v>
      </c>
      <c r="J11" s="90" t="s">
        <v>24</v>
      </c>
      <c r="K11" s="90" t="s">
        <v>8</v>
      </c>
      <c r="L11" s="90" t="s">
        <v>106</v>
      </c>
      <c r="M11" s="90" t="s">
        <v>455</v>
      </c>
    </row>
    <row r="12" spans="1:13" x14ac:dyDescent="0.25">
      <c r="A12" s="1">
        <v>1</v>
      </c>
      <c r="B12" s="66" t="s">
        <v>481</v>
      </c>
      <c r="C12" s="1" t="s">
        <v>450</v>
      </c>
      <c r="D12" s="5">
        <f>'Aqib,waqas,jhandad,rqfeeq Data'!E8+'Aqib,waqas,jhandad,rqfeeq Data'!E44+'Aqib,waqas,jhandad,rqfeeq Data'!E80</f>
        <v>965</v>
      </c>
      <c r="E12" s="1"/>
      <c r="F12" s="1"/>
      <c r="H12" s="1">
        <v>1</v>
      </c>
      <c r="I12" s="66" t="s">
        <v>769</v>
      </c>
      <c r="J12" s="1" t="s">
        <v>450</v>
      </c>
      <c r="K12" s="5">
        <f>D3+D12+D20+D28+D41+D50+D59+D67+D75+D81+D89+D97+D105</f>
        <v>9588</v>
      </c>
      <c r="L12" s="1"/>
      <c r="M12" s="1"/>
    </row>
    <row r="13" spans="1:13" x14ac:dyDescent="0.25">
      <c r="A13" s="1">
        <v>2</v>
      </c>
      <c r="B13" s="66" t="s">
        <v>481</v>
      </c>
      <c r="C13" s="1" t="s">
        <v>453</v>
      </c>
      <c r="D13" s="5">
        <f>'Aqib,waqas,jhandad,rqfeeq Data'!E17+'Aqib,waqas,jhandad,rqfeeq Data'!E53+'Aqib,waqas,jhandad,rqfeeq Data'!E89</f>
        <v>965</v>
      </c>
      <c r="E13" s="1"/>
      <c r="F13" s="1"/>
      <c r="H13" s="1">
        <v>2</v>
      </c>
      <c r="I13" s="66" t="s">
        <v>769</v>
      </c>
      <c r="J13" s="1" t="s">
        <v>451</v>
      </c>
      <c r="K13" s="5">
        <f>D4+D14+D22+D30+D44+D52+D60+D69+D76+D83+D90</f>
        <v>9861</v>
      </c>
      <c r="L13" s="1"/>
      <c r="M13" s="1"/>
    </row>
    <row r="14" spans="1:13" x14ac:dyDescent="0.25">
      <c r="A14" s="1">
        <v>3</v>
      </c>
      <c r="B14" s="66" t="s">
        <v>481</v>
      </c>
      <c r="C14" s="1" t="s">
        <v>451</v>
      </c>
      <c r="D14" s="5">
        <f>'Aqib,waqas,jhandad,rqfeeq Data'!E26+'Aqib,waqas,jhandad,rqfeeq Data'!E62+'Aqib,waqas,jhandad,rqfeeq Data'!E98</f>
        <v>965</v>
      </c>
      <c r="E14" s="1"/>
      <c r="F14" s="1"/>
      <c r="H14" s="1">
        <v>3</v>
      </c>
      <c r="I14" s="66" t="s">
        <v>769</v>
      </c>
      <c r="J14" s="1" t="s">
        <v>452</v>
      </c>
      <c r="K14" s="5">
        <f>D5+D15+D23+D31+D45+D51+D68+D82+D98+D106</f>
        <v>8728</v>
      </c>
      <c r="L14" s="1"/>
      <c r="M14" s="1"/>
    </row>
    <row r="15" spans="1:13" x14ac:dyDescent="0.25">
      <c r="A15" s="1">
        <v>4</v>
      </c>
      <c r="B15" s="66" t="s">
        <v>481</v>
      </c>
      <c r="C15" s="1" t="s">
        <v>472</v>
      </c>
      <c r="D15" s="5">
        <f>'Aqib,waqas,jhandad,rqfeeq Data'!E35+'Aqib,waqas,jhandad,rqfeeq Data'!E71+'Aqib,waqas,jhandad,rqfeeq Data'!E107</f>
        <v>935</v>
      </c>
      <c r="E15" s="1"/>
      <c r="F15" s="1"/>
      <c r="H15" s="1">
        <v>4</v>
      </c>
      <c r="I15" s="66" t="s">
        <v>769</v>
      </c>
      <c r="J15" s="1" t="s">
        <v>453</v>
      </c>
      <c r="K15" s="5">
        <f>D6+D13+D21+D29+D36+D42+D43+D53+D61+D70+D84+D91</f>
        <v>9524.5</v>
      </c>
      <c r="L15" s="1"/>
      <c r="M15" s="1"/>
    </row>
    <row r="16" spans="1:13" ht="21" x14ac:dyDescent="0.35">
      <c r="A16" s="314" t="s">
        <v>456</v>
      </c>
      <c r="B16" s="314"/>
      <c r="C16" s="314"/>
      <c r="D16" s="91">
        <f>SUM(D12:D15)</f>
        <v>3830</v>
      </c>
      <c r="H16" s="1">
        <v>5</v>
      </c>
      <c r="I16" s="66" t="s">
        <v>769</v>
      </c>
      <c r="J16" s="1" t="s">
        <v>598</v>
      </c>
      <c r="K16" s="5">
        <f>D54</f>
        <v>370</v>
      </c>
      <c r="L16" s="1"/>
      <c r="M16" s="1"/>
    </row>
    <row r="17" spans="1:13" x14ac:dyDescent="0.25">
      <c r="H17" s="1">
        <v>6</v>
      </c>
      <c r="I17" s="66">
        <v>46036</v>
      </c>
      <c r="J17" s="1" t="s">
        <v>750</v>
      </c>
      <c r="K17" s="5">
        <v>100</v>
      </c>
      <c r="L17" s="1"/>
      <c r="M17" s="1"/>
    </row>
    <row r="18" spans="1:13" ht="21.75" thickBot="1" x14ac:dyDescent="0.4">
      <c r="A18" s="288" t="s">
        <v>449</v>
      </c>
      <c r="B18" s="288"/>
      <c r="C18" s="288"/>
      <c r="D18" s="288"/>
      <c r="E18" s="288"/>
      <c r="F18" s="288"/>
      <c r="H18" s="344" t="s">
        <v>456</v>
      </c>
      <c r="I18" s="344"/>
      <c r="J18" s="344"/>
      <c r="K18" s="124">
        <f>SUM(K12:K17)</f>
        <v>38171.5</v>
      </c>
    </row>
    <row r="19" spans="1:13" ht="16.5" thickBot="1" x14ac:dyDescent="0.3">
      <c r="A19" s="90" t="s">
        <v>0</v>
      </c>
      <c r="B19" s="90" t="s">
        <v>3</v>
      </c>
      <c r="C19" s="90" t="s">
        <v>24</v>
      </c>
      <c r="D19" s="90" t="s">
        <v>8</v>
      </c>
      <c r="E19" s="90" t="s">
        <v>106</v>
      </c>
      <c r="F19" s="90" t="s">
        <v>455</v>
      </c>
      <c r="H19" s="119" t="s">
        <v>630</v>
      </c>
      <c r="I19" s="120"/>
      <c r="M19" s="14" t="s">
        <v>631</v>
      </c>
    </row>
    <row r="20" spans="1:13" x14ac:dyDescent="0.25">
      <c r="A20" s="1">
        <v>1</v>
      </c>
      <c r="B20" s="66">
        <v>46024</v>
      </c>
      <c r="C20" s="1" t="s">
        <v>450</v>
      </c>
      <c r="D20" s="5">
        <v>470</v>
      </c>
      <c r="E20" s="1"/>
      <c r="F20" s="1"/>
    </row>
    <row r="21" spans="1:13" x14ac:dyDescent="0.25">
      <c r="A21" s="1">
        <v>2</v>
      </c>
      <c r="B21" s="66">
        <v>46024</v>
      </c>
      <c r="C21" s="1" t="s">
        <v>453</v>
      </c>
      <c r="D21" s="5">
        <f>470+120</f>
        <v>590</v>
      </c>
      <c r="E21" s="1"/>
      <c r="F21" s="1"/>
    </row>
    <row r="22" spans="1:13" x14ac:dyDescent="0.25">
      <c r="A22" s="1">
        <v>3</v>
      </c>
      <c r="B22" s="66">
        <v>46024</v>
      </c>
      <c r="C22" s="1" t="s">
        <v>451</v>
      </c>
      <c r="D22" s="5">
        <v>470</v>
      </c>
      <c r="E22" s="1"/>
      <c r="F22" s="1"/>
    </row>
    <row r="23" spans="1:13" x14ac:dyDescent="0.25">
      <c r="A23" s="1">
        <v>4</v>
      </c>
      <c r="B23" s="66">
        <v>46024</v>
      </c>
      <c r="C23" s="1" t="s">
        <v>472</v>
      </c>
      <c r="D23" s="5">
        <v>470</v>
      </c>
      <c r="E23" s="1"/>
      <c r="F23" s="1"/>
    </row>
    <row r="24" spans="1:13" ht="21" x14ac:dyDescent="0.35">
      <c r="A24" s="314" t="s">
        <v>456</v>
      </c>
      <c r="B24" s="314"/>
      <c r="C24" s="314"/>
      <c r="D24" s="91">
        <f>SUM(D20:D23)</f>
        <v>2000</v>
      </c>
    </row>
    <row r="26" spans="1:13" ht="21" x14ac:dyDescent="0.35">
      <c r="A26" s="288" t="s">
        <v>449</v>
      </c>
      <c r="B26" s="288"/>
      <c r="C26" s="288"/>
      <c r="D26" s="288"/>
      <c r="E26" s="288"/>
      <c r="F26" s="288"/>
    </row>
    <row r="27" spans="1:13" ht="15.75" x14ac:dyDescent="0.25">
      <c r="A27" s="90" t="s">
        <v>0</v>
      </c>
      <c r="B27" s="90" t="s">
        <v>3</v>
      </c>
      <c r="C27" s="90" t="s">
        <v>24</v>
      </c>
      <c r="D27" s="90" t="s">
        <v>8</v>
      </c>
      <c r="E27" s="90" t="s">
        <v>106</v>
      </c>
      <c r="F27" s="90" t="s">
        <v>455</v>
      </c>
    </row>
    <row r="28" spans="1:13" x14ac:dyDescent="0.25">
      <c r="A28" s="1">
        <v>1</v>
      </c>
      <c r="B28" s="66">
        <v>46025</v>
      </c>
      <c r="C28" s="1" t="s">
        <v>450</v>
      </c>
      <c r="D28" s="5">
        <v>428</v>
      </c>
      <c r="E28" s="1"/>
      <c r="F28" s="1"/>
    </row>
    <row r="29" spans="1:13" x14ac:dyDescent="0.25">
      <c r="A29" s="1">
        <v>2</v>
      </c>
      <c r="B29" s="66">
        <v>46025</v>
      </c>
      <c r="C29" s="1" t="s">
        <v>453</v>
      </c>
      <c r="D29" s="5">
        <v>428</v>
      </c>
      <c r="E29" s="1"/>
      <c r="F29" s="1"/>
    </row>
    <row r="30" spans="1:13" x14ac:dyDescent="0.25">
      <c r="A30" s="1">
        <v>3</v>
      </c>
      <c r="B30" s="66">
        <v>46025</v>
      </c>
      <c r="C30" s="1" t="s">
        <v>451</v>
      </c>
      <c r="D30" s="5">
        <v>428</v>
      </c>
      <c r="E30" s="1"/>
      <c r="F30" s="1"/>
    </row>
    <row r="31" spans="1:13" x14ac:dyDescent="0.25">
      <c r="A31" s="1">
        <v>4</v>
      </c>
      <c r="B31" s="66">
        <v>46025</v>
      </c>
      <c r="C31" s="1" t="s">
        <v>472</v>
      </c>
      <c r="D31" s="5">
        <v>428</v>
      </c>
      <c r="E31" s="1"/>
      <c r="F31" s="1"/>
    </row>
    <row r="32" spans="1:13" ht="21" x14ac:dyDescent="0.35">
      <c r="A32" s="314" t="s">
        <v>456</v>
      </c>
      <c r="B32" s="314"/>
      <c r="C32" s="314"/>
      <c r="D32" s="91">
        <f>SUM(D28:D31)</f>
        <v>1712</v>
      </c>
    </row>
    <row r="34" spans="1:6" ht="21" x14ac:dyDescent="0.35">
      <c r="A34" s="288" t="s">
        <v>449</v>
      </c>
      <c r="B34" s="288"/>
      <c r="C34" s="288"/>
      <c r="D34" s="288"/>
      <c r="E34" s="288"/>
      <c r="F34" s="288"/>
    </row>
    <row r="35" spans="1:6" ht="15.75" x14ac:dyDescent="0.25">
      <c r="A35" s="90" t="s">
        <v>0</v>
      </c>
      <c r="B35" s="90" t="s">
        <v>3</v>
      </c>
      <c r="C35" s="90" t="s">
        <v>24</v>
      </c>
      <c r="D35" s="90" t="s">
        <v>8</v>
      </c>
      <c r="E35" s="90" t="s">
        <v>106</v>
      </c>
      <c r="F35" s="90" t="s">
        <v>455</v>
      </c>
    </row>
    <row r="36" spans="1:6" x14ac:dyDescent="0.25">
      <c r="A36" s="1">
        <v>1</v>
      </c>
      <c r="B36" s="66">
        <v>46026</v>
      </c>
      <c r="C36" s="1" t="s">
        <v>453</v>
      </c>
      <c r="D36" s="5">
        <f>260+195</f>
        <v>455</v>
      </c>
      <c r="E36" s="1"/>
      <c r="F36" s="1"/>
    </row>
    <row r="37" spans="1:6" ht="21" x14ac:dyDescent="0.35">
      <c r="A37" s="314" t="s">
        <v>456</v>
      </c>
      <c r="B37" s="314"/>
      <c r="C37" s="314"/>
      <c r="D37" s="91">
        <f>SUM(D36:D36)</f>
        <v>455</v>
      </c>
    </row>
    <row r="39" spans="1:6" ht="21" x14ac:dyDescent="0.35">
      <c r="A39" s="288" t="s">
        <v>449</v>
      </c>
      <c r="B39" s="288"/>
      <c r="C39" s="288"/>
      <c r="D39" s="288"/>
      <c r="E39" s="288"/>
      <c r="F39" s="288"/>
    </row>
    <row r="40" spans="1:6" ht="15.75" x14ac:dyDescent="0.25">
      <c r="A40" s="90" t="s">
        <v>0</v>
      </c>
      <c r="B40" s="90" t="s">
        <v>3</v>
      </c>
      <c r="C40" s="90" t="s">
        <v>24</v>
      </c>
      <c r="D40" s="90" t="s">
        <v>8</v>
      </c>
      <c r="E40" s="90" t="s">
        <v>106</v>
      </c>
      <c r="F40" s="90" t="s">
        <v>455</v>
      </c>
    </row>
    <row r="41" spans="1:6" x14ac:dyDescent="0.25">
      <c r="A41" s="1">
        <v>1</v>
      </c>
      <c r="B41" s="66">
        <v>46027</v>
      </c>
      <c r="C41" s="1" t="s">
        <v>450</v>
      </c>
      <c r="D41" s="5">
        <v>310</v>
      </c>
      <c r="E41" s="1"/>
      <c r="F41" s="1"/>
    </row>
    <row r="42" spans="1:6" x14ac:dyDescent="0.25">
      <c r="A42" s="1">
        <v>2</v>
      </c>
      <c r="B42" s="66">
        <v>46027</v>
      </c>
      <c r="C42" s="1" t="s">
        <v>453</v>
      </c>
      <c r="D42" s="5">
        <v>311</v>
      </c>
      <c r="E42" s="1"/>
      <c r="F42" s="1"/>
    </row>
    <row r="43" spans="1:6" x14ac:dyDescent="0.25">
      <c r="A43" s="1"/>
      <c r="B43" s="66">
        <v>46027</v>
      </c>
      <c r="C43" s="1" t="s">
        <v>453</v>
      </c>
      <c r="D43" s="5">
        <v>225</v>
      </c>
      <c r="E43" s="1"/>
      <c r="F43" s="1"/>
    </row>
    <row r="44" spans="1:6" x14ac:dyDescent="0.25">
      <c r="A44" s="1">
        <v>3</v>
      </c>
      <c r="B44" s="66">
        <v>46027</v>
      </c>
      <c r="C44" s="1" t="s">
        <v>451</v>
      </c>
      <c r="D44" s="5">
        <v>312</v>
      </c>
      <c r="E44" s="1"/>
      <c r="F44" s="1"/>
    </row>
    <row r="45" spans="1:6" x14ac:dyDescent="0.25">
      <c r="A45" s="1">
        <v>4</v>
      </c>
      <c r="B45" s="66">
        <v>46027</v>
      </c>
      <c r="C45" s="1" t="s">
        <v>472</v>
      </c>
      <c r="D45" s="5">
        <v>313</v>
      </c>
      <c r="E45" s="1"/>
      <c r="F45" s="1"/>
    </row>
    <row r="46" spans="1:6" ht="21" x14ac:dyDescent="0.35">
      <c r="A46" s="314" t="s">
        <v>456</v>
      </c>
      <c r="B46" s="314"/>
      <c r="C46" s="314"/>
      <c r="D46" s="91">
        <f>SUM(D41:D45)</f>
        <v>1471</v>
      </c>
    </row>
    <row r="48" spans="1:6" ht="21" x14ac:dyDescent="0.35">
      <c r="A48" s="288" t="s">
        <v>449</v>
      </c>
      <c r="B48" s="288"/>
      <c r="C48" s="288"/>
      <c r="D48" s="288"/>
      <c r="E48" s="288"/>
      <c r="F48" s="288"/>
    </row>
    <row r="49" spans="1:6" ht="15.75" x14ac:dyDescent="0.25">
      <c r="A49" s="90" t="s">
        <v>0</v>
      </c>
      <c r="B49" s="90" t="s">
        <v>3</v>
      </c>
      <c r="C49" s="90" t="s">
        <v>24</v>
      </c>
      <c r="D49" s="90" t="s">
        <v>8</v>
      </c>
      <c r="E49" s="90" t="s">
        <v>106</v>
      </c>
      <c r="F49" s="90" t="s">
        <v>455</v>
      </c>
    </row>
    <row r="50" spans="1:6" x14ac:dyDescent="0.25">
      <c r="A50" s="1">
        <v>1</v>
      </c>
      <c r="B50" s="66">
        <v>46028</v>
      </c>
      <c r="C50" s="1" t="s">
        <v>450</v>
      </c>
      <c r="D50" s="5">
        <v>320</v>
      </c>
      <c r="E50" s="1"/>
      <c r="F50" s="1"/>
    </row>
    <row r="51" spans="1:6" x14ac:dyDescent="0.25">
      <c r="A51" s="1">
        <v>2</v>
      </c>
      <c r="B51" s="66">
        <v>46028</v>
      </c>
      <c r="C51" s="1" t="s">
        <v>472</v>
      </c>
      <c r="D51" s="5">
        <v>320</v>
      </c>
      <c r="E51" s="1"/>
      <c r="F51" s="1"/>
    </row>
    <row r="52" spans="1:6" x14ac:dyDescent="0.25">
      <c r="A52" s="1">
        <v>3</v>
      </c>
      <c r="B52" s="66">
        <v>46028</v>
      </c>
      <c r="C52" s="1" t="s">
        <v>451</v>
      </c>
      <c r="D52" s="5">
        <v>320</v>
      </c>
      <c r="E52" s="1"/>
      <c r="F52" s="1"/>
    </row>
    <row r="53" spans="1:6" x14ac:dyDescent="0.25">
      <c r="A53" s="1">
        <v>4</v>
      </c>
      <c r="B53" s="66">
        <v>46028</v>
      </c>
      <c r="C53" s="1" t="s">
        <v>471</v>
      </c>
      <c r="D53" s="5">
        <v>320</v>
      </c>
      <c r="E53" s="1"/>
      <c r="F53" s="1"/>
    </row>
    <row r="54" spans="1:6" x14ac:dyDescent="0.25">
      <c r="A54" s="1">
        <v>5</v>
      </c>
      <c r="B54" s="66">
        <v>46028</v>
      </c>
      <c r="C54" s="1" t="s">
        <v>598</v>
      </c>
      <c r="D54" s="5">
        <v>370</v>
      </c>
      <c r="E54" s="1"/>
      <c r="F54" s="1"/>
    </row>
    <row r="55" spans="1:6" ht="21" x14ac:dyDescent="0.35">
      <c r="A55" s="314" t="s">
        <v>456</v>
      </c>
      <c r="B55" s="314"/>
      <c r="C55" s="314"/>
      <c r="D55" s="91">
        <f>SUM(D50:D54)</f>
        <v>1650</v>
      </c>
    </row>
    <row r="57" spans="1:6" ht="21" x14ac:dyDescent="0.35">
      <c r="A57" s="288" t="s">
        <v>449</v>
      </c>
      <c r="B57" s="288"/>
      <c r="C57" s="288"/>
      <c r="D57" s="288"/>
      <c r="E57" s="288"/>
      <c r="F57" s="288"/>
    </row>
    <row r="58" spans="1:6" ht="15.75" x14ac:dyDescent="0.25">
      <c r="A58" s="90" t="s">
        <v>0</v>
      </c>
      <c r="B58" s="90" t="s">
        <v>3</v>
      </c>
      <c r="C58" s="90" t="s">
        <v>24</v>
      </c>
      <c r="D58" s="90" t="s">
        <v>8</v>
      </c>
      <c r="E58" s="90" t="s">
        <v>106</v>
      </c>
      <c r="F58" s="90" t="s">
        <v>455</v>
      </c>
    </row>
    <row r="59" spans="1:6" x14ac:dyDescent="0.25">
      <c r="A59" s="1">
        <v>1</v>
      </c>
      <c r="B59" s="66">
        <v>46030</v>
      </c>
      <c r="C59" s="1" t="s">
        <v>450</v>
      </c>
      <c r="D59" s="5">
        <v>280</v>
      </c>
      <c r="E59" s="1"/>
      <c r="F59" s="1"/>
    </row>
    <row r="60" spans="1:6" x14ac:dyDescent="0.25">
      <c r="A60" s="1">
        <v>3</v>
      </c>
      <c r="B60" s="66">
        <v>46030</v>
      </c>
      <c r="C60" s="1" t="s">
        <v>451</v>
      </c>
      <c r="D60" s="5">
        <v>280</v>
      </c>
      <c r="E60" s="1"/>
      <c r="F60" s="1"/>
    </row>
    <row r="61" spans="1:6" x14ac:dyDescent="0.25">
      <c r="A61" s="1">
        <v>4</v>
      </c>
      <c r="B61" s="66">
        <v>46030</v>
      </c>
      <c r="C61" s="1" t="s">
        <v>471</v>
      </c>
      <c r="D61" s="5">
        <v>280</v>
      </c>
      <c r="E61" s="1"/>
      <c r="F61" s="1"/>
    </row>
    <row r="62" spans="1:6" ht="21.75" thickBot="1" x14ac:dyDescent="0.4">
      <c r="A62" s="345" t="s">
        <v>456</v>
      </c>
      <c r="B62" s="345"/>
      <c r="C62" s="314"/>
      <c r="D62" s="91">
        <f>SUM(D59:D61)</f>
        <v>840</v>
      </c>
    </row>
    <row r="63" spans="1:6" ht="15.75" thickBot="1" x14ac:dyDescent="0.3">
      <c r="A63" s="119" t="s">
        <v>630</v>
      </c>
      <c r="B63" s="120"/>
      <c r="F63" s="14" t="s">
        <v>631</v>
      </c>
    </row>
    <row r="65" spans="1:6" ht="21" x14ac:dyDescent="0.35">
      <c r="A65" s="288" t="s">
        <v>449</v>
      </c>
      <c r="B65" s="288"/>
      <c r="C65" s="288"/>
      <c r="D65" s="288"/>
      <c r="E65" s="288"/>
      <c r="F65" s="288"/>
    </row>
    <row r="66" spans="1:6" ht="15.75" x14ac:dyDescent="0.25">
      <c r="A66" s="90" t="s">
        <v>0</v>
      </c>
      <c r="B66" s="90" t="s">
        <v>3</v>
      </c>
      <c r="C66" s="90" t="s">
        <v>24</v>
      </c>
      <c r="D66" s="90" t="s">
        <v>8</v>
      </c>
      <c r="E66" s="90" t="s">
        <v>106</v>
      </c>
      <c r="F66" s="90" t="s">
        <v>455</v>
      </c>
    </row>
    <row r="67" spans="1:6" x14ac:dyDescent="0.25">
      <c r="A67" s="1">
        <v>1</v>
      </c>
      <c r="B67" s="66">
        <v>46031</v>
      </c>
      <c r="C67" s="1" t="s">
        <v>450</v>
      </c>
      <c r="D67" s="5">
        <v>370</v>
      </c>
      <c r="E67" s="1"/>
      <c r="F67" s="1"/>
    </row>
    <row r="68" spans="1:6" x14ac:dyDescent="0.25">
      <c r="A68" s="1">
        <v>2</v>
      </c>
      <c r="B68" s="66">
        <v>46031</v>
      </c>
      <c r="C68" s="1" t="s">
        <v>472</v>
      </c>
      <c r="D68" s="5">
        <v>370</v>
      </c>
      <c r="E68" s="1"/>
      <c r="F68" s="1"/>
    </row>
    <row r="69" spans="1:6" x14ac:dyDescent="0.25">
      <c r="A69" s="1">
        <v>3</v>
      </c>
      <c r="B69" s="66">
        <v>46031</v>
      </c>
      <c r="C69" s="1" t="s">
        <v>451</v>
      </c>
      <c r="D69" s="5">
        <v>1330</v>
      </c>
      <c r="E69" s="1"/>
      <c r="F69" s="1"/>
    </row>
    <row r="70" spans="1:6" x14ac:dyDescent="0.25">
      <c r="A70" s="1">
        <v>4</v>
      </c>
      <c r="B70" s="66">
        <v>46031</v>
      </c>
      <c r="C70" s="1" t="s">
        <v>471</v>
      </c>
      <c r="D70" s="5">
        <v>370</v>
      </c>
      <c r="E70" s="1"/>
      <c r="F70" s="1"/>
    </row>
    <row r="71" spans="1:6" ht="21" x14ac:dyDescent="0.35">
      <c r="A71" s="314" t="s">
        <v>456</v>
      </c>
      <c r="B71" s="314"/>
      <c r="C71" s="314"/>
      <c r="D71" s="91">
        <f>SUM(D67:D70)</f>
        <v>2440</v>
      </c>
    </row>
    <row r="73" spans="1:6" ht="21" x14ac:dyDescent="0.35">
      <c r="A73" s="288" t="s">
        <v>449</v>
      </c>
      <c r="B73" s="288"/>
      <c r="C73" s="288"/>
      <c r="D73" s="288"/>
      <c r="E73" s="288"/>
      <c r="F73" s="288"/>
    </row>
    <row r="74" spans="1:6" ht="15.75" x14ac:dyDescent="0.25">
      <c r="A74" s="90" t="s">
        <v>0</v>
      </c>
      <c r="B74" s="90" t="s">
        <v>3</v>
      </c>
      <c r="C74" s="90" t="s">
        <v>24</v>
      </c>
      <c r="D74" s="90" t="s">
        <v>8</v>
      </c>
      <c r="E74" s="90" t="s">
        <v>106</v>
      </c>
      <c r="F74" s="90" t="s">
        <v>455</v>
      </c>
    </row>
    <row r="75" spans="1:6" x14ac:dyDescent="0.25">
      <c r="A75" s="1">
        <v>1</v>
      </c>
      <c r="B75" s="66">
        <v>46032</v>
      </c>
      <c r="C75" s="1" t="s">
        <v>450</v>
      </c>
      <c r="D75" s="5">
        <v>265</v>
      </c>
      <c r="E75" s="1"/>
      <c r="F75" s="1"/>
    </row>
    <row r="76" spans="1:6" x14ac:dyDescent="0.25">
      <c r="A76" s="1">
        <v>3</v>
      </c>
      <c r="B76" s="66">
        <v>46032</v>
      </c>
      <c r="C76" s="1" t="s">
        <v>451</v>
      </c>
      <c r="D76" s="5">
        <v>265</v>
      </c>
      <c r="E76" s="1"/>
      <c r="F76" s="1"/>
    </row>
    <row r="77" spans="1:6" ht="21" x14ac:dyDescent="0.35">
      <c r="A77" s="314" t="s">
        <v>456</v>
      </c>
      <c r="B77" s="314"/>
      <c r="C77" s="314"/>
      <c r="D77" s="91">
        <f>SUM(D75:D76)</f>
        <v>530</v>
      </c>
    </row>
    <row r="79" spans="1:6" ht="21" x14ac:dyDescent="0.35">
      <c r="A79" s="288" t="s">
        <v>449</v>
      </c>
      <c r="B79" s="288"/>
      <c r="C79" s="288"/>
      <c r="D79" s="288"/>
      <c r="E79" s="288"/>
      <c r="F79" s="288"/>
    </row>
    <row r="80" spans="1:6" ht="15.75" x14ac:dyDescent="0.25">
      <c r="A80" s="90" t="s">
        <v>0</v>
      </c>
      <c r="B80" s="90" t="s">
        <v>3</v>
      </c>
      <c r="C80" s="90" t="s">
        <v>24</v>
      </c>
      <c r="D80" s="90" t="s">
        <v>8</v>
      </c>
      <c r="E80" s="90" t="s">
        <v>106</v>
      </c>
      <c r="F80" s="90" t="s">
        <v>455</v>
      </c>
    </row>
    <row r="81" spans="1:6" x14ac:dyDescent="0.25">
      <c r="A81" s="1">
        <v>1</v>
      </c>
      <c r="B81" s="66">
        <v>46034</v>
      </c>
      <c r="C81" s="1" t="s">
        <v>450</v>
      </c>
      <c r="D81" s="132">
        <f>'Aqib,waqas,jhandad,rqfeeq Data'!E439</f>
        <v>272.5</v>
      </c>
      <c r="E81" s="1"/>
      <c r="F81" s="1"/>
    </row>
    <row r="82" spans="1:6" x14ac:dyDescent="0.25">
      <c r="A82" s="1">
        <v>2</v>
      </c>
      <c r="B82" s="66">
        <v>46034</v>
      </c>
      <c r="C82" s="1" t="s">
        <v>472</v>
      </c>
      <c r="D82" s="132">
        <f>'Aqib,waqas,jhandad,rqfeeq Data'!E448</f>
        <v>272.5</v>
      </c>
      <c r="E82" s="1"/>
      <c r="F82" s="1"/>
    </row>
    <row r="83" spans="1:6" x14ac:dyDescent="0.25">
      <c r="A83" s="1">
        <v>3</v>
      </c>
      <c r="B83" s="66">
        <v>46034</v>
      </c>
      <c r="C83" s="1" t="s">
        <v>451</v>
      </c>
      <c r="D83" s="132">
        <f>'Aqib,waqas,jhandad,rqfeeq Data'!E457</f>
        <v>272.5</v>
      </c>
      <c r="E83" s="1"/>
      <c r="F83" s="1"/>
    </row>
    <row r="84" spans="1:6" x14ac:dyDescent="0.25">
      <c r="A84" s="1">
        <v>4</v>
      </c>
      <c r="B84" s="66">
        <v>46034</v>
      </c>
      <c r="C84" s="1" t="s">
        <v>471</v>
      </c>
      <c r="D84" s="132">
        <f>'Aqib,waqas,jhandad,rqfeeq Data'!E475</f>
        <v>360</v>
      </c>
      <c r="E84" s="1"/>
      <c r="F84" s="1"/>
    </row>
    <row r="85" spans="1:6" ht="21" x14ac:dyDescent="0.35">
      <c r="A85" s="314" t="s">
        <v>456</v>
      </c>
      <c r="B85" s="314"/>
      <c r="C85" s="314"/>
      <c r="D85" s="133">
        <f>SUM(D81:D84)</f>
        <v>1177.5</v>
      </c>
    </row>
    <row r="87" spans="1:6" ht="21" x14ac:dyDescent="0.35">
      <c r="A87" s="288" t="s">
        <v>449</v>
      </c>
      <c r="B87" s="288"/>
      <c r="C87" s="288"/>
      <c r="D87" s="288"/>
      <c r="E87" s="288"/>
      <c r="F87" s="288"/>
    </row>
    <row r="88" spans="1:6" ht="15.75" x14ac:dyDescent="0.25">
      <c r="A88" s="90" t="s">
        <v>0</v>
      </c>
      <c r="B88" s="90" t="s">
        <v>3</v>
      </c>
      <c r="C88" s="90" t="s">
        <v>24</v>
      </c>
      <c r="D88" s="90" t="s">
        <v>8</v>
      </c>
      <c r="E88" s="90" t="s">
        <v>106</v>
      </c>
      <c r="F88" s="90" t="s">
        <v>455</v>
      </c>
    </row>
    <row r="89" spans="1:6" x14ac:dyDescent="0.25">
      <c r="A89" s="1">
        <v>1</v>
      </c>
      <c r="B89" s="66">
        <v>46035</v>
      </c>
      <c r="C89" s="1" t="s">
        <v>450</v>
      </c>
      <c r="D89" s="5">
        <v>360</v>
      </c>
      <c r="E89" s="1"/>
      <c r="F89" s="1"/>
    </row>
    <row r="90" spans="1:6" x14ac:dyDescent="0.25">
      <c r="A90" s="1">
        <v>2</v>
      </c>
      <c r="B90" s="66">
        <v>46035</v>
      </c>
      <c r="C90" s="1" t="s">
        <v>451</v>
      </c>
      <c r="D90" s="5">
        <v>360</v>
      </c>
      <c r="E90" s="1"/>
      <c r="F90" s="1"/>
    </row>
    <row r="91" spans="1:6" x14ac:dyDescent="0.25">
      <c r="A91" s="1">
        <v>3</v>
      </c>
      <c r="B91" s="66">
        <v>46035</v>
      </c>
      <c r="C91" s="1" t="s">
        <v>471</v>
      </c>
      <c r="D91" s="5">
        <v>360</v>
      </c>
      <c r="E91" s="1"/>
      <c r="F91" s="1"/>
    </row>
    <row r="92" spans="1:6" ht="21.75" thickBot="1" x14ac:dyDescent="0.4">
      <c r="A92" s="314" t="s">
        <v>456</v>
      </c>
      <c r="B92" s="314"/>
      <c r="C92" s="314"/>
      <c r="D92" s="91">
        <f>SUM(D89:D91)</f>
        <v>1080</v>
      </c>
    </row>
    <row r="93" spans="1:6" ht="15.75" thickBot="1" x14ac:dyDescent="0.3">
      <c r="A93" s="119" t="s">
        <v>630</v>
      </c>
      <c r="B93" s="120"/>
      <c r="F93" s="14" t="s">
        <v>631</v>
      </c>
    </row>
    <row r="95" spans="1:6" ht="21" x14ac:dyDescent="0.35">
      <c r="A95" s="288" t="s">
        <v>449</v>
      </c>
      <c r="B95" s="288"/>
      <c r="C95" s="288"/>
      <c r="D95" s="288"/>
      <c r="E95" s="288"/>
      <c r="F95" s="288"/>
    </row>
    <row r="96" spans="1:6" ht="15.75" x14ac:dyDescent="0.25">
      <c r="A96" s="90" t="s">
        <v>0</v>
      </c>
      <c r="B96" s="90" t="s">
        <v>3</v>
      </c>
      <c r="C96" s="90" t="s">
        <v>24</v>
      </c>
      <c r="D96" s="90" t="s">
        <v>8</v>
      </c>
      <c r="E96" s="90" t="s">
        <v>106</v>
      </c>
      <c r="F96" s="90" t="s">
        <v>455</v>
      </c>
    </row>
    <row r="97" spans="1:6" x14ac:dyDescent="0.25">
      <c r="A97" s="1">
        <v>1</v>
      </c>
      <c r="B97" s="66">
        <v>46036</v>
      </c>
      <c r="C97" s="1" t="s">
        <v>450</v>
      </c>
      <c r="D97" s="132">
        <v>450</v>
      </c>
      <c r="E97" s="1"/>
      <c r="F97" s="1"/>
    </row>
    <row r="98" spans="1:6" x14ac:dyDescent="0.25">
      <c r="A98" s="1">
        <v>2</v>
      </c>
      <c r="B98" s="66">
        <v>46036</v>
      </c>
      <c r="C98" s="1" t="s">
        <v>472</v>
      </c>
      <c r="D98" s="132">
        <v>550</v>
      </c>
      <c r="E98" s="1"/>
      <c r="F98" s="1"/>
    </row>
    <row r="99" spans="1:6" x14ac:dyDescent="0.25">
      <c r="A99" s="1">
        <v>3</v>
      </c>
      <c r="B99" s="66">
        <v>46036</v>
      </c>
      <c r="C99" s="1" t="s">
        <v>750</v>
      </c>
      <c r="D99" s="132">
        <v>100</v>
      </c>
      <c r="E99" s="1"/>
      <c r="F99" s="1"/>
    </row>
    <row r="100" spans="1:6" ht="21.75" thickBot="1" x14ac:dyDescent="0.4">
      <c r="A100" s="314" t="s">
        <v>456</v>
      </c>
      <c r="B100" s="314"/>
      <c r="C100" s="314"/>
      <c r="D100" s="91">
        <f>SUM(D97:D99)</f>
        <v>1100</v>
      </c>
    </row>
    <row r="101" spans="1:6" ht="15.75" thickBot="1" x14ac:dyDescent="0.3">
      <c r="A101" s="119" t="s">
        <v>630</v>
      </c>
      <c r="B101" s="120"/>
      <c r="F101" s="14" t="s">
        <v>631</v>
      </c>
    </row>
    <row r="103" spans="1:6" ht="21" x14ac:dyDescent="0.35">
      <c r="A103" s="288" t="s">
        <v>449</v>
      </c>
      <c r="B103" s="288"/>
      <c r="C103" s="288"/>
      <c r="D103" s="288"/>
      <c r="E103" s="288"/>
      <c r="F103" s="288"/>
    </row>
    <row r="104" spans="1:6" ht="15.75" x14ac:dyDescent="0.25">
      <c r="A104" s="90" t="s">
        <v>0</v>
      </c>
      <c r="B104" s="90" t="s">
        <v>3</v>
      </c>
      <c r="C104" s="90" t="s">
        <v>24</v>
      </c>
      <c r="D104" s="90" t="s">
        <v>8</v>
      </c>
      <c r="E104" s="90" t="s">
        <v>106</v>
      </c>
      <c r="F104" s="90" t="s">
        <v>455</v>
      </c>
    </row>
    <row r="105" spans="1:6" x14ac:dyDescent="0.25">
      <c r="A105" s="1">
        <v>1</v>
      </c>
      <c r="B105" s="66">
        <v>46037</v>
      </c>
      <c r="C105" s="1" t="s">
        <v>450</v>
      </c>
      <c r="D105" s="132">
        <v>240</v>
      </c>
      <c r="E105" s="1"/>
      <c r="F105" s="1"/>
    </row>
    <row r="106" spans="1:6" x14ac:dyDescent="0.25">
      <c r="A106" s="1">
        <v>2</v>
      </c>
      <c r="B106" s="66">
        <v>46037</v>
      </c>
      <c r="C106" s="1" t="s">
        <v>472</v>
      </c>
      <c r="D106" s="132">
        <v>240</v>
      </c>
      <c r="E106" s="1"/>
      <c r="F106" s="1"/>
    </row>
    <row r="107" spans="1:6" ht="21.75" thickBot="1" x14ac:dyDescent="0.4">
      <c r="A107" s="314" t="s">
        <v>456</v>
      </c>
      <c r="B107" s="314"/>
      <c r="C107" s="314"/>
      <c r="D107" s="91">
        <f>SUM(D105:D106)</f>
        <v>480</v>
      </c>
    </row>
    <row r="108" spans="1:6" ht="15.75" thickBot="1" x14ac:dyDescent="0.3">
      <c r="A108" s="119" t="s">
        <v>630</v>
      </c>
      <c r="B108" s="120"/>
      <c r="F108" s="14" t="s">
        <v>631</v>
      </c>
    </row>
    <row r="110" spans="1:6" ht="21" x14ac:dyDescent="0.35">
      <c r="A110" s="288" t="s">
        <v>449</v>
      </c>
      <c r="B110" s="288"/>
      <c r="C110" s="288"/>
      <c r="D110" s="288"/>
      <c r="E110" s="288"/>
      <c r="F110" s="288"/>
    </row>
    <row r="111" spans="1:6" ht="15.75" x14ac:dyDescent="0.25">
      <c r="A111" s="90" t="s">
        <v>0</v>
      </c>
      <c r="B111" s="90" t="s">
        <v>3</v>
      </c>
      <c r="C111" s="90" t="s">
        <v>24</v>
      </c>
      <c r="D111" s="90" t="s">
        <v>8</v>
      </c>
      <c r="E111" s="90" t="s">
        <v>106</v>
      </c>
      <c r="F111" s="90" t="s">
        <v>455</v>
      </c>
    </row>
    <row r="112" spans="1:6" x14ac:dyDescent="0.25">
      <c r="A112" s="1">
        <v>1</v>
      </c>
      <c r="B112" s="66">
        <v>46038</v>
      </c>
      <c r="C112" s="1" t="s">
        <v>450</v>
      </c>
      <c r="D112" s="132">
        <v>610</v>
      </c>
      <c r="E112" s="1"/>
      <c r="F112" s="1"/>
    </row>
    <row r="113" spans="1:6" x14ac:dyDescent="0.25">
      <c r="A113" s="1">
        <v>2</v>
      </c>
      <c r="B113" s="66">
        <v>46038</v>
      </c>
      <c r="C113" s="1" t="s">
        <v>472</v>
      </c>
      <c r="D113" s="132">
        <v>610</v>
      </c>
      <c r="E113" s="1"/>
      <c r="F113" s="1"/>
    </row>
    <row r="114" spans="1:6" ht="21.75" thickBot="1" x14ac:dyDescent="0.4">
      <c r="A114" s="314" t="s">
        <v>456</v>
      </c>
      <c r="B114" s="314"/>
      <c r="C114" s="314"/>
      <c r="D114" s="91">
        <f>SUM(D112:D113)</f>
        <v>1220</v>
      </c>
    </row>
    <row r="115" spans="1:6" ht="15.75" thickBot="1" x14ac:dyDescent="0.3">
      <c r="A115" s="119" t="s">
        <v>630</v>
      </c>
      <c r="B115" s="120"/>
      <c r="F115" s="14" t="s">
        <v>631</v>
      </c>
    </row>
    <row r="117" spans="1:6" ht="21" x14ac:dyDescent="0.35">
      <c r="A117" s="288" t="s">
        <v>449</v>
      </c>
      <c r="B117" s="288"/>
      <c r="C117" s="288"/>
      <c r="D117" s="288"/>
      <c r="E117" s="288"/>
      <c r="F117" s="288"/>
    </row>
    <row r="118" spans="1:6" ht="15.75" x14ac:dyDescent="0.25">
      <c r="A118" s="90" t="s">
        <v>0</v>
      </c>
      <c r="B118" s="90" t="s">
        <v>3</v>
      </c>
      <c r="C118" s="90" t="s">
        <v>24</v>
      </c>
      <c r="D118" s="90" t="s">
        <v>8</v>
      </c>
      <c r="E118" s="90" t="s">
        <v>106</v>
      </c>
      <c r="F118" s="90" t="s">
        <v>455</v>
      </c>
    </row>
    <row r="119" spans="1:6" x14ac:dyDescent="0.25">
      <c r="A119" s="1">
        <v>1</v>
      </c>
      <c r="B119" s="66">
        <v>46039</v>
      </c>
      <c r="C119" s="1" t="s">
        <v>450</v>
      </c>
      <c r="D119" s="132">
        <v>315</v>
      </c>
      <c r="E119" s="1"/>
      <c r="F119" s="1"/>
    </row>
    <row r="120" spans="1:6" x14ac:dyDescent="0.25">
      <c r="A120" s="1">
        <v>2</v>
      </c>
      <c r="B120" s="66">
        <v>46039</v>
      </c>
      <c r="C120" s="1" t="s">
        <v>472</v>
      </c>
      <c r="D120" s="132">
        <f>315+350</f>
        <v>665</v>
      </c>
      <c r="E120" s="1"/>
      <c r="F120" s="1"/>
    </row>
    <row r="121" spans="1:6" ht="21.75" thickBot="1" x14ac:dyDescent="0.4">
      <c r="A121" s="314" t="s">
        <v>456</v>
      </c>
      <c r="B121" s="314"/>
      <c r="C121" s="314"/>
      <c r="D121" s="91">
        <f>SUM(D119:D120)</f>
        <v>980</v>
      </c>
    </row>
    <row r="122" spans="1:6" ht="15.75" thickBot="1" x14ac:dyDescent="0.3">
      <c r="A122" s="119" t="s">
        <v>630</v>
      </c>
      <c r="B122" s="120"/>
      <c r="F122" s="14" t="s">
        <v>631</v>
      </c>
    </row>
  </sheetData>
  <mergeCells count="34">
    <mergeCell ref="A103:F103"/>
    <mergeCell ref="A107:C107"/>
    <mergeCell ref="A95:F95"/>
    <mergeCell ref="A100:C100"/>
    <mergeCell ref="A87:F87"/>
    <mergeCell ref="A92:C92"/>
    <mergeCell ref="A73:F73"/>
    <mergeCell ref="A77:C77"/>
    <mergeCell ref="A1:F1"/>
    <mergeCell ref="A7:C7"/>
    <mergeCell ref="A10:F10"/>
    <mergeCell ref="A16:C16"/>
    <mergeCell ref="A18:F18"/>
    <mergeCell ref="A71:C71"/>
    <mergeCell ref="A48:F48"/>
    <mergeCell ref="A55:C55"/>
    <mergeCell ref="A57:F57"/>
    <mergeCell ref="A62:C62"/>
    <mergeCell ref="A117:F117"/>
    <mergeCell ref="A121:C121"/>
    <mergeCell ref="A110:F110"/>
    <mergeCell ref="A114:C114"/>
    <mergeCell ref="H10:M10"/>
    <mergeCell ref="H18:J18"/>
    <mergeCell ref="A39:F39"/>
    <mergeCell ref="A26:F26"/>
    <mergeCell ref="A32:C32"/>
    <mergeCell ref="A34:F34"/>
    <mergeCell ref="A37:C37"/>
    <mergeCell ref="A24:C24"/>
    <mergeCell ref="A79:F79"/>
    <mergeCell ref="A85:C85"/>
    <mergeCell ref="A46:C46"/>
    <mergeCell ref="A65:F65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1"/>
  <sheetViews>
    <sheetView topLeftCell="A430" zoomScaleNormal="100" workbookViewId="0">
      <selection activeCell="F459" sqref="F459"/>
    </sheetView>
  </sheetViews>
  <sheetFormatPr defaultRowHeight="15" x14ac:dyDescent="0.25"/>
  <cols>
    <col min="2" max="2" width="12" customWidth="1"/>
    <col min="3" max="3" width="8" bestFit="1" customWidth="1"/>
    <col min="4" max="4" width="30" bestFit="1" customWidth="1"/>
    <col min="6" max="6" width="16.5703125" bestFit="1" customWidth="1"/>
    <col min="7" max="7" width="20.85546875" bestFit="1" customWidth="1"/>
    <col min="11" max="11" width="8" bestFit="1" customWidth="1"/>
    <col min="12" max="12" width="40.7109375" bestFit="1" customWidth="1"/>
    <col min="14" max="14" width="18.140625" bestFit="1" customWidth="1"/>
  </cols>
  <sheetData>
    <row r="1" spans="1:7" ht="21.75" thickBot="1" x14ac:dyDescent="0.4">
      <c r="A1" s="326" t="s">
        <v>138</v>
      </c>
      <c r="B1" s="327"/>
      <c r="C1" s="327"/>
      <c r="D1" s="327"/>
      <c r="E1" s="327"/>
      <c r="F1" s="327"/>
      <c r="G1" s="328"/>
    </row>
    <row r="2" spans="1:7" ht="19.5" thickBot="1" x14ac:dyDescent="0.35">
      <c r="A2" s="10" t="s">
        <v>0</v>
      </c>
      <c r="B2" s="11" t="s">
        <v>3</v>
      </c>
      <c r="C2" s="11" t="s">
        <v>24</v>
      </c>
      <c r="D2" s="11" t="s">
        <v>1</v>
      </c>
      <c r="E2" s="11" t="s">
        <v>26</v>
      </c>
      <c r="F2" s="11" t="s">
        <v>23</v>
      </c>
      <c r="G2" s="12" t="s">
        <v>27</v>
      </c>
    </row>
    <row r="3" spans="1:7" x14ac:dyDescent="0.25">
      <c r="A3" s="3">
        <v>1</v>
      </c>
      <c r="B3" s="3" t="s">
        <v>5</v>
      </c>
      <c r="C3" s="3" t="s">
        <v>62</v>
      </c>
      <c r="D3" s="330" t="s">
        <v>68</v>
      </c>
      <c r="E3" s="3"/>
      <c r="F3" s="333" t="s">
        <v>69</v>
      </c>
      <c r="G3" s="3" t="s">
        <v>146</v>
      </c>
    </row>
    <row r="4" spans="1:7" x14ac:dyDescent="0.25">
      <c r="A4" s="3">
        <v>2</v>
      </c>
      <c r="B4" s="3" t="s">
        <v>5</v>
      </c>
      <c r="C4" s="1" t="s">
        <v>63</v>
      </c>
      <c r="D4" s="331"/>
      <c r="E4" s="1"/>
      <c r="F4" s="334"/>
      <c r="G4" s="3" t="s">
        <v>146</v>
      </c>
    </row>
    <row r="5" spans="1:7" x14ac:dyDescent="0.25">
      <c r="A5" s="3">
        <v>3</v>
      </c>
      <c r="B5" s="3" t="s">
        <v>5</v>
      </c>
      <c r="C5" s="1" t="s">
        <v>64</v>
      </c>
      <c r="D5" s="331"/>
      <c r="E5" s="1"/>
      <c r="F5" s="334"/>
      <c r="G5" s="3" t="s">
        <v>146</v>
      </c>
    </row>
    <row r="6" spans="1:7" x14ac:dyDescent="0.25">
      <c r="A6" s="3">
        <v>4</v>
      </c>
      <c r="B6" s="3" t="s">
        <v>5</v>
      </c>
      <c r="C6" s="1" t="s">
        <v>65</v>
      </c>
      <c r="D6" s="331"/>
      <c r="E6" s="1"/>
      <c r="F6" s="334"/>
      <c r="G6" s="3" t="s">
        <v>146</v>
      </c>
    </row>
    <row r="7" spans="1:7" x14ac:dyDescent="0.25">
      <c r="A7" s="3">
        <v>5</v>
      </c>
      <c r="B7" s="3" t="s">
        <v>5</v>
      </c>
      <c r="C7" s="24" t="s">
        <v>66</v>
      </c>
      <c r="D7" s="331"/>
      <c r="E7" s="1"/>
      <c r="F7" s="334"/>
      <c r="G7" s="3" t="s">
        <v>146</v>
      </c>
    </row>
    <row r="8" spans="1:7" x14ac:dyDescent="0.25">
      <c r="A8" s="3">
        <v>6</v>
      </c>
      <c r="B8" s="3" t="s">
        <v>5</v>
      </c>
      <c r="C8" s="24" t="s">
        <v>67</v>
      </c>
      <c r="D8" s="332"/>
      <c r="E8" s="1"/>
      <c r="F8" s="335"/>
      <c r="G8" s="3" t="s">
        <v>146</v>
      </c>
    </row>
    <row r="9" spans="1:7" x14ac:dyDescent="0.25">
      <c r="A9" s="294" t="s">
        <v>41</v>
      </c>
      <c r="B9" s="294"/>
      <c r="C9" s="294"/>
      <c r="D9" s="294"/>
      <c r="E9" s="294"/>
      <c r="F9" s="17">
        <v>1700</v>
      </c>
      <c r="G9" s="1"/>
    </row>
    <row r="10" spans="1:7" ht="15.75" thickBot="1" x14ac:dyDescent="0.3"/>
    <row r="11" spans="1:7" ht="15.75" thickBot="1" x14ac:dyDescent="0.3">
      <c r="A11" s="292" t="s">
        <v>39</v>
      </c>
      <c r="B11" s="293"/>
      <c r="C11" s="23"/>
      <c r="G11" s="14" t="s">
        <v>40</v>
      </c>
    </row>
    <row r="12" spans="1:7" ht="15.75" thickBot="1" x14ac:dyDescent="0.3"/>
    <row r="13" spans="1:7" ht="21.75" thickBot="1" x14ac:dyDescent="0.4">
      <c r="A13" s="326" t="s">
        <v>138</v>
      </c>
      <c r="B13" s="327"/>
      <c r="C13" s="327"/>
      <c r="D13" s="327"/>
      <c r="E13" s="327"/>
      <c r="F13" s="327"/>
      <c r="G13" s="328"/>
    </row>
    <row r="14" spans="1:7" ht="19.5" thickBot="1" x14ac:dyDescent="0.35">
      <c r="A14" s="10" t="s">
        <v>0</v>
      </c>
      <c r="B14" s="11" t="s">
        <v>3</v>
      </c>
      <c r="C14" s="11" t="s">
        <v>24</v>
      </c>
      <c r="D14" s="11" t="s">
        <v>1</v>
      </c>
      <c r="E14" s="11" t="s">
        <v>26</v>
      </c>
      <c r="F14" s="11" t="s">
        <v>23</v>
      </c>
      <c r="G14" s="12" t="s">
        <v>27</v>
      </c>
    </row>
    <row r="15" spans="1:7" x14ac:dyDescent="0.25">
      <c r="A15" s="3">
        <v>1</v>
      </c>
      <c r="B15" s="3" t="s">
        <v>52</v>
      </c>
      <c r="C15" s="3" t="s">
        <v>62</v>
      </c>
      <c r="D15" s="330" t="s">
        <v>73</v>
      </c>
      <c r="E15" s="3"/>
      <c r="F15" s="333" t="s">
        <v>74</v>
      </c>
      <c r="G15" s="3" t="s">
        <v>146</v>
      </c>
    </row>
    <row r="16" spans="1:7" x14ac:dyDescent="0.25">
      <c r="A16" s="3">
        <v>2</v>
      </c>
      <c r="B16" s="3" t="s">
        <v>52</v>
      </c>
      <c r="C16" s="1" t="s">
        <v>63</v>
      </c>
      <c r="D16" s="331"/>
      <c r="E16" s="1"/>
      <c r="F16" s="334"/>
      <c r="G16" s="3" t="s">
        <v>146</v>
      </c>
    </row>
    <row r="17" spans="1:7" x14ac:dyDescent="0.25">
      <c r="A17" s="3">
        <v>3</v>
      </c>
      <c r="B17" s="3" t="s">
        <v>52</v>
      </c>
      <c r="C17" s="1" t="s">
        <v>64</v>
      </c>
      <c r="D17" s="331"/>
      <c r="E17" s="1"/>
      <c r="F17" s="334"/>
      <c r="G17" s="3" t="s">
        <v>146</v>
      </c>
    </row>
    <row r="18" spans="1:7" x14ac:dyDescent="0.25">
      <c r="A18" s="3">
        <v>4</v>
      </c>
      <c r="B18" s="3" t="s">
        <v>52</v>
      </c>
      <c r="C18" s="1" t="s">
        <v>65</v>
      </c>
      <c r="D18" s="331"/>
      <c r="E18" s="1"/>
      <c r="F18" s="334"/>
      <c r="G18" s="3" t="s">
        <v>146</v>
      </c>
    </row>
    <row r="19" spans="1:7" x14ac:dyDescent="0.25">
      <c r="A19" s="3">
        <v>5</v>
      </c>
      <c r="B19" s="3" t="s">
        <v>52</v>
      </c>
      <c r="C19" s="24" t="s">
        <v>66</v>
      </c>
      <c r="D19" s="331"/>
      <c r="E19" s="1"/>
      <c r="F19" s="334"/>
      <c r="G19" s="3" t="s">
        <v>146</v>
      </c>
    </row>
    <row r="20" spans="1:7" x14ac:dyDescent="0.25">
      <c r="A20" s="3">
        <v>6</v>
      </c>
      <c r="B20" s="3" t="s">
        <v>52</v>
      </c>
      <c r="C20" s="24" t="s">
        <v>67</v>
      </c>
      <c r="D20" s="332"/>
      <c r="E20" s="1"/>
      <c r="F20" s="335"/>
      <c r="G20" s="3" t="s">
        <v>146</v>
      </c>
    </row>
    <row r="21" spans="1:7" x14ac:dyDescent="0.25">
      <c r="A21" s="294" t="s">
        <v>41</v>
      </c>
      <c r="B21" s="294"/>
      <c r="C21" s="294"/>
      <c r="D21" s="294"/>
      <c r="E21" s="294"/>
      <c r="F21" s="17">
        <v>1610</v>
      </c>
      <c r="G21" s="1"/>
    </row>
    <row r="22" spans="1:7" ht="15.75" thickBot="1" x14ac:dyDescent="0.3"/>
    <row r="23" spans="1:7" ht="15.75" thickBot="1" x14ac:dyDescent="0.3">
      <c r="A23" s="292" t="s">
        <v>39</v>
      </c>
      <c r="B23" s="293"/>
      <c r="C23" s="23"/>
      <c r="G23" s="14" t="s">
        <v>40</v>
      </c>
    </row>
    <row r="24" spans="1:7" ht="15.75" thickBot="1" x14ac:dyDescent="0.3"/>
    <row r="25" spans="1:7" ht="21.75" thickBot="1" x14ac:dyDescent="0.4">
      <c r="A25" s="326" t="s">
        <v>140</v>
      </c>
      <c r="B25" s="327"/>
      <c r="C25" s="327"/>
      <c r="D25" s="327"/>
      <c r="E25" s="327"/>
      <c r="F25" s="327"/>
      <c r="G25" s="328"/>
    </row>
    <row r="26" spans="1:7" ht="19.5" thickBot="1" x14ac:dyDescent="0.35">
      <c r="A26" s="10" t="s">
        <v>0</v>
      </c>
      <c r="B26" s="11" t="s">
        <v>3</v>
      </c>
      <c r="C26" s="11" t="s">
        <v>24</v>
      </c>
      <c r="D26" s="11" t="s">
        <v>1</v>
      </c>
      <c r="E26" s="11" t="s">
        <v>26</v>
      </c>
      <c r="F26" s="11" t="s">
        <v>23</v>
      </c>
      <c r="G26" s="12" t="s">
        <v>27</v>
      </c>
    </row>
    <row r="27" spans="1:7" x14ac:dyDescent="0.25">
      <c r="A27" s="3">
        <v>1</v>
      </c>
      <c r="B27" s="3" t="s">
        <v>52</v>
      </c>
      <c r="C27" s="3" t="s">
        <v>62</v>
      </c>
      <c r="D27" s="330" t="s">
        <v>79</v>
      </c>
      <c r="E27" s="3"/>
      <c r="F27" s="333" t="s">
        <v>80</v>
      </c>
      <c r="G27" s="3" t="s">
        <v>146</v>
      </c>
    </row>
    <row r="28" spans="1:7" x14ac:dyDescent="0.25">
      <c r="A28" s="3">
        <v>2</v>
      </c>
      <c r="B28" s="3" t="s">
        <v>52</v>
      </c>
      <c r="C28" s="1" t="s">
        <v>75</v>
      </c>
      <c r="D28" s="331"/>
      <c r="E28" s="1"/>
      <c r="F28" s="334"/>
      <c r="G28" s="3" t="s">
        <v>146</v>
      </c>
    </row>
    <row r="29" spans="1:7" x14ac:dyDescent="0.25">
      <c r="A29" s="3">
        <v>3</v>
      </c>
      <c r="B29" s="3" t="s">
        <v>52</v>
      </c>
      <c r="C29" s="1" t="s">
        <v>76</v>
      </c>
      <c r="D29" s="331"/>
      <c r="E29" s="1"/>
      <c r="F29" s="334"/>
      <c r="G29" s="3" t="s">
        <v>146</v>
      </c>
    </row>
    <row r="30" spans="1:7" x14ac:dyDescent="0.25">
      <c r="A30" s="3">
        <v>4</v>
      </c>
      <c r="B30" s="3" t="s">
        <v>52</v>
      </c>
      <c r="C30" s="1" t="s">
        <v>77</v>
      </c>
      <c r="D30" s="331"/>
      <c r="E30" s="1"/>
      <c r="F30" s="334"/>
      <c r="G30" s="3" t="s">
        <v>146</v>
      </c>
    </row>
    <row r="31" spans="1:7" x14ac:dyDescent="0.25">
      <c r="A31" s="3">
        <v>5</v>
      </c>
      <c r="B31" s="3" t="s">
        <v>52</v>
      </c>
      <c r="C31" s="24" t="s">
        <v>78</v>
      </c>
      <c r="D31" s="331"/>
      <c r="E31" s="1"/>
      <c r="F31" s="334"/>
      <c r="G31" s="3" t="s">
        <v>146</v>
      </c>
    </row>
    <row r="32" spans="1:7" x14ac:dyDescent="0.25">
      <c r="A32" s="3"/>
      <c r="B32" s="3"/>
      <c r="C32" s="24"/>
      <c r="D32" s="332"/>
      <c r="E32" s="1"/>
      <c r="F32" s="335"/>
      <c r="G32" s="3" t="s">
        <v>146</v>
      </c>
    </row>
    <row r="33" spans="1:7" x14ac:dyDescent="0.25">
      <c r="A33" s="294" t="s">
        <v>41</v>
      </c>
      <c r="B33" s="294"/>
      <c r="C33" s="294"/>
      <c r="D33" s="294"/>
      <c r="E33" s="294"/>
      <c r="F33" s="17">
        <v>295</v>
      </c>
      <c r="G33" s="1"/>
    </row>
    <row r="34" spans="1:7" ht="15.75" thickBot="1" x14ac:dyDescent="0.3"/>
    <row r="35" spans="1:7" ht="15.75" thickBot="1" x14ac:dyDescent="0.3">
      <c r="A35" s="292" t="s">
        <v>39</v>
      </c>
      <c r="B35" s="293"/>
      <c r="C35" s="23"/>
      <c r="G35" s="14" t="s">
        <v>40</v>
      </c>
    </row>
    <row r="36" spans="1:7" ht="15.75" thickBot="1" x14ac:dyDescent="0.3"/>
    <row r="37" spans="1:7" ht="21.75" thickBot="1" x14ac:dyDescent="0.4">
      <c r="A37" s="326" t="s">
        <v>138</v>
      </c>
      <c r="B37" s="327"/>
      <c r="C37" s="327"/>
      <c r="D37" s="327"/>
      <c r="E37" s="327"/>
      <c r="F37" s="327"/>
      <c r="G37" s="328"/>
    </row>
    <row r="38" spans="1:7" ht="19.5" thickBot="1" x14ac:dyDescent="0.35">
      <c r="A38" s="10" t="s">
        <v>0</v>
      </c>
      <c r="B38" s="11" t="s">
        <v>3</v>
      </c>
      <c r="C38" s="11" t="s">
        <v>24</v>
      </c>
      <c r="D38" s="11" t="s">
        <v>1</v>
      </c>
      <c r="E38" s="11" t="s">
        <v>26</v>
      </c>
      <c r="F38" s="11" t="s">
        <v>23</v>
      </c>
      <c r="G38" s="12" t="s">
        <v>27</v>
      </c>
    </row>
    <row r="39" spans="1:7" x14ac:dyDescent="0.25">
      <c r="A39" s="3">
        <v>1</v>
      </c>
      <c r="B39" s="3" t="s">
        <v>108</v>
      </c>
      <c r="C39" s="329" t="s">
        <v>145</v>
      </c>
      <c r="D39" s="330" t="s">
        <v>159</v>
      </c>
      <c r="E39" s="3"/>
      <c r="F39" s="333" t="s">
        <v>158</v>
      </c>
      <c r="G39" s="3" t="s">
        <v>146</v>
      </c>
    </row>
    <row r="40" spans="1:7" x14ac:dyDescent="0.25">
      <c r="A40" s="3">
        <v>2</v>
      </c>
      <c r="B40" s="3" t="s">
        <v>108</v>
      </c>
      <c r="C40" s="309"/>
      <c r="D40" s="331"/>
      <c r="E40" s="1"/>
      <c r="F40" s="334"/>
      <c r="G40" s="3" t="s">
        <v>146</v>
      </c>
    </row>
    <row r="41" spans="1:7" x14ac:dyDescent="0.25">
      <c r="A41" s="3">
        <v>3</v>
      </c>
      <c r="B41" s="3" t="s">
        <v>108</v>
      </c>
      <c r="C41" s="309"/>
      <c r="D41" s="331"/>
      <c r="E41" s="1"/>
      <c r="F41" s="334"/>
      <c r="G41" s="3" t="s">
        <v>146</v>
      </c>
    </row>
    <row r="42" spans="1:7" x14ac:dyDescent="0.25">
      <c r="A42" s="3">
        <v>4</v>
      </c>
      <c r="B42" s="3" t="s">
        <v>108</v>
      </c>
      <c r="C42" s="309"/>
      <c r="D42" s="331"/>
      <c r="E42" s="1"/>
      <c r="F42" s="334"/>
      <c r="G42" s="3" t="s">
        <v>146</v>
      </c>
    </row>
    <row r="43" spans="1:7" x14ac:dyDescent="0.25">
      <c r="A43" s="3">
        <v>5</v>
      </c>
      <c r="B43" s="3" t="s">
        <v>108</v>
      </c>
      <c r="C43" s="309"/>
      <c r="D43" s="331"/>
      <c r="E43" s="1"/>
      <c r="F43" s="334"/>
      <c r="G43" s="3" t="s">
        <v>146</v>
      </c>
    </row>
    <row r="44" spans="1:7" x14ac:dyDescent="0.25">
      <c r="A44" s="3">
        <v>6</v>
      </c>
      <c r="B44" s="3" t="s">
        <v>108</v>
      </c>
      <c r="C44" s="310"/>
      <c r="D44" s="332"/>
      <c r="E44" s="1"/>
      <c r="F44" s="335"/>
      <c r="G44" s="3" t="s">
        <v>146</v>
      </c>
    </row>
    <row r="45" spans="1:7" x14ac:dyDescent="0.25">
      <c r="A45" s="294" t="s">
        <v>41</v>
      </c>
      <c r="B45" s="294"/>
      <c r="C45" s="294"/>
      <c r="D45" s="294"/>
      <c r="E45" s="294"/>
      <c r="F45" s="17">
        <f>225+600+240+180+20</f>
        <v>1265</v>
      </c>
      <c r="G45" s="1"/>
    </row>
    <row r="46" spans="1:7" ht="15.75" thickBot="1" x14ac:dyDescent="0.3"/>
    <row r="47" spans="1:7" ht="15.75" thickBot="1" x14ac:dyDescent="0.3">
      <c r="A47" s="292" t="s">
        <v>39</v>
      </c>
      <c r="B47" s="293"/>
      <c r="C47" s="23"/>
      <c r="G47" s="14" t="s">
        <v>40</v>
      </c>
    </row>
    <row r="48" spans="1:7" ht="15.75" thickBot="1" x14ac:dyDescent="0.3"/>
    <row r="49" spans="1:7" ht="21.75" thickBot="1" x14ac:dyDescent="0.4">
      <c r="A49" s="326" t="s">
        <v>139</v>
      </c>
      <c r="B49" s="327"/>
      <c r="C49" s="327"/>
      <c r="D49" s="327"/>
      <c r="E49" s="327"/>
      <c r="F49" s="327"/>
      <c r="G49" s="328"/>
    </row>
    <row r="50" spans="1:7" ht="19.5" thickBot="1" x14ac:dyDescent="0.35">
      <c r="A50" s="10" t="s">
        <v>0</v>
      </c>
      <c r="B50" s="11" t="s">
        <v>3</v>
      </c>
      <c r="C50" s="11" t="s">
        <v>24</v>
      </c>
      <c r="D50" s="11" t="s">
        <v>1</v>
      </c>
      <c r="E50" s="11" t="s">
        <v>26</v>
      </c>
      <c r="F50" s="11" t="s">
        <v>23</v>
      </c>
      <c r="G50" s="12" t="s">
        <v>27</v>
      </c>
    </row>
    <row r="51" spans="1:7" x14ac:dyDescent="0.25">
      <c r="A51" s="3">
        <v>1</v>
      </c>
      <c r="B51" s="3" t="s">
        <v>108</v>
      </c>
      <c r="C51" s="329" t="s">
        <v>62</v>
      </c>
      <c r="D51" s="330" t="s">
        <v>147</v>
      </c>
      <c r="E51" s="3"/>
      <c r="F51" s="333" t="s">
        <v>160</v>
      </c>
      <c r="G51" s="3" t="s">
        <v>146</v>
      </c>
    </row>
    <row r="52" spans="1:7" x14ac:dyDescent="0.25">
      <c r="A52" s="3">
        <v>2</v>
      </c>
      <c r="B52" s="3" t="s">
        <v>108</v>
      </c>
      <c r="C52" s="309"/>
      <c r="D52" s="331"/>
      <c r="E52" s="1"/>
      <c r="F52" s="334"/>
      <c r="G52" s="3" t="s">
        <v>146</v>
      </c>
    </row>
    <row r="53" spans="1:7" x14ac:dyDescent="0.25">
      <c r="A53" s="3">
        <v>3</v>
      </c>
      <c r="B53" s="3" t="s">
        <v>108</v>
      </c>
      <c r="C53" s="309"/>
      <c r="D53" s="331"/>
      <c r="E53" s="1"/>
      <c r="F53" s="334"/>
      <c r="G53" s="3" t="s">
        <v>146</v>
      </c>
    </row>
    <row r="54" spans="1:7" x14ac:dyDescent="0.25">
      <c r="A54" s="3">
        <v>4</v>
      </c>
      <c r="B54" s="3" t="s">
        <v>108</v>
      </c>
      <c r="C54" s="309"/>
      <c r="D54" s="331"/>
      <c r="E54" s="1"/>
      <c r="F54" s="334"/>
      <c r="G54" s="3" t="s">
        <v>146</v>
      </c>
    </row>
    <row r="55" spans="1:7" x14ac:dyDescent="0.25">
      <c r="A55" s="3">
        <v>5</v>
      </c>
      <c r="B55" s="3" t="s">
        <v>108</v>
      </c>
      <c r="C55" s="309"/>
      <c r="D55" s="331"/>
      <c r="E55" s="1"/>
      <c r="F55" s="334"/>
      <c r="G55" s="3" t="s">
        <v>146</v>
      </c>
    </row>
    <row r="56" spans="1:7" x14ac:dyDescent="0.25">
      <c r="A56" s="3">
        <v>6</v>
      </c>
      <c r="B56" s="3" t="s">
        <v>108</v>
      </c>
      <c r="C56" s="310"/>
      <c r="D56" s="332"/>
      <c r="E56" s="1"/>
      <c r="F56" s="335"/>
      <c r="G56" s="3" t="s">
        <v>146</v>
      </c>
    </row>
    <row r="57" spans="1:7" x14ac:dyDescent="0.25">
      <c r="A57" s="294" t="s">
        <v>41</v>
      </c>
      <c r="B57" s="294"/>
      <c r="C57" s="294"/>
      <c r="D57" s="294"/>
      <c r="E57" s="294"/>
      <c r="F57" s="17">
        <f>600+80+270</f>
        <v>950</v>
      </c>
      <c r="G57" s="1"/>
    </row>
    <row r="58" spans="1:7" ht="15.75" thickBot="1" x14ac:dyDescent="0.3"/>
    <row r="59" spans="1:7" ht="15.75" thickBot="1" x14ac:dyDescent="0.3">
      <c r="A59" s="292" t="s">
        <v>39</v>
      </c>
      <c r="B59" s="293"/>
      <c r="C59" s="23"/>
      <c r="G59" s="14" t="s">
        <v>40</v>
      </c>
    </row>
    <row r="60" spans="1:7" ht="15.75" thickBot="1" x14ac:dyDescent="0.3"/>
    <row r="61" spans="1:7" ht="21.75" thickBot="1" x14ac:dyDescent="0.4">
      <c r="A61" s="326" t="s">
        <v>138</v>
      </c>
      <c r="B61" s="327"/>
      <c r="C61" s="327"/>
      <c r="D61" s="327"/>
      <c r="E61" s="327"/>
      <c r="F61" s="327"/>
      <c r="G61" s="328"/>
    </row>
    <row r="62" spans="1:7" ht="19.5" thickBot="1" x14ac:dyDescent="0.35">
      <c r="A62" s="10" t="s">
        <v>0</v>
      </c>
      <c r="B62" s="11" t="s">
        <v>3</v>
      </c>
      <c r="C62" s="11" t="s">
        <v>24</v>
      </c>
      <c r="D62" s="11" t="s">
        <v>1</v>
      </c>
      <c r="E62" s="11" t="s">
        <v>26</v>
      </c>
      <c r="F62" s="11" t="s">
        <v>23</v>
      </c>
      <c r="G62" s="12" t="s">
        <v>27</v>
      </c>
    </row>
    <row r="63" spans="1:7" x14ac:dyDescent="0.25">
      <c r="A63" s="3">
        <v>1</v>
      </c>
      <c r="B63" s="3" t="s">
        <v>119</v>
      </c>
      <c r="C63" s="329" t="s">
        <v>145</v>
      </c>
      <c r="D63" s="330" t="s">
        <v>186</v>
      </c>
      <c r="E63" s="3"/>
      <c r="F63" s="333" t="s">
        <v>187</v>
      </c>
      <c r="G63" s="3" t="s">
        <v>146</v>
      </c>
    </row>
    <row r="64" spans="1:7" x14ac:dyDescent="0.25">
      <c r="A64" s="3">
        <v>2</v>
      </c>
      <c r="B64" s="3" t="s">
        <v>119</v>
      </c>
      <c r="C64" s="309"/>
      <c r="D64" s="331"/>
      <c r="E64" s="1"/>
      <c r="F64" s="334"/>
      <c r="G64" s="3" t="s">
        <v>146</v>
      </c>
    </row>
    <row r="65" spans="1:7" x14ac:dyDescent="0.25">
      <c r="A65" s="3">
        <v>3</v>
      </c>
      <c r="B65" s="3" t="s">
        <v>119</v>
      </c>
      <c r="C65" s="309"/>
      <c r="D65" s="331"/>
      <c r="E65" s="1"/>
      <c r="F65" s="334"/>
      <c r="G65" s="3" t="s">
        <v>146</v>
      </c>
    </row>
    <row r="66" spans="1:7" x14ac:dyDescent="0.25">
      <c r="A66" s="3">
        <v>4</v>
      </c>
      <c r="B66" s="3" t="s">
        <v>119</v>
      </c>
      <c r="C66" s="309"/>
      <c r="D66" s="331"/>
      <c r="E66" s="1"/>
      <c r="F66" s="334"/>
      <c r="G66" s="3" t="s">
        <v>146</v>
      </c>
    </row>
    <row r="67" spans="1:7" x14ac:dyDescent="0.25">
      <c r="A67" s="3">
        <v>5</v>
      </c>
      <c r="B67" s="3" t="s">
        <v>119</v>
      </c>
      <c r="C67" s="309"/>
      <c r="D67" s="331"/>
      <c r="E67" s="1"/>
      <c r="F67" s="334"/>
      <c r="G67" s="3" t="s">
        <v>146</v>
      </c>
    </row>
    <row r="68" spans="1:7" x14ac:dyDescent="0.25">
      <c r="A68" s="3">
        <v>6</v>
      </c>
      <c r="B68" s="3" t="s">
        <v>119</v>
      </c>
      <c r="C68" s="310"/>
      <c r="D68" s="332"/>
      <c r="E68" s="1"/>
      <c r="F68" s="335"/>
      <c r="G68" s="3" t="s">
        <v>146</v>
      </c>
    </row>
    <row r="69" spans="1:7" x14ac:dyDescent="0.25">
      <c r="A69" s="294" t="s">
        <v>41</v>
      </c>
      <c r="B69" s="294"/>
      <c r="C69" s="294"/>
      <c r="D69" s="294"/>
      <c r="E69" s="294"/>
      <c r="F69" s="17">
        <f>500+20+1080</f>
        <v>1600</v>
      </c>
      <c r="G69" s="1"/>
    </row>
    <row r="70" spans="1:7" ht="15.75" thickBot="1" x14ac:dyDescent="0.3"/>
    <row r="71" spans="1:7" ht="15.75" thickBot="1" x14ac:dyDescent="0.3">
      <c r="A71" s="292" t="s">
        <v>39</v>
      </c>
      <c r="B71" s="293"/>
      <c r="C71" s="23"/>
      <c r="G71" s="14" t="s">
        <v>40</v>
      </c>
    </row>
    <row r="72" spans="1:7" ht="15.75" thickBot="1" x14ac:dyDescent="0.3"/>
    <row r="73" spans="1:7" ht="21.75" thickBot="1" x14ac:dyDescent="0.4">
      <c r="A73" s="326" t="s">
        <v>139</v>
      </c>
      <c r="B73" s="327"/>
      <c r="C73" s="327"/>
      <c r="D73" s="327"/>
      <c r="E73" s="327"/>
      <c r="F73" s="327"/>
      <c r="G73" s="328"/>
    </row>
    <row r="74" spans="1:7" ht="19.5" thickBot="1" x14ac:dyDescent="0.35">
      <c r="A74" s="10" t="s">
        <v>0</v>
      </c>
      <c r="B74" s="11" t="s">
        <v>3</v>
      </c>
      <c r="C74" s="11" t="s">
        <v>24</v>
      </c>
      <c r="D74" s="11" t="s">
        <v>1</v>
      </c>
      <c r="E74" s="11" t="s">
        <v>26</v>
      </c>
      <c r="F74" s="11" t="s">
        <v>23</v>
      </c>
      <c r="G74" s="12" t="s">
        <v>27</v>
      </c>
    </row>
    <row r="75" spans="1:7" x14ac:dyDescent="0.25">
      <c r="A75" s="3">
        <v>1</v>
      </c>
      <c r="B75" s="3" t="s">
        <v>119</v>
      </c>
      <c r="C75" s="329" t="s">
        <v>145</v>
      </c>
      <c r="D75" s="330" t="s">
        <v>188</v>
      </c>
      <c r="E75" s="3"/>
      <c r="F75" s="333" t="s">
        <v>189</v>
      </c>
      <c r="G75" s="3" t="s">
        <v>146</v>
      </c>
    </row>
    <row r="76" spans="1:7" x14ac:dyDescent="0.25">
      <c r="A76" s="3">
        <v>2</v>
      </c>
      <c r="B76" s="3" t="s">
        <v>119</v>
      </c>
      <c r="C76" s="309"/>
      <c r="D76" s="331"/>
      <c r="E76" s="1"/>
      <c r="F76" s="334"/>
      <c r="G76" s="3" t="s">
        <v>146</v>
      </c>
    </row>
    <row r="77" spans="1:7" x14ac:dyDescent="0.25">
      <c r="A77" s="3">
        <v>3</v>
      </c>
      <c r="B77" s="3" t="s">
        <v>119</v>
      </c>
      <c r="C77" s="309"/>
      <c r="D77" s="331"/>
      <c r="E77" s="1"/>
      <c r="F77" s="334"/>
      <c r="G77" s="3" t="s">
        <v>146</v>
      </c>
    </row>
    <row r="78" spans="1:7" x14ac:dyDescent="0.25">
      <c r="A78" s="3">
        <v>4</v>
      </c>
      <c r="B78" s="3" t="s">
        <v>119</v>
      </c>
      <c r="C78" s="309"/>
      <c r="D78" s="331"/>
      <c r="E78" s="1"/>
      <c r="F78" s="334"/>
      <c r="G78" s="3" t="s">
        <v>146</v>
      </c>
    </row>
    <row r="79" spans="1:7" x14ac:dyDescent="0.25">
      <c r="A79" s="3">
        <v>5</v>
      </c>
      <c r="B79" s="3" t="s">
        <v>119</v>
      </c>
      <c r="C79" s="309"/>
      <c r="D79" s="331"/>
      <c r="E79" s="1"/>
      <c r="F79" s="334"/>
      <c r="G79" s="3" t="s">
        <v>146</v>
      </c>
    </row>
    <row r="80" spans="1:7" x14ac:dyDescent="0.25">
      <c r="A80" s="3">
        <v>6</v>
      </c>
      <c r="B80" s="3" t="s">
        <v>119</v>
      </c>
      <c r="C80" s="310"/>
      <c r="D80" s="332"/>
      <c r="E80" s="1"/>
      <c r="F80" s="335"/>
      <c r="G80" s="3" t="s">
        <v>146</v>
      </c>
    </row>
    <row r="81" spans="1:7" x14ac:dyDescent="0.25">
      <c r="A81" s="294" t="s">
        <v>41</v>
      </c>
      <c r="B81" s="294"/>
      <c r="C81" s="294"/>
      <c r="D81" s="294"/>
      <c r="E81" s="294"/>
      <c r="F81" s="17">
        <f>100+200+540+315</f>
        <v>1155</v>
      </c>
      <c r="G81" s="1"/>
    </row>
    <row r="82" spans="1:7" ht="15.75" thickBot="1" x14ac:dyDescent="0.3"/>
    <row r="83" spans="1:7" ht="15.75" thickBot="1" x14ac:dyDescent="0.3">
      <c r="A83" s="292" t="s">
        <v>39</v>
      </c>
      <c r="B83" s="293"/>
      <c r="C83" s="23"/>
      <c r="G83" s="14" t="s">
        <v>40</v>
      </c>
    </row>
    <row r="84" spans="1:7" ht="15.75" thickBot="1" x14ac:dyDescent="0.3"/>
    <row r="85" spans="1:7" ht="21.75" thickBot="1" x14ac:dyDescent="0.4">
      <c r="A85" s="326" t="s">
        <v>138</v>
      </c>
      <c r="B85" s="327"/>
      <c r="C85" s="327"/>
      <c r="D85" s="327"/>
      <c r="E85" s="327"/>
      <c r="F85" s="327"/>
      <c r="G85" s="328"/>
    </row>
    <row r="86" spans="1:7" ht="19.5" thickBot="1" x14ac:dyDescent="0.35">
      <c r="A86" s="10" t="s">
        <v>0</v>
      </c>
      <c r="B86" s="11" t="s">
        <v>3</v>
      </c>
      <c r="C86" s="11" t="s">
        <v>24</v>
      </c>
      <c r="D86" s="11" t="s">
        <v>1</v>
      </c>
      <c r="E86" s="11" t="s">
        <v>26</v>
      </c>
      <c r="F86" s="11" t="s">
        <v>23</v>
      </c>
      <c r="G86" s="12" t="s">
        <v>27</v>
      </c>
    </row>
    <row r="87" spans="1:7" x14ac:dyDescent="0.25">
      <c r="A87" s="3">
        <v>1</v>
      </c>
      <c r="B87" s="3" t="s">
        <v>177</v>
      </c>
      <c r="C87" s="329" t="s">
        <v>145</v>
      </c>
      <c r="D87" s="331" t="s">
        <v>207</v>
      </c>
      <c r="E87" s="1"/>
      <c r="F87" s="334" t="s">
        <v>208</v>
      </c>
      <c r="G87" s="3" t="s">
        <v>146</v>
      </c>
    </row>
    <row r="88" spans="1:7" x14ac:dyDescent="0.25">
      <c r="A88" s="3">
        <v>2</v>
      </c>
      <c r="B88" s="3" t="s">
        <v>177</v>
      </c>
      <c r="C88" s="309"/>
      <c r="D88" s="331"/>
      <c r="E88" s="1"/>
      <c r="F88" s="334"/>
      <c r="G88" s="3" t="s">
        <v>146</v>
      </c>
    </row>
    <row r="89" spans="1:7" x14ac:dyDescent="0.25">
      <c r="A89" s="3">
        <v>3</v>
      </c>
      <c r="B89" s="3" t="s">
        <v>177</v>
      </c>
      <c r="C89" s="309"/>
      <c r="D89" s="331"/>
      <c r="E89" s="1"/>
      <c r="F89" s="334"/>
      <c r="G89" s="3" t="s">
        <v>146</v>
      </c>
    </row>
    <row r="90" spans="1:7" x14ac:dyDescent="0.25">
      <c r="A90" s="3">
        <v>4</v>
      </c>
      <c r="B90" s="3" t="s">
        <v>177</v>
      </c>
      <c r="C90" s="309"/>
      <c r="D90" s="331"/>
      <c r="E90" s="1"/>
      <c r="F90" s="334"/>
      <c r="G90" s="3" t="s">
        <v>146</v>
      </c>
    </row>
    <row r="91" spans="1:7" x14ac:dyDescent="0.25">
      <c r="A91" s="3">
        <v>5</v>
      </c>
      <c r="B91" s="3" t="s">
        <v>177</v>
      </c>
      <c r="C91" s="310"/>
      <c r="D91" s="332"/>
      <c r="E91" s="1"/>
      <c r="F91" s="335"/>
      <c r="G91" s="3" t="s">
        <v>146</v>
      </c>
    </row>
    <row r="92" spans="1:7" x14ac:dyDescent="0.25">
      <c r="A92" s="294" t="s">
        <v>41</v>
      </c>
      <c r="B92" s="294"/>
      <c r="C92" s="294"/>
      <c r="D92" s="294"/>
      <c r="E92" s="294"/>
      <c r="F92" s="17">
        <f>600+180+40</f>
        <v>820</v>
      </c>
      <c r="G92" s="1"/>
    </row>
    <row r="93" spans="1:7" ht="15.75" thickBot="1" x14ac:dyDescent="0.3"/>
    <row r="94" spans="1:7" ht="15.75" thickBot="1" x14ac:dyDescent="0.3">
      <c r="A94" s="292" t="s">
        <v>39</v>
      </c>
      <c r="B94" s="293"/>
      <c r="C94" s="23"/>
      <c r="G94" s="14" t="s">
        <v>40</v>
      </c>
    </row>
    <row r="97" spans="1:7" ht="15.75" thickBot="1" x14ac:dyDescent="0.3"/>
    <row r="98" spans="1:7" ht="21.75" thickBot="1" x14ac:dyDescent="0.4">
      <c r="A98" s="326" t="s">
        <v>139</v>
      </c>
      <c r="B98" s="327"/>
      <c r="C98" s="327"/>
      <c r="D98" s="327"/>
      <c r="E98" s="327"/>
      <c r="F98" s="327"/>
      <c r="G98" s="328"/>
    </row>
    <row r="99" spans="1:7" ht="19.5" thickBot="1" x14ac:dyDescent="0.35">
      <c r="A99" s="10" t="s">
        <v>0</v>
      </c>
      <c r="B99" s="11" t="s">
        <v>3</v>
      </c>
      <c r="C99" s="11" t="s">
        <v>24</v>
      </c>
      <c r="D99" s="11" t="s">
        <v>1</v>
      </c>
      <c r="E99" s="11" t="s">
        <v>26</v>
      </c>
      <c r="F99" s="11" t="s">
        <v>23</v>
      </c>
      <c r="G99" s="12" t="s">
        <v>27</v>
      </c>
    </row>
    <row r="100" spans="1:7" x14ac:dyDescent="0.25">
      <c r="A100" s="3">
        <v>1</v>
      </c>
      <c r="B100" s="3" t="s">
        <v>177</v>
      </c>
      <c r="C100" s="329" t="s">
        <v>145</v>
      </c>
      <c r="D100" s="331" t="s">
        <v>212</v>
      </c>
      <c r="E100" s="1"/>
      <c r="F100" s="334" t="s">
        <v>213</v>
      </c>
      <c r="G100" s="3" t="s">
        <v>146</v>
      </c>
    </row>
    <row r="101" spans="1:7" x14ac:dyDescent="0.25">
      <c r="A101" s="3">
        <v>2</v>
      </c>
      <c r="B101" s="3" t="s">
        <v>177</v>
      </c>
      <c r="C101" s="309"/>
      <c r="D101" s="331"/>
      <c r="E101" s="1"/>
      <c r="F101" s="334"/>
      <c r="G101" s="3" t="s">
        <v>146</v>
      </c>
    </row>
    <row r="102" spans="1:7" x14ac:dyDescent="0.25">
      <c r="A102" s="3">
        <v>3</v>
      </c>
      <c r="B102" s="3" t="s">
        <v>177</v>
      </c>
      <c r="C102" s="309"/>
      <c r="D102" s="331"/>
      <c r="E102" s="1"/>
      <c r="F102" s="334"/>
      <c r="G102" s="3" t="s">
        <v>146</v>
      </c>
    </row>
    <row r="103" spans="1:7" x14ac:dyDescent="0.25">
      <c r="A103" s="3">
        <v>4</v>
      </c>
      <c r="B103" s="3" t="s">
        <v>177</v>
      </c>
      <c r="C103" s="309"/>
      <c r="D103" s="331"/>
      <c r="E103" s="1"/>
      <c r="F103" s="334"/>
      <c r="G103" s="3" t="s">
        <v>146</v>
      </c>
    </row>
    <row r="104" spans="1:7" x14ac:dyDescent="0.25">
      <c r="A104" s="3">
        <v>5</v>
      </c>
      <c r="B104" s="3" t="s">
        <v>177</v>
      </c>
      <c r="C104" s="310"/>
      <c r="D104" s="332"/>
      <c r="E104" s="1"/>
      <c r="F104" s="335"/>
      <c r="G104" s="3" t="s">
        <v>146</v>
      </c>
    </row>
    <row r="105" spans="1:7" x14ac:dyDescent="0.25">
      <c r="A105" s="294" t="s">
        <v>41</v>
      </c>
      <c r="B105" s="294"/>
      <c r="C105" s="294"/>
      <c r="D105" s="294"/>
      <c r="E105" s="294"/>
      <c r="F105" s="17">
        <f>240+200+240</f>
        <v>680</v>
      </c>
      <c r="G105" s="1"/>
    </row>
    <row r="106" spans="1:7" ht="15.75" thickBot="1" x14ac:dyDescent="0.3"/>
    <row r="107" spans="1:7" ht="15.75" thickBot="1" x14ac:dyDescent="0.3">
      <c r="A107" s="292" t="s">
        <v>39</v>
      </c>
      <c r="B107" s="293"/>
      <c r="C107" s="23"/>
      <c r="G107" s="14" t="s">
        <v>40</v>
      </c>
    </row>
    <row r="109" spans="1:7" ht="15.75" thickBot="1" x14ac:dyDescent="0.3"/>
    <row r="110" spans="1:7" ht="21.75" thickBot="1" x14ac:dyDescent="0.4">
      <c r="A110" s="326" t="s">
        <v>138</v>
      </c>
      <c r="B110" s="327"/>
      <c r="C110" s="327"/>
      <c r="D110" s="327"/>
      <c r="E110" s="327"/>
      <c r="F110" s="327"/>
      <c r="G110" s="328"/>
    </row>
    <row r="111" spans="1:7" ht="19.5" thickBot="1" x14ac:dyDescent="0.35">
      <c r="A111" s="10" t="s">
        <v>0</v>
      </c>
      <c r="B111" s="11" t="s">
        <v>3</v>
      </c>
      <c r="C111" s="11" t="s">
        <v>24</v>
      </c>
      <c r="D111" s="11" t="s">
        <v>1</v>
      </c>
      <c r="E111" s="11" t="s">
        <v>26</v>
      </c>
      <c r="F111" s="11" t="s">
        <v>23</v>
      </c>
      <c r="G111" s="12" t="s">
        <v>27</v>
      </c>
    </row>
    <row r="112" spans="1:7" x14ac:dyDescent="0.25">
      <c r="A112" s="3">
        <v>1</v>
      </c>
      <c r="B112" s="3" t="s">
        <v>216</v>
      </c>
      <c r="C112" s="329" t="s">
        <v>145</v>
      </c>
      <c r="D112" s="331" t="s">
        <v>230</v>
      </c>
      <c r="E112" s="1"/>
      <c r="F112" s="334" t="s">
        <v>231</v>
      </c>
      <c r="G112" s="3" t="s">
        <v>146</v>
      </c>
    </row>
    <row r="113" spans="1:7" x14ac:dyDescent="0.25">
      <c r="A113" s="3">
        <v>2</v>
      </c>
      <c r="B113" s="3" t="s">
        <v>216</v>
      </c>
      <c r="C113" s="309"/>
      <c r="D113" s="331"/>
      <c r="E113" s="1"/>
      <c r="F113" s="334"/>
      <c r="G113" s="3" t="s">
        <v>146</v>
      </c>
    </row>
    <row r="114" spans="1:7" x14ac:dyDescent="0.25">
      <c r="A114" s="3">
        <v>3</v>
      </c>
      <c r="B114" s="3" t="s">
        <v>216</v>
      </c>
      <c r="C114" s="309"/>
      <c r="D114" s="331"/>
      <c r="E114" s="1"/>
      <c r="F114" s="334"/>
      <c r="G114" s="3" t="s">
        <v>146</v>
      </c>
    </row>
    <row r="115" spans="1:7" x14ac:dyDescent="0.25">
      <c r="A115" s="3">
        <v>4</v>
      </c>
      <c r="B115" s="3" t="s">
        <v>216</v>
      </c>
      <c r="C115" s="309"/>
      <c r="D115" s="331"/>
      <c r="E115" s="1"/>
      <c r="F115" s="334"/>
      <c r="G115" s="3" t="s">
        <v>146</v>
      </c>
    </row>
    <row r="116" spans="1:7" x14ac:dyDescent="0.25">
      <c r="A116" s="3">
        <v>5</v>
      </c>
      <c r="B116" s="3" t="s">
        <v>216</v>
      </c>
      <c r="C116" s="310"/>
      <c r="D116" s="332"/>
      <c r="E116" s="1"/>
      <c r="F116" s="335"/>
      <c r="G116" s="3" t="s">
        <v>146</v>
      </c>
    </row>
    <row r="117" spans="1:7" x14ac:dyDescent="0.25">
      <c r="A117" s="294" t="s">
        <v>41</v>
      </c>
      <c r="B117" s="294"/>
      <c r="C117" s="294"/>
      <c r="D117" s="294"/>
      <c r="E117" s="294"/>
      <c r="F117" s="17">
        <f>160+150+40+240</f>
        <v>590</v>
      </c>
      <c r="G117" s="1"/>
    </row>
    <row r="118" spans="1:7" ht="15.75" thickBot="1" x14ac:dyDescent="0.3"/>
    <row r="119" spans="1:7" ht="15.75" thickBot="1" x14ac:dyDescent="0.3">
      <c r="A119" s="292" t="s">
        <v>39</v>
      </c>
      <c r="B119" s="293"/>
      <c r="C119" s="23"/>
      <c r="G119" s="14" t="s">
        <v>40</v>
      </c>
    </row>
    <row r="120" spans="1:7" ht="15.75" thickBot="1" x14ac:dyDescent="0.3"/>
    <row r="121" spans="1:7" ht="21.75" thickBot="1" x14ac:dyDescent="0.4">
      <c r="A121" s="326" t="s">
        <v>138</v>
      </c>
      <c r="B121" s="327"/>
      <c r="C121" s="327"/>
      <c r="D121" s="327"/>
      <c r="E121" s="327"/>
      <c r="F121" s="327"/>
      <c r="G121" s="328"/>
    </row>
    <row r="122" spans="1:7" ht="19.5" thickBot="1" x14ac:dyDescent="0.35">
      <c r="A122" s="10" t="s">
        <v>0</v>
      </c>
      <c r="B122" s="11" t="s">
        <v>3</v>
      </c>
      <c r="C122" s="11" t="s">
        <v>24</v>
      </c>
      <c r="D122" s="11" t="s">
        <v>1</v>
      </c>
      <c r="E122" s="11" t="s">
        <v>26</v>
      </c>
      <c r="F122" s="11" t="s">
        <v>23</v>
      </c>
      <c r="G122" s="12" t="s">
        <v>27</v>
      </c>
    </row>
    <row r="123" spans="1:7" x14ac:dyDescent="0.25">
      <c r="A123" s="3">
        <v>1</v>
      </c>
      <c r="B123" s="3" t="s">
        <v>233</v>
      </c>
      <c r="C123" s="329" t="s">
        <v>145</v>
      </c>
      <c r="D123" s="331" t="s">
        <v>256</v>
      </c>
      <c r="E123" s="1"/>
      <c r="F123" s="334" t="s">
        <v>257</v>
      </c>
      <c r="G123" s="3" t="s">
        <v>146</v>
      </c>
    </row>
    <row r="124" spans="1:7" x14ac:dyDescent="0.25">
      <c r="A124" s="3">
        <v>2</v>
      </c>
      <c r="B124" s="3" t="s">
        <v>233</v>
      </c>
      <c r="C124" s="309"/>
      <c r="D124" s="331"/>
      <c r="E124" s="1"/>
      <c r="F124" s="334"/>
      <c r="G124" s="3" t="s">
        <v>146</v>
      </c>
    </row>
    <row r="125" spans="1:7" x14ac:dyDescent="0.25">
      <c r="A125" s="3">
        <v>3</v>
      </c>
      <c r="B125" s="3" t="s">
        <v>233</v>
      </c>
      <c r="C125" s="309"/>
      <c r="D125" s="331"/>
      <c r="E125" s="1"/>
      <c r="F125" s="334"/>
      <c r="G125" s="3" t="s">
        <v>146</v>
      </c>
    </row>
    <row r="126" spans="1:7" x14ac:dyDescent="0.25">
      <c r="A126" s="3">
        <v>4</v>
      </c>
      <c r="B126" s="3" t="s">
        <v>233</v>
      </c>
      <c r="C126" s="309"/>
      <c r="D126" s="331"/>
      <c r="E126" s="1"/>
      <c r="F126" s="334"/>
      <c r="G126" s="3" t="s">
        <v>146</v>
      </c>
    </row>
    <row r="127" spans="1:7" x14ac:dyDescent="0.25">
      <c r="A127" s="3">
        <v>5</v>
      </c>
      <c r="B127" s="3" t="s">
        <v>233</v>
      </c>
      <c r="C127" s="310"/>
      <c r="D127" s="332"/>
      <c r="E127" s="1"/>
      <c r="F127" s="335"/>
      <c r="G127" s="3" t="s">
        <v>146</v>
      </c>
    </row>
    <row r="128" spans="1:7" x14ac:dyDescent="0.25">
      <c r="A128" s="294" t="s">
        <v>41</v>
      </c>
      <c r="B128" s="294"/>
      <c r="C128" s="294"/>
      <c r="D128" s="294"/>
      <c r="E128" s="294"/>
      <c r="F128" s="17">
        <f>400+220+270+40</f>
        <v>930</v>
      </c>
      <c r="G128" s="1"/>
    </row>
    <row r="129" spans="1:7" ht="15.75" thickBot="1" x14ac:dyDescent="0.3"/>
    <row r="130" spans="1:7" ht="15.75" thickBot="1" x14ac:dyDescent="0.3">
      <c r="A130" s="292" t="s">
        <v>39</v>
      </c>
      <c r="B130" s="293"/>
      <c r="C130" s="23"/>
      <c r="G130" s="14" t="s">
        <v>40</v>
      </c>
    </row>
    <row r="131" spans="1:7" ht="15.75" thickBot="1" x14ac:dyDescent="0.3"/>
    <row r="132" spans="1:7" ht="21.75" thickBot="1" x14ac:dyDescent="0.4">
      <c r="A132" s="326" t="s">
        <v>139</v>
      </c>
      <c r="B132" s="327"/>
      <c r="C132" s="327"/>
      <c r="D132" s="327"/>
      <c r="E132" s="327"/>
      <c r="F132" s="327"/>
      <c r="G132" s="328"/>
    </row>
    <row r="133" spans="1:7" ht="19.5" thickBot="1" x14ac:dyDescent="0.35">
      <c r="A133" s="10" t="s">
        <v>0</v>
      </c>
      <c r="B133" s="11" t="s">
        <v>3</v>
      </c>
      <c r="C133" s="11" t="s">
        <v>24</v>
      </c>
      <c r="D133" s="11" t="s">
        <v>1</v>
      </c>
      <c r="E133" s="11" t="s">
        <v>26</v>
      </c>
      <c r="F133" s="11" t="s">
        <v>23</v>
      </c>
      <c r="G133" s="12" t="s">
        <v>27</v>
      </c>
    </row>
    <row r="134" spans="1:7" x14ac:dyDescent="0.25">
      <c r="A134" s="3">
        <v>1</v>
      </c>
      <c r="B134" s="3" t="s">
        <v>233</v>
      </c>
      <c r="C134" s="329" t="s">
        <v>145</v>
      </c>
      <c r="D134" s="331" t="s">
        <v>258</v>
      </c>
      <c r="E134" s="1"/>
      <c r="F134" s="334" t="s">
        <v>259</v>
      </c>
      <c r="G134" s="3" t="s">
        <v>146</v>
      </c>
    </row>
    <row r="135" spans="1:7" x14ac:dyDescent="0.25">
      <c r="A135" s="3">
        <v>2</v>
      </c>
      <c r="B135" s="3" t="s">
        <v>233</v>
      </c>
      <c r="C135" s="309"/>
      <c r="D135" s="331"/>
      <c r="E135" s="1"/>
      <c r="F135" s="334"/>
      <c r="G135" s="3" t="s">
        <v>146</v>
      </c>
    </row>
    <row r="136" spans="1:7" x14ac:dyDescent="0.25">
      <c r="A136" s="3">
        <v>3</v>
      </c>
      <c r="B136" s="3" t="s">
        <v>233</v>
      </c>
      <c r="C136" s="309"/>
      <c r="D136" s="331"/>
      <c r="E136" s="1"/>
      <c r="F136" s="334"/>
      <c r="G136" s="3" t="s">
        <v>146</v>
      </c>
    </row>
    <row r="137" spans="1:7" x14ac:dyDescent="0.25">
      <c r="A137" s="3">
        <v>4</v>
      </c>
      <c r="B137" s="3" t="s">
        <v>233</v>
      </c>
      <c r="C137" s="309"/>
      <c r="D137" s="331"/>
      <c r="E137" s="1"/>
      <c r="F137" s="334"/>
      <c r="G137" s="3" t="s">
        <v>146</v>
      </c>
    </row>
    <row r="138" spans="1:7" x14ac:dyDescent="0.25">
      <c r="A138" s="3">
        <v>5</v>
      </c>
      <c r="B138" s="3" t="s">
        <v>233</v>
      </c>
      <c r="C138" s="310"/>
      <c r="D138" s="332"/>
      <c r="E138" s="1"/>
      <c r="F138" s="335"/>
      <c r="G138" s="3" t="s">
        <v>146</v>
      </c>
    </row>
    <row r="139" spans="1:7" x14ac:dyDescent="0.25">
      <c r="A139" s="294" t="s">
        <v>41</v>
      </c>
      <c r="B139" s="294"/>
      <c r="C139" s="294"/>
      <c r="D139" s="294"/>
      <c r="E139" s="294"/>
      <c r="F139" s="17">
        <f>240+480+135+35</f>
        <v>890</v>
      </c>
      <c r="G139" s="1"/>
    </row>
    <row r="140" spans="1:7" ht="15.75" thickBot="1" x14ac:dyDescent="0.3"/>
    <row r="141" spans="1:7" ht="15.75" thickBot="1" x14ac:dyDescent="0.3">
      <c r="A141" s="292" t="s">
        <v>39</v>
      </c>
      <c r="B141" s="293"/>
      <c r="C141" s="23"/>
      <c r="G141" s="14" t="s">
        <v>40</v>
      </c>
    </row>
    <row r="142" spans="1:7" ht="15.75" thickBot="1" x14ac:dyDescent="0.3"/>
    <row r="143" spans="1:7" ht="21.75" thickBot="1" x14ac:dyDescent="0.4">
      <c r="A143" s="326" t="s">
        <v>138</v>
      </c>
      <c r="B143" s="327"/>
      <c r="C143" s="327"/>
      <c r="D143" s="327"/>
      <c r="E143" s="327"/>
      <c r="F143" s="327"/>
      <c r="G143" s="328"/>
    </row>
    <row r="144" spans="1:7" ht="19.5" thickBot="1" x14ac:dyDescent="0.35">
      <c r="A144" s="10" t="s">
        <v>0</v>
      </c>
      <c r="B144" s="11" t="s">
        <v>3</v>
      </c>
      <c r="C144" s="11" t="s">
        <v>24</v>
      </c>
      <c r="D144" s="11" t="s">
        <v>1</v>
      </c>
      <c r="E144" s="11" t="s">
        <v>26</v>
      </c>
      <c r="F144" s="11" t="s">
        <v>23</v>
      </c>
      <c r="G144" s="12" t="s">
        <v>27</v>
      </c>
    </row>
    <row r="145" spans="1:7" x14ac:dyDescent="0.25">
      <c r="A145" s="3">
        <v>1</v>
      </c>
      <c r="B145" s="3" t="s">
        <v>261</v>
      </c>
      <c r="C145" s="329" t="s">
        <v>145</v>
      </c>
      <c r="D145" s="331" t="s">
        <v>274</v>
      </c>
      <c r="E145" s="1"/>
      <c r="F145" s="334" t="s">
        <v>275</v>
      </c>
      <c r="G145" s="3" t="s">
        <v>146</v>
      </c>
    </row>
    <row r="146" spans="1:7" x14ac:dyDescent="0.25">
      <c r="A146" s="3">
        <v>2</v>
      </c>
      <c r="B146" s="3" t="s">
        <v>261</v>
      </c>
      <c r="C146" s="309"/>
      <c r="D146" s="331"/>
      <c r="E146" s="1"/>
      <c r="F146" s="334"/>
      <c r="G146" s="3" t="s">
        <v>146</v>
      </c>
    </row>
    <row r="147" spans="1:7" x14ac:dyDescent="0.25">
      <c r="A147" s="3">
        <v>3</v>
      </c>
      <c r="B147" s="3" t="s">
        <v>261</v>
      </c>
      <c r="C147" s="309"/>
      <c r="D147" s="331"/>
      <c r="E147" s="1"/>
      <c r="F147" s="334"/>
      <c r="G147" s="3" t="s">
        <v>146</v>
      </c>
    </row>
    <row r="148" spans="1:7" x14ac:dyDescent="0.25">
      <c r="A148" s="3">
        <v>4</v>
      </c>
      <c r="B148" s="3" t="s">
        <v>261</v>
      </c>
      <c r="C148" s="309"/>
      <c r="D148" s="331"/>
      <c r="E148" s="1"/>
      <c r="F148" s="334"/>
      <c r="G148" s="3" t="s">
        <v>146</v>
      </c>
    </row>
    <row r="149" spans="1:7" x14ac:dyDescent="0.25">
      <c r="A149" s="3">
        <v>5</v>
      </c>
      <c r="B149" s="3" t="s">
        <v>261</v>
      </c>
      <c r="C149" s="310"/>
      <c r="D149" s="332"/>
      <c r="E149" s="1"/>
      <c r="F149" s="335"/>
      <c r="G149" s="3" t="s">
        <v>146</v>
      </c>
    </row>
    <row r="150" spans="1:7" x14ac:dyDescent="0.25">
      <c r="A150" s="294" t="s">
        <v>41</v>
      </c>
      <c r="B150" s="294"/>
      <c r="C150" s="294"/>
      <c r="D150" s="294"/>
      <c r="E150" s="294"/>
      <c r="F150" s="17">
        <f>660+150+40</f>
        <v>850</v>
      </c>
      <c r="G150" s="1"/>
    </row>
    <row r="151" spans="1:7" ht="15.75" thickBot="1" x14ac:dyDescent="0.3"/>
    <row r="152" spans="1:7" ht="15.75" thickBot="1" x14ac:dyDescent="0.3">
      <c r="A152" s="292" t="s">
        <v>39</v>
      </c>
      <c r="B152" s="293"/>
      <c r="C152" s="23"/>
      <c r="G152" s="14" t="s">
        <v>40</v>
      </c>
    </row>
    <row r="153" spans="1:7" ht="15.75" thickBot="1" x14ac:dyDescent="0.3"/>
    <row r="154" spans="1:7" ht="21.75" thickBot="1" x14ac:dyDescent="0.4">
      <c r="A154" s="326" t="s">
        <v>139</v>
      </c>
      <c r="B154" s="327"/>
      <c r="C154" s="327"/>
      <c r="D154" s="327"/>
      <c r="E154" s="327"/>
      <c r="F154" s="327"/>
      <c r="G154" s="328"/>
    </row>
    <row r="155" spans="1:7" ht="19.5" thickBot="1" x14ac:dyDescent="0.35">
      <c r="A155" s="10" t="s">
        <v>0</v>
      </c>
      <c r="B155" s="11" t="s">
        <v>3</v>
      </c>
      <c r="C155" s="11" t="s">
        <v>24</v>
      </c>
      <c r="D155" s="11" t="s">
        <v>1</v>
      </c>
      <c r="E155" s="11" t="s">
        <v>26</v>
      </c>
      <c r="F155" s="11" t="s">
        <v>23</v>
      </c>
      <c r="G155" s="12" t="s">
        <v>27</v>
      </c>
    </row>
    <row r="156" spans="1:7" x14ac:dyDescent="0.25">
      <c r="A156" s="3">
        <v>1</v>
      </c>
      <c r="B156" s="3" t="s">
        <v>261</v>
      </c>
      <c r="C156" s="329" t="s">
        <v>145</v>
      </c>
      <c r="D156" s="331" t="s">
        <v>276</v>
      </c>
      <c r="E156" s="1"/>
      <c r="F156" s="334" t="s">
        <v>277</v>
      </c>
      <c r="G156" s="3" t="s">
        <v>146</v>
      </c>
    </row>
    <row r="157" spans="1:7" x14ac:dyDescent="0.25">
      <c r="A157" s="3">
        <v>2</v>
      </c>
      <c r="B157" s="3" t="s">
        <v>261</v>
      </c>
      <c r="C157" s="309"/>
      <c r="D157" s="331"/>
      <c r="E157" s="1"/>
      <c r="F157" s="334"/>
      <c r="G157" s="3" t="s">
        <v>146</v>
      </c>
    </row>
    <row r="158" spans="1:7" x14ac:dyDescent="0.25">
      <c r="A158" s="3">
        <v>3</v>
      </c>
      <c r="B158" s="3" t="s">
        <v>261</v>
      </c>
      <c r="C158" s="309"/>
      <c r="D158" s="331"/>
      <c r="E158" s="1"/>
      <c r="F158" s="334"/>
      <c r="G158" s="3" t="s">
        <v>146</v>
      </c>
    </row>
    <row r="159" spans="1:7" x14ac:dyDescent="0.25">
      <c r="A159" s="3">
        <v>4</v>
      </c>
      <c r="B159" s="3" t="s">
        <v>261</v>
      </c>
      <c r="C159" s="309"/>
      <c r="D159" s="331"/>
      <c r="E159" s="1"/>
      <c r="F159" s="334"/>
      <c r="G159" s="3" t="s">
        <v>146</v>
      </c>
    </row>
    <row r="160" spans="1:7" x14ac:dyDescent="0.25">
      <c r="A160" s="3">
        <v>5</v>
      </c>
      <c r="B160" s="3" t="s">
        <v>261</v>
      </c>
      <c r="C160" s="310"/>
      <c r="D160" s="332"/>
      <c r="E160" s="1"/>
      <c r="F160" s="335"/>
      <c r="G160" s="3" t="s">
        <v>146</v>
      </c>
    </row>
    <row r="161" spans="1:7" x14ac:dyDescent="0.25">
      <c r="A161" s="294" t="s">
        <v>41</v>
      </c>
      <c r="B161" s="294"/>
      <c r="C161" s="294"/>
      <c r="D161" s="294"/>
      <c r="E161" s="294"/>
      <c r="F161" s="17">
        <f>360+20+270+250</f>
        <v>900</v>
      </c>
      <c r="G161" s="1"/>
    </row>
    <row r="162" spans="1:7" ht="15.75" thickBot="1" x14ac:dyDescent="0.3"/>
    <row r="163" spans="1:7" ht="15.75" thickBot="1" x14ac:dyDescent="0.3">
      <c r="A163" s="292" t="s">
        <v>39</v>
      </c>
      <c r="B163" s="293"/>
      <c r="C163" s="23"/>
      <c r="G163" s="14" t="s">
        <v>40</v>
      </c>
    </row>
    <row r="164" spans="1:7" ht="15.75" thickBot="1" x14ac:dyDescent="0.3"/>
    <row r="165" spans="1:7" ht="21.75" thickBot="1" x14ac:dyDescent="0.4">
      <c r="A165" s="326" t="s">
        <v>138</v>
      </c>
      <c r="B165" s="327"/>
      <c r="C165" s="327"/>
      <c r="D165" s="327"/>
      <c r="E165" s="327"/>
      <c r="F165" s="327"/>
      <c r="G165" s="328"/>
    </row>
    <row r="166" spans="1:7" ht="19.5" thickBot="1" x14ac:dyDescent="0.35">
      <c r="A166" s="10" t="s">
        <v>0</v>
      </c>
      <c r="B166" s="11" t="s">
        <v>3</v>
      </c>
      <c r="C166" s="11" t="s">
        <v>24</v>
      </c>
      <c r="D166" s="11" t="s">
        <v>1</v>
      </c>
      <c r="E166" s="11" t="s">
        <v>26</v>
      </c>
      <c r="F166" s="11" t="s">
        <v>23</v>
      </c>
      <c r="G166" s="12" t="s">
        <v>27</v>
      </c>
    </row>
    <row r="167" spans="1:7" x14ac:dyDescent="0.25">
      <c r="A167" s="3">
        <v>1</v>
      </c>
      <c r="B167" s="3" t="s">
        <v>283</v>
      </c>
      <c r="C167" s="329" t="s">
        <v>145</v>
      </c>
      <c r="D167" s="331" t="s">
        <v>301</v>
      </c>
      <c r="E167" s="1"/>
      <c r="F167" s="334" t="s">
        <v>305</v>
      </c>
      <c r="G167" s="3" t="s">
        <v>146</v>
      </c>
    </row>
    <row r="168" spans="1:7" x14ac:dyDescent="0.25">
      <c r="A168" s="3">
        <v>2</v>
      </c>
      <c r="B168" s="3" t="s">
        <v>283</v>
      </c>
      <c r="C168" s="309"/>
      <c r="D168" s="331"/>
      <c r="E168" s="1"/>
      <c r="F168" s="334"/>
      <c r="G168" s="3" t="s">
        <v>146</v>
      </c>
    </row>
    <row r="169" spans="1:7" x14ac:dyDescent="0.25">
      <c r="A169" s="3">
        <v>3</v>
      </c>
      <c r="B169" s="3" t="s">
        <v>283</v>
      </c>
      <c r="C169" s="309"/>
      <c r="D169" s="331"/>
      <c r="E169" s="1"/>
      <c r="F169" s="334"/>
      <c r="G169" s="3" t="s">
        <v>146</v>
      </c>
    </row>
    <row r="170" spans="1:7" x14ac:dyDescent="0.25">
      <c r="A170" s="3">
        <v>4</v>
      </c>
      <c r="B170" s="3" t="s">
        <v>283</v>
      </c>
      <c r="C170" s="309"/>
      <c r="D170" s="331"/>
      <c r="E170" s="1"/>
      <c r="F170" s="334"/>
      <c r="G170" s="3" t="s">
        <v>146</v>
      </c>
    </row>
    <row r="171" spans="1:7" x14ac:dyDescent="0.25">
      <c r="A171" s="3">
        <v>5</v>
      </c>
      <c r="B171" s="3" t="s">
        <v>283</v>
      </c>
      <c r="C171" s="310"/>
      <c r="D171" s="332"/>
      <c r="E171" s="1"/>
      <c r="F171" s="335"/>
      <c r="G171" s="3" t="s">
        <v>146</v>
      </c>
    </row>
    <row r="172" spans="1:7" x14ac:dyDescent="0.25">
      <c r="A172" s="294" t="s">
        <v>41</v>
      </c>
      <c r="B172" s="294"/>
      <c r="C172" s="294"/>
      <c r="D172" s="294"/>
      <c r="E172" s="294"/>
      <c r="F172" s="17">
        <f>360+150+100+200</f>
        <v>810</v>
      </c>
      <c r="G172" s="1"/>
    </row>
    <row r="173" spans="1:7" ht="15.75" thickBot="1" x14ac:dyDescent="0.3"/>
    <row r="174" spans="1:7" ht="15.75" thickBot="1" x14ac:dyDescent="0.3">
      <c r="A174" s="292" t="s">
        <v>39</v>
      </c>
      <c r="B174" s="293"/>
      <c r="C174" s="23"/>
      <c r="G174" s="14" t="s">
        <v>40</v>
      </c>
    </row>
    <row r="175" spans="1:7" ht="15.75" thickBot="1" x14ac:dyDescent="0.3"/>
    <row r="176" spans="1:7" ht="21.75" thickBot="1" x14ac:dyDescent="0.4">
      <c r="A176" s="326" t="s">
        <v>139</v>
      </c>
      <c r="B176" s="327"/>
      <c r="C176" s="327"/>
      <c r="D176" s="327"/>
      <c r="E176" s="327"/>
      <c r="F176" s="327"/>
      <c r="G176" s="328"/>
    </row>
    <row r="177" spans="1:7" ht="19.5" thickBot="1" x14ac:dyDescent="0.35">
      <c r="A177" s="10" t="s">
        <v>0</v>
      </c>
      <c r="B177" s="11" t="s">
        <v>3</v>
      </c>
      <c r="C177" s="11" t="s">
        <v>24</v>
      </c>
      <c r="D177" s="11" t="s">
        <v>1</v>
      </c>
      <c r="E177" s="11" t="s">
        <v>26</v>
      </c>
      <c r="F177" s="11" t="s">
        <v>23</v>
      </c>
      <c r="G177" s="12" t="s">
        <v>27</v>
      </c>
    </row>
    <row r="178" spans="1:7" x14ac:dyDescent="0.25">
      <c r="A178" s="3">
        <v>1</v>
      </c>
      <c r="B178" s="3" t="s">
        <v>283</v>
      </c>
      <c r="C178" s="329" t="s">
        <v>145</v>
      </c>
      <c r="D178" s="331" t="s">
        <v>302</v>
      </c>
      <c r="E178" s="1"/>
      <c r="F178" s="334" t="s">
        <v>306</v>
      </c>
      <c r="G178" s="3" t="s">
        <v>146</v>
      </c>
    </row>
    <row r="179" spans="1:7" x14ac:dyDescent="0.25">
      <c r="A179" s="3">
        <v>2</v>
      </c>
      <c r="B179" s="3" t="s">
        <v>283</v>
      </c>
      <c r="C179" s="309"/>
      <c r="D179" s="331"/>
      <c r="E179" s="1"/>
      <c r="F179" s="334"/>
      <c r="G179" s="3" t="s">
        <v>146</v>
      </c>
    </row>
    <row r="180" spans="1:7" x14ac:dyDescent="0.25">
      <c r="A180" s="3">
        <v>3</v>
      </c>
      <c r="B180" s="3" t="s">
        <v>283</v>
      </c>
      <c r="C180" s="309"/>
      <c r="D180" s="331"/>
      <c r="E180" s="1"/>
      <c r="F180" s="334"/>
      <c r="G180" s="3" t="s">
        <v>146</v>
      </c>
    </row>
    <row r="181" spans="1:7" x14ac:dyDescent="0.25">
      <c r="A181" s="3">
        <v>4</v>
      </c>
      <c r="B181" s="3" t="s">
        <v>283</v>
      </c>
      <c r="C181" s="309"/>
      <c r="D181" s="331"/>
      <c r="E181" s="1"/>
      <c r="F181" s="334"/>
      <c r="G181" s="3" t="s">
        <v>146</v>
      </c>
    </row>
    <row r="182" spans="1:7" x14ac:dyDescent="0.25">
      <c r="A182" s="3">
        <v>5</v>
      </c>
      <c r="B182" s="3" t="s">
        <v>283</v>
      </c>
      <c r="C182" s="310"/>
      <c r="D182" s="332"/>
      <c r="E182" s="1"/>
      <c r="F182" s="335"/>
      <c r="G182" s="3" t="s">
        <v>146</v>
      </c>
    </row>
    <row r="183" spans="1:7" x14ac:dyDescent="0.25">
      <c r="A183" s="294" t="s">
        <v>41</v>
      </c>
      <c r="B183" s="294"/>
      <c r="C183" s="294"/>
      <c r="D183" s="294"/>
      <c r="E183" s="294"/>
      <c r="F183" s="17">
        <f>880+20+100+240+200</f>
        <v>1440</v>
      </c>
      <c r="G183" s="1"/>
    </row>
    <row r="184" spans="1:7" ht="15.75" thickBot="1" x14ac:dyDescent="0.3"/>
    <row r="185" spans="1:7" ht="15.75" thickBot="1" x14ac:dyDescent="0.3">
      <c r="A185" s="292" t="s">
        <v>39</v>
      </c>
      <c r="B185" s="293"/>
      <c r="C185" s="23"/>
      <c r="G185" s="14" t="s">
        <v>40</v>
      </c>
    </row>
    <row r="186" spans="1:7" ht="15.75" thickBot="1" x14ac:dyDescent="0.3"/>
    <row r="187" spans="1:7" ht="21.75" thickBot="1" x14ac:dyDescent="0.4">
      <c r="A187" s="326" t="s">
        <v>139</v>
      </c>
      <c r="B187" s="327"/>
      <c r="C187" s="327"/>
      <c r="D187" s="327"/>
      <c r="E187" s="327"/>
      <c r="F187" s="327"/>
      <c r="G187" s="328"/>
    </row>
    <row r="188" spans="1:7" ht="19.5" thickBot="1" x14ac:dyDescent="0.35">
      <c r="A188" s="10" t="s">
        <v>0</v>
      </c>
      <c r="B188" s="11" t="s">
        <v>3</v>
      </c>
      <c r="C188" s="11" t="s">
        <v>24</v>
      </c>
      <c r="D188" s="11" t="s">
        <v>1</v>
      </c>
      <c r="E188" s="11" t="s">
        <v>26</v>
      </c>
      <c r="F188" s="11" t="s">
        <v>23</v>
      </c>
      <c r="G188" s="12" t="s">
        <v>27</v>
      </c>
    </row>
    <row r="189" spans="1:7" x14ac:dyDescent="0.25">
      <c r="A189" s="3">
        <v>1</v>
      </c>
      <c r="B189" s="3" t="s">
        <v>309</v>
      </c>
      <c r="C189" s="329" t="s">
        <v>145</v>
      </c>
      <c r="D189" s="330" t="s">
        <v>337</v>
      </c>
      <c r="E189" s="1"/>
      <c r="F189" s="333" t="s">
        <v>338</v>
      </c>
      <c r="G189" s="3" t="s">
        <v>146</v>
      </c>
    </row>
    <row r="190" spans="1:7" x14ac:dyDescent="0.25">
      <c r="A190" s="3">
        <v>2</v>
      </c>
      <c r="B190" s="3" t="s">
        <v>309</v>
      </c>
      <c r="C190" s="309"/>
      <c r="D190" s="331"/>
      <c r="E190" s="1"/>
      <c r="F190" s="334"/>
      <c r="G190" s="3" t="s">
        <v>146</v>
      </c>
    </row>
    <row r="191" spans="1:7" x14ac:dyDescent="0.25">
      <c r="A191" s="3">
        <v>3</v>
      </c>
      <c r="B191" s="3" t="s">
        <v>309</v>
      </c>
      <c r="C191" s="309"/>
      <c r="D191" s="331"/>
      <c r="E191" s="1"/>
      <c r="F191" s="334"/>
      <c r="G191" s="3" t="s">
        <v>146</v>
      </c>
    </row>
    <row r="192" spans="1:7" x14ac:dyDescent="0.25">
      <c r="A192" s="3">
        <v>4</v>
      </c>
      <c r="B192" s="3" t="s">
        <v>309</v>
      </c>
      <c r="C192" s="309"/>
      <c r="D192" s="331"/>
      <c r="E192" s="1"/>
      <c r="F192" s="334"/>
      <c r="G192" s="3" t="s">
        <v>146</v>
      </c>
    </row>
    <row r="193" spans="1:7" x14ac:dyDescent="0.25">
      <c r="A193" s="3">
        <v>5</v>
      </c>
      <c r="B193" s="3" t="s">
        <v>309</v>
      </c>
      <c r="C193" s="310"/>
      <c r="D193" s="332"/>
      <c r="E193" s="1"/>
      <c r="F193" s="335"/>
      <c r="G193" s="3" t="s">
        <v>146</v>
      </c>
    </row>
    <row r="194" spans="1:7" x14ac:dyDescent="0.25">
      <c r="A194" s="77" t="s">
        <v>41</v>
      </c>
      <c r="B194" s="78"/>
      <c r="C194" s="78"/>
      <c r="D194" s="78"/>
      <c r="E194" s="79"/>
      <c r="F194" s="17">
        <f>440+200+270+110</f>
        <v>1020</v>
      </c>
      <c r="G194" s="1"/>
    </row>
    <row r="195" spans="1:7" ht="15.75" thickBot="1" x14ac:dyDescent="0.3"/>
    <row r="196" spans="1:7" ht="15.75" thickBot="1" x14ac:dyDescent="0.3">
      <c r="A196" s="292" t="s">
        <v>39</v>
      </c>
      <c r="B196" s="293"/>
      <c r="C196" s="23"/>
      <c r="G196" s="14" t="s">
        <v>40</v>
      </c>
    </row>
    <row r="197" spans="1:7" ht="15.75" thickBot="1" x14ac:dyDescent="0.3"/>
    <row r="198" spans="1:7" ht="21.75" thickBot="1" x14ac:dyDescent="0.4">
      <c r="A198" s="326" t="s">
        <v>139</v>
      </c>
      <c r="B198" s="327"/>
      <c r="C198" s="327"/>
      <c r="D198" s="327"/>
      <c r="E198" s="327"/>
      <c r="F198" s="327"/>
      <c r="G198" s="328"/>
    </row>
    <row r="199" spans="1:7" ht="19.5" thickBot="1" x14ac:dyDescent="0.35">
      <c r="A199" s="10" t="s">
        <v>0</v>
      </c>
      <c r="B199" s="11" t="s">
        <v>3</v>
      </c>
      <c r="C199" s="11" t="s">
        <v>24</v>
      </c>
      <c r="D199" s="11" t="s">
        <v>1</v>
      </c>
      <c r="E199" s="11" t="s">
        <v>26</v>
      </c>
      <c r="F199" s="11" t="s">
        <v>23</v>
      </c>
      <c r="G199" s="12" t="s">
        <v>27</v>
      </c>
    </row>
    <row r="200" spans="1:7" x14ac:dyDescent="0.25">
      <c r="A200" s="3">
        <v>1</v>
      </c>
      <c r="B200" s="3" t="s">
        <v>339</v>
      </c>
      <c r="C200" s="329" t="s">
        <v>145</v>
      </c>
      <c r="D200" s="330" t="s">
        <v>354</v>
      </c>
      <c r="E200" s="1"/>
      <c r="F200" s="333" t="s">
        <v>355</v>
      </c>
      <c r="G200" s="3" t="s">
        <v>146</v>
      </c>
    </row>
    <row r="201" spans="1:7" x14ac:dyDescent="0.25">
      <c r="A201" s="3">
        <v>2</v>
      </c>
      <c r="B201" s="3" t="s">
        <v>339</v>
      </c>
      <c r="C201" s="309"/>
      <c r="D201" s="331"/>
      <c r="E201" s="1"/>
      <c r="F201" s="334"/>
      <c r="G201" s="3" t="s">
        <v>146</v>
      </c>
    </row>
    <row r="202" spans="1:7" x14ac:dyDescent="0.25">
      <c r="A202" s="3">
        <v>3</v>
      </c>
      <c r="B202" s="3" t="s">
        <v>339</v>
      </c>
      <c r="C202" s="309"/>
      <c r="D202" s="331"/>
      <c r="E202" s="1"/>
      <c r="F202" s="334"/>
      <c r="G202" s="3" t="s">
        <v>146</v>
      </c>
    </row>
    <row r="203" spans="1:7" x14ac:dyDescent="0.25">
      <c r="A203" s="3">
        <v>4</v>
      </c>
      <c r="B203" s="3" t="s">
        <v>339</v>
      </c>
      <c r="C203" s="309"/>
      <c r="D203" s="331"/>
      <c r="E203" s="1"/>
      <c r="F203" s="334"/>
      <c r="G203" s="3" t="s">
        <v>146</v>
      </c>
    </row>
    <row r="204" spans="1:7" x14ac:dyDescent="0.25">
      <c r="A204" s="3">
        <v>5</v>
      </c>
      <c r="B204" s="3" t="s">
        <v>339</v>
      </c>
      <c r="C204" s="310"/>
      <c r="D204" s="332"/>
      <c r="E204" s="1"/>
      <c r="F204" s="335"/>
      <c r="G204" s="3" t="s">
        <v>146</v>
      </c>
    </row>
    <row r="205" spans="1:7" x14ac:dyDescent="0.25">
      <c r="A205" s="339" t="s">
        <v>41</v>
      </c>
      <c r="B205" s="340"/>
      <c r="C205" s="340"/>
      <c r="D205" s="340"/>
      <c r="E205" s="341"/>
      <c r="F205" s="17">
        <f>720+640+400+100+270+540</f>
        <v>2670</v>
      </c>
      <c r="G205" s="1"/>
    </row>
    <row r="206" spans="1:7" ht="15.75" thickBot="1" x14ac:dyDescent="0.3"/>
    <row r="207" spans="1:7" ht="15.75" thickBot="1" x14ac:dyDescent="0.3">
      <c r="A207" s="292" t="s">
        <v>39</v>
      </c>
      <c r="B207" s="293"/>
      <c r="C207" s="23"/>
      <c r="G207" s="14" t="s">
        <v>40</v>
      </c>
    </row>
    <row r="208" spans="1:7" ht="15.75" thickBot="1" x14ac:dyDescent="0.3"/>
    <row r="209" spans="1:7" ht="21.75" thickBot="1" x14ac:dyDescent="0.4">
      <c r="A209" s="326" t="s">
        <v>372</v>
      </c>
      <c r="B209" s="327"/>
      <c r="C209" s="327"/>
      <c r="D209" s="327"/>
      <c r="E209" s="327"/>
      <c r="F209" s="327"/>
      <c r="G209" s="328"/>
    </row>
    <row r="210" spans="1:7" ht="19.5" thickBot="1" x14ac:dyDescent="0.35">
      <c r="A210" s="10" t="s">
        <v>0</v>
      </c>
      <c r="B210" s="11" t="s">
        <v>3</v>
      </c>
      <c r="C210" s="11" t="s">
        <v>24</v>
      </c>
      <c r="D210" s="11" t="s">
        <v>1</v>
      </c>
      <c r="E210" s="11" t="s">
        <v>26</v>
      </c>
      <c r="F210" s="11" t="s">
        <v>23</v>
      </c>
      <c r="G210" s="12" t="s">
        <v>27</v>
      </c>
    </row>
    <row r="211" spans="1:7" x14ac:dyDescent="0.25">
      <c r="A211" s="3">
        <v>1</v>
      </c>
      <c r="B211" s="3" t="s">
        <v>357</v>
      </c>
      <c r="C211" s="329" t="s">
        <v>145</v>
      </c>
      <c r="D211" s="330" t="s">
        <v>370</v>
      </c>
      <c r="E211" s="1"/>
      <c r="F211" s="333" t="s">
        <v>371</v>
      </c>
      <c r="G211" s="3" t="s">
        <v>146</v>
      </c>
    </row>
    <row r="212" spans="1:7" x14ac:dyDescent="0.25">
      <c r="A212" s="3">
        <v>2</v>
      </c>
      <c r="B212" s="3" t="s">
        <v>357</v>
      </c>
      <c r="C212" s="309"/>
      <c r="D212" s="331"/>
      <c r="E212" s="1"/>
      <c r="F212" s="334"/>
      <c r="G212" s="3" t="s">
        <v>146</v>
      </c>
    </row>
    <row r="213" spans="1:7" x14ac:dyDescent="0.25">
      <c r="A213" s="3">
        <v>3</v>
      </c>
      <c r="B213" s="3" t="s">
        <v>357</v>
      </c>
      <c r="C213" s="309"/>
      <c r="D213" s="331"/>
      <c r="E213" s="1"/>
      <c r="F213" s="334"/>
      <c r="G213" s="3" t="s">
        <v>146</v>
      </c>
    </row>
    <row r="214" spans="1:7" x14ac:dyDescent="0.25">
      <c r="A214" s="3">
        <v>4</v>
      </c>
      <c r="B214" s="3" t="s">
        <v>357</v>
      </c>
      <c r="C214" s="309"/>
      <c r="D214" s="331"/>
      <c r="E214" s="1"/>
      <c r="F214" s="334"/>
      <c r="G214" s="3" t="s">
        <v>146</v>
      </c>
    </row>
    <row r="215" spans="1:7" x14ac:dyDescent="0.25">
      <c r="A215" s="3">
        <v>5</v>
      </c>
      <c r="B215" s="3" t="s">
        <v>357</v>
      </c>
      <c r="C215" s="310"/>
      <c r="D215" s="332"/>
      <c r="E215" s="1"/>
      <c r="F215" s="335"/>
      <c r="G215" s="3" t="s">
        <v>146</v>
      </c>
    </row>
    <row r="216" spans="1:7" x14ac:dyDescent="0.25">
      <c r="A216" s="339" t="s">
        <v>41</v>
      </c>
      <c r="B216" s="340"/>
      <c r="C216" s="340"/>
      <c r="D216" s="340"/>
      <c r="E216" s="341"/>
      <c r="F216" s="17">
        <f>150+540+330+1060</f>
        <v>2080</v>
      </c>
      <c r="G216" s="1"/>
    </row>
    <row r="217" spans="1:7" ht="15.75" thickBot="1" x14ac:dyDescent="0.3"/>
    <row r="218" spans="1:7" ht="15.75" thickBot="1" x14ac:dyDescent="0.3">
      <c r="A218" s="292" t="s">
        <v>39</v>
      </c>
      <c r="B218" s="293"/>
      <c r="C218" s="23"/>
      <c r="G218" s="14" t="s">
        <v>40</v>
      </c>
    </row>
    <row r="219" spans="1:7" ht="15.75" thickBot="1" x14ac:dyDescent="0.3"/>
    <row r="220" spans="1:7" ht="21.75" thickBot="1" x14ac:dyDescent="0.4">
      <c r="A220" s="326" t="s">
        <v>372</v>
      </c>
      <c r="B220" s="327"/>
      <c r="C220" s="327"/>
      <c r="D220" s="327"/>
      <c r="E220" s="327"/>
      <c r="F220" s="327"/>
      <c r="G220" s="328"/>
    </row>
    <row r="221" spans="1:7" ht="19.5" thickBot="1" x14ac:dyDescent="0.35">
      <c r="A221" s="10" t="s">
        <v>0</v>
      </c>
      <c r="B221" s="11" t="s">
        <v>3</v>
      </c>
      <c r="C221" s="11" t="s">
        <v>24</v>
      </c>
      <c r="D221" s="11" t="s">
        <v>1</v>
      </c>
      <c r="E221" s="11" t="s">
        <v>26</v>
      </c>
      <c r="F221" s="11" t="s">
        <v>23</v>
      </c>
      <c r="G221" s="12" t="s">
        <v>27</v>
      </c>
    </row>
    <row r="222" spans="1:7" x14ac:dyDescent="0.25">
      <c r="A222" s="3">
        <v>1</v>
      </c>
      <c r="B222" s="3" t="s">
        <v>387</v>
      </c>
      <c r="C222" s="329" t="s">
        <v>145</v>
      </c>
      <c r="D222" s="336" t="s">
        <v>415</v>
      </c>
      <c r="E222" s="1"/>
      <c r="F222" s="333">
        <f>225+225+225+225+400+25+25+25+25+25+25+375+80+180+180</f>
        <v>2265</v>
      </c>
      <c r="G222" s="3" t="s">
        <v>146</v>
      </c>
    </row>
    <row r="223" spans="1:7" x14ac:dyDescent="0.25">
      <c r="A223" s="3">
        <v>2</v>
      </c>
      <c r="B223" s="3" t="s">
        <v>387</v>
      </c>
      <c r="C223" s="309"/>
      <c r="D223" s="337"/>
      <c r="E223" s="1"/>
      <c r="F223" s="334"/>
      <c r="G223" s="3" t="s">
        <v>146</v>
      </c>
    </row>
    <row r="224" spans="1:7" x14ac:dyDescent="0.25">
      <c r="A224" s="3">
        <v>3</v>
      </c>
      <c r="B224" s="3" t="s">
        <v>387</v>
      </c>
      <c r="C224" s="309"/>
      <c r="D224" s="337"/>
      <c r="E224" s="1"/>
      <c r="F224" s="334"/>
      <c r="G224" s="3" t="s">
        <v>146</v>
      </c>
    </row>
    <row r="225" spans="1:7" x14ac:dyDescent="0.25">
      <c r="A225" s="3">
        <v>4</v>
      </c>
      <c r="B225" s="3" t="s">
        <v>387</v>
      </c>
      <c r="C225" s="309"/>
      <c r="D225" s="337"/>
      <c r="E225" s="1"/>
      <c r="F225" s="334"/>
      <c r="G225" s="3" t="s">
        <v>146</v>
      </c>
    </row>
    <row r="226" spans="1:7" x14ac:dyDescent="0.25">
      <c r="A226" s="3">
        <v>5</v>
      </c>
      <c r="B226" s="3" t="s">
        <v>387</v>
      </c>
      <c r="C226" s="310"/>
      <c r="D226" s="338"/>
      <c r="E226" s="1"/>
      <c r="F226" s="335"/>
      <c r="G226" s="3" t="s">
        <v>146</v>
      </c>
    </row>
    <row r="227" spans="1:7" x14ac:dyDescent="0.25">
      <c r="A227" s="339" t="s">
        <v>41</v>
      </c>
      <c r="B227" s="340"/>
      <c r="C227" s="340"/>
      <c r="D227" s="340"/>
      <c r="E227" s="341"/>
      <c r="F227" s="17">
        <v>2265</v>
      </c>
      <c r="G227" s="1"/>
    </row>
    <row r="228" spans="1:7" ht="15.75" thickBot="1" x14ac:dyDescent="0.3"/>
    <row r="229" spans="1:7" ht="15.75" thickBot="1" x14ac:dyDescent="0.3">
      <c r="A229" s="292" t="s">
        <v>39</v>
      </c>
      <c r="B229" s="293"/>
      <c r="C229" s="23"/>
      <c r="G229" s="14" t="s">
        <v>40</v>
      </c>
    </row>
    <row r="230" spans="1:7" ht="15.75" thickBot="1" x14ac:dyDescent="0.3"/>
    <row r="231" spans="1:7" ht="21.75" thickBot="1" x14ac:dyDescent="0.4">
      <c r="A231" s="326" t="s">
        <v>372</v>
      </c>
      <c r="B231" s="327"/>
      <c r="C231" s="327"/>
      <c r="D231" s="327"/>
      <c r="E231" s="327"/>
      <c r="F231" s="327"/>
      <c r="G231" s="328"/>
    </row>
    <row r="232" spans="1:7" ht="19.5" thickBot="1" x14ac:dyDescent="0.35">
      <c r="A232" s="10" t="s">
        <v>0</v>
      </c>
      <c r="B232" s="11" t="s">
        <v>3</v>
      </c>
      <c r="C232" s="11" t="s">
        <v>24</v>
      </c>
      <c r="D232" s="11" t="s">
        <v>1</v>
      </c>
      <c r="E232" s="11" t="s">
        <v>26</v>
      </c>
      <c r="F232" s="11" t="s">
        <v>23</v>
      </c>
      <c r="G232" s="12" t="s">
        <v>27</v>
      </c>
    </row>
    <row r="233" spans="1:7" x14ac:dyDescent="0.25">
      <c r="A233" s="3">
        <v>1</v>
      </c>
      <c r="B233" s="3" t="s">
        <v>398</v>
      </c>
      <c r="C233" s="329" t="s">
        <v>145</v>
      </c>
      <c r="D233" s="336" t="s">
        <v>421</v>
      </c>
      <c r="E233" s="1"/>
      <c r="F233" s="333" t="s">
        <v>422</v>
      </c>
      <c r="G233" s="3" t="s">
        <v>146</v>
      </c>
    </row>
    <row r="234" spans="1:7" x14ac:dyDescent="0.25">
      <c r="A234" s="3">
        <v>2</v>
      </c>
      <c r="B234" s="3" t="s">
        <v>398</v>
      </c>
      <c r="C234" s="309"/>
      <c r="D234" s="337"/>
      <c r="E234" s="1"/>
      <c r="F234" s="334"/>
      <c r="G234" s="3" t="s">
        <v>146</v>
      </c>
    </row>
    <row r="235" spans="1:7" x14ac:dyDescent="0.25">
      <c r="A235" s="3">
        <v>3</v>
      </c>
      <c r="B235" s="3" t="s">
        <v>398</v>
      </c>
      <c r="C235" s="309"/>
      <c r="D235" s="337"/>
      <c r="E235" s="1"/>
      <c r="F235" s="334"/>
      <c r="G235" s="3" t="s">
        <v>146</v>
      </c>
    </row>
    <row r="236" spans="1:7" x14ac:dyDescent="0.25">
      <c r="A236" s="3">
        <v>4</v>
      </c>
      <c r="B236" s="3" t="s">
        <v>398</v>
      </c>
      <c r="C236" s="309"/>
      <c r="D236" s="337"/>
      <c r="E236" s="1"/>
      <c r="F236" s="334"/>
      <c r="G236" s="3" t="s">
        <v>146</v>
      </c>
    </row>
    <row r="237" spans="1:7" x14ac:dyDescent="0.25">
      <c r="A237" s="3">
        <v>5</v>
      </c>
      <c r="B237" s="3" t="s">
        <v>398</v>
      </c>
      <c r="C237" s="310"/>
      <c r="D237" s="338"/>
      <c r="E237" s="1"/>
      <c r="F237" s="335"/>
      <c r="G237" s="3" t="s">
        <v>146</v>
      </c>
    </row>
    <row r="238" spans="1:7" x14ac:dyDescent="0.25">
      <c r="A238" s="339" t="s">
        <v>41</v>
      </c>
      <c r="B238" s="340"/>
      <c r="C238" s="340"/>
      <c r="D238" s="340"/>
      <c r="E238" s="341"/>
      <c r="F238" s="17">
        <f>200+200+80+300+1000+810</f>
        <v>2590</v>
      </c>
      <c r="G238" s="1"/>
    </row>
    <row r="239" spans="1:7" ht="15.75" thickBot="1" x14ac:dyDescent="0.3"/>
    <row r="240" spans="1:7" ht="15.75" thickBot="1" x14ac:dyDescent="0.3">
      <c r="A240" s="292" t="s">
        <v>39</v>
      </c>
      <c r="B240" s="293"/>
      <c r="C240" s="23"/>
      <c r="G240" s="14" t="s">
        <v>40</v>
      </c>
    </row>
    <row r="241" spans="1:7" ht="15.75" thickBot="1" x14ac:dyDescent="0.3"/>
    <row r="242" spans="1:7" ht="21.75" thickBot="1" x14ac:dyDescent="0.4">
      <c r="A242" s="326" t="s">
        <v>372</v>
      </c>
      <c r="B242" s="327"/>
      <c r="C242" s="327"/>
      <c r="D242" s="327"/>
      <c r="E242" s="327"/>
      <c r="F242" s="327"/>
      <c r="G242" s="328"/>
    </row>
    <row r="243" spans="1:7" ht="19.5" thickBot="1" x14ac:dyDescent="0.35">
      <c r="A243" s="10" t="s">
        <v>0</v>
      </c>
      <c r="B243" s="11" t="s">
        <v>3</v>
      </c>
      <c r="C243" s="11" t="s">
        <v>24</v>
      </c>
      <c r="D243" s="11" t="s">
        <v>1</v>
      </c>
      <c r="E243" s="11" t="s">
        <v>26</v>
      </c>
      <c r="F243" s="11" t="s">
        <v>23</v>
      </c>
      <c r="G243" s="12" t="s">
        <v>27</v>
      </c>
    </row>
    <row r="244" spans="1:7" x14ac:dyDescent="0.25">
      <c r="A244" s="3">
        <v>1</v>
      </c>
      <c r="B244" s="3" t="s">
        <v>423</v>
      </c>
      <c r="C244" s="329" t="s">
        <v>145</v>
      </c>
      <c r="D244" s="336" t="s">
        <v>447</v>
      </c>
      <c r="E244" s="1"/>
      <c r="F244" s="333" t="s">
        <v>448</v>
      </c>
      <c r="G244" s="3" t="s">
        <v>146</v>
      </c>
    </row>
    <row r="245" spans="1:7" x14ac:dyDescent="0.25">
      <c r="A245" s="3">
        <v>2</v>
      </c>
      <c r="B245" s="3" t="s">
        <v>423</v>
      </c>
      <c r="C245" s="309"/>
      <c r="D245" s="337"/>
      <c r="E245" s="1"/>
      <c r="F245" s="334"/>
      <c r="G245" s="3" t="s">
        <v>146</v>
      </c>
    </row>
    <row r="246" spans="1:7" x14ac:dyDescent="0.25">
      <c r="A246" s="3">
        <v>3</v>
      </c>
      <c r="B246" s="3" t="s">
        <v>423</v>
      </c>
      <c r="C246" s="309"/>
      <c r="D246" s="337"/>
      <c r="E246" s="1"/>
      <c r="F246" s="334"/>
      <c r="G246" s="3" t="s">
        <v>146</v>
      </c>
    </row>
    <row r="247" spans="1:7" x14ac:dyDescent="0.25">
      <c r="A247" s="3">
        <v>4</v>
      </c>
      <c r="B247" s="3" t="s">
        <v>423</v>
      </c>
      <c r="C247" s="309"/>
      <c r="D247" s="337"/>
      <c r="E247" s="1"/>
      <c r="F247" s="334"/>
      <c r="G247" s="3" t="s">
        <v>146</v>
      </c>
    </row>
    <row r="248" spans="1:7" x14ac:dyDescent="0.25">
      <c r="A248" s="3">
        <v>5</v>
      </c>
      <c r="B248" s="3" t="s">
        <v>423</v>
      </c>
      <c r="C248" s="310"/>
      <c r="D248" s="338"/>
      <c r="E248" s="1"/>
      <c r="F248" s="335"/>
      <c r="G248" s="3" t="s">
        <v>146</v>
      </c>
    </row>
    <row r="249" spans="1:7" x14ac:dyDescent="0.25">
      <c r="A249" s="339" t="s">
        <v>41</v>
      </c>
      <c r="B249" s="340"/>
      <c r="C249" s="340"/>
      <c r="D249" s="340"/>
      <c r="E249" s="341"/>
      <c r="F249" s="17">
        <f>125+264+540+100+440+80</f>
        <v>1549</v>
      </c>
      <c r="G249" s="1"/>
    </row>
    <row r="250" spans="1:7" ht="15.75" thickBot="1" x14ac:dyDescent="0.3"/>
    <row r="251" spans="1:7" ht="15.75" thickBot="1" x14ac:dyDescent="0.3">
      <c r="A251" s="292" t="s">
        <v>39</v>
      </c>
      <c r="B251" s="293"/>
      <c r="C251" s="23"/>
      <c r="G251" s="14" t="s">
        <v>40</v>
      </c>
    </row>
    <row r="252" spans="1:7" ht="15.75" thickBot="1" x14ac:dyDescent="0.3">
      <c r="A252" s="23"/>
      <c r="B252" s="23"/>
      <c r="C252" s="23"/>
      <c r="G252" s="88"/>
    </row>
    <row r="253" spans="1:7" ht="21.75" thickBot="1" x14ac:dyDescent="0.4">
      <c r="A253" s="326" t="s">
        <v>372</v>
      </c>
      <c r="B253" s="327"/>
      <c r="C253" s="327"/>
      <c r="D253" s="327"/>
      <c r="E253" s="327"/>
      <c r="F253" s="327"/>
      <c r="G253" s="328"/>
    </row>
    <row r="254" spans="1:7" ht="19.5" thickBot="1" x14ac:dyDescent="0.35">
      <c r="A254" s="10" t="s">
        <v>0</v>
      </c>
      <c r="B254" s="11" t="s">
        <v>3</v>
      </c>
      <c r="C254" s="11" t="s">
        <v>24</v>
      </c>
      <c r="D254" s="11" t="s">
        <v>1</v>
      </c>
      <c r="E254" s="11" t="s">
        <v>26</v>
      </c>
      <c r="F254" s="11" t="s">
        <v>23</v>
      </c>
      <c r="G254" s="12" t="s">
        <v>27</v>
      </c>
    </row>
    <row r="255" spans="1:7" x14ac:dyDescent="0.25">
      <c r="A255" s="3">
        <v>1</v>
      </c>
      <c r="B255" s="67">
        <v>46023</v>
      </c>
      <c r="C255" s="329" t="s">
        <v>145</v>
      </c>
      <c r="D255" s="336" t="s">
        <v>497</v>
      </c>
      <c r="E255" s="1"/>
      <c r="F255" s="333" t="s">
        <v>496</v>
      </c>
      <c r="G255" s="3" t="s">
        <v>146</v>
      </c>
    </row>
    <row r="256" spans="1:7" x14ac:dyDescent="0.25">
      <c r="A256" s="3">
        <v>2</v>
      </c>
      <c r="B256" s="67">
        <v>46023</v>
      </c>
      <c r="C256" s="309"/>
      <c r="D256" s="337"/>
      <c r="E256" s="1"/>
      <c r="F256" s="334"/>
      <c r="G256" s="3" t="s">
        <v>146</v>
      </c>
    </row>
    <row r="257" spans="1:7" x14ac:dyDescent="0.25">
      <c r="A257" s="3">
        <v>3</v>
      </c>
      <c r="B257" s="67">
        <v>46023</v>
      </c>
      <c r="C257" s="309"/>
      <c r="D257" s="337"/>
      <c r="E257" s="1"/>
      <c r="F257" s="334"/>
      <c r="G257" s="3" t="s">
        <v>146</v>
      </c>
    </row>
    <row r="258" spans="1:7" x14ac:dyDescent="0.25">
      <c r="A258" s="3">
        <v>4</v>
      </c>
      <c r="B258" s="67">
        <v>46023</v>
      </c>
      <c r="C258" s="309"/>
      <c r="D258" s="337"/>
      <c r="E258" s="1"/>
      <c r="F258" s="334"/>
      <c r="G258" s="3" t="s">
        <v>146</v>
      </c>
    </row>
    <row r="259" spans="1:7" x14ac:dyDescent="0.25">
      <c r="A259" s="3">
        <v>5</v>
      </c>
      <c r="B259" s="67">
        <v>46023</v>
      </c>
      <c r="C259" s="310"/>
      <c r="D259" s="338"/>
      <c r="E259" s="1"/>
      <c r="F259" s="335"/>
      <c r="G259" s="3" t="s">
        <v>146</v>
      </c>
    </row>
    <row r="260" spans="1:7" x14ac:dyDescent="0.25">
      <c r="A260" s="339" t="s">
        <v>41</v>
      </c>
      <c r="B260" s="340"/>
      <c r="C260" s="340"/>
      <c r="D260" s="340"/>
      <c r="E260" s="341"/>
      <c r="F260" s="17">
        <f>360+435+360+1125+60</f>
        <v>2340</v>
      </c>
      <c r="G260" s="1"/>
    </row>
    <row r="261" spans="1:7" ht="15.75" thickBot="1" x14ac:dyDescent="0.3"/>
    <row r="262" spans="1:7" ht="15.75" thickBot="1" x14ac:dyDescent="0.3">
      <c r="A262" s="292" t="s">
        <v>39</v>
      </c>
      <c r="B262" s="293"/>
      <c r="C262" s="23"/>
      <c r="G262" s="14" t="s">
        <v>40</v>
      </c>
    </row>
    <row r="263" spans="1:7" ht="15.75" thickBot="1" x14ac:dyDescent="0.3"/>
    <row r="264" spans="1:7" ht="21.75" thickBot="1" x14ac:dyDescent="0.4">
      <c r="A264" s="326" t="s">
        <v>372</v>
      </c>
      <c r="B264" s="327"/>
      <c r="C264" s="327"/>
      <c r="D264" s="327"/>
      <c r="E264" s="327"/>
      <c r="F264" s="327"/>
      <c r="G264" s="328"/>
    </row>
    <row r="265" spans="1:7" ht="19.5" thickBot="1" x14ac:dyDescent="0.35">
      <c r="A265" s="10" t="s">
        <v>0</v>
      </c>
      <c r="B265" s="11" t="s">
        <v>3</v>
      </c>
      <c r="C265" s="11" t="s">
        <v>24</v>
      </c>
      <c r="D265" s="11" t="s">
        <v>1</v>
      </c>
      <c r="E265" s="11" t="s">
        <v>26</v>
      </c>
      <c r="F265" s="11" t="s">
        <v>23</v>
      </c>
      <c r="G265" s="12" t="s">
        <v>27</v>
      </c>
    </row>
    <row r="266" spans="1:7" x14ac:dyDescent="0.25">
      <c r="A266" s="3">
        <v>1</v>
      </c>
      <c r="B266" s="67">
        <v>46024</v>
      </c>
      <c r="C266" s="329" t="s">
        <v>145</v>
      </c>
      <c r="D266" s="336" t="s">
        <v>498</v>
      </c>
      <c r="E266" s="1"/>
      <c r="F266" s="333" t="s">
        <v>499</v>
      </c>
      <c r="G266" s="3" t="s">
        <v>146</v>
      </c>
    </row>
    <row r="267" spans="1:7" x14ac:dyDescent="0.25">
      <c r="A267" s="3">
        <v>2</v>
      </c>
      <c r="B267" s="67">
        <v>46024</v>
      </c>
      <c r="C267" s="309"/>
      <c r="D267" s="337"/>
      <c r="E267" s="1"/>
      <c r="F267" s="334"/>
      <c r="G267" s="3" t="s">
        <v>146</v>
      </c>
    </row>
    <row r="268" spans="1:7" x14ac:dyDescent="0.25">
      <c r="A268" s="3">
        <v>3</v>
      </c>
      <c r="B268" s="67">
        <v>46024</v>
      </c>
      <c r="C268" s="309"/>
      <c r="D268" s="337"/>
      <c r="E268" s="1"/>
      <c r="F268" s="334"/>
      <c r="G268" s="3" t="s">
        <v>146</v>
      </c>
    </row>
    <row r="269" spans="1:7" x14ac:dyDescent="0.25">
      <c r="A269" s="3">
        <v>4</v>
      </c>
      <c r="B269" s="67">
        <v>46024</v>
      </c>
      <c r="C269" s="309"/>
      <c r="D269" s="337"/>
      <c r="E269" s="1"/>
      <c r="F269" s="334"/>
      <c r="G269" s="3" t="s">
        <v>146</v>
      </c>
    </row>
    <row r="270" spans="1:7" x14ac:dyDescent="0.25">
      <c r="A270" s="3">
        <v>5</v>
      </c>
      <c r="B270" s="67">
        <v>46024</v>
      </c>
      <c r="C270" s="310"/>
      <c r="D270" s="338"/>
      <c r="E270" s="1"/>
      <c r="F270" s="335"/>
      <c r="G270" s="3" t="s">
        <v>146</v>
      </c>
    </row>
    <row r="271" spans="1:7" x14ac:dyDescent="0.25">
      <c r="A271" s="339" t="s">
        <v>41</v>
      </c>
      <c r="B271" s="340"/>
      <c r="C271" s="340"/>
      <c r="D271" s="340"/>
      <c r="E271" s="341"/>
      <c r="F271" s="17">
        <f>200+150+1600+345+360+480+35</f>
        <v>3170</v>
      </c>
      <c r="G271" s="1"/>
    </row>
    <row r="272" spans="1:7" ht="15.75" thickBot="1" x14ac:dyDescent="0.3"/>
    <row r="273" spans="1:7" ht="15.75" thickBot="1" x14ac:dyDescent="0.3">
      <c r="A273" s="292" t="s">
        <v>39</v>
      </c>
      <c r="B273" s="293"/>
      <c r="C273" s="23"/>
      <c r="G273" s="14" t="s">
        <v>40</v>
      </c>
    </row>
    <row r="274" spans="1:7" ht="15.75" thickBot="1" x14ac:dyDescent="0.3"/>
    <row r="275" spans="1:7" ht="21.75" thickBot="1" x14ac:dyDescent="0.4">
      <c r="A275" s="326" t="s">
        <v>138</v>
      </c>
      <c r="B275" s="327"/>
      <c r="C275" s="327"/>
      <c r="D275" s="327"/>
      <c r="E275" s="327"/>
      <c r="F275" s="327"/>
      <c r="G275" s="328"/>
    </row>
    <row r="276" spans="1:7" ht="19.5" thickBot="1" x14ac:dyDescent="0.35">
      <c r="A276" s="10" t="s">
        <v>0</v>
      </c>
      <c r="B276" s="11" t="s">
        <v>3</v>
      </c>
      <c r="C276" s="11" t="s">
        <v>24</v>
      </c>
      <c r="D276" s="11" t="s">
        <v>1</v>
      </c>
      <c r="E276" s="11" t="s">
        <v>26</v>
      </c>
      <c r="F276" s="11" t="s">
        <v>23</v>
      </c>
      <c r="G276" s="12" t="s">
        <v>27</v>
      </c>
    </row>
    <row r="277" spans="1:7" x14ac:dyDescent="0.25">
      <c r="A277" s="3">
        <v>1</v>
      </c>
      <c r="B277" s="67">
        <v>46025</v>
      </c>
      <c r="C277" s="329" t="s">
        <v>145</v>
      </c>
      <c r="D277" s="336" t="s">
        <v>515</v>
      </c>
      <c r="E277" s="1"/>
      <c r="F277" s="333" t="s">
        <v>517</v>
      </c>
      <c r="G277" s="3" t="s">
        <v>146</v>
      </c>
    </row>
    <row r="278" spans="1:7" x14ac:dyDescent="0.25">
      <c r="A278" s="3">
        <v>2</v>
      </c>
      <c r="B278" s="67">
        <v>46025</v>
      </c>
      <c r="C278" s="309"/>
      <c r="D278" s="337"/>
      <c r="E278" s="1"/>
      <c r="F278" s="334"/>
      <c r="G278" s="3" t="s">
        <v>146</v>
      </c>
    </row>
    <row r="279" spans="1:7" x14ac:dyDescent="0.25">
      <c r="A279" s="3">
        <v>3</v>
      </c>
      <c r="B279" s="67">
        <v>46025</v>
      </c>
      <c r="C279" s="309"/>
      <c r="D279" s="337"/>
      <c r="E279" s="1"/>
      <c r="F279" s="334"/>
      <c r="G279" s="3" t="s">
        <v>146</v>
      </c>
    </row>
    <row r="280" spans="1:7" x14ac:dyDescent="0.25">
      <c r="A280" s="3">
        <v>4</v>
      </c>
      <c r="B280" s="67">
        <v>46025</v>
      </c>
      <c r="C280" s="309"/>
      <c r="D280" s="337"/>
      <c r="E280" s="1"/>
      <c r="F280" s="334"/>
      <c r="G280" s="3" t="s">
        <v>146</v>
      </c>
    </row>
    <row r="281" spans="1:7" x14ac:dyDescent="0.25">
      <c r="A281" s="3">
        <v>5</v>
      </c>
      <c r="B281" s="67">
        <v>46025</v>
      </c>
      <c r="C281" s="310"/>
      <c r="D281" s="338"/>
      <c r="E281" s="1"/>
      <c r="F281" s="335"/>
      <c r="G281" s="3" t="s">
        <v>146</v>
      </c>
    </row>
    <row r="282" spans="1:7" x14ac:dyDescent="0.25">
      <c r="A282" s="339" t="s">
        <v>41</v>
      </c>
      <c r="B282" s="340"/>
      <c r="C282" s="340"/>
      <c r="D282" s="340"/>
      <c r="E282" s="341"/>
      <c r="F282" s="17">
        <f>50+300+880</f>
        <v>1230</v>
      </c>
      <c r="G282" s="1"/>
    </row>
    <row r="283" spans="1:7" ht="15.75" thickBot="1" x14ac:dyDescent="0.3"/>
    <row r="284" spans="1:7" ht="15.75" thickBot="1" x14ac:dyDescent="0.3">
      <c r="A284" s="292" t="s">
        <v>39</v>
      </c>
      <c r="B284" s="293"/>
      <c r="C284" s="23"/>
      <c r="G284" s="14" t="s">
        <v>40</v>
      </c>
    </row>
    <row r="285" spans="1:7" ht="15.75" thickBot="1" x14ac:dyDescent="0.3"/>
    <row r="286" spans="1:7" ht="21.75" thickBot="1" x14ac:dyDescent="0.4">
      <c r="A286" s="326" t="s">
        <v>139</v>
      </c>
      <c r="B286" s="327"/>
      <c r="C286" s="327"/>
      <c r="D286" s="327"/>
      <c r="E286" s="327"/>
      <c r="F286" s="327"/>
      <c r="G286" s="328"/>
    </row>
    <row r="287" spans="1:7" ht="19.5" thickBot="1" x14ac:dyDescent="0.35">
      <c r="A287" s="10" t="s">
        <v>0</v>
      </c>
      <c r="B287" s="11" t="s">
        <v>3</v>
      </c>
      <c r="C287" s="11" t="s">
        <v>24</v>
      </c>
      <c r="D287" s="11" t="s">
        <v>1</v>
      </c>
      <c r="E287" s="11" t="s">
        <v>26</v>
      </c>
      <c r="F287" s="11" t="s">
        <v>23</v>
      </c>
      <c r="G287" s="12" t="s">
        <v>27</v>
      </c>
    </row>
    <row r="288" spans="1:7" x14ac:dyDescent="0.25">
      <c r="A288" s="3">
        <v>1</v>
      </c>
      <c r="B288" s="67">
        <v>46025</v>
      </c>
      <c r="C288" s="329" t="s">
        <v>145</v>
      </c>
      <c r="D288" s="336" t="s">
        <v>516</v>
      </c>
      <c r="E288" s="1"/>
      <c r="F288" s="333" t="s">
        <v>518</v>
      </c>
      <c r="G288" s="3" t="s">
        <v>146</v>
      </c>
    </row>
    <row r="289" spans="1:7" x14ac:dyDescent="0.25">
      <c r="A289" s="3">
        <v>2</v>
      </c>
      <c r="B289" s="67">
        <v>46025</v>
      </c>
      <c r="C289" s="309"/>
      <c r="D289" s="337"/>
      <c r="E289" s="1"/>
      <c r="F289" s="334"/>
      <c r="G289" s="3" t="s">
        <v>146</v>
      </c>
    </row>
    <row r="290" spans="1:7" x14ac:dyDescent="0.25">
      <c r="A290" s="3">
        <v>3</v>
      </c>
      <c r="B290" s="67">
        <v>46025</v>
      </c>
      <c r="C290" s="309"/>
      <c r="D290" s="337"/>
      <c r="E290" s="1"/>
      <c r="F290" s="334"/>
      <c r="G290" s="3" t="s">
        <v>146</v>
      </c>
    </row>
    <row r="291" spans="1:7" x14ac:dyDescent="0.25">
      <c r="A291" s="3">
        <v>4</v>
      </c>
      <c r="B291" s="67">
        <v>46025</v>
      </c>
      <c r="C291" s="309"/>
      <c r="D291" s="337"/>
      <c r="E291" s="1"/>
      <c r="F291" s="334"/>
      <c r="G291" s="3" t="s">
        <v>146</v>
      </c>
    </row>
    <row r="292" spans="1:7" x14ac:dyDescent="0.25">
      <c r="A292" s="3">
        <v>5</v>
      </c>
      <c r="B292" s="67">
        <v>46025</v>
      </c>
      <c r="C292" s="310"/>
      <c r="D292" s="338"/>
      <c r="E292" s="1"/>
      <c r="F292" s="335"/>
      <c r="G292" s="3" t="s">
        <v>146</v>
      </c>
    </row>
    <row r="293" spans="1:7" x14ac:dyDescent="0.25">
      <c r="A293" s="339" t="s">
        <v>41</v>
      </c>
      <c r="B293" s="340"/>
      <c r="C293" s="340"/>
      <c r="D293" s="340"/>
      <c r="E293" s="341"/>
      <c r="F293" s="17">
        <f>300+270</f>
        <v>570</v>
      </c>
      <c r="G293" s="1"/>
    </row>
    <row r="294" spans="1:7" ht="15.75" thickBot="1" x14ac:dyDescent="0.3"/>
    <row r="295" spans="1:7" ht="15.75" thickBot="1" x14ac:dyDescent="0.3">
      <c r="A295" s="292" t="s">
        <v>39</v>
      </c>
      <c r="B295" s="293"/>
      <c r="C295" s="23"/>
      <c r="G295" s="14" t="s">
        <v>40</v>
      </c>
    </row>
    <row r="296" spans="1:7" ht="15.75" thickBot="1" x14ac:dyDescent="0.3"/>
    <row r="297" spans="1:7" ht="21.75" thickBot="1" x14ac:dyDescent="0.4">
      <c r="A297" s="326" t="s">
        <v>372</v>
      </c>
      <c r="B297" s="327"/>
      <c r="C297" s="327"/>
      <c r="D297" s="327"/>
      <c r="E297" s="327"/>
      <c r="F297" s="327"/>
      <c r="G297" s="328"/>
    </row>
    <row r="298" spans="1:7" ht="19.5" thickBot="1" x14ac:dyDescent="0.35">
      <c r="A298" s="10" t="s">
        <v>0</v>
      </c>
      <c r="B298" s="11" t="s">
        <v>3</v>
      </c>
      <c r="C298" s="11" t="s">
        <v>24</v>
      </c>
      <c r="D298" s="11" t="s">
        <v>1</v>
      </c>
      <c r="E298" s="11" t="s">
        <v>26</v>
      </c>
      <c r="F298" s="11" t="s">
        <v>23</v>
      </c>
      <c r="G298" s="12" t="s">
        <v>27</v>
      </c>
    </row>
    <row r="299" spans="1:7" x14ac:dyDescent="0.25">
      <c r="A299" s="3">
        <v>1</v>
      </c>
      <c r="B299" s="67">
        <v>46026</v>
      </c>
      <c r="C299" s="329" t="s">
        <v>145</v>
      </c>
      <c r="D299" s="336" t="s">
        <v>533</v>
      </c>
      <c r="E299" s="1"/>
      <c r="F299" s="333" t="s">
        <v>534</v>
      </c>
      <c r="G299" s="3" t="s">
        <v>146</v>
      </c>
    </row>
    <row r="300" spans="1:7" x14ac:dyDescent="0.25">
      <c r="A300" s="3">
        <v>2</v>
      </c>
      <c r="B300" s="67">
        <v>46026</v>
      </c>
      <c r="C300" s="309"/>
      <c r="D300" s="337"/>
      <c r="E300" s="1"/>
      <c r="F300" s="334"/>
      <c r="G300" s="3" t="s">
        <v>146</v>
      </c>
    </row>
    <row r="301" spans="1:7" x14ac:dyDescent="0.25">
      <c r="A301" s="3">
        <v>3</v>
      </c>
      <c r="B301" s="67">
        <v>46026</v>
      </c>
      <c r="C301" s="309"/>
      <c r="D301" s="337"/>
      <c r="E301" s="1"/>
      <c r="F301" s="334"/>
      <c r="G301" s="3" t="s">
        <v>146</v>
      </c>
    </row>
    <row r="302" spans="1:7" x14ac:dyDescent="0.25">
      <c r="A302" s="3">
        <v>4</v>
      </c>
      <c r="B302" s="67">
        <v>46026</v>
      </c>
      <c r="C302" s="309"/>
      <c r="D302" s="337"/>
      <c r="E302" s="1"/>
      <c r="F302" s="334"/>
      <c r="G302" s="3" t="s">
        <v>146</v>
      </c>
    </row>
    <row r="303" spans="1:7" x14ac:dyDescent="0.25">
      <c r="A303" s="3">
        <v>5</v>
      </c>
      <c r="B303" s="67">
        <v>46026</v>
      </c>
      <c r="C303" s="310"/>
      <c r="D303" s="338"/>
      <c r="E303" s="1"/>
      <c r="F303" s="335"/>
      <c r="G303" s="3" t="s">
        <v>146</v>
      </c>
    </row>
    <row r="304" spans="1:7" x14ac:dyDescent="0.25">
      <c r="A304" s="339" t="s">
        <v>41</v>
      </c>
      <c r="B304" s="340"/>
      <c r="C304" s="340"/>
      <c r="D304" s="340"/>
      <c r="E304" s="341"/>
      <c r="F304" s="17">
        <f>315+180</f>
        <v>495</v>
      </c>
      <c r="G304" s="1"/>
    </row>
    <row r="305" spans="1:7" ht="15.75" thickBot="1" x14ac:dyDescent="0.3"/>
    <row r="306" spans="1:7" ht="15.75" thickBot="1" x14ac:dyDescent="0.3">
      <c r="A306" s="292" t="s">
        <v>39</v>
      </c>
      <c r="B306" s="293"/>
      <c r="C306" s="23"/>
      <c r="G306" s="14" t="s">
        <v>40</v>
      </c>
    </row>
    <row r="307" spans="1:7" ht="15.75" thickBot="1" x14ac:dyDescent="0.3"/>
    <row r="308" spans="1:7" ht="21.75" thickBot="1" x14ac:dyDescent="0.4">
      <c r="A308" s="326" t="s">
        <v>372</v>
      </c>
      <c r="B308" s="327"/>
      <c r="C308" s="327"/>
      <c r="D308" s="327"/>
      <c r="E308" s="327"/>
      <c r="F308" s="327"/>
      <c r="G308" s="328"/>
    </row>
    <row r="309" spans="1:7" ht="19.5" thickBot="1" x14ac:dyDescent="0.35">
      <c r="A309" s="10" t="s">
        <v>0</v>
      </c>
      <c r="B309" s="11" t="s">
        <v>3</v>
      </c>
      <c r="C309" s="11" t="s">
        <v>24</v>
      </c>
      <c r="D309" s="11" t="s">
        <v>1</v>
      </c>
      <c r="E309" s="11" t="s">
        <v>26</v>
      </c>
      <c r="F309" s="11" t="s">
        <v>23</v>
      </c>
      <c r="G309" s="12" t="s">
        <v>27</v>
      </c>
    </row>
    <row r="310" spans="1:7" x14ac:dyDescent="0.25">
      <c r="A310" s="3">
        <v>1</v>
      </c>
      <c r="B310" s="67">
        <v>46027</v>
      </c>
      <c r="C310" s="329" t="s">
        <v>145</v>
      </c>
      <c r="D310" s="336" t="s">
        <v>576</v>
      </c>
      <c r="E310" s="1"/>
      <c r="F310" s="333" t="s">
        <v>577</v>
      </c>
      <c r="G310" s="3" t="s">
        <v>146</v>
      </c>
    </row>
    <row r="311" spans="1:7" x14ac:dyDescent="0.25">
      <c r="A311" s="3">
        <v>2</v>
      </c>
      <c r="B311" s="67">
        <v>46027</v>
      </c>
      <c r="C311" s="309"/>
      <c r="D311" s="337"/>
      <c r="E311" s="1"/>
      <c r="F311" s="334"/>
      <c r="G311" s="3" t="s">
        <v>146</v>
      </c>
    </row>
    <row r="312" spans="1:7" x14ac:dyDescent="0.25">
      <c r="A312" s="3">
        <v>3</v>
      </c>
      <c r="B312" s="67">
        <v>46027</v>
      </c>
      <c r="C312" s="309"/>
      <c r="D312" s="337"/>
      <c r="E312" s="1"/>
      <c r="F312" s="334"/>
      <c r="G312" s="3" t="s">
        <v>146</v>
      </c>
    </row>
    <row r="313" spans="1:7" x14ac:dyDescent="0.25">
      <c r="A313" s="3">
        <v>4</v>
      </c>
      <c r="B313" s="67">
        <v>46027</v>
      </c>
      <c r="C313" s="309"/>
      <c r="D313" s="337"/>
      <c r="E313" s="1"/>
      <c r="F313" s="334"/>
      <c r="G313" s="3" t="s">
        <v>146</v>
      </c>
    </row>
    <row r="314" spans="1:7" x14ac:dyDescent="0.25">
      <c r="A314" s="3">
        <v>5</v>
      </c>
      <c r="B314" s="67">
        <v>46027</v>
      </c>
      <c r="C314" s="310"/>
      <c r="D314" s="338"/>
      <c r="E314" s="1"/>
      <c r="F314" s="335"/>
      <c r="G314" s="3" t="s">
        <v>146</v>
      </c>
    </row>
    <row r="315" spans="1:7" x14ac:dyDescent="0.25">
      <c r="A315" s="339" t="s">
        <v>41</v>
      </c>
      <c r="B315" s="340"/>
      <c r="C315" s="340"/>
      <c r="D315" s="340"/>
      <c r="E315" s="341"/>
      <c r="F315" s="17">
        <f>880+540+525+60</f>
        <v>2005</v>
      </c>
      <c r="G315" s="1"/>
    </row>
    <row r="316" spans="1:7" ht="15.75" thickBot="1" x14ac:dyDescent="0.3"/>
    <row r="317" spans="1:7" ht="15.75" thickBot="1" x14ac:dyDescent="0.3">
      <c r="A317" s="292" t="s">
        <v>39</v>
      </c>
      <c r="B317" s="293"/>
      <c r="C317" s="23"/>
      <c r="G317" s="14" t="s">
        <v>40</v>
      </c>
    </row>
    <row r="318" spans="1:7" ht="15.75" thickBot="1" x14ac:dyDescent="0.3"/>
    <row r="319" spans="1:7" ht="21.75" thickBot="1" x14ac:dyDescent="0.4">
      <c r="A319" s="326" t="s">
        <v>372</v>
      </c>
      <c r="B319" s="327"/>
      <c r="C319" s="327"/>
      <c r="D319" s="327"/>
      <c r="E319" s="327"/>
      <c r="F319" s="327"/>
      <c r="G319" s="328"/>
    </row>
    <row r="320" spans="1:7" ht="19.5" thickBot="1" x14ac:dyDescent="0.35">
      <c r="A320" s="10" t="s">
        <v>0</v>
      </c>
      <c r="B320" s="11" t="s">
        <v>3</v>
      </c>
      <c r="C320" s="11" t="s">
        <v>24</v>
      </c>
      <c r="D320" s="11" t="s">
        <v>1</v>
      </c>
      <c r="E320" s="11" t="s">
        <v>26</v>
      </c>
      <c r="F320" s="11" t="s">
        <v>23</v>
      </c>
      <c r="G320" s="12" t="s">
        <v>27</v>
      </c>
    </row>
    <row r="321" spans="1:7" x14ac:dyDescent="0.25">
      <c r="A321" s="3">
        <v>1</v>
      </c>
      <c r="B321" s="67">
        <v>46028</v>
      </c>
      <c r="C321" s="329" t="s">
        <v>145</v>
      </c>
      <c r="D321" s="336" t="s">
        <v>586</v>
      </c>
      <c r="E321" s="1"/>
      <c r="F321" s="333" t="s">
        <v>585</v>
      </c>
      <c r="G321" s="3" t="s">
        <v>146</v>
      </c>
    </row>
    <row r="322" spans="1:7" x14ac:dyDescent="0.25">
      <c r="A322" s="3">
        <v>2</v>
      </c>
      <c r="B322" s="67">
        <v>46028</v>
      </c>
      <c r="C322" s="309"/>
      <c r="D322" s="337"/>
      <c r="E322" s="1"/>
      <c r="F322" s="334"/>
      <c r="G322" s="3" t="s">
        <v>146</v>
      </c>
    </row>
    <row r="323" spans="1:7" x14ac:dyDescent="0.25">
      <c r="A323" s="3">
        <v>3</v>
      </c>
      <c r="B323" s="67">
        <v>46028</v>
      </c>
      <c r="C323" s="309"/>
      <c r="D323" s="337"/>
      <c r="E323" s="1"/>
      <c r="F323" s="334"/>
      <c r="G323" s="3" t="s">
        <v>146</v>
      </c>
    </row>
    <row r="324" spans="1:7" x14ac:dyDescent="0.25">
      <c r="A324" s="3">
        <v>4</v>
      </c>
      <c r="B324" s="67">
        <v>46028</v>
      </c>
      <c r="C324" s="309"/>
      <c r="D324" s="337"/>
      <c r="E324" s="1"/>
      <c r="F324" s="334"/>
      <c r="G324" s="3" t="s">
        <v>146</v>
      </c>
    </row>
    <row r="325" spans="1:7" x14ac:dyDescent="0.25">
      <c r="A325" s="3">
        <v>5</v>
      </c>
      <c r="B325" s="67">
        <v>46028</v>
      </c>
      <c r="C325" s="310"/>
      <c r="D325" s="338"/>
      <c r="E325" s="1"/>
      <c r="F325" s="335"/>
      <c r="G325" s="3" t="s">
        <v>146</v>
      </c>
    </row>
    <row r="326" spans="1:7" x14ac:dyDescent="0.25">
      <c r="A326" s="339" t="s">
        <v>41</v>
      </c>
      <c r="B326" s="340"/>
      <c r="C326" s="340"/>
      <c r="D326" s="340"/>
      <c r="E326" s="341"/>
      <c r="F326" s="17">
        <f>360+200+90+30+165+810</f>
        <v>1655</v>
      </c>
      <c r="G326" s="1"/>
    </row>
    <row r="327" spans="1:7" ht="15.75" thickBot="1" x14ac:dyDescent="0.3"/>
    <row r="328" spans="1:7" ht="15.75" thickBot="1" x14ac:dyDescent="0.3">
      <c r="A328" s="292" t="s">
        <v>39</v>
      </c>
      <c r="B328" s="293"/>
      <c r="C328" s="23"/>
      <c r="G328" s="14" t="s">
        <v>40</v>
      </c>
    </row>
    <row r="329" spans="1:7" ht="15.75" thickBot="1" x14ac:dyDescent="0.3"/>
    <row r="330" spans="1:7" ht="21.75" thickBot="1" x14ac:dyDescent="0.4">
      <c r="A330" s="326" t="s">
        <v>372</v>
      </c>
      <c r="B330" s="327"/>
      <c r="C330" s="327"/>
      <c r="D330" s="327"/>
      <c r="E330" s="327"/>
      <c r="F330" s="327"/>
      <c r="G330" s="328"/>
    </row>
    <row r="331" spans="1:7" ht="19.5" thickBot="1" x14ac:dyDescent="0.35">
      <c r="A331" s="10" t="s">
        <v>0</v>
      </c>
      <c r="B331" s="11" t="s">
        <v>3</v>
      </c>
      <c r="C331" s="11" t="s">
        <v>24</v>
      </c>
      <c r="D331" s="11" t="s">
        <v>1</v>
      </c>
      <c r="E331" s="11" t="s">
        <v>26</v>
      </c>
      <c r="F331" s="11" t="s">
        <v>23</v>
      </c>
      <c r="G331" s="12" t="s">
        <v>27</v>
      </c>
    </row>
    <row r="332" spans="1:7" x14ac:dyDescent="0.25">
      <c r="A332" s="3">
        <v>1</v>
      </c>
      <c r="B332" s="67">
        <v>46029</v>
      </c>
      <c r="C332" s="329" t="s">
        <v>145</v>
      </c>
      <c r="D332" s="336" t="s">
        <v>595</v>
      </c>
      <c r="E332" s="1"/>
      <c r="F332" s="333" t="s">
        <v>594</v>
      </c>
      <c r="G332" s="3" t="s">
        <v>146</v>
      </c>
    </row>
    <row r="333" spans="1:7" x14ac:dyDescent="0.25">
      <c r="A333" s="3">
        <v>2</v>
      </c>
      <c r="B333" s="67">
        <v>46029</v>
      </c>
      <c r="C333" s="309"/>
      <c r="D333" s="337"/>
      <c r="E333" s="1"/>
      <c r="F333" s="334"/>
      <c r="G333" s="3" t="s">
        <v>146</v>
      </c>
    </row>
    <row r="334" spans="1:7" x14ac:dyDescent="0.25">
      <c r="A334" s="3">
        <v>3</v>
      </c>
      <c r="B334" s="67">
        <v>46029</v>
      </c>
      <c r="C334" s="309"/>
      <c r="D334" s="337"/>
      <c r="E334" s="1"/>
      <c r="F334" s="334"/>
      <c r="G334" s="3" t="s">
        <v>146</v>
      </c>
    </row>
    <row r="335" spans="1:7" x14ac:dyDescent="0.25">
      <c r="A335" s="3">
        <v>4</v>
      </c>
      <c r="B335" s="67">
        <v>46029</v>
      </c>
      <c r="C335" s="309"/>
      <c r="D335" s="337"/>
      <c r="E335" s="1"/>
      <c r="F335" s="334"/>
      <c r="G335" s="3" t="s">
        <v>146</v>
      </c>
    </row>
    <row r="336" spans="1:7" x14ac:dyDescent="0.25">
      <c r="A336" s="3">
        <v>5</v>
      </c>
      <c r="B336" s="67">
        <v>46029</v>
      </c>
      <c r="C336" s="310"/>
      <c r="D336" s="338"/>
      <c r="E336" s="1"/>
      <c r="F336" s="335"/>
      <c r="G336" s="3" t="s">
        <v>146</v>
      </c>
    </row>
    <row r="337" spans="1:7" x14ac:dyDescent="0.25">
      <c r="A337" s="339" t="s">
        <v>41</v>
      </c>
      <c r="B337" s="340"/>
      <c r="C337" s="340"/>
      <c r="D337" s="340"/>
      <c r="E337" s="341"/>
      <c r="F337" s="17">
        <f>640+225+90+440+150+320</f>
        <v>1865</v>
      </c>
      <c r="G337" s="1"/>
    </row>
    <row r="338" spans="1:7" ht="15.75" thickBot="1" x14ac:dyDescent="0.3"/>
    <row r="339" spans="1:7" ht="15.75" thickBot="1" x14ac:dyDescent="0.3">
      <c r="A339" s="292" t="s">
        <v>39</v>
      </c>
      <c r="B339" s="293"/>
      <c r="C339" s="23"/>
      <c r="G339" s="14" t="s">
        <v>40</v>
      </c>
    </row>
    <row r="340" spans="1:7" ht="15.75" thickBot="1" x14ac:dyDescent="0.3"/>
    <row r="341" spans="1:7" ht="21.75" thickBot="1" x14ac:dyDescent="0.4">
      <c r="A341" s="326" t="s">
        <v>372</v>
      </c>
      <c r="B341" s="327"/>
      <c r="C341" s="327"/>
      <c r="D341" s="327"/>
      <c r="E341" s="327"/>
      <c r="F341" s="327"/>
      <c r="G341" s="328"/>
    </row>
    <row r="342" spans="1:7" ht="19.5" thickBot="1" x14ac:dyDescent="0.35">
      <c r="A342" s="10" t="s">
        <v>0</v>
      </c>
      <c r="B342" s="11" t="s">
        <v>3</v>
      </c>
      <c r="C342" s="11" t="s">
        <v>24</v>
      </c>
      <c r="D342" s="11" t="s">
        <v>1</v>
      </c>
      <c r="E342" s="11" t="s">
        <v>26</v>
      </c>
      <c r="F342" s="11" t="s">
        <v>23</v>
      </c>
      <c r="G342" s="12" t="s">
        <v>27</v>
      </c>
    </row>
    <row r="343" spans="1:7" x14ac:dyDescent="0.25">
      <c r="A343" s="3">
        <v>1</v>
      </c>
      <c r="B343" s="67">
        <v>46030</v>
      </c>
      <c r="C343" s="329" t="s">
        <v>145</v>
      </c>
      <c r="D343" s="336" t="s">
        <v>632</v>
      </c>
      <c r="E343" s="1"/>
      <c r="F343" s="333" t="s">
        <v>633</v>
      </c>
      <c r="G343" s="3" t="s">
        <v>146</v>
      </c>
    </row>
    <row r="344" spans="1:7" x14ac:dyDescent="0.25">
      <c r="A344" s="3">
        <v>2</v>
      </c>
      <c r="B344" s="67">
        <v>46030</v>
      </c>
      <c r="C344" s="309"/>
      <c r="D344" s="337"/>
      <c r="E344" s="1"/>
      <c r="F344" s="334"/>
      <c r="G344" s="3" t="s">
        <v>146</v>
      </c>
    </row>
    <row r="345" spans="1:7" x14ac:dyDescent="0.25">
      <c r="A345" s="3">
        <v>3</v>
      </c>
      <c r="B345" s="67">
        <v>46030</v>
      </c>
      <c r="C345" s="309"/>
      <c r="D345" s="337"/>
      <c r="E345" s="1"/>
      <c r="F345" s="334"/>
      <c r="G345" s="3" t="s">
        <v>146</v>
      </c>
    </row>
    <row r="346" spans="1:7" x14ac:dyDescent="0.25">
      <c r="A346" s="3">
        <v>4</v>
      </c>
      <c r="B346" s="67">
        <v>46030</v>
      </c>
      <c r="C346" s="309"/>
      <c r="D346" s="337"/>
      <c r="E346" s="1"/>
      <c r="F346" s="334"/>
      <c r="G346" s="3" t="s">
        <v>146</v>
      </c>
    </row>
    <row r="347" spans="1:7" x14ac:dyDescent="0.25">
      <c r="A347" s="3">
        <v>5</v>
      </c>
      <c r="B347" s="67">
        <v>46030</v>
      </c>
      <c r="C347" s="310"/>
      <c r="D347" s="338"/>
      <c r="E347" s="1"/>
      <c r="F347" s="335"/>
      <c r="G347" s="3" t="s">
        <v>146</v>
      </c>
    </row>
    <row r="348" spans="1:7" x14ac:dyDescent="0.25">
      <c r="A348" s="339" t="s">
        <v>41</v>
      </c>
      <c r="B348" s="340"/>
      <c r="C348" s="340"/>
      <c r="D348" s="340"/>
      <c r="E348" s="341"/>
      <c r="F348" s="17">
        <f>360+440+270+60+660+240+180</f>
        <v>2210</v>
      </c>
      <c r="G348" s="1"/>
    </row>
    <row r="349" spans="1:7" ht="15.75" thickBot="1" x14ac:dyDescent="0.3"/>
    <row r="350" spans="1:7" ht="15.75" thickBot="1" x14ac:dyDescent="0.3">
      <c r="A350" s="292" t="s">
        <v>39</v>
      </c>
      <c r="B350" s="293"/>
      <c r="C350" s="23"/>
      <c r="G350" s="14" t="s">
        <v>40</v>
      </c>
    </row>
    <row r="351" spans="1:7" ht="15.75" thickBot="1" x14ac:dyDescent="0.3"/>
    <row r="352" spans="1:7" ht="21.75" thickBot="1" x14ac:dyDescent="0.4">
      <c r="A352" s="326" t="s">
        <v>372</v>
      </c>
      <c r="B352" s="327"/>
      <c r="C352" s="327"/>
      <c r="D352" s="327"/>
      <c r="E352" s="327"/>
      <c r="F352" s="327"/>
      <c r="G352" s="328"/>
    </row>
    <row r="353" spans="1:7" ht="19.5" thickBot="1" x14ac:dyDescent="0.35">
      <c r="A353" s="10" t="s">
        <v>0</v>
      </c>
      <c r="B353" s="11" t="s">
        <v>3</v>
      </c>
      <c r="C353" s="11" t="s">
        <v>24</v>
      </c>
      <c r="D353" s="11" t="s">
        <v>1</v>
      </c>
      <c r="E353" s="11" t="s">
        <v>26</v>
      </c>
      <c r="F353" s="11" t="s">
        <v>23</v>
      </c>
      <c r="G353" s="12" t="s">
        <v>27</v>
      </c>
    </row>
    <row r="354" spans="1:7" x14ac:dyDescent="0.25">
      <c r="A354" s="3">
        <v>1</v>
      </c>
      <c r="B354" s="67">
        <v>46031</v>
      </c>
      <c r="C354" s="329" t="s">
        <v>145</v>
      </c>
      <c r="D354" s="336" t="s">
        <v>647</v>
      </c>
      <c r="E354" s="1"/>
      <c r="F354" s="333" t="s">
        <v>648</v>
      </c>
      <c r="G354" s="3" t="s">
        <v>146</v>
      </c>
    </row>
    <row r="355" spans="1:7" x14ac:dyDescent="0.25">
      <c r="A355" s="3">
        <v>2</v>
      </c>
      <c r="B355" s="67">
        <v>46031</v>
      </c>
      <c r="C355" s="309"/>
      <c r="D355" s="337"/>
      <c r="E355" s="1"/>
      <c r="F355" s="334"/>
      <c r="G355" s="3" t="s">
        <v>146</v>
      </c>
    </row>
    <row r="356" spans="1:7" x14ac:dyDescent="0.25">
      <c r="A356" s="3">
        <v>3</v>
      </c>
      <c r="B356" s="67">
        <v>46031</v>
      </c>
      <c r="C356" s="309"/>
      <c r="D356" s="337"/>
      <c r="E356" s="1"/>
      <c r="F356" s="334"/>
      <c r="G356" s="3" t="s">
        <v>146</v>
      </c>
    </row>
    <row r="357" spans="1:7" x14ac:dyDescent="0.25">
      <c r="A357" s="3">
        <v>4</v>
      </c>
      <c r="B357" s="67">
        <v>46031</v>
      </c>
      <c r="C357" s="309"/>
      <c r="D357" s="337"/>
      <c r="E357" s="1"/>
      <c r="F357" s="334"/>
      <c r="G357" s="3" t="s">
        <v>146</v>
      </c>
    </row>
    <row r="358" spans="1:7" x14ac:dyDescent="0.25">
      <c r="A358" s="3">
        <v>5</v>
      </c>
      <c r="B358" s="67">
        <v>46031</v>
      </c>
      <c r="C358" s="310"/>
      <c r="D358" s="338"/>
      <c r="E358" s="1"/>
      <c r="F358" s="335"/>
      <c r="G358" s="3" t="s">
        <v>146</v>
      </c>
    </row>
    <row r="359" spans="1:7" x14ac:dyDescent="0.25">
      <c r="A359" s="339" t="s">
        <v>41</v>
      </c>
      <c r="B359" s="340"/>
      <c r="C359" s="340"/>
      <c r="D359" s="340"/>
      <c r="E359" s="341"/>
      <c r="F359" s="17">
        <f>960+60+100+240+1100+440+80</f>
        <v>2980</v>
      </c>
      <c r="G359" s="1"/>
    </row>
    <row r="360" spans="1:7" ht="15.75" thickBot="1" x14ac:dyDescent="0.3"/>
    <row r="361" spans="1:7" ht="15.75" thickBot="1" x14ac:dyDescent="0.3">
      <c r="A361" s="292" t="s">
        <v>39</v>
      </c>
      <c r="B361" s="293"/>
      <c r="C361" s="23"/>
      <c r="G361" s="14" t="s">
        <v>40</v>
      </c>
    </row>
    <row r="362" spans="1:7" ht="15.75" thickBot="1" x14ac:dyDescent="0.3"/>
    <row r="363" spans="1:7" ht="21.75" thickBot="1" x14ac:dyDescent="0.4">
      <c r="A363" s="326" t="s">
        <v>372</v>
      </c>
      <c r="B363" s="327"/>
      <c r="C363" s="327"/>
      <c r="D363" s="327"/>
      <c r="E363" s="327"/>
      <c r="F363" s="327"/>
      <c r="G363" s="328"/>
    </row>
    <row r="364" spans="1:7" ht="19.5" thickBot="1" x14ac:dyDescent="0.35">
      <c r="A364" s="10" t="s">
        <v>0</v>
      </c>
      <c r="B364" s="11" t="s">
        <v>3</v>
      </c>
      <c r="C364" s="11" t="s">
        <v>24</v>
      </c>
      <c r="D364" s="11" t="s">
        <v>1</v>
      </c>
      <c r="E364" s="11" t="s">
        <v>26</v>
      </c>
      <c r="F364" s="11" t="s">
        <v>23</v>
      </c>
      <c r="G364" s="12" t="s">
        <v>27</v>
      </c>
    </row>
    <row r="365" spans="1:7" x14ac:dyDescent="0.25">
      <c r="A365" s="3">
        <v>1</v>
      </c>
      <c r="B365" s="67">
        <v>46032</v>
      </c>
      <c r="C365" s="329" t="s">
        <v>145</v>
      </c>
      <c r="D365" s="336" t="s">
        <v>663</v>
      </c>
      <c r="E365" s="1"/>
      <c r="F365" s="333" t="s">
        <v>664</v>
      </c>
      <c r="G365" s="3" t="s">
        <v>146</v>
      </c>
    </row>
    <row r="366" spans="1:7" x14ac:dyDescent="0.25">
      <c r="A366" s="3">
        <v>2</v>
      </c>
      <c r="B366" s="67">
        <v>46032</v>
      </c>
      <c r="C366" s="309"/>
      <c r="D366" s="337"/>
      <c r="E366" s="1"/>
      <c r="F366" s="334"/>
      <c r="G366" s="3" t="s">
        <v>146</v>
      </c>
    </row>
    <row r="367" spans="1:7" x14ac:dyDescent="0.25">
      <c r="A367" s="3">
        <v>3</v>
      </c>
      <c r="B367" s="67">
        <v>46032</v>
      </c>
      <c r="C367" s="309"/>
      <c r="D367" s="337"/>
      <c r="E367" s="1"/>
      <c r="F367" s="334"/>
      <c r="G367" s="3" t="s">
        <v>146</v>
      </c>
    </row>
    <row r="368" spans="1:7" x14ac:dyDescent="0.25">
      <c r="A368" s="3">
        <v>4</v>
      </c>
      <c r="B368" s="67">
        <v>46032</v>
      </c>
      <c r="C368" s="309"/>
      <c r="D368" s="337"/>
      <c r="E368" s="1"/>
      <c r="F368" s="334"/>
      <c r="G368" s="3" t="s">
        <v>146</v>
      </c>
    </row>
    <row r="369" spans="1:7" x14ac:dyDescent="0.25">
      <c r="A369" s="3">
        <v>5</v>
      </c>
      <c r="B369" s="67">
        <v>46032</v>
      </c>
      <c r="C369" s="310"/>
      <c r="D369" s="338"/>
      <c r="E369" s="1"/>
      <c r="F369" s="335"/>
      <c r="G369" s="3" t="s">
        <v>146</v>
      </c>
    </row>
    <row r="370" spans="1:7" x14ac:dyDescent="0.25">
      <c r="A370" s="339" t="s">
        <v>41</v>
      </c>
      <c r="B370" s="340"/>
      <c r="C370" s="340"/>
      <c r="D370" s="340"/>
      <c r="E370" s="341"/>
      <c r="F370" s="17">
        <f>90+660+180+100+850+900+90+80</f>
        <v>2950</v>
      </c>
      <c r="G370" s="1"/>
    </row>
    <row r="371" spans="1:7" ht="15.75" thickBot="1" x14ac:dyDescent="0.3"/>
    <row r="372" spans="1:7" ht="15.75" thickBot="1" x14ac:dyDescent="0.3">
      <c r="A372" s="292" t="s">
        <v>39</v>
      </c>
      <c r="B372" s="293"/>
      <c r="C372" s="23"/>
      <c r="G372" s="14" t="s">
        <v>40</v>
      </c>
    </row>
    <row r="373" spans="1:7" ht="15.75" thickBot="1" x14ac:dyDescent="0.3"/>
    <row r="374" spans="1:7" ht="21.75" thickBot="1" x14ac:dyDescent="0.4">
      <c r="A374" s="326" t="s">
        <v>139</v>
      </c>
      <c r="B374" s="327"/>
      <c r="C374" s="327"/>
      <c r="D374" s="327"/>
      <c r="E374" s="327"/>
      <c r="F374" s="327"/>
      <c r="G374" s="328"/>
    </row>
    <row r="375" spans="1:7" ht="19.5" thickBot="1" x14ac:dyDescent="0.35">
      <c r="A375" s="10" t="s">
        <v>0</v>
      </c>
      <c r="B375" s="11" t="s">
        <v>3</v>
      </c>
      <c r="C375" s="11" t="s">
        <v>24</v>
      </c>
      <c r="D375" s="11" t="s">
        <v>1</v>
      </c>
      <c r="E375" s="11" t="s">
        <v>26</v>
      </c>
      <c r="F375" s="11" t="s">
        <v>23</v>
      </c>
      <c r="G375" s="12" t="s">
        <v>27</v>
      </c>
    </row>
    <row r="376" spans="1:7" x14ac:dyDescent="0.25">
      <c r="A376" s="3">
        <v>1</v>
      </c>
      <c r="B376" s="67">
        <v>46033</v>
      </c>
      <c r="C376" s="329" t="s">
        <v>145</v>
      </c>
      <c r="D376" s="336" t="s">
        <v>677</v>
      </c>
      <c r="E376" s="1"/>
      <c r="F376" s="333">
        <f>13*15</f>
        <v>195</v>
      </c>
      <c r="G376" s="3" t="s">
        <v>146</v>
      </c>
    </row>
    <row r="377" spans="1:7" x14ac:dyDescent="0.25">
      <c r="A377" s="3">
        <v>2</v>
      </c>
      <c r="B377" s="67">
        <v>46033</v>
      </c>
      <c r="C377" s="309"/>
      <c r="D377" s="337"/>
      <c r="E377" s="1"/>
      <c r="F377" s="334"/>
      <c r="G377" s="3" t="s">
        <v>146</v>
      </c>
    </row>
    <row r="378" spans="1:7" x14ac:dyDescent="0.25">
      <c r="A378" s="3">
        <v>3</v>
      </c>
      <c r="B378" s="67">
        <v>46033</v>
      </c>
      <c r="C378" s="309"/>
      <c r="D378" s="337"/>
      <c r="E378" s="1"/>
      <c r="F378" s="334"/>
      <c r="G378" s="3" t="s">
        <v>146</v>
      </c>
    </row>
    <row r="379" spans="1:7" x14ac:dyDescent="0.25">
      <c r="A379" s="3">
        <v>4</v>
      </c>
      <c r="B379" s="67">
        <v>46033</v>
      </c>
      <c r="C379" s="309"/>
      <c r="D379" s="337"/>
      <c r="E379" s="1"/>
      <c r="F379" s="334"/>
      <c r="G379" s="3" t="s">
        <v>146</v>
      </c>
    </row>
    <row r="380" spans="1:7" x14ac:dyDescent="0.25">
      <c r="A380" s="3">
        <v>5</v>
      </c>
      <c r="B380" s="67">
        <v>46033</v>
      </c>
      <c r="C380" s="310"/>
      <c r="D380" s="338"/>
      <c r="E380" s="1"/>
      <c r="F380" s="335"/>
      <c r="G380" s="3" t="s">
        <v>146</v>
      </c>
    </row>
    <row r="381" spans="1:7" x14ac:dyDescent="0.25">
      <c r="A381" s="339" t="s">
        <v>41</v>
      </c>
      <c r="B381" s="340"/>
      <c r="C381" s="340"/>
      <c r="D381" s="340"/>
      <c r="E381" s="341"/>
      <c r="F381" s="17">
        <f>F376</f>
        <v>195</v>
      </c>
      <c r="G381" s="1"/>
    </row>
    <row r="382" spans="1:7" ht="15.75" thickBot="1" x14ac:dyDescent="0.3"/>
    <row r="383" spans="1:7" ht="15.75" thickBot="1" x14ac:dyDescent="0.3">
      <c r="A383" s="292" t="s">
        <v>39</v>
      </c>
      <c r="B383" s="293"/>
      <c r="C383" s="23"/>
      <c r="G383" s="14" t="s">
        <v>40</v>
      </c>
    </row>
    <row r="384" spans="1:7" ht="15.75" thickBot="1" x14ac:dyDescent="0.3"/>
    <row r="385" spans="1:7" ht="21.75" thickBot="1" x14ac:dyDescent="0.4">
      <c r="A385" s="326" t="s">
        <v>372</v>
      </c>
      <c r="B385" s="327"/>
      <c r="C385" s="327"/>
      <c r="D385" s="327"/>
      <c r="E385" s="327"/>
      <c r="F385" s="327"/>
      <c r="G385" s="328"/>
    </row>
    <row r="386" spans="1:7" ht="19.5" thickBot="1" x14ac:dyDescent="0.35">
      <c r="A386" s="10" t="s">
        <v>0</v>
      </c>
      <c r="B386" s="11" t="s">
        <v>3</v>
      </c>
      <c r="C386" s="11" t="s">
        <v>24</v>
      </c>
      <c r="D386" s="11" t="s">
        <v>1</v>
      </c>
      <c r="E386" s="11" t="s">
        <v>26</v>
      </c>
      <c r="F386" s="11" t="s">
        <v>23</v>
      </c>
      <c r="G386" s="12" t="s">
        <v>27</v>
      </c>
    </row>
    <row r="387" spans="1:7" x14ac:dyDescent="0.25">
      <c r="A387" s="3">
        <v>1</v>
      </c>
      <c r="B387" s="67">
        <v>46034</v>
      </c>
      <c r="C387" s="329" t="s">
        <v>145</v>
      </c>
      <c r="D387" s="336" t="s">
        <v>690</v>
      </c>
      <c r="E387" s="1"/>
      <c r="F387" s="333" t="s">
        <v>691</v>
      </c>
      <c r="G387" s="3" t="s">
        <v>146</v>
      </c>
    </row>
    <row r="388" spans="1:7" x14ac:dyDescent="0.25">
      <c r="A388" s="3">
        <v>2</v>
      </c>
      <c r="B388" s="67">
        <v>46034</v>
      </c>
      <c r="C388" s="309"/>
      <c r="D388" s="337"/>
      <c r="E388" s="1"/>
      <c r="F388" s="334"/>
      <c r="G388" s="3" t="s">
        <v>146</v>
      </c>
    </row>
    <row r="389" spans="1:7" x14ac:dyDescent="0.25">
      <c r="A389" s="3">
        <v>3</v>
      </c>
      <c r="B389" s="67">
        <v>46034</v>
      </c>
      <c r="C389" s="309"/>
      <c r="D389" s="337"/>
      <c r="E389" s="1"/>
      <c r="F389" s="334"/>
      <c r="G389" s="3" t="s">
        <v>146</v>
      </c>
    </row>
    <row r="390" spans="1:7" x14ac:dyDescent="0.25">
      <c r="A390" s="3">
        <v>4</v>
      </c>
      <c r="B390" s="67">
        <v>46034</v>
      </c>
      <c r="C390" s="309"/>
      <c r="D390" s="337"/>
      <c r="E390" s="1"/>
      <c r="F390" s="334"/>
      <c r="G390" s="3" t="s">
        <v>146</v>
      </c>
    </row>
    <row r="391" spans="1:7" x14ac:dyDescent="0.25">
      <c r="A391" s="3">
        <v>5</v>
      </c>
      <c r="B391" s="67">
        <v>46034</v>
      </c>
      <c r="C391" s="310"/>
      <c r="D391" s="338"/>
      <c r="E391" s="1"/>
      <c r="F391" s="335"/>
      <c r="G391" s="3" t="s">
        <v>146</v>
      </c>
    </row>
    <row r="392" spans="1:7" x14ac:dyDescent="0.25">
      <c r="A392" s="339" t="s">
        <v>41</v>
      </c>
      <c r="B392" s="340"/>
      <c r="C392" s="340"/>
      <c r="D392" s="340"/>
      <c r="E392" s="341"/>
      <c r="F392" s="17">
        <f>660+165+90+680+200+75</f>
        <v>1870</v>
      </c>
      <c r="G392" s="1"/>
    </row>
    <row r="393" spans="1:7" ht="15.75" thickBot="1" x14ac:dyDescent="0.3"/>
    <row r="394" spans="1:7" ht="15.75" thickBot="1" x14ac:dyDescent="0.3">
      <c r="A394" s="292" t="s">
        <v>39</v>
      </c>
      <c r="B394" s="293"/>
      <c r="C394" s="23"/>
      <c r="G394" s="14" t="s">
        <v>40</v>
      </c>
    </row>
    <row r="395" spans="1:7" ht="15.75" thickBot="1" x14ac:dyDescent="0.3"/>
    <row r="396" spans="1:7" ht="21.75" thickBot="1" x14ac:dyDescent="0.4">
      <c r="A396" s="326" t="s">
        <v>372</v>
      </c>
      <c r="B396" s="327"/>
      <c r="C396" s="327"/>
      <c r="D396" s="327"/>
      <c r="E396" s="327"/>
      <c r="F396" s="327"/>
      <c r="G396" s="328"/>
    </row>
    <row r="397" spans="1:7" ht="19.5" thickBot="1" x14ac:dyDescent="0.35">
      <c r="A397" s="10" t="s">
        <v>0</v>
      </c>
      <c r="B397" s="11" t="s">
        <v>3</v>
      </c>
      <c r="C397" s="11" t="s">
        <v>24</v>
      </c>
      <c r="D397" s="11" t="s">
        <v>1</v>
      </c>
      <c r="E397" s="11" t="s">
        <v>26</v>
      </c>
      <c r="F397" s="11" t="s">
        <v>23</v>
      </c>
      <c r="G397" s="12" t="s">
        <v>27</v>
      </c>
    </row>
    <row r="398" spans="1:7" x14ac:dyDescent="0.25">
      <c r="A398" s="3">
        <v>1</v>
      </c>
      <c r="B398" s="67">
        <v>46035</v>
      </c>
      <c r="C398" s="329" t="s">
        <v>145</v>
      </c>
      <c r="D398" s="336" t="s">
        <v>725</v>
      </c>
      <c r="E398" s="1"/>
      <c r="F398" s="333" t="s">
        <v>766</v>
      </c>
      <c r="G398" s="3" t="s">
        <v>146</v>
      </c>
    </row>
    <row r="399" spans="1:7" x14ac:dyDescent="0.25">
      <c r="A399" s="3">
        <v>2</v>
      </c>
      <c r="B399" s="67">
        <v>46035</v>
      </c>
      <c r="C399" s="309"/>
      <c r="D399" s="337"/>
      <c r="E399" s="1"/>
      <c r="F399" s="334"/>
      <c r="G399" s="3" t="s">
        <v>146</v>
      </c>
    </row>
    <row r="400" spans="1:7" x14ac:dyDescent="0.25">
      <c r="A400" s="3">
        <v>3</v>
      </c>
      <c r="B400" s="67">
        <v>46035</v>
      </c>
      <c r="C400" s="309"/>
      <c r="D400" s="337"/>
      <c r="E400" s="1"/>
      <c r="F400" s="334"/>
      <c r="G400" s="3" t="s">
        <v>146</v>
      </c>
    </row>
    <row r="401" spans="1:7" x14ac:dyDescent="0.25">
      <c r="A401" s="3">
        <v>4</v>
      </c>
      <c r="B401" s="67">
        <v>46035</v>
      </c>
      <c r="C401" s="309"/>
      <c r="D401" s="337"/>
      <c r="E401" s="1"/>
      <c r="F401" s="334"/>
      <c r="G401" s="3" t="s">
        <v>146</v>
      </c>
    </row>
    <row r="402" spans="1:7" x14ac:dyDescent="0.25">
      <c r="A402" s="3">
        <v>5</v>
      </c>
      <c r="B402" s="67">
        <v>46035</v>
      </c>
      <c r="C402" s="310"/>
      <c r="D402" s="338"/>
      <c r="E402" s="1"/>
      <c r="F402" s="335"/>
      <c r="G402" s="3" t="s">
        <v>146</v>
      </c>
    </row>
    <row r="403" spans="1:7" x14ac:dyDescent="0.25">
      <c r="A403" s="339" t="s">
        <v>41</v>
      </c>
      <c r="B403" s="340"/>
      <c r="C403" s="340"/>
      <c r="D403" s="340"/>
      <c r="E403" s="341"/>
      <c r="F403" s="17">
        <f>900+90+1080+240</f>
        <v>2310</v>
      </c>
      <c r="G403" s="1"/>
    </row>
    <row r="404" spans="1:7" ht="15.75" thickBot="1" x14ac:dyDescent="0.3"/>
    <row r="405" spans="1:7" ht="15.75" thickBot="1" x14ac:dyDescent="0.3">
      <c r="A405" s="292" t="s">
        <v>39</v>
      </c>
      <c r="B405" s="293"/>
      <c r="C405" s="23"/>
      <c r="G405" s="14" t="s">
        <v>40</v>
      </c>
    </row>
    <row r="406" spans="1:7" ht="15.75" thickBot="1" x14ac:dyDescent="0.3"/>
    <row r="407" spans="1:7" ht="21.75" thickBot="1" x14ac:dyDescent="0.4">
      <c r="A407" s="326" t="s">
        <v>372</v>
      </c>
      <c r="B407" s="327"/>
      <c r="C407" s="327"/>
      <c r="D407" s="327"/>
      <c r="E407" s="327"/>
      <c r="F407" s="327"/>
      <c r="G407" s="328"/>
    </row>
    <row r="408" spans="1:7" ht="19.5" thickBot="1" x14ac:dyDescent="0.35">
      <c r="A408" s="10" t="s">
        <v>0</v>
      </c>
      <c r="B408" s="11" t="s">
        <v>3</v>
      </c>
      <c r="C408" s="11" t="s">
        <v>24</v>
      </c>
      <c r="D408" s="11" t="s">
        <v>1</v>
      </c>
      <c r="E408" s="11" t="s">
        <v>26</v>
      </c>
      <c r="F408" s="11" t="s">
        <v>23</v>
      </c>
      <c r="G408" s="12" t="s">
        <v>27</v>
      </c>
    </row>
    <row r="409" spans="1:7" x14ac:dyDescent="0.25">
      <c r="A409" s="3">
        <v>1</v>
      </c>
      <c r="B409" s="67">
        <v>46036</v>
      </c>
      <c r="C409" s="329" t="s">
        <v>145</v>
      </c>
      <c r="D409" s="336" t="s">
        <v>751</v>
      </c>
      <c r="E409" s="1"/>
      <c r="F409" s="333" t="s">
        <v>752</v>
      </c>
      <c r="G409" s="3" t="s">
        <v>146</v>
      </c>
    </row>
    <row r="410" spans="1:7" x14ac:dyDescent="0.25">
      <c r="A410" s="3">
        <v>2</v>
      </c>
      <c r="B410" s="67">
        <v>46036</v>
      </c>
      <c r="C410" s="309"/>
      <c r="D410" s="337"/>
      <c r="E410" s="1"/>
      <c r="F410" s="334"/>
      <c r="G410" s="3" t="s">
        <v>146</v>
      </c>
    </row>
    <row r="411" spans="1:7" x14ac:dyDescent="0.25">
      <c r="A411" s="3">
        <v>3</v>
      </c>
      <c r="B411" s="67">
        <v>46036</v>
      </c>
      <c r="C411" s="309"/>
      <c r="D411" s="337"/>
      <c r="E411" s="1"/>
      <c r="F411" s="334"/>
      <c r="G411" s="3" t="s">
        <v>146</v>
      </c>
    </row>
    <row r="412" spans="1:7" x14ac:dyDescent="0.25">
      <c r="A412" s="3">
        <v>4</v>
      </c>
      <c r="B412" s="67">
        <v>46036</v>
      </c>
      <c r="C412" s="309"/>
      <c r="D412" s="337"/>
      <c r="E412" s="1"/>
      <c r="F412" s="334"/>
      <c r="G412" s="3" t="s">
        <v>146</v>
      </c>
    </row>
    <row r="413" spans="1:7" x14ac:dyDescent="0.25">
      <c r="A413" s="3">
        <v>5</v>
      </c>
      <c r="B413" s="67">
        <v>46036</v>
      </c>
      <c r="C413" s="310"/>
      <c r="D413" s="338"/>
      <c r="E413" s="1"/>
      <c r="F413" s="335"/>
      <c r="G413" s="3" t="s">
        <v>146</v>
      </c>
    </row>
    <row r="414" spans="1:7" x14ac:dyDescent="0.25">
      <c r="A414" s="339" t="s">
        <v>41</v>
      </c>
      <c r="B414" s="340"/>
      <c r="C414" s="340"/>
      <c r="D414" s="340"/>
      <c r="E414" s="341"/>
      <c r="F414" s="17">
        <f>90+230+1600+320+225</f>
        <v>2465</v>
      </c>
      <c r="G414" s="1"/>
    </row>
    <row r="415" spans="1:7" ht="15.75" thickBot="1" x14ac:dyDescent="0.3"/>
    <row r="416" spans="1:7" ht="15.75" thickBot="1" x14ac:dyDescent="0.3">
      <c r="A416" s="292" t="s">
        <v>39</v>
      </c>
      <c r="B416" s="293"/>
      <c r="C416" s="23"/>
      <c r="G416" s="14" t="s">
        <v>40</v>
      </c>
    </row>
    <row r="417" spans="1:7" ht="15.75" thickBot="1" x14ac:dyDescent="0.3"/>
    <row r="418" spans="1:7" ht="21.75" thickBot="1" x14ac:dyDescent="0.4">
      <c r="A418" s="326" t="s">
        <v>372</v>
      </c>
      <c r="B418" s="327"/>
      <c r="C418" s="327"/>
      <c r="D418" s="327"/>
      <c r="E418" s="327"/>
      <c r="F418" s="327"/>
      <c r="G418" s="328"/>
    </row>
    <row r="419" spans="1:7" ht="19.5" thickBot="1" x14ac:dyDescent="0.35">
      <c r="A419" s="10" t="s">
        <v>0</v>
      </c>
      <c r="B419" s="11" t="s">
        <v>3</v>
      </c>
      <c r="C419" s="11" t="s">
        <v>24</v>
      </c>
      <c r="D419" s="11" t="s">
        <v>1</v>
      </c>
      <c r="E419" s="11" t="s">
        <v>26</v>
      </c>
      <c r="F419" s="11" t="s">
        <v>23</v>
      </c>
      <c r="G419" s="12" t="s">
        <v>27</v>
      </c>
    </row>
    <row r="420" spans="1:7" x14ac:dyDescent="0.25">
      <c r="A420" s="3">
        <v>1</v>
      </c>
      <c r="B420" s="67">
        <v>46037</v>
      </c>
      <c r="C420" s="329" t="s">
        <v>145</v>
      </c>
      <c r="D420" s="336" t="s">
        <v>763</v>
      </c>
      <c r="E420" s="1"/>
      <c r="F420" s="333" t="s">
        <v>764</v>
      </c>
      <c r="G420" s="3" t="s">
        <v>146</v>
      </c>
    </row>
    <row r="421" spans="1:7" x14ac:dyDescent="0.25">
      <c r="A421" s="3">
        <v>2</v>
      </c>
      <c r="B421" s="67">
        <v>46037</v>
      </c>
      <c r="C421" s="309"/>
      <c r="D421" s="337"/>
      <c r="E421" s="1"/>
      <c r="F421" s="334"/>
      <c r="G421" s="3" t="s">
        <v>146</v>
      </c>
    </row>
    <row r="422" spans="1:7" x14ac:dyDescent="0.25">
      <c r="A422" s="3">
        <v>3</v>
      </c>
      <c r="B422" s="67">
        <v>46037</v>
      </c>
      <c r="C422" s="309"/>
      <c r="D422" s="337"/>
      <c r="E422" s="1"/>
      <c r="F422" s="334"/>
      <c r="G422" s="3" t="s">
        <v>146</v>
      </c>
    </row>
    <row r="423" spans="1:7" x14ac:dyDescent="0.25">
      <c r="A423" s="3">
        <v>4</v>
      </c>
      <c r="B423" s="67">
        <v>46037</v>
      </c>
      <c r="C423" s="309"/>
      <c r="D423" s="337"/>
      <c r="E423" s="1"/>
      <c r="F423" s="334"/>
      <c r="G423" s="3" t="s">
        <v>146</v>
      </c>
    </row>
    <row r="424" spans="1:7" x14ac:dyDescent="0.25">
      <c r="A424" s="3">
        <v>5</v>
      </c>
      <c r="B424" s="67">
        <v>46037</v>
      </c>
      <c r="C424" s="310"/>
      <c r="D424" s="338"/>
      <c r="E424" s="1"/>
      <c r="F424" s="335"/>
      <c r="G424" s="3" t="s">
        <v>146</v>
      </c>
    </row>
    <row r="425" spans="1:7" x14ac:dyDescent="0.25">
      <c r="A425" s="339" t="s">
        <v>41</v>
      </c>
      <c r="B425" s="340"/>
      <c r="C425" s="340"/>
      <c r="D425" s="340"/>
      <c r="E425" s="341"/>
      <c r="F425" s="17">
        <f>540+60+200+225+900+180+30</f>
        <v>2135</v>
      </c>
      <c r="G425" s="1"/>
    </row>
    <row r="426" spans="1:7" ht="15.75" thickBot="1" x14ac:dyDescent="0.3"/>
    <row r="427" spans="1:7" ht="15.75" thickBot="1" x14ac:dyDescent="0.3">
      <c r="A427" s="292" t="s">
        <v>39</v>
      </c>
      <c r="B427" s="293"/>
      <c r="C427" s="23"/>
      <c r="G427" s="14" t="s">
        <v>40</v>
      </c>
    </row>
    <row r="428" spans="1:7" ht="15.75" thickBot="1" x14ac:dyDescent="0.3"/>
    <row r="429" spans="1:7" ht="21.75" thickBot="1" x14ac:dyDescent="0.4">
      <c r="A429" s="326" t="s">
        <v>138</v>
      </c>
      <c r="B429" s="327"/>
      <c r="C429" s="327"/>
      <c r="D429" s="327"/>
      <c r="E429" s="327"/>
      <c r="F429" s="327"/>
      <c r="G429" s="328"/>
    </row>
    <row r="430" spans="1:7" ht="19.5" thickBot="1" x14ac:dyDescent="0.35">
      <c r="A430" s="10" t="s">
        <v>0</v>
      </c>
      <c r="B430" s="11" t="s">
        <v>3</v>
      </c>
      <c r="C430" s="11" t="s">
        <v>24</v>
      </c>
      <c r="D430" s="11" t="s">
        <v>1</v>
      </c>
      <c r="E430" s="11" t="s">
        <v>26</v>
      </c>
      <c r="F430" s="11" t="s">
        <v>23</v>
      </c>
      <c r="G430" s="12" t="s">
        <v>27</v>
      </c>
    </row>
    <row r="431" spans="1:7" x14ac:dyDescent="0.25">
      <c r="A431" s="3">
        <v>1</v>
      </c>
      <c r="B431" s="67">
        <v>46038</v>
      </c>
      <c r="C431" s="329" t="s">
        <v>145</v>
      </c>
      <c r="D431" s="336" t="s">
        <v>775</v>
      </c>
      <c r="E431" s="1"/>
      <c r="F431" s="333" t="s">
        <v>776</v>
      </c>
      <c r="G431" s="3" t="s">
        <v>146</v>
      </c>
    </row>
    <row r="432" spans="1:7" x14ac:dyDescent="0.25">
      <c r="A432" s="3">
        <v>2</v>
      </c>
      <c r="B432" s="67">
        <v>46038</v>
      </c>
      <c r="C432" s="309"/>
      <c r="D432" s="337"/>
      <c r="E432" s="1"/>
      <c r="F432" s="334"/>
      <c r="G432" s="3" t="s">
        <v>146</v>
      </c>
    </row>
    <row r="433" spans="1:7" x14ac:dyDescent="0.25">
      <c r="A433" s="3">
        <v>3</v>
      </c>
      <c r="B433" s="67">
        <v>46038</v>
      </c>
      <c r="C433" s="309"/>
      <c r="D433" s="337"/>
      <c r="E433" s="1"/>
      <c r="F433" s="334"/>
      <c r="G433" s="3" t="s">
        <v>146</v>
      </c>
    </row>
    <row r="434" spans="1:7" x14ac:dyDescent="0.25">
      <c r="A434" s="3">
        <v>4</v>
      </c>
      <c r="B434" s="67">
        <v>46038</v>
      </c>
      <c r="C434" s="309"/>
      <c r="D434" s="337"/>
      <c r="E434" s="1"/>
      <c r="F434" s="334"/>
      <c r="G434" s="3" t="s">
        <v>146</v>
      </c>
    </row>
    <row r="435" spans="1:7" x14ac:dyDescent="0.25">
      <c r="A435" s="3">
        <v>5</v>
      </c>
      <c r="B435" s="67">
        <v>46038</v>
      </c>
      <c r="C435" s="310"/>
      <c r="D435" s="338"/>
      <c r="E435" s="1"/>
      <c r="F435" s="335"/>
      <c r="G435" s="3" t="s">
        <v>146</v>
      </c>
    </row>
    <row r="436" spans="1:7" x14ac:dyDescent="0.25">
      <c r="A436" s="339" t="s">
        <v>41</v>
      </c>
      <c r="B436" s="340"/>
      <c r="C436" s="340"/>
      <c r="D436" s="340"/>
      <c r="E436" s="341"/>
      <c r="F436" s="17">
        <f>1920+200+90</f>
        <v>2210</v>
      </c>
      <c r="G436" s="1"/>
    </row>
    <row r="437" spans="1:7" ht="15.75" thickBot="1" x14ac:dyDescent="0.3"/>
    <row r="438" spans="1:7" ht="15.75" thickBot="1" x14ac:dyDescent="0.3">
      <c r="A438" s="292" t="s">
        <v>39</v>
      </c>
      <c r="B438" s="293"/>
      <c r="C438" s="23"/>
      <c r="G438" s="14" t="s">
        <v>40</v>
      </c>
    </row>
    <row r="439" spans="1:7" ht="15.75" thickBot="1" x14ac:dyDescent="0.3"/>
    <row r="440" spans="1:7" ht="21.75" thickBot="1" x14ac:dyDescent="0.4">
      <c r="A440" s="326" t="s">
        <v>372</v>
      </c>
      <c r="B440" s="327"/>
      <c r="C440" s="327"/>
      <c r="D440" s="327"/>
      <c r="E440" s="327"/>
      <c r="F440" s="327"/>
      <c r="G440" s="328"/>
    </row>
    <row r="441" spans="1:7" ht="19.5" thickBot="1" x14ac:dyDescent="0.35">
      <c r="A441" s="10" t="s">
        <v>0</v>
      </c>
      <c r="B441" s="11" t="s">
        <v>3</v>
      </c>
      <c r="C441" s="11" t="s">
        <v>24</v>
      </c>
      <c r="D441" s="11" t="s">
        <v>1</v>
      </c>
      <c r="E441" s="11" t="s">
        <v>26</v>
      </c>
      <c r="F441" s="11" t="s">
        <v>23</v>
      </c>
      <c r="G441" s="12" t="s">
        <v>27</v>
      </c>
    </row>
    <row r="442" spans="1:7" x14ac:dyDescent="0.25">
      <c r="A442" s="3">
        <v>1</v>
      </c>
      <c r="B442" s="67">
        <v>46039</v>
      </c>
      <c r="C442" s="329" t="s">
        <v>145</v>
      </c>
      <c r="D442" s="336" t="s">
        <v>946</v>
      </c>
      <c r="E442" s="1"/>
      <c r="F442" s="333" t="s">
        <v>947</v>
      </c>
      <c r="G442" s="3" t="s">
        <v>146</v>
      </c>
    </row>
    <row r="443" spans="1:7" x14ac:dyDescent="0.25">
      <c r="A443" s="3">
        <v>2</v>
      </c>
      <c r="B443" s="67">
        <v>46039</v>
      </c>
      <c r="C443" s="309"/>
      <c r="D443" s="337"/>
      <c r="E443" s="1"/>
      <c r="F443" s="334"/>
      <c r="G443" s="3" t="s">
        <v>146</v>
      </c>
    </row>
    <row r="444" spans="1:7" x14ac:dyDescent="0.25">
      <c r="A444" s="3">
        <v>3</v>
      </c>
      <c r="B444" s="67">
        <v>46039</v>
      </c>
      <c r="C444" s="309"/>
      <c r="D444" s="337"/>
      <c r="E444" s="1"/>
      <c r="F444" s="334"/>
      <c r="G444" s="3" t="s">
        <v>146</v>
      </c>
    </row>
    <row r="445" spans="1:7" x14ac:dyDescent="0.25">
      <c r="A445" s="3">
        <v>4</v>
      </c>
      <c r="B445" s="67">
        <v>46039</v>
      </c>
      <c r="C445" s="309"/>
      <c r="D445" s="337"/>
      <c r="E445" s="1"/>
      <c r="F445" s="334"/>
      <c r="G445" s="3" t="s">
        <v>146</v>
      </c>
    </row>
    <row r="446" spans="1:7" x14ac:dyDescent="0.25">
      <c r="A446" s="3">
        <v>5</v>
      </c>
      <c r="B446" s="67">
        <v>46039</v>
      </c>
      <c r="C446" s="310"/>
      <c r="D446" s="338"/>
      <c r="E446" s="1"/>
      <c r="F446" s="335"/>
      <c r="G446" s="3" t="s">
        <v>146</v>
      </c>
    </row>
    <row r="447" spans="1:7" x14ac:dyDescent="0.25">
      <c r="A447" s="339" t="s">
        <v>41</v>
      </c>
      <c r="B447" s="340"/>
      <c r="C447" s="340"/>
      <c r="D447" s="340"/>
      <c r="E447" s="341"/>
      <c r="F447" s="17">
        <f>440+270+300+1400</f>
        <v>2410</v>
      </c>
      <c r="G447" s="1"/>
    </row>
    <row r="448" spans="1:7" ht="15.75" thickBot="1" x14ac:dyDescent="0.3"/>
    <row r="449" spans="1:7" ht="15.75" thickBot="1" x14ac:dyDescent="0.3">
      <c r="A449" s="292" t="s">
        <v>39</v>
      </c>
      <c r="B449" s="293"/>
      <c r="C449" s="23"/>
      <c r="G449" s="14" t="s">
        <v>40</v>
      </c>
    </row>
    <row r="451" spans="1:7" ht="15.75" thickBot="1" x14ac:dyDescent="0.3"/>
    <row r="452" spans="1:7" ht="21.75" thickBot="1" x14ac:dyDescent="0.4">
      <c r="A452" s="326" t="s">
        <v>138</v>
      </c>
      <c r="B452" s="327"/>
      <c r="C452" s="327"/>
      <c r="D452" s="327"/>
      <c r="E452" s="327"/>
      <c r="F452" s="327"/>
      <c r="G452" s="328"/>
    </row>
    <row r="453" spans="1:7" ht="19.5" thickBot="1" x14ac:dyDescent="0.35">
      <c r="A453" s="10" t="s">
        <v>0</v>
      </c>
      <c r="B453" s="11" t="s">
        <v>3</v>
      </c>
      <c r="C453" s="11" t="s">
        <v>24</v>
      </c>
      <c r="D453" s="11" t="s">
        <v>1</v>
      </c>
      <c r="E453" s="11" t="s">
        <v>26</v>
      </c>
      <c r="F453" s="11" t="s">
        <v>23</v>
      </c>
      <c r="G453" s="12" t="s">
        <v>27</v>
      </c>
    </row>
    <row r="454" spans="1:7" x14ac:dyDescent="0.25">
      <c r="A454" s="3">
        <v>1</v>
      </c>
      <c r="B454" s="67">
        <v>46040</v>
      </c>
      <c r="C454" s="329" t="s">
        <v>145</v>
      </c>
      <c r="D454" s="336" t="s">
        <v>963</v>
      </c>
      <c r="E454" s="1"/>
      <c r="F454" s="333" t="s">
        <v>964</v>
      </c>
      <c r="G454" s="3" t="s">
        <v>146</v>
      </c>
    </row>
    <row r="455" spans="1:7" x14ac:dyDescent="0.25">
      <c r="A455" s="3">
        <v>2</v>
      </c>
      <c r="B455" s="67">
        <v>46040</v>
      </c>
      <c r="C455" s="309"/>
      <c r="D455" s="337"/>
      <c r="E455" s="1"/>
      <c r="F455" s="334"/>
      <c r="G455" s="3" t="s">
        <v>146</v>
      </c>
    </row>
    <row r="456" spans="1:7" x14ac:dyDescent="0.25">
      <c r="A456" s="3">
        <v>3</v>
      </c>
      <c r="B456" s="67">
        <v>46040</v>
      </c>
      <c r="C456" s="309"/>
      <c r="D456" s="337"/>
      <c r="E456" s="1"/>
      <c r="F456" s="334"/>
      <c r="G456" s="3" t="s">
        <v>146</v>
      </c>
    </row>
    <row r="457" spans="1:7" x14ac:dyDescent="0.25">
      <c r="A457" s="3">
        <v>4</v>
      </c>
      <c r="B457" s="67">
        <v>46040</v>
      </c>
      <c r="C457" s="309"/>
      <c r="D457" s="337"/>
      <c r="E457" s="1"/>
      <c r="F457" s="334"/>
      <c r="G457" s="3" t="s">
        <v>146</v>
      </c>
    </row>
    <row r="458" spans="1:7" x14ac:dyDescent="0.25">
      <c r="A458" s="3">
        <v>5</v>
      </c>
      <c r="B458" s="67">
        <v>46040</v>
      </c>
      <c r="C458" s="310"/>
      <c r="D458" s="338"/>
      <c r="E458" s="1"/>
      <c r="F458" s="335"/>
      <c r="G458" s="3" t="s">
        <v>146</v>
      </c>
    </row>
    <row r="459" spans="1:7" x14ac:dyDescent="0.25">
      <c r="A459" s="339" t="s">
        <v>41</v>
      </c>
      <c r="B459" s="340"/>
      <c r="C459" s="340"/>
      <c r="D459" s="340"/>
      <c r="E459" s="341"/>
      <c r="F459" s="17">
        <f>160+200+180</f>
        <v>540</v>
      </c>
      <c r="G459" s="1"/>
    </row>
    <row r="460" spans="1:7" ht="15.75" thickBot="1" x14ac:dyDescent="0.3"/>
    <row r="461" spans="1:7" ht="15.75" thickBot="1" x14ac:dyDescent="0.3">
      <c r="A461" s="292" t="s">
        <v>39</v>
      </c>
      <c r="B461" s="293"/>
      <c r="C461" s="23"/>
      <c r="G461" s="14" t="s">
        <v>40</v>
      </c>
    </row>
  </sheetData>
  <mergeCells count="242">
    <mergeCell ref="A418:G418"/>
    <mergeCell ref="C420:C424"/>
    <mergeCell ref="D420:D424"/>
    <mergeCell ref="F420:F424"/>
    <mergeCell ref="A425:E425"/>
    <mergeCell ref="A427:B427"/>
    <mergeCell ref="A407:G407"/>
    <mergeCell ref="C409:C413"/>
    <mergeCell ref="D409:D413"/>
    <mergeCell ref="F409:F413"/>
    <mergeCell ref="A414:E414"/>
    <mergeCell ref="A416:B416"/>
    <mergeCell ref="A33:E33"/>
    <mergeCell ref="A35:B35"/>
    <mergeCell ref="A37:G37"/>
    <mergeCell ref="A264:G264"/>
    <mergeCell ref="C266:C270"/>
    <mergeCell ref="D266:D270"/>
    <mergeCell ref="F266:F270"/>
    <mergeCell ref="A271:E271"/>
    <mergeCell ref="A273:B273"/>
    <mergeCell ref="A253:G253"/>
    <mergeCell ref="C255:C259"/>
    <mergeCell ref="D255:D259"/>
    <mergeCell ref="F255:F259"/>
    <mergeCell ref="A260:E260"/>
    <mergeCell ref="A262:B262"/>
    <mergeCell ref="A45:E45"/>
    <mergeCell ref="A47:B47"/>
    <mergeCell ref="F75:F80"/>
    <mergeCell ref="A61:G61"/>
    <mergeCell ref="C63:C68"/>
    <mergeCell ref="D63:D68"/>
    <mergeCell ref="F63:F68"/>
    <mergeCell ref="A73:G73"/>
    <mergeCell ref="C75:C80"/>
    <mergeCell ref="A1:G1"/>
    <mergeCell ref="D3:D8"/>
    <mergeCell ref="F3:F8"/>
    <mergeCell ref="A9:E9"/>
    <mergeCell ref="A11:B11"/>
    <mergeCell ref="A13:G13"/>
    <mergeCell ref="F39:F44"/>
    <mergeCell ref="A69:E69"/>
    <mergeCell ref="A71:B71"/>
    <mergeCell ref="A49:G49"/>
    <mergeCell ref="C51:C56"/>
    <mergeCell ref="D51:D56"/>
    <mergeCell ref="F51:F56"/>
    <mergeCell ref="C39:C44"/>
    <mergeCell ref="D39:D44"/>
    <mergeCell ref="D15:D20"/>
    <mergeCell ref="F15:F20"/>
    <mergeCell ref="A21:E21"/>
    <mergeCell ref="A23:B23"/>
    <mergeCell ref="A25:G25"/>
    <mergeCell ref="D27:D32"/>
    <mergeCell ref="F27:F32"/>
    <mergeCell ref="A57:E57"/>
    <mergeCell ref="A59:B59"/>
    <mergeCell ref="D75:D80"/>
    <mergeCell ref="A94:B94"/>
    <mergeCell ref="A98:G98"/>
    <mergeCell ref="C100:C104"/>
    <mergeCell ref="D100:D104"/>
    <mergeCell ref="F100:F104"/>
    <mergeCell ref="A81:E81"/>
    <mergeCell ref="A83:B83"/>
    <mergeCell ref="A85:G85"/>
    <mergeCell ref="C87:C91"/>
    <mergeCell ref="D87:D91"/>
    <mergeCell ref="F87:F91"/>
    <mergeCell ref="A92:E92"/>
    <mergeCell ref="A117:E117"/>
    <mergeCell ref="A119:B119"/>
    <mergeCell ref="A121:G121"/>
    <mergeCell ref="C123:C127"/>
    <mergeCell ref="D123:D127"/>
    <mergeCell ref="F123:F127"/>
    <mergeCell ref="A105:E105"/>
    <mergeCell ref="A107:B107"/>
    <mergeCell ref="A110:G110"/>
    <mergeCell ref="C112:C116"/>
    <mergeCell ref="D112:D116"/>
    <mergeCell ref="F112:F116"/>
    <mergeCell ref="A139:E139"/>
    <mergeCell ref="A141:B141"/>
    <mergeCell ref="A143:G143"/>
    <mergeCell ref="C145:C149"/>
    <mergeCell ref="D145:D149"/>
    <mergeCell ref="F145:F149"/>
    <mergeCell ref="A128:E128"/>
    <mergeCell ref="A130:B130"/>
    <mergeCell ref="A132:G132"/>
    <mergeCell ref="C134:C138"/>
    <mergeCell ref="D134:D138"/>
    <mergeCell ref="F134:F138"/>
    <mergeCell ref="A161:E161"/>
    <mergeCell ref="A163:B163"/>
    <mergeCell ref="A165:G165"/>
    <mergeCell ref="C167:C171"/>
    <mergeCell ref="D167:D171"/>
    <mergeCell ref="F167:F171"/>
    <mergeCell ref="A150:E150"/>
    <mergeCell ref="A152:B152"/>
    <mergeCell ref="A154:G154"/>
    <mergeCell ref="C156:C160"/>
    <mergeCell ref="D156:D160"/>
    <mergeCell ref="F156:F160"/>
    <mergeCell ref="A183:E183"/>
    <mergeCell ref="A185:B185"/>
    <mergeCell ref="A187:G187"/>
    <mergeCell ref="C189:C193"/>
    <mergeCell ref="D189:D193"/>
    <mergeCell ref="F189:F193"/>
    <mergeCell ref="A172:E172"/>
    <mergeCell ref="A174:B174"/>
    <mergeCell ref="A176:G176"/>
    <mergeCell ref="C178:C182"/>
    <mergeCell ref="D178:D182"/>
    <mergeCell ref="F178:F182"/>
    <mergeCell ref="A207:B207"/>
    <mergeCell ref="A209:G209"/>
    <mergeCell ref="C211:C215"/>
    <mergeCell ref="D211:D215"/>
    <mergeCell ref="F211:F215"/>
    <mergeCell ref="A216:E216"/>
    <mergeCell ref="A196:B196"/>
    <mergeCell ref="A198:G198"/>
    <mergeCell ref="C200:C204"/>
    <mergeCell ref="D200:D204"/>
    <mergeCell ref="F200:F204"/>
    <mergeCell ref="A205:E205"/>
    <mergeCell ref="A229:B229"/>
    <mergeCell ref="A231:G231"/>
    <mergeCell ref="C233:C237"/>
    <mergeCell ref="D233:D237"/>
    <mergeCell ref="F233:F237"/>
    <mergeCell ref="A238:E238"/>
    <mergeCell ref="A218:B218"/>
    <mergeCell ref="A220:G220"/>
    <mergeCell ref="C222:C226"/>
    <mergeCell ref="D222:D226"/>
    <mergeCell ref="F222:F226"/>
    <mergeCell ref="A227:E227"/>
    <mergeCell ref="A240:B240"/>
    <mergeCell ref="A242:G242"/>
    <mergeCell ref="C244:C248"/>
    <mergeCell ref="D244:D248"/>
    <mergeCell ref="F244:F248"/>
    <mergeCell ref="A249:E249"/>
    <mergeCell ref="A293:E293"/>
    <mergeCell ref="A295:B295"/>
    <mergeCell ref="A275:G275"/>
    <mergeCell ref="C277:C281"/>
    <mergeCell ref="D277:D281"/>
    <mergeCell ref="F277:F281"/>
    <mergeCell ref="A282:E282"/>
    <mergeCell ref="A284:B284"/>
    <mergeCell ref="A286:G286"/>
    <mergeCell ref="C288:C292"/>
    <mergeCell ref="D288:D292"/>
    <mergeCell ref="F288:F292"/>
    <mergeCell ref="A330:G330"/>
    <mergeCell ref="C332:C336"/>
    <mergeCell ref="A297:G297"/>
    <mergeCell ref="C299:C303"/>
    <mergeCell ref="D299:D303"/>
    <mergeCell ref="F299:F303"/>
    <mergeCell ref="A304:E304"/>
    <mergeCell ref="A306:B306"/>
    <mergeCell ref="A251:B251"/>
    <mergeCell ref="A326:E326"/>
    <mergeCell ref="A328:B328"/>
    <mergeCell ref="A308:G308"/>
    <mergeCell ref="C310:C314"/>
    <mergeCell ref="D310:D314"/>
    <mergeCell ref="F310:F314"/>
    <mergeCell ref="A315:E315"/>
    <mergeCell ref="A317:B317"/>
    <mergeCell ref="A319:G319"/>
    <mergeCell ref="C321:C325"/>
    <mergeCell ref="D321:D325"/>
    <mergeCell ref="F321:F325"/>
    <mergeCell ref="C398:C402"/>
    <mergeCell ref="D398:D402"/>
    <mergeCell ref="F398:F402"/>
    <mergeCell ref="D332:D336"/>
    <mergeCell ref="F332:F336"/>
    <mergeCell ref="A337:E337"/>
    <mergeCell ref="A339:B339"/>
    <mergeCell ref="A341:G341"/>
    <mergeCell ref="C343:C347"/>
    <mergeCell ref="D343:D347"/>
    <mergeCell ref="F343:F347"/>
    <mergeCell ref="A348:E348"/>
    <mergeCell ref="A363:G363"/>
    <mergeCell ref="C365:C369"/>
    <mergeCell ref="D365:D369"/>
    <mergeCell ref="F365:F369"/>
    <mergeCell ref="A352:G352"/>
    <mergeCell ref="C354:C358"/>
    <mergeCell ref="D354:D358"/>
    <mergeCell ref="F354:F358"/>
    <mergeCell ref="A359:E359"/>
    <mergeCell ref="A361:B361"/>
    <mergeCell ref="A429:G429"/>
    <mergeCell ref="C431:C435"/>
    <mergeCell ref="D431:D435"/>
    <mergeCell ref="F431:F435"/>
    <mergeCell ref="A436:E436"/>
    <mergeCell ref="A438:B438"/>
    <mergeCell ref="A350:B350"/>
    <mergeCell ref="A403:E403"/>
    <mergeCell ref="A405:B405"/>
    <mergeCell ref="A385:G385"/>
    <mergeCell ref="C387:C391"/>
    <mergeCell ref="D387:D391"/>
    <mergeCell ref="F387:F391"/>
    <mergeCell ref="A392:E392"/>
    <mergeCell ref="A394:B394"/>
    <mergeCell ref="A370:E370"/>
    <mergeCell ref="A372:B372"/>
    <mergeCell ref="A374:G374"/>
    <mergeCell ref="C376:C380"/>
    <mergeCell ref="D376:D380"/>
    <mergeCell ref="F376:F380"/>
    <mergeCell ref="A381:E381"/>
    <mergeCell ref="A383:B383"/>
    <mergeCell ref="A396:G396"/>
    <mergeCell ref="A452:G452"/>
    <mergeCell ref="C454:C458"/>
    <mergeCell ref="D454:D458"/>
    <mergeCell ref="F454:F458"/>
    <mergeCell ref="A459:E459"/>
    <mergeCell ref="A461:B461"/>
    <mergeCell ref="A440:G440"/>
    <mergeCell ref="C442:C446"/>
    <mergeCell ref="D442:D446"/>
    <mergeCell ref="F442:F446"/>
    <mergeCell ref="A447:E447"/>
    <mergeCell ref="A449:B449"/>
  </mergeCells>
  <pageMargins left="0.70866141732283472" right="0.70866141732283472" top="0.74803149606299213" bottom="0.74803149606299213" header="0.31496062992125984" footer="0.31496062992125984"/>
  <pageSetup scale="97" orientation="landscape" horizontalDpi="4294967295" verticalDpi="4294967295" r:id="rId1"/>
  <rowBreaks count="7" manualBreakCount="7">
    <brk id="47" max="16383" man="1"/>
    <brk id="94" max="16383" man="1"/>
    <brk id="141" max="16383" man="1"/>
    <brk id="185" max="16383" man="1"/>
    <brk id="229" max="16383" man="1"/>
    <brk id="284" max="6" man="1"/>
    <brk id="317" max="6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64"/>
  <sheetViews>
    <sheetView topLeftCell="A139" zoomScaleNormal="100" workbookViewId="0">
      <selection activeCell="G156" sqref="G156"/>
    </sheetView>
  </sheetViews>
  <sheetFormatPr defaultRowHeight="15" x14ac:dyDescent="0.25"/>
  <cols>
    <col min="1" max="1" width="7.5703125" bestFit="1" customWidth="1"/>
    <col min="2" max="2" width="25.5703125" bestFit="1" customWidth="1"/>
    <col min="3" max="3" width="11.28515625" bestFit="1" customWidth="1"/>
    <col min="4" max="4" width="27.28515625" bestFit="1" customWidth="1"/>
    <col min="5" max="5" width="15.5703125" bestFit="1" customWidth="1"/>
    <col min="6" max="6" width="33.7109375" bestFit="1" customWidth="1"/>
    <col min="7" max="7" width="24.5703125" bestFit="1" customWidth="1"/>
    <col min="8" max="8" width="22.85546875" bestFit="1" customWidth="1"/>
    <col min="9" max="9" width="28.28515625" bestFit="1" customWidth="1"/>
    <col min="10" max="10" width="12.28515625" bestFit="1" customWidth="1"/>
    <col min="11" max="11" width="12.7109375" customWidth="1"/>
    <col min="12" max="12" width="15.5703125" bestFit="1" customWidth="1"/>
    <col min="13" max="13" width="33.7109375" bestFit="1" customWidth="1"/>
  </cols>
  <sheetData>
    <row r="1" spans="1:8" ht="21" x14ac:dyDescent="0.35">
      <c r="A1" s="288" t="s">
        <v>929</v>
      </c>
      <c r="B1" s="288"/>
      <c r="C1" s="288"/>
      <c r="D1" s="288"/>
      <c r="E1" s="288"/>
      <c r="F1" s="363"/>
    </row>
    <row r="2" spans="1:8" ht="21" x14ac:dyDescent="0.35">
      <c r="A2" s="90" t="s">
        <v>0</v>
      </c>
      <c r="B2" s="90" t="s">
        <v>3</v>
      </c>
      <c r="C2" s="90" t="s">
        <v>24</v>
      </c>
      <c r="D2" s="90" t="s">
        <v>8</v>
      </c>
      <c r="E2" s="90" t="s">
        <v>106</v>
      </c>
      <c r="F2" s="90" t="s">
        <v>455</v>
      </c>
      <c r="G2" s="186" t="s">
        <v>928</v>
      </c>
      <c r="H2" s="186" t="s">
        <v>681</v>
      </c>
    </row>
    <row r="3" spans="1:8" x14ac:dyDescent="0.25">
      <c r="A3" s="1">
        <v>1</v>
      </c>
      <c r="B3" s="66" t="s">
        <v>454</v>
      </c>
      <c r="C3" s="308" t="s">
        <v>457</v>
      </c>
      <c r="D3" s="5">
        <f>'Daniyal Meal Data '!F9+'Daniyal Meal Data '!F21+'Daniyal Meal Data '!F33+'Daniyal Meal Data '!F45+'Daniyal Meal Data '!F57+'Daniyal Meal Data '!F69+'Daniyal Meal Data '!F81+'Daniyal Meal Data '!F92+'Daniyal Meal Data '!F105+'Daniyal Meal Data '!F117+'Daniyal Meal Data '!F128+'Daniyal Meal Data '!F139+'Daniyal Meal Data '!F150+'Daniyal Meal Data '!F161+'Daniyal Meal Data '!F172+'Daniyal Meal Data '!F183+'Daniyal Meal Data '!F194+'Daniyal Meal Data '!F205+'Daniyal Meal Data '!F216+'Daniyal Meal Data '!F227+'Daniyal Meal Data '!F238+'Daniyal Meal Data '!F249</f>
        <v>28659</v>
      </c>
      <c r="E3" s="1"/>
      <c r="F3" s="1"/>
      <c r="G3" s="347">
        <v>30000</v>
      </c>
      <c r="H3" s="350">
        <f>G3-D7</f>
        <v>1341</v>
      </c>
    </row>
    <row r="4" spans="1:8" x14ac:dyDescent="0.25">
      <c r="A4" s="1">
        <v>2</v>
      </c>
      <c r="B4" s="66" t="s">
        <v>454</v>
      </c>
      <c r="C4" s="309"/>
      <c r="D4" s="5"/>
      <c r="E4" s="1"/>
      <c r="F4" s="1"/>
      <c r="G4" s="347"/>
      <c r="H4" s="314"/>
    </row>
    <row r="5" spans="1:8" x14ac:dyDescent="0.25">
      <c r="A5" s="1">
        <v>3</v>
      </c>
      <c r="B5" s="66" t="s">
        <v>454</v>
      </c>
      <c r="C5" s="309"/>
      <c r="D5" s="5"/>
      <c r="E5" s="1"/>
      <c r="F5" s="1"/>
      <c r="G5" s="347"/>
      <c r="H5" s="314"/>
    </row>
    <row r="6" spans="1:8" x14ac:dyDescent="0.25">
      <c r="A6" s="1">
        <v>4</v>
      </c>
      <c r="B6" s="66" t="s">
        <v>454</v>
      </c>
      <c r="C6" s="310"/>
      <c r="D6" s="5"/>
      <c r="E6" s="1"/>
      <c r="F6" s="1"/>
      <c r="G6" s="347"/>
      <c r="H6" s="314"/>
    </row>
    <row r="7" spans="1:8" ht="21" x14ac:dyDescent="0.35">
      <c r="A7" s="314" t="s">
        <v>456</v>
      </c>
      <c r="B7" s="314"/>
      <c r="C7" s="314"/>
      <c r="D7" s="91">
        <f>SUM(D3:D6)</f>
        <v>28659</v>
      </c>
      <c r="G7" s="53"/>
    </row>
    <row r="9" spans="1:8" ht="21" x14ac:dyDescent="0.35">
      <c r="A9" s="288" t="s">
        <v>449</v>
      </c>
      <c r="B9" s="288"/>
      <c r="C9" s="288"/>
      <c r="D9" s="288"/>
      <c r="E9" s="288"/>
      <c r="F9" s="288"/>
    </row>
    <row r="10" spans="1:8" ht="15.75" x14ac:dyDescent="0.25">
      <c r="A10" s="90" t="s">
        <v>0</v>
      </c>
      <c r="B10" s="90" t="s">
        <v>3</v>
      </c>
      <c r="C10" s="90" t="s">
        <v>24</v>
      </c>
      <c r="D10" s="90" t="s">
        <v>8</v>
      </c>
      <c r="E10" s="90" t="s">
        <v>106</v>
      </c>
      <c r="F10" s="90" t="s">
        <v>455</v>
      </c>
    </row>
    <row r="11" spans="1:8" x14ac:dyDescent="0.25">
      <c r="A11" s="1">
        <v>1</v>
      </c>
      <c r="B11" s="66" t="s">
        <v>500</v>
      </c>
      <c r="C11" s="308" t="s">
        <v>457</v>
      </c>
      <c r="D11" s="355">
        <f>2340+3170</f>
        <v>5510</v>
      </c>
      <c r="E11" s="1"/>
      <c r="F11" s="1"/>
    </row>
    <row r="12" spans="1:8" x14ac:dyDescent="0.25">
      <c r="A12" s="1">
        <v>2</v>
      </c>
      <c r="B12" s="66" t="s">
        <v>500</v>
      </c>
      <c r="C12" s="309"/>
      <c r="D12" s="356"/>
      <c r="E12" s="1"/>
      <c r="F12" s="1"/>
    </row>
    <row r="13" spans="1:8" x14ac:dyDescent="0.25">
      <c r="A13" s="1">
        <v>3</v>
      </c>
      <c r="B13" s="66" t="s">
        <v>500</v>
      </c>
      <c r="C13" s="309"/>
      <c r="D13" s="356"/>
      <c r="E13" s="1"/>
      <c r="F13" s="1"/>
    </row>
    <row r="14" spans="1:8" x14ac:dyDescent="0.25">
      <c r="A14" s="1">
        <v>4</v>
      </c>
      <c r="B14" s="66" t="s">
        <v>500</v>
      </c>
      <c r="C14" s="310"/>
      <c r="D14" s="357"/>
      <c r="E14" s="1"/>
      <c r="F14" s="1"/>
    </row>
    <row r="15" spans="1:8" ht="21" x14ac:dyDescent="0.35">
      <c r="A15" s="314" t="s">
        <v>456</v>
      </c>
      <c r="B15" s="314"/>
      <c r="C15" s="314"/>
      <c r="D15" s="91">
        <f>SUM(D11:D14)</f>
        <v>5510</v>
      </c>
    </row>
    <row r="17" spans="1:6" ht="21" x14ac:dyDescent="0.35">
      <c r="A17" s="288" t="s">
        <v>449</v>
      </c>
      <c r="B17" s="288"/>
      <c r="C17" s="288"/>
      <c r="D17" s="288"/>
      <c r="E17" s="288"/>
      <c r="F17" s="288"/>
    </row>
    <row r="18" spans="1:6" ht="15.75" x14ac:dyDescent="0.25">
      <c r="A18" s="90" t="s">
        <v>0</v>
      </c>
      <c r="B18" s="90" t="s">
        <v>3</v>
      </c>
      <c r="C18" s="90" t="s">
        <v>24</v>
      </c>
      <c r="D18" s="90" t="s">
        <v>8</v>
      </c>
      <c r="E18" s="90" t="s">
        <v>106</v>
      </c>
      <c r="F18" s="90" t="s">
        <v>455</v>
      </c>
    </row>
    <row r="19" spans="1:6" x14ac:dyDescent="0.25">
      <c r="A19" s="1">
        <v>1</v>
      </c>
      <c r="B19" s="66" t="s">
        <v>535</v>
      </c>
      <c r="C19" s="308" t="s">
        <v>457</v>
      </c>
      <c r="D19" s="355" t="s">
        <v>536</v>
      </c>
      <c r="E19" s="1"/>
      <c r="F19" s="1"/>
    </row>
    <row r="20" spans="1:6" x14ac:dyDescent="0.25">
      <c r="A20" s="1">
        <v>2</v>
      </c>
      <c r="B20" s="66" t="s">
        <v>535</v>
      </c>
      <c r="C20" s="309"/>
      <c r="D20" s="356"/>
      <c r="E20" s="1"/>
      <c r="F20" s="1"/>
    </row>
    <row r="21" spans="1:6" x14ac:dyDescent="0.25">
      <c r="A21" s="1">
        <v>3</v>
      </c>
      <c r="B21" s="66" t="s">
        <v>535</v>
      </c>
      <c r="C21" s="309"/>
      <c r="D21" s="356"/>
      <c r="E21" s="1"/>
      <c r="F21" s="1"/>
    </row>
    <row r="22" spans="1:6" x14ac:dyDescent="0.25">
      <c r="A22" s="1">
        <v>4</v>
      </c>
      <c r="B22" s="66" t="s">
        <v>535</v>
      </c>
      <c r="C22" s="310"/>
      <c r="D22" s="357"/>
      <c r="E22" s="1"/>
      <c r="F22" s="1"/>
    </row>
    <row r="23" spans="1:6" ht="21" x14ac:dyDescent="0.35">
      <c r="A23" s="314" t="s">
        <v>456</v>
      </c>
      <c r="B23" s="314"/>
      <c r="C23" s="314"/>
      <c r="D23" s="91">
        <f>1230+570+495</f>
        <v>2295</v>
      </c>
    </row>
    <row r="25" spans="1:6" ht="21" x14ac:dyDescent="0.35">
      <c r="A25" s="288" t="s">
        <v>449</v>
      </c>
      <c r="B25" s="288"/>
      <c r="C25" s="288"/>
      <c r="D25" s="288"/>
      <c r="E25" s="288"/>
      <c r="F25" s="288"/>
    </row>
    <row r="26" spans="1:6" ht="15.75" x14ac:dyDescent="0.25">
      <c r="A26" s="90" t="s">
        <v>0</v>
      </c>
      <c r="B26" s="90" t="s">
        <v>3</v>
      </c>
      <c r="C26" s="90" t="s">
        <v>24</v>
      </c>
      <c r="D26" s="109" t="s">
        <v>8</v>
      </c>
      <c r="E26" s="90" t="s">
        <v>106</v>
      </c>
      <c r="F26" s="90" t="s">
        <v>455</v>
      </c>
    </row>
    <row r="27" spans="1:6" x14ac:dyDescent="0.25">
      <c r="A27" s="1">
        <v>1</v>
      </c>
      <c r="B27" s="66">
        <v>46027</v>
      </c>
      <c r="C27" s="308" t="s">
        <v>457</v>
      </c>
      <c r="D27" s="351" t="s">
        <v>577</v>
      </c>
      <c r="E27" s="1"/>
      <c r="F27" s="1"/>
    </row>
    <row r="28" spans="1:6" x14ac:dyDescent="0.25">
      <c r="A28" s="1">
        <v>2</v>
      </c>
      <c r="B28" s="66">
        <v>46027</v>
      </c>
      <c r="C28" s="309"/>
      <c r="D28" s="351"/>
      <c r="E28" s="1"/>
      <c r="F28" s="1"/>
    </row>
    <row r="29" spans="1:6" x14ac:dyDescent="0.25">
      <c r="A29" s="1">
        <v>3</v>
      </c>
      <c r="B29" s="66">
        <v>46027</v>
      </c>
      <c r="C29" s="309"/>
      <c r="D29" s="351"/>
      <c r="E29" s="1"/>
      <c r="F29" s="1"/>
    </row>
    <row r="30" spans="1:6" x14ac:dyDescent="0.25">
      <c r="A30" s="1">
        <v>4</v>
      </c>
      <c r="B30" s="66">
        <v>46027</v>
      </c>
      <c r="C30" s="310"/>
      <c r="D30" s="351"/>
      <c r="E30" s="1"/>
      <c r="F30" s="1"/>
    </row>
    <row r="31" spans="1:6" ht="21" x14ac:dyDescent="0.35">
      <c r="A31" s="352" t="s">
        <v>456</v>
      </c>
      <c r="B31" s="353"/>
      <c r="C31" s="354"/>
      <c r="D31" s="110">
        <f>880+540+525+60</f>
        <v>2005</v>
      </c>
    </row>
    <row r="33" spans="1:6" ht="21" x14ac:dyDescent="0.35">
      <c r="A33" s="288" t="s">
        <v>449</v>
      </c>
      <c r="B33" s="288"/>
      <c r="C33" s="288"/>
      <c r="D33" s="288"/>
      <c r="E33" s="288"/>
      <c r="F33" s="288"/>
    </row>
    <row r="34" spans="1:6" ht="16.5" thickBot="1" x14ac:dyDescent="0.3">
      <c r="A34" s="90" t="s">
        <v>0</v>
      </c>
      <c r="B34" s="90" t="s">
        <v>3</v>
      </c>
      <c r="C34" s="90" t="s">
        <v>24</v>
      </c>
      <c r="D34" s="109" t="s">
        <v>8</v>
      </c>
      <c r="E34" s="90" t="s">
        <v>106</v>
      </c>
      <c r="F34" s="90" t="s">
        <v>455</v>
      </c>
    </row>
    <row r="35" spans="1:6" ht="15" customHeight="1" x14ac:dyDescent="0.25">
      <c r="A35" s="1">
        <v>1</v>
      </c>
      <c r="B35" s="66">
        <v>46027</v>
      </c>
      <c r="C35" s="308" t="s">
        <v>62</v>
      </c>
      <c r="D35" s="333" t="s">
        <v>585</v>
      </c>
      <c r="E35" s="1"/>
      <c r="F35" s="1"/>
    </row>
    <row r="36" spans="1:6" x14ac:dyDescent="0.25">
      <c r="A36" s="1">
        <v>2</v>
      </c>
      <c r="B36" s="66">
        <v>46027</v>
      </c>
      <c r="C36" s="309"/>
      <c r="D36" s="334"/>
      <c r="E36" s="1"/>
      <c r="F36" s="1"/>
    </row>
    <row r="37" spans="1:6" x14ac:dyDescent="0.25">
      <c r="A37" s="1">
        <v>3</v>
      </c>
      <c r="B37" s="66">
        <v>46027</v>
      </c>
      <c r="C37" s="309"/>
      <c r="D37" s="334"/>
      <c r="E37" s="1"/>
      <c r="F37" s="1"/>
    </row>
    <row r="38" spans="1:6" x14ac:dyDescent="0.25">
      <c r="A38" s="7">
        <v>4</v>
      </c>
      <c r="B38" s="111">
        <v>46027</v>
      </c>
      <c r="C38" s="309"/>
      <c r="D38" s="334"/>
      <c r="E38" s="1"/>
      <c r="F38" s="1"/>
    </row>
    <row r="39" spans="1:6" ht="21" x14ac:dyDescent="0.35">
      <c r="A39" s="314" t="s">
        <v>456</v>
      </c>
      <c r="B39" s="314"/>
      <c r="C39" s="314"/>
      <c r="D39" s="112">
        <f>360+200+90+30+165+810</f>
        <v>1655</v>
      </c>
    </row>
    <row r="40" spans="1:6" ht="21" x14ac:dyDescent="0.35">
      <c r="A40" s="116"/>
      <c r="B40" s="116"/>
      <c r="C40" s="116"/>
      <c r="D40" s="117"/>
    </row>
    <row r="41" spans="1:6" ht="21" x14ac:dyDescent="0.35">
      <c r="A41" s="288" t="s">
        <v>449</v>
      </c>
      <c r="B41" s="288"/>
      <c r="C41" s="288"/>
      <c r="D41" s="288"/>
      <c r="E41" s="288"/>
      <c r="F41" s="288"/>
    </row>
    <row r="42" spans="1:6" ht="16.5" thickBot="1" x14ac:dyDescent="0.3">
      <c r="A42" s="90" t="s">
        <v>0</v>
      </c>
      <c r="B42" s="90" t="s">
        <v>3</v>
      </c>
      <c r="C42" s="90" t="s">
        <v>24</v>
      </c>
      <c r="D42" s="109" t="s">
        <v>8</v>
      </c>
      <c r="E42" s="90" t="s">
        <v>106</v>
      </c>
      <c r="F42" s="90" t="s">
        <v>455</v>
      </c>
    </row>
    <row r="43" spans="1:6" x14ac:dyDescent="0.25">
      <c r="A43" s="1">
        <v>1</v>
      </c>
      <c r="B43" s="66">
        <v>46028</v>
      </c>
      <c r="C43" s="308" t="s">
        <v>62</v>
      </c>
      <c r="D43" s="333" t="s">
        <v>585</v>
      </c>
      <c r="E43" s="1"/>
      <c r="F43" s="1"/>
    </row>
    <row r="44" spans="1:6" x14ac:dyDescent="0.25">
      <c r="A44" s="1">
        <v>2</v>
      </c>
      <c r="B44" s="66">
        <v>46028</v>
      </c>
      <c r="C44" s="309"/>
      <c r="D44" s="334"/>
      <c r="E44" s="1"/>
      <c r="F44" s="1"/>
    </row>
    <row r="45" spans="1:6" x14ac:dyDescent="0.25">
      <c r="A45" s="1">
        <v>3</v>
      </c>
      <c r="B45" s="66">
        <v>46028</v>
      </c>
      <c r="C45" s="309"/>
      <c r="D45" s="334"/>
      <c r="E45" s="1"/>
      <c r="F45" s="1"/>
    </row>
    <row r="46" spans="1:6" x14ac:dyDescent="0.25">
      <c r="A46" s="7">
        <v>4</v>
      </c>
      <c r="B46" s="66">
        <v>46028</v>
      </c>
      <c r="C46" s="309"/>
      <c r="D46" s="334"/>
      <c r="E46" s="1"/>
      <c r="F46" s="1"/>
    </row>
    <row r="47" spans="1:6" ht="21" x14ac:dyDescent="0.35">
      <c r="A47" s="314" t="s">
        <v>456</v>
      </c>
      <c r="B47" s="314"/>
      <c r="C47" s="314"/>
      <c r="D47" s="112">
        <f>360+200+90+30+165+810</f>
        <v>1655</v>
      </c>
    </row>
    <row r="49" spans="1:6" ht="21" x14ac:dyDescent="0.35">
      <c r="A49" s="288" t="s">
        <v>449</v>
      </c>
      <c r="B49" s="288"/>
      <c r="C49" s="288"/>
      <c r="D49" s="288"/>
      <c r="E49" s="288"/>
      <c r="F49" s="288"/>
    </row>
    <row r="50" spans="1:6" ht="16.5" thickBot="1" x14ac:dyDescent="0.3">
      <c r="A50" s="90" t="s">
        <v>0</v>
      </c>
      <c r="B50" s="90" t="s">
        <v>3</v>
      </c>
      <c r="C50" s="90" t="s">
        <v>24</v>
      </c>
      <c r="D50" s="109" t="s">
        <v>8</v>
      </c>
      <c r="E50" s="90" t="s">
        <v>106</v>
      </c>
      <c r="F50" s="90" t="s">
        <v>455</v>
      </c>
    </row>
    <row r="51" spans="1:6" x14ac:dyDescent="0.25">
      <c r="A51" s="1">
        <v>1</v>
      </c>
      <c r="B51" s="66">
        <v>46029</v>
      </c>
      <c r="C51" s="308" t="s">
        <v>62</v>
      </c>
      <c r="D51" s="333" t="s">
        <v>594</v>
      </c>
      <c r="E51" s="1"/>
      <c r="F51" s="1"/>
    </row>
    <row r="52" spans="1:6" x14ac:dyDescent="0.25">
      <c r="A52" s="1">
        <v>2</v>
      </c>
      <c r="B52" s="66">
        <v>46029</v>
      </c>
      <c r="C52" s="309"/>
      <c r="D52" s="334"/>
      <c r="E52" s="1"/>
      <c r="F52" s="1"/>
    </row>
    <row r="53" spans="1:6" x14ac:dyDescent="0.25">
      <c r="A53" s="1">
        <v>3</v>
      </c>
      <c r="B53" s="66">
        <v>46029</v>
      </c>
      <c r="C53" s="309"/>
      <c r="D53" s="334"/>
      <c r="E53" s="1"/>
      <c r="F53" s="1"/>
    </row>
    <row r="54" spans="1:6" x14ac:dyDescent="0.25">
      <c r="A54" s="7">
        <v>4</v>
      </c>
      <c r="B54" s="66">
        <v>46029</v>
      </c>
      <c r="C54" s="309"/>
      <c r="D54" s="334"/>
      <c r="E54" s="1"/>
      <c r="F54" s="1"/>
    </row>
    <row r="55" spans="1:6" ht="21" x14ac:dyDescent="0.35">
      <c r="A55" s="314" t="s">
        <v>456</v>
      </c>
      <c r="B55" s="314"/>
      <c r="C55" s="314"/>
      <c r="D55" s="112">
        <f>640+225+90+440+150+320</f>
        <v>1865</v>
      </c>
    </row>
    <row r="57" spans="1:6" ht="21" x14ac:dyDescent="0.35">
      <c r="A57" s="288" t="s">
        <v>449</v>
      </c>
      <c r="B57" s="288"/>
      <c r="C57" s="288"/>
      <c r="D57" s="288"/>
      <c r="E57" s="288"/>
      <c r="F57" s="288"/>
    </row>
    <row r="58" spans="1:6" ht="16.5" thickBot="1" x14ac:dyDescent="0.3">
      <c r="A58" s="90" t="s">
        <v>0</v>
      </c>
      <c r="B58" s="90" t="s">
        <v>3</v>
      </c>
      <c r="C58" s="90" t="s">
        <v>24</v>
      </c>
      <c r="D58" s="109" t="s">
        <v>8</v>
      </c>
      <c r="E58" s="90" t="s">
        <v>106</v>
      </c>
      <c r="F58" s="90" t="s">
        <v>455</v>
      </c>
    </row>
    <row r="59" spans="1:6" x14ac:dyDescent="0.25">
      <c r="A59" s="1">
        <v>1</v>
      </c>
      <c r="B59" s="66">
        <v>46030</v>
      </c>
      <c r="C59" s="308" t="s">
        <v>62</v>
      </c>
      <c r="D59" s="333" t="s">
        <v>633</v>
      </c>
      <c r="E59" s="1"/>
      <c r="F59" s="1"/>
    </row>
    <row r="60" spans="1:6" x14ac:dyDescent="0.25">
      <c r="A60" s="1">
        <v>2</v>
      </c>
      <c r="B60" s="66">
        <v>46030</v>
      </c>
      <c r="C60" s="309"/>
      <c r="D60" s="334"/>
      <c r="E60" s="1"/>
      <c r="F60" s="1"/>
    </row>
    <row r="61" spans="1:6" x14ac:dyDescent="0.25">
      <c r="A61" s="1">
        <v>3</v>
      </c>
      <c r="B61" s="66">
        <v>46030</v>
      </c>
      <c r="C61" s="309"/>
      <c r="D61" s="334"/>
      <c r="E61" s="1"/>
      <c r="F61" s="1"/>
    </row>
    <row r="62" spans="1:6" x14ac:dyDescent="0.25">
      <c r="A62" s="7">
        <v>4</v>
      </c>
      <c r="B62" s="66">
        <v>46030</v>
      </c>
      <c r="C62" s="309"/>
      <c r="D62" s="334"/>
      <c r="E62" s="1"/>
      <c r="F62" s="1"/>
    </row>
    <row r="63" spans="1:6" ht="21.75" thickBot="1" x14ac:dyDescent="0.4">
      <c r="A63" s="314" t="s">
        <v>456</v>
      </c>
      <c r="B63" s="314"/>
      <c r="C63" s="314"/>
      <c r="D63" s="112">
        <f>360+440+270+60+660+240+180</f>
        <v>2210</v>
      </c>
    </row>
    <row r="64" spans="1:6" ht="15.75" thickBot="1" x14ac:dyDescent="0.3">
      <c r="A64" s="119" t="s">
        <v>630</v>
      </c>
      <c r="B64" s="120"/>
      <c r="F64" s="14" t="s">
        <v>631</v>
      </c>
    </row>
    <row r="66" spans="1:6" ht="21" x14ac:dyDescent="0.35">
      <c r="A66" s="288" t="s">
        <v>449</v>
      </c>
      <c r="B66" s="288"/>
      <c r="C66" s="288"/>
      <c r="D66" s="288"/>
      <c r="E66" s="288"/>
      <c r="F66" s="288"/>
    </row>
    <row r="67" spans="1:6" ht="16.5" thickBot="1" x14ac:dyDescent="0.3">
      <c r="A67" s="90" t="s">
        <v>0</v>
      </c>
      <c r="B67" s="90" t="s">
        <v>3</v>
      </c>
      <c r="C67" s="90" t="s">
        <v>24</v>
      </c>
      <c r="D67" s="109" t="s">
        <v>8</v>
      </c>
      <c r="E67" s="90" t="s">
        <v>106</v>
      </c>
      <c r="F67" s="90" t="s">
        <v>455</v>
      </c>
    </row>
    <row r="68" spans="1:6" ht="15" customHeight="1" x14ac:dyDescent="0.25">
      <c r="A68" s="1">
        <v>1</v>
      </c>
      <c r="B68" s="66">
        <v>46031</v>
      </c>
      <c r="C68" s="308" t="s">
        <v>62</v>
      </c>
      <c r="D68" s="333" t="s">
        <v>648</v>
      </c>
      <c r="E68" s="1"/>
      <c r="F68" s="1"/>
    </row>
    <row r="69" spans="1:6" x14ac:dyDescent="0.25">
      <c r="A69" s="1">
        <v>2</v>
      </c>
      <c r="B69" s="66">
        <v>46031</v>
      </c>
      <c r="C69" s="309"/>
      <c r="D69" s="334"/>
      <c r="E69" s="1"/>
      <c r="F69" s="1"/>
    </row>
    <row r="70" spans="1:6" x14ac:dyDescent="0.25">
      <c r="A70" s="1">
        <v>3</v>
      </c>
      <c r="B70" s="66">
        <v>46031</v>
      </c>
      <c r="C70" s="309"/>
      <c r="D70" s="334"/>
      <c r="E70" s="1"/>
      <c r="F70" s="1"/>
    </row>
    <row r="71" spans="1:6" x14ac:dyDescent="0.25">
      <c r="A71" s="7">
        <v>4</v>
      </c>
      <c r="B71" s="66">
        <v>46031</v>
      </c>
      <c r="C71" s="309"/>
      <c r="D71" s="334"/>
      <c r="E71" s="1"/>
      <c r="F71" s="1"/>
    </row>
    <row r="72" spans="1:6" ht="21.75" thickBot="1" x14ac:dyDescent="0.4">
      <c r="A72" s="314" t="s">
        <v>456</v>
      </c>
      <c r="B72" s="314"/>
      <c r="C72" s="314"/>
      <c r="D72" s="121">
        <f>960+60+100+240+1100+440+80</f>
        <v>2980</v>
      </c>
    </row>
    <row r="73" spans="1:6" ht="15.75" thickBot="1" x14ac:dyDescent="0.3">
      <c r="A73" s="119" t="s">
        <v>630</v>
      </c>
      <c r="B73" s="120"/>
      <c r="F73" s="14" t="s">
        <v>631</v>
      </c>
    </row>
    <row r="75" spans="1:6" ht="21" x14ac:dyDescent="0.35">
      <c r="A75" s="288" t="s">
        <v>449</v>
      </c>
      <c r="B75" s="288"/>
      <c r="C75" s="288"/>
      <c r="D75" s="288"/>
      <c r="E75" s="288"/>
      <c r="F75" s="288"/>
    </row>
    <row r="76" spans="1:6" ht="16.5" thickBot="1" x14ac:dyDescent="0.3">
      <c r="A76" s="90" t="s">
        <v>0</v>
      </c>
      <c r="B76" s="90" t="s">
        <v>3</v>
      </c>
      <c r="C76" s="90" t="s">
        <v>24</v>
      </c>
      <c r="D76" s="109" t="s">
        <v>8</v>
      </c>
      <c r="E76" s="90" t="s">
        <v>106</v>
      </c>
      <c r="F76" s="90" t="s">
        <v>455</v>
      </c>
    </row>
    <row r="77" spans="1:6" ht="15" customHeight="1" x14ac:dyDescent="0.25">
      <c r="A77" s="1">
        <v>1</v>
      </c>
      <c r="B77" s="66">
        <v>46032</v>
      </c>
      <c r="C77" s="308" t="s">
        <v>62</v>
      </c>
      <c r="D77" s="333" t="s">
        <v>664</v>
      </c>
      <c r="E77" s="1"/>
      <c r="F77" s="1"/>
    </row>
    <row r="78" spans="1:6" x14ac:dyDescent="0.25">
      <c r="A78" s="1">
        <v>2</v>
      </c>
      <c r="B78" s="66">
        <v>46032</v>
      </c>
      <c r="C78" s="309"/>
      <c r="D78" s="334"/>
      <c r="E78" s="1"/>
      <c r="F78" s="1"/>
    </row>
    <row r="79" spans="1:6" x14ac:dyDescent="0.25">
      <c r="A79" s="1">
        <v>3</v>
      </c>
      <c r="B79" s="66">
        <v>46032</v>
      </c>
      <c r="C79" s="309"/>
      <c r="D79" s="334"/>
      <c r="E79" s="1"/>
      <c r="F79" s="1"/>
    </row>
    <row r="80" spans="1:6" x14ac:dyDescent="0.25">
      <c r="A80" s="7">
        <v>4</v>
      </c>
      <c r="B80" s="66">
        <v>46032</v>
      </c>
      <c r="C80" s="309"/>
      <c r="D80" s="334"/>
      <c r="E80" s="1"/>
      <c r="F80" s="1"/>
    </row>
    <row r="81" spans="1:6" ht="21.75" thickBot="1" x14ac:dyDescent="0.4">
      <c r="A81" s="314" t="s">
        <v>456</v>
      </c>
      <c r="B81" s="314"/>
      <c r="C81" s="314"/>
      <c r="D81" s="112">
        <f>90+660+180+100+850+900+90+80</f>
        <v>2950</v>
      </c>
    </row>
    <row r="82" spans="1:6" ht="15.75" thickBot="1" x14ac:dyDescent="0.3">
      <c r="A82" s="119" t="s">
        <v>630</v>
      </c>
      <c r="B82" s="120"/>
      <c r="F82" s="14" t="s">
        <v>631</v>
      </c>
    </row>
    <row r="84" spans="1:6" ht="21" x14ac:dyDescent="0.35">
      <c r="A84" s="288" t="s">
        <v>449</v>
      </c>
      <c r="B84" s="288"/>
      <c r="C84" s="288"/>
      <c r="D84" s="288"/>
      <c r="E84" s="288"/>
      <c r="F84" s="288"/>
    </row>
    <row r="85" spans="1:6" ht="16.5" thickBot="1" x14ac:dyDescent="0.3">
      <c r="A85" s="90" t="s">
        <v>0</v>
      </c>
      <c r="B85" s="90" t="s">
        <v>3</v>
      </c>
      <c r="C85" s="90" t="s">
        <v>24</v>
      </c>
      <c r="D85" s="109" t="s">
        <v>8</v>
      </c>
      <c r="E85" s="90" t="s">
        <v>106</v>
      </c>
      <c r="F85" s="90" t="s">
        <v>455</v>
      </c>
    </row>
    <row r="86" spans="1:6" x14ac:dyDescent="0.25">
      <c r="A86" s="1">
        <v>1</v>
      </c>
      <c r="B86" s="66">
        <v>46033</v>
      </c>
      <c r="C86" s="308" t="s">
        <v>62</v>
      </c>
      <c r="D86" s="333">
        <v>195</v>
      </c>
      <c r="E86" s="1"/>
      <c r="F86" s="1"/>
    </row>
    <row r="87" spans="1:6" x14ac:dyDescent="0.25">
      <c r="A87" s="1">
        <v>2</v>
      </c>
      <c r="B87" s="66">
        <v>46033</v>
      </c>
      <c r="C87" s="309"/>
      <c r="D87" s="334"/>
      <c r="E87" s="1"/>
      <c r="F87" s="1"/>
    </row>
    <row r="88" spans="1:6" x14ac:dyDescent="0.25">
      <c r="A88" s="1">
        <v>3</v>
      </c>
      <c r="B88" s="66">
        <v>46033</v>
      </c>
      <c r="C88" s="309"/>
      <c r="D88" s="334"/>
      <c r="E88" s="1"/>
      <c r="F88" s="1"/>
    </row>
    <row r="89" spans="1:6" x14ac:dyDescent="0.25">
      <c r="A89" s="7">
        <v>4</v>
      </c>
      <c r="B89" s="66">
        <v>46033</v>
      </c>
      <c r="C89" s="309"/>
      <c r="D89" s="334"/>
      <c r="E89" s="1"/>
      <c r="F89" s="1"/>
    </row>
    <row r="90" spans="1:6" ht="21.75" thickBot="1" x14ac:dyDescent="0.4">
      <c r="A90" s="314" t="s">
        <v>456</v>
      </c>
      <c r="B90" s="314"/>
      <c r="C90" s="314"/>
      <c r="D90" s="112">
        <v>195</v>
      </c>
    </row>
    <row r="91" spans="1:6" ht="15.75" thickBot="1" x14ac:dyDescent="0.3">
      <c r="A91" s="119" t="s">
        <v>630</v>
      </c>
      <c r="B91" s="120"/>
      <c r="F91" s="14" t="s">
        <v>631</v>
      </c>
    </row>
    <row r="93" spans="1:6" ht="21" x14ac:dyDescent="0.35">
      <c r="A93" s="288" t="s">
        <v>449</v>
      </c>
      <c r="B93" s="288"/>
      <c r="C93" s="288"/>
      <c r="D93" s="288"/>
      <c r="E93" s="288"/>
      <c r="F93" s="288"/>
    </row>
    <row r="94" spans="1:6" ht="16.5" thickBot="1" x14ac:dyDescent="0.3">
      <c r="A94" s="90" t="s">
        <v>0</v>
      </c>
      <c r="B94" s="90" t="s">
        <v>3</v>
      </c>
      <c r="C94" s="90" t="s">
        <v>24</v>
      </c>
      <c r="D94" s="109" t="s">
        <v>8</v>
      </c>
      <c r="E94" s="90" t="s">
        <v>106</v>
      </c>
      <c r="F94" s="90" t="s">
        <v>455</v>
      </c>
    </row>
    <row r="95" spans="1:6" x14ac:dyDescent="0.25">
      <c r="A95" s="1">
        <v>1</v>
      </c>
      <c r="B95" s="66">
        <v>46034</v>
      </c>
      <c r="C95" s="308" t="s">
        <v>62</v>
      </c>
      <c r="D95" s="333" t="s">
        <v>691</v>
      </c>
      <c r="E95" s="1"/>
      <c r="F95" s="1"/>
    </row>
    <row r="96" spans="1:6" x14ac:dyDescent="0.25">
      <c r="A96" s="1">
        <v>2</v>
      </c>
      <c r="B96" s="66">
        <v>46034</v>
      </c>
      <c r="C96" s="309"/>
      <c r="D96" s="334"/>
      <c r="E96" s="1"/>
      <c r="F96" s="1"/>
    </row>
    <row r="97" spans="1:6" x14ac:dyDescent="0.25">
      <c r="A97" s="1">
        <v>3</v>
      </c>
      <c r="B97" s="66">
        <v>46034</v>
      </c>
      <c r="C97" s="309"/>
      <c r="D97" s="334"/>
      <c r="E97" s="1"/>
      <c r="F97" s="1"/>
    </row>
    <row r="98" spans="1:6" x14ac:dyDescent="0.25">
      <c r="A98" s="7">
        <v>4</v>
      </c>
      <c r="B98" s="66">
        <v>46034</v>
      </c>
      <c r="C98" s="309"/>
      <c r="D98" s="334"/>
      <c r="E98" s="1"/>
      <c r="F98" s="1"/>
    </row>
    <row r="99" spans="1:6" ht="21.75" thickBot="1" x14ac:dyDescent="0.4">
      <c r="A99" s="314" t="s">
        <v>456</v>
      </c>
      <c r="B99" s="314"/>
      <c r="C99" s="314"/>
      <c r="D99" s="112">
        <f>660+165+90+680+200+75</f>
        <v>1870</v>
      </c>
    </row>
    <row r="100" spans="1:6" ht="15.75" thickBot="1" x14ac:dyDescent="0.3">
      <c r="A100" s="119" t="s">
        <v>630</v>
      </c>
      <c r="B100" s="120"/>
      <c r="F100" s="14" t="s">
        <v>631</v>
      </c>
    </row>
    <row r="102" spans="1:6" ht="21" x14ac:dyDescent="0.35">
      <c r="A102" s="288" t="s">
        <v>449</v>
      </c>
      <c r="B102" s="288"/>
      <c r="C102" s="288"/>
      <c r="D102" s="288"/>
      <c r="E102" s="288"/>
      <c r="F102" s="288"/>
    </row>
    <row r="103" spans="1:6" ht="16.5" thickBot="1" x14ac:dyDescent="0.3">
      <c r="A103" s="90" t="s">
        <v>0</v>
      </c>
      <c r="B103" s="90" t="s">
        <v>3</v>
      </c>
      <c r="C103" s="90" t="s">
        <v>24</v>
      </c>
      <c r="D103" s="109" t="s">
        <v>8</v>
      </c>
      <c r="E103" s="90" t="s">
        <v>106</v>
      </c>
      <c r="F103" s="90" t="s">
        <v>455</v>
      </c>
    </row>
    <row r="104" spans="1:6" x14ac:dyDescent="0.25">
      <c r="A104" s="1">
        <v>1</v>
      </c>
      <c r="B104" s="66">
        <v>46035</v>
      </c>
      <c r="C104" s="308" t="s">
        <v>62</v>
      </c>
      <c r="D104" s="333" t="s">
        <v>766</v>
      </c>
      <c r="E104" s="1"/>
      <c r="F104" s="1"/>
    </row>
    <row r="105" spans="1:6" x14ac:dyDescent="0.25">
      <c r="A105" s="1">
        <v>2</v>
      </c>
      <c r="B105" s="66">
        <v>46035</v>
      </c>
      <c r="C105" s="309"/>
      <c r="D105" s="334"/>
      <c r="E105" s="1"/>
      <c r="F105" s="1"/>
    </row>
    <row r="106" spans="1:6" x14ac:dyDescent="0.25">
      <c r="A106" s="1">
        <v>3</v>
      </c>
      <c r="B106" s="66">
        <v>46035</v>
      </c>
      <c r="C106" s="309"/>
      <c r="D106" s="334"/>
      <c r="E106" s="1"/>
      <c r="F106" s="1"/>
    </row>
    <row r="107" spans="1:6" x14ac:dyDescent="0.25">
      <c r="A107" s="7">
        <v>4</v>
      </c>
      <c r="B107" s="66">
        <v>46035</v>
      </c>
      <c r="C107" s="309"/>
      <c r="D107" s="334"/>
      <c r="E107" s="1"/>
      <c r="F107" s="1"/>
    </row>
    <row r="108" spans="1:6" ht="21.75" thickBot="1" x14ac:dyDescent="0.4">
      <c r="A108" s="314" t="s">
        <v>456</v>
      </c>
      <c r="B108" s="314"/>
      <c r="C108" s="314"/>
      <c r="D108" s="112">
        <f>900+90+1080+240</f>
        <v>2310</v>
      </c>
    </row>
    <row r="109" spans="1:6" ht="15.75" thickBot="1" x14ac:dyDescent="0.3">
      <c r="A109" s="119" t="s">
        <v>630</v>
      </c>
      <c r="B109" s="120"/>
      <c r="F109" s="14" t="s">
        <v>631</v>
      </c>
    </row>
    <row r="111" spans="1:6" ht="21" x14ac:dyDescent="0.35">
      <c r="A111" s="288" t="s">
        <v>449</v>
      </c>
      <c r="B111" s="288"/>
      <c r="C111" s="288"/>
      <c r="D111" s="288"/>
      <c r="E111" s="288"/>
      <c r="F111" s="288"/>
    </row>
    <row r="112" spans="1:6" ht="16.5" thickBot="1" x14ac:dyDescent="0.3">
      <c r="A112" s="90" t="s">
        <v>0</v>
      </c>
      <c r="B112" s="90" t="s">
        <v>3</v>
      </c>
      <c r="C112" s="90" t="s">
        <v>24</v>
      </c>
      <c r="D112" s="109" t="s">
        <v>8</v>
      </c>
      <c r="E112" s="90" t="s">
        <v>106</v>
      </c>
      <c r="F112" s="90" t="s">
        <v>455</v>
      </c>
    </row>
    <row r="113" spans="1:6" x14ac:dyDescent="0.25">
      <c r="A113" s="1">
        <v>1</v>
      </c>
      <c r="B113" s="66">
        <v>46036</v>
      </c>
      <c r="C113" s="308" t="s">
        <v>62</v>
      </c>
      <c r="D113" s="333" t="s">
        <v>752</v>
      </c>
      <c r="E113" s="1"/>
      <c r="F113" s="1"/>
    </row>
    <row r="114" spans="1:6" x14ac:dyDescent="0.25">
      <c r="A114" s="1">
        <v>2</v>
      </c>
      <c r="B114" s="66">
        <v>46036</v>
      </c>
      <c r="C114" s="309"/>
      <c r="D114" s="334"/>
      <c r="E114" s="1"/>
      <c r="F114" s="1"/>
    </row>
    <row r="115" spans="1:6" x14ac:dyDescent="0.25">
      <c r="A115" s="1">
        <v>3</v>
      </c>
      <c r="B115" s="66">
        <v>46036</v>
      </c>
      <c r="C115" s="309"/>
      <c r="D115" s="334"/>
      <c r="E115" s="1"/>
      <c r="F115" s="1"/>
    </row>
    <row r="116" spans="1:6" x14ac:dyDescent="0.25">
      <c r="A116" s="7">
        <v>4</v>
      </c>
      <c r="B116" s="66">
        <v>46036</v>
      </c>
      <c r="C116" s="309"/>
      <c r="D116" s="334"/>
      <c r="E116" s="1"/>
      <c r="F116" s="1"/>
    </row>
    <row r="117" spans="1:6" ht="21.75" thickBot="1" x14ac:dyDescent="0.4">
      <c r="A117" s="314" t="s">
        <v>456</v>
      </c>
      <c r="B117" s="314"/>
      <c r="C117" s="314"/>
      <c r="D117" s="112">
        <f>90+230+1600+320+225</f>
        <v>2465</v>
      </c>
    </row>
    <row r="118" spans="1:6" ht="15.75" thickBot="1" x14ac:dyDescent="0.3">
      <c r="A118" s="119" t="s">
        <v>630</v>
      </c>
      <c r="B118" s="120"/>
      <c r="F118" s="14" t="s">
        <v>631</v>
      </c>
    </row>
    <row r="120" spans="1:6" ht="21" x14ac:dyDescent="0.35">
      <c r="A120" s="288" t="s">
        <v>449</v>
      </c>
      <c r="B120" s="288"/>
      <c r="C120" s="288"/>
      <c r="D120" s="288"/>
      <c r="E120" s="288"/>
      <c r="F120" s="288"/>
    </row>
    <row r="121" spans="1:6" ht="16.5" thickBot="1" x14ac:dyDescent="0.3">
      <c r="A121" s="90" t="s">
        <v>0</v>
      </c>
      <c r="B121" s="90" t="s">
        <v>3</v>
      </c>
      <c r="C121" s="90" t="s">
        <v>24</v>
      </c>
      <c r="D121" s="109" t="s">
        <v>8</v>
      </c>
      <c r="E121" s="90" t="s">
        <v>106</v>
      </c>
      <c r="F121" s="90" t="s">
        <v>455</v>
      </c>
    </row>
    <row r="122" spans="1:6" x14ac:dyDescent="0.25">
      <c r="A122" s="1">
        <v>1</v>
      </c>
      <c r="B122" s="66">
        <v>46037</v>
      </c>
      <c r="C122" s="308" t="s">
        <v>62</v>
      </c>
      <c r="D122" s="333" t="s">
        <v>764</v>
      </c>
      <c r="E122" s="1"/>
      <c r="F122" s="1"/>
    </row>
    <row r="123" spans="1:6" x14ac:dyDescent="0.25">
      <c r="A123" s="1">
        <v>2</v>
      </c>
      <c r="B123" s="66">
        <v>46037</v>
      </c>
      <c r="C123" s="309"/>
      <c r="D123" s="334"/>
      <c r="E123" s="1"/>
      <c r="F123" s="1"/>
    </row>
    <row r="124" spans="1:6" x14ac:dyDescent="0.25">
      <c r="A124" s="1">
        <v>3</v>
      </c>
      <c r="B124" s="66">
        <v>46037</v>
      </c>
      <c r="C124" s="309"/>
      <c r="D124" s="334"/>
      <c r="E124" s="1"/>
      <c r="F124" s="1"/>
    </row>
    <row r="125" spans="1:6" x14ac:dyDescent="0.25">
      <c r="A125" s="7">
        <v>4</v>
      </c>
      <c r="B125" s="111">
        <v>46037</v>
      </c>
      <c r="C125" s="309"/>
      <c r="D125" s="334"/>
      <c r="E125" s="1"/>
      <c r="F125" s="1"/>
    </row>
    <row r="126" spans="1:6" ht="21.75" thickBot="1" x14ac:dyDescent="0.4">
      <c r="A126" s="314" t="s">
        <v>456</v>
      </c>
      <c r="B126" s="314"/>
      <c r="C126" s="314"/>
      <c r="D126" s="112">
        <f>540+60+200+225+900+180+30</f>
        <v>2135</v>
      </c>
    </row>
    <row r="127" spans="1:6" ht="15.75" thickBot="1" x14ac:dyDescent="0.3">
      <c r="A127" s="125" t="s">
        <v>630</v>
      </c>
      <c r="B127" s="126"/>
      <c r="F127" s="14" t="s">
        <v>631</v>
      </c>
    </row>
    <row r="129" spans="1:8" ht="21" x14ac:dyDescent="0.35">
      <c r="A129" s="288" t="s">
        <v>449</v>
      </c>
      <c r="B129" s="288"/>
      <c r="C129" s="288"/>
      <c r="D129" s="288"/>
      <c r="E129" s="288"/>
      <c r="F129" s="288"/>
    </row>
    <row r="130" spans="1:8" ht="16.5" thickBot="1" x14ac:dyDescent="0.3">
      <c r="A130" s="90" t="s">
        <v>0</v>
      </c>
      <c r="B130" s="90" t="s">
        <v>3</v>
      </c>
      <c r="C130" s="90" t="s">
        <v>24</v>
      </c>
      <c r="D130" s="109" t="s">
        <v>8</v>
      </c>
      <c r="E130" s="90" t="s">
        <v>106</v>
      </c>
      <c r="F130" s="90" t="s">
        <v>455</v>
      </c>
    </row>
    <row r="131" spans="1:8" x14ac:dyDescent="0.25">
      <c r="A131" s="1">
        <v>1</v>
      </c>
      <c r="B131" s="66">
        <v>46038</v>
      </c>
      <c r="C131" s="308" t="s">
        <v>62</v>
      </c>
      <c r="D131" s="333" t="s">
        <v>776</v>
      </c>
      <c r="E131" s="1"/>
      <c r="F131" s="1"/>
    </row>
    <row r="132" spans="1:8" x14ac:dyDescent="0.25">
      <c r="A132" s="1">
        <v>2</v>
      </c>
      <c r="B132" s="66">
        <v>46038</v>
      </c>
      <c r="C132" s="309"/>
      <c r="D132" s="334"/>
      <c r="E132" s="1"/>
      <c r="F132" s="1"/>
    </row>
    <row r="133" spans="1:8" x14ac:dyDescent="0.25">
      <c r="A133" s="1">
        <v>3</v>
      </c>
      <c r="B133" s="66">
        <v>46038</v>
      </c>
      <c r="C133" s="309"/>
      <c r="D133" s="334"/>
      <c r="E133" s="1"/>
      <c r="F133" s="1"/>
    </row>
    <row r="134" spans="1:8" x14ac:dyDescent="0.25">
      <c r="A134" s="7">
        <v>4</v>
      </c>
      <c r="B134" s="66">
        <v>46038</v>
      </c>
      <c r="C134" s="309"/>
      <c r="D134" s="334"/>
      <c r="E134" s="1"/>
      <c r="F134" s="1"/>
    </row>
    <row r="135" spans="1:8" ht="21.75" thickBot="1" x14ac:dyDescent="0.4">
      <c r="A135" s="314" t="s">
        <v>456</v>
      </c>
      <c r="B135" s="314"/>
      <c r="C135" s="314"/>
      <c r="D135" s="112">
        <f>1920+200+90</f>
        <v>2210</v>
      </c>
    </row>
    <row r="136" spans="1:8" ht="15.75" thickBot="1" x14ac:dyDescent="0.3">
      <c r="A136" s="125" t="s">
        <v>630</v>
      </c>
      <c r="B136" s="126"/>
      <c r="F136" s="14" t="s">
        <v>631</v>
      </c>
    </row>
    <row r="138" spans="1:8" ht="15.75" thickBot="1" x14ac:dyDescent="0.3"/>
    <row r="139" spans="1:8" ht="21.75" thickBot="1" x14ac:dyDescent="0.4">
      <c r="A139" s="358" t="s">
        <v>929</v>
      </c>
      <c r="B139" s="359"/>
      <c r="C139" s="359"/>
      <c r="D139" s="359"/>
      <c r="E139" s="359"/>
      <c r="F139" s="360"/>
    </row>
    <row r="140" spans="1:8" ht="21" x14ac:dyDescent="0.35">
      <c r="A140" s="188" t="s">
        <v>0</v>
      </c>
      <c r="B140" s="188" t="s">
        <v>3</v>
      </c>
      <c r="C140" s="188" t="s">
        <v>24</v>
      </c>
      <c r="D140" s="188" t="s">
        <v>8</v>
      </c>
      <c r="E140" s="188" t="s">
        <v>680</v>
      </c>
      <c r="F140" s="188" t="s">
        <v>681</v>
      </c>
      <c r="G140" s="186" t="s">
        <v>928</v>
      </c>
      <c r="H140" s="186" t="s">
        <v>681</v>
      </c>
    </row>
    <row r="141" spans="1:8" x14ac:dyDescent="0.25">
      <c r="A141" s="1">
        <v>1</v>
      </c>
      <c r="B141" s="66" t="s">
        <v>765</v>
      </c>
      <c r="C141" s="308" t="s">
        <v>457</v>
      </c>
      <c r="D141" s="355">
        <f>D15+D23+D31+D39+D47+D55+D63+D72+D81+D90+D99+D108+D117+D126</f>
        <v>32100</v>
      </c>
      <c r="E141" s="308">
        <v>1341</v>
      </c>
      <c r="F141" s="361">
        <f>D141-E141</f>
        <v>30759</v>
      </c>
      <c r="G141" s="347">
        <v>30000</v>
      </c>
      <c r="H141" s="347">
        <f>F145-30000</f>
        <v>759</v>
      </c>
    </row>
    <row r="142" spans="1:8" x14ac:dyDescent="0.25">
      <c r="A142" s="1">
        <v>2</v>
      </c>
      <c r="B142" s="66" t="s">
        <v>765</v>
      </c>
      <c r="C142" s="309"/>
      <c r="D142" s="356"/>
      <c r="E142" s="309"/>
      <c r="F142" s="362"/>
      <c r="G142" s="347"/>
      <c r="H142" s="347"/>
    </row>
    <row r="143" spans="1:8" x14ac:dyDescent="0.25">
      <c r="A143" s="1">
        <v>3</v>
      </c>
      <c r="B143" s="66" t="s">
        <v>765</v>
      </c>
      <c r="C143" s="309"/>
      <c r="D143" s="356"/>
      <c r="E143" s="309"/>
      <c r="F143" s="362"/>
      <c r="G143" s="347"/>
      <c r="H143" s="347"/>
    </row>
    <row r="144" spans="1:8" ht="15.75" thickBot="1" x14ac:dyDescent="0.3">
      <c r="A144" s="7">
        <v>4</v>
      </c>
      <c r="B144" s="66" t="s">
        <v>765</v>
      </c>
      <c r="C144" s="309"/>
      <c r="D144" s="356"/>
      <c r="E144" s="309"/>
      <c r="F144" s="362"/>
      <c r="G144" s="347"/>
      <c r="H144" s="347"/>
    </row>
    <row r="145" spans="1:7" ht="21.75" thickBot="1" x14ac:dyDescent="0.4">
      <c r="A145" s="348" t="s">
        <v>456</v>
      </c>
      <c r="B145" s="349"/>
      <c r="C145" s="349"/>
      <c r="D145" s="349"/>
      <c r="E145" s="349"/>
      <c r="F145" s="185">
        <f>F141</f>
        <v>30759</v>
      </c>
      <c r="G145" s="187"/>
    </row>
    <row r="146" spans="1:7" ht="15.75" thickBot="1" x14ac:dyDescent="0.3">
      <c r="A146" s="125" t="s">
        <v>630</v>
      </c>
      <c r="B146" s="126"/>
      <c r="F146" s="127" t="s">
        <v>631</v>
      </c>
    </row>
    <row r="148" spans="1:7" ht="21" x14ac:dyDescent="0.35">
      <c r="A148" s="288" t="s">
        <v>449</v>
      </c>
      <c r="B148" s="288"/>
      <c r="C148" s="288"/>
      <c r="D148" s="288"/>
      <c r="E148" s="288"/>
      <c r="F148" s="288"/>
    </row>
    <row r="149" spans="1:7" ht="16.5" thickBot="1" x14ac:dyDescent="0.3">
      <c r="A149" s="90" t="s">
        <v>0</v>
      </c>
      <c r="B149" s="90" t="s">
        <v>3</v>
      </c>
      <c r="C149" s="90" t="s">
        <v>24</v>
      </c>
      <c r="D149" s="109" t="s">
        <v>8</v>
      </c>
      <c r="E149" s="90" t="s">
        <v>106</v>
      </c>
      <c r="F149" s="90" t="s">
        <v>455</v>
      </c>
    </row>
    <row r="150" spans="1:7" x14ac:dyDescent="0.25">
      <c r="A150" s="1">
        <v>1</v>
      </c>
      <c r="B150" s="66">
        <v>46039</v>
      </c>
      <c r="C150" s="308" t="s">
        <v>62</v>
      </c>
      <c r="D150" s="346" t="s">
        <v>947</v>
      </c>
      <c r="E150" s="1"/>
      <c r="F150" s="1"/>
    </row>
    <row r="151" spans="1:7" x14ac:dyDescent="0.25">
      <c r="A151" s="1">
        <v>2</v>
      </c>
      <c r="B151" s="66">
        <v>46039</v>
      </c>
      <c r="C151" s="309"/>
      <c r="D151" s="312"/>
      <c r="E151" s="1"/>
      <c r="F151" s="1"/>
    </row>
    <row r="152" spans="1:7" x14ac:dyDescent="0.25">
      <c r="A152" s="1">
        <v>3</v>
      </c>
      <c r="B152" s="66">
        <v>46039</v>
      </c>
      <c r="C152" s="309"/>
      <c r="D152" s="312"/>
      <c r="E152" s="1"/>
      <c r="F152" s="1"/>
    </row>
    <row r="153" spans="1:7" x14ac:dyDescent="0.25">
      <c r="A153" s="7">
        <v>4</v>
      </c>
      <c r="B153" s="111">
        <v>46039</v>
      </c>
      <c r="C153" s="309"/>
      <c r="D153" s="312"/>
      <c r="E153" s="1"/>
      <c r="F153" s="1"/>
    </row>
    <row r="154" spans="1:7" ht="21.75" thickBot="1" x14ac:dyDescent="0.4">
      <c r="A154" s="314" t="s">
        <v>456</v>
      </c>
      <c r="B154" s="314"/>
      <c r="C154" s="314"/>
      <c r="D154" s="193">
        <f>440+270+300+1400</f>
        <v>2410</v>
      </c>
    </row>
    <row r="155" spans="1:7" ht="15.75" thickBot="1" x14ac:dyDescent="0.3">
      <c r="A155" s="125" t="s">
        <v>630</v>
      </c>
      <c r="B155" s="126"/>
      <c r="F155" s="14" t="s">
        <v>631</v>
      </c>
    </row>
    <row r="157" spans="1:7" ht="21" x14ac:dyDescent="0.35">
      <c r="A157" s="288" t="s">
        <v>449</v>
      </c>
      <c r="B157" s="288"/>
      <c r="C157" s="288"/>
      <c r="D157" s="288"/>
      <c r="E157" s="288"/>
      <c r="F157" s="288"/>
    </row>
    <row r="158" spans="1:7" ht="16.5" thickBot="1" x14ac:dyDescent="0.3">
      <c r="A158" s="90" t="s">
        <v>0</v>
      </c>
      <c r="B158" s="90" t="s">
        <v>3</v>
      </c>
      <c r="C158" s="90" t="s">
        <v>24</v>
      </c>
      <c r="D158" s="109" t="s">
        <v>8</v>
      </c>
      <c r="E158" s="90" t="s">
        <v>106</v>
      </c>
      <c r="F158" s="90" t="s">
        <v>455</v>
      </c>
    </row>
    <row r="159" spans="1:7" x14ac:dyDescent="0.25">
      <c r="A159" s="1">
        <v>1</v>
      </c>
      <c r="B159" s="66">
        <v>46040</v>
      </c>
      <c r="C159" s="308" t="s">
        <v>62</v>
      </c>
      <c r="D159" s="346" t="s">
        <v>964</v>
      </c>
      <c r="E159" s="1"/>
      <c r="F159" s="1"/>
    </row>
    <row r="160" spans="1:7" x14ac:dyDescent="0.25">
      <c r="A160" s="1">
        <v>2</v>
      </c>
      <c r="B160" s="66">
        <v>46040</v>
      </c>
      <c r="C160" s="309"/>
      <c r="D160" s="312"/>
      <c r="E160" s="1"/>
      <c r="F160" s="1"/>
    </row>
    <row r="161" spans="1:6" x14ac:dyDescent="0.25">
      <c r="A161" s="1">
        <v>3</v>
      </c>
      <c r="B161" s="66">
        <v>46040</v>
      </c>
      <c r="C161" s="309"/>
      <c r="D161" s="312"/>
      <c r="E161" s="1"/>
      <c r="F161" s="1"/>
    </row>
    <row r="162" spans="1:6" x14ac:dyDescent="0.25">
      <c r="A162" s="7">
        <v>4</v>
      </c>
      <c r="B162" s="66">
        <v>46040</v>
      </c>
      <c r="C162" s="309"/>
      <c r="D162" s="312"/>
      <c r="E162" s="1"/>
      <c r="F162" s="1"/>
    </row>
    <row r="163" spans="1:6" ht="21.75" thickBot="1" x14ac:dyDescent="0.4">
      <c r="A163" s="314" t="s">
        <v>456</v>
      </c>
      <c r="B163" s="314"/>
      <c r="C163" s="314"/>
      <c r="D163" s="193">
        <f>160+200+180</f>
        <v>540</v>
      </c>
    </row>
    <row r="164" spans="1:6" ht="15.75" thickBot="1" x14ac:dyDescent="0.3">
      <c r="A164" s="125" t="s">
        <v>630</v>
      </c>
      <c r="B164" s="126"/>
      <c r="F164" s="14" t="s">
        <v>631</v>
      </c>
    </row>
  </sheetData>
  <mergeCells count="81">
    <mergeCell ref="A120:F120"/>
    <mergeCell ref="C122:C125"/>
    <mergeCell ref="D122:D125"/>
    <mergeCell ref="A126:C126"/>
    <mergeCell ref="A111:F111"/>
    <mergeCell ref="C113:C116"/>
    <mergeCell ref="D113:D116"/>
    <mergeCell ref="A117:C117"/>
    <mergeCell ref="A108:C108"/>
    <mergeCell ref="A93:F93"/>
    <mergeCell ref="C95:C98"/>
    <mergeCell ref="D95:D98"/>
    <mergeCell ref="A99:C99"/>
    <mergeCell ref="A102:F102"/>
    <mergeCell ref="C104:C107"/>
    <mergeCell ref="D104:D107"/>
    <mergeCell ref="A1:F1"/>
    <mergeCell ref="A7:C7"/>
    <mergeCell ref="C3:C6"/>
    <mergeCell ref="A9:F9"/>
    <mergeCell ref="C11:C14"/>
    <mergeCell ref="D11:D14"/>
    <mergeCell ref="A75:F75"/>
    <mergeCell ref="C77:C80"/>
    <mergeCell ref="D77:D80"/>
    <mergeCell ref="A81:C81"/>
    <mergeCell ref="A90:C90"/>
    <mergeCell ref="A84:F84"/>
    <mergeCell ref="C86:C89"/>
    <mergeCell ref="D86:D89"/>
    <mergeCell ref="A139:F139"/>
    <mergeCell ref="C141:C144"/>
    <mergeCell ref="D141:D144"/>
    <mergeCell ref="E141:E144"/>
    <mergeCell ref="F141:F144"/>
    <mergeCell ref="A72:C72"/>
    <mergeCell ref="A49:F49"/>
    <mergeCell ref="C51:C54"/>
    <mergeCell ref="A57:F57"/>
    <mergeCell ref="C59:C62"/>
    <mergeCell ref="D59:D62"/>
    <mergeCell ref="A63:C63"/>
    <mergeCell ref="D51:D54"/>
    <mergeCell ref="A55:C55"/>
    <mergeCell ref="D19:D22"/>
    <mergeCell ref="A23:C23"/>
    <mergeCell ref="A66:F66"/>
    <mergeCell ref="C68:C71"/>
    <mergeCell ref="D68:D71"/>
    <mergeCell ref="A47:C47"/>
    <mergeCell ref="A33:F33"/>
    <mergeCell ref="C35:C38"/>
    <mergeCell ref="D35:D38"/>
    <mergeCell ref="A39:C39"/>
    <mergeCell ref="A41:F41"/>
    <mergeCell ref="C43:C46"/>
    <mergeCell ref="D43:D46"/>
    <mergeCell ref="G141:G144"/>
    <mergeCell ref="A145:E145"/>
    <mergeCell ref="H141:H144"/>
    <mergeCell ref="G3:G6"/>
    <mergeCell ref="H3:H6"/>
    <mergeCell ref="A129:F129"/>
    <mergeCell ref="C131:C134"/>
    <mergeCell ref="D131:D134"/>
    <mergeCell ref="A135:C135"/>
    <mergeCell ref="A15:C15"/>
    <mergeCell ref="A25:F25"/>
    <mergeCell ref="C27:C30"/>
    <mergeCell ref="D27:D30"/>
    <mergeCell ref="A31:C31"/>
    <mergeCell ref="A17:F17"/>
    <mergeCell ref="C19:C22"/>
    <mergeCell ref="A157:F157"/>
    <mergeCell ref="C159:C162"/>
    <mergeCell ref="D159:D162"/>
    <mergeCell ref="A163:C163"/>
    <mergeCell ref="A148:F148"/>
    <mergeCell ref="C150:C153"/>
    <mergeCell ref="D150:D153"/>
    <mergeCell ref="A154:C15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  <rowBreaks count="2" manualBreakCount="2">
    <brk id="32" max="5" man="1"/>
    <brk id="74" max="5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opLeftCell="B1" zoomScaleNormal="100" workbookViewId="0">
      <selection activeCell="J16" sqref="J16"/>
    </sheetView>
  </sheetViews>
  <sheetFormatPr defaultRowHeight="15" x14ac:dyDescent="0.25"/>
  <cols>
    <col min="1" max="1" width="5.42578125" bestFit="1" customWidth="1"/>
    <col min="2" max="2" width="10.85546875" bestFit="1" customWidth="1"/>
    <col min="3" max="3" width="11.85546875" bestFit="1" customWidth="1"/>
    <col min="4" max="4" width="24.85546875" bestFit="1" customWidth="1"/>
    <col min="5" max="5" width="22.85546875" bestFit="1" customWidth="1"/>
    <col min="6" max="6" width="20.85546875" bestFit="1" customWidth="1"/>
    <col min="8" max="8" width="5.42578125" bestFit="1" customWidth="1"/>
    <col min="9" max="9" width="10.85546875" customWidth="1"/>
    <col min="10" max="10" width="10.42578125" bestFit="1" customWidth="1"/>
    <col min="11" max="11" width="24.85546875" bestFit="1" customWidth="1"/>
    <col min="13" max="13" width="20.85546875" bestFit="1" customWidth="1"/>
  </cols>
  <sheetData>
    <row r="1" spans="1:13" ht="21.75" thickBot="1" x14ac:dyDescent="0.4">
      <c r="A1" s="326" t="s">
        <v>138</v>
      </c>
      <c r="B1" s="327"/>
      <c r="C1" s="327"/>
      <c r="D1" s="327"/>
      <c r="E1" s="327"/>
      <c r="F1" s="328"/>
      <c r="H1" s="326" t="s">
        <v>138</v>
      </c>
      <c r="I1" s="327"/>
      <c r="J1" s="327"/>
      <c r="K1" s="327"/>
      <c r="L1" s="327"/>
      <c r="M1" s="328"/>
    </row>
    <row r="2" spans="1:13" ht="19.5" thickBot="1" x14ac:dyDescent="0.35">
      <c r="A2" s="10" t="s">
        <v>0</v>
      </c>
      <c r="B2" s="11" t="s">
        <v>3</v>
      </c>
      <c r="C2" s="11" t="s">
        <v>24</v>
      </c>
      <c r="D2" s="11" t="s">
        <v>1</v>
      </c>
      <c r="E2" s="11" t="s">
        <v>23</v>
      </c>
      <c r="F2" s="12" t="s">
        <v>27</v>
      </c>
      <c r="H2" s="10" t="s">
        <v>0</v>
      </c>
      <c r="I2" s="11" t="s">
        <v>3</v>
      </c>
      <c r="J2" s="11" t="s">
        <v>24</v>
      </c>
      <c r="K2" s="11" t="s">
        <v>1</v>
      </c>
      <c r="L2" s="11" t="s">
        <v>23</v>
      </c>
      <c r="M2" s="12" t="s">
        <v>27</v>
      </c>
    </row>
    <row r="3" spans="1:13" x14ac:dyDescent="0.25">
      <c r="A3" s="3">
        <v>1</v>
      </c>
      <c r="B3" s="67">
        <v>46034</v>
      </c>
      <c r="C3" s="329" t="s">
        <v>693</v>
      </c>
      <c r="D3" s="336" t="s">
        <v>692</v>
      </c>
      <c r="E3" s="333" t="s">
        <v>662</v>
      </c>
      <c r="F3" s="3" t="s">
        <v>146</v>
      </c>
      <c r="H3" s="3">
        <v>1</v>
      </c>
      <c r="I3" s="67">
        <v>46034</v>
      </c>
      <c r="J3" s="329" t="s">
        <v>694</v>
      </c>
      <c r="K3" s="336" t="s">
        <v>695</v>
      </c>
      <c r="L3" s="333" t="s">
        <v>696</v>
      </c>
      <c r="M3" s="3" t="s">
        <v>146</v>
      </c>
    </row>
    <row r="4" spans="1:13" x14ac:dyDescent="0.25">
      <c r="A4" s="3">
        <v>2</v>
      </c>
      <c r="B4" s="67">
        <v>46034</v>
      </c>
      <c r="C4" s="309"/>
      <c r="D4" s="337"/>
      <c r="E4" s="334"/>
      <c r="F4" s="3" t="s">
        <v>146</v>
      </c>
      <c r="H4" s="3">
        <v>2</v>
      </c>
      <c r="I4" s="67">
        <v>46034</v>
      </c>
      <c r="J4" s="309"/>
      <c r="K4" s="337"/>
      <c r="L4" s="334"/>
      <c r="M4" s="3" t="s">
        <v>146</v>
      </c>
    </row>
    <row r="5" spans="1:13" x14ac:dyDescent="0.25">
      <c r="A5" s="3">
        <v>3</v>
      </c>
      <c r="B5" s="67">
        <v>46034</v>
      </c>
      <c r="C5" s="309"/>
      <c r="D5" s="337"/>
      <c r="E5" s="334"/>
      <c r="F5" s="3" t="s">
        <v>146</v>
      </c>
      <c r="H5" s="3">
        <v>3</v>
      </c>
      <c r="I5" s="67">
        <v>46034</v>
      </c>
      <c r="J5" s="309"/>
      <c r="K5" s="337"/>
      <c r="L5" s="334"/>
      <c r="M5" s="3" t="s">
        <v>146</v>
      </c>
    </row>
    <row r="6" spans="1:13" x14ac:dyDescent="0.25">
      <c r="A6" s="3">
        <v>4</v>
      </c>
      <c r="B6" s="67">
        <v>46034</v>
      </c>
      <c r="C6" s="309"/>
      <c r="D6" s="337"/>
      <c r="E6" s="334"/>
      <c r="F6" s="3" t="s">
        <v>146</v>
      </c>
      <c r="H6" s="3">
        <v>4</v>
      </c>
      <c r="I6" s="67">
        <v>46034</v>
      </c>
      <c r="J6" s="309"/>
      <c r="K6" s="337"/>
      <c r="L6" s="334"/>
      <c r="M6" s="3" t="s">
        <v>146</v>
      </c>
    </row>
    <row r="7" spans="1:13" x14ac:dyDescent="0.25">
      <c r="A7" s="3">
        <v>5</v>
      </c>
      <c r="B7" s="67">
        <v>46034</v>
      </c>
      <c r="C7" s="310"/>
      <c r="D7" s="338"/>
      <c r="E7" s="335"/>
      <c r="F7" s="3" t="s">
        <v>146</v>
      </c>
      <c r="H7" s="3">
        <v>5</v>
      </c>
      <c r="I7" s="67">
        <v>46034</v>
      </c>
      <c r="J7" s="310"/>
      <c r="K7" s="338"/>
      <c r="L7" s="335"/>
      <c r="M7" s="3" t="s">
        <v>146</v>
      </c>
    </row>
    <row r="8" spans="1:13" x14ac:dyDescent="0.25">
      <c r="A8" s="339" t="s">
        <v>41</v>
      </c>
      <c r="B8" s="340"/>
      <c r="C8" s="340"/>
      <c r="D8" s="340"/>
      <c r="E8" s="17">
        <f>220+45</f>
        <v>265</v>
      </c>
      <c r="F8" s="1"/>
      <c r="H8" s="339" t="s">
        <v>41</v>
      </c>
      <c r="I8" s="340"/>
      <c r="J8" s="340"/>
      <c r="K8" s="340"/>
      <c r="L8" s="17">
        <f>220+30</f>
        <v>250</v>
      </c>
      <c r="M8" s="1"/>
    </row>
    <row r="9" spans="1:13" ht="15.75" thickBot="1" x14ac:dyDescent="0.3"/>
    <row r="10" spans="1:13" ht="15.75" thickBot="1" x14ac:dyDescent="0.3">
      <c r="A10" s="292" t="s">
        <v>39</v>
      </c>
      <c r="B10" s="293"/>
      <c r="C10" s="23"/>
      <c r="F10" s="14" t="s">
        <v>40</v>
      </c>
      <c r="H10" s="292" t="s">
        <v>39</v>
      </c>
      <c r="I10" s="293"/>
      <c r="J10" s="23"/>
      <c r="M10" s="14" t="s">
        <v>40</v>
      </c>
    </row>
  </sheetData>
  <mergeCells count="12">
    <mergeCell ref="H10:I10"/>
    <mergeCell ref="A1:F1"/>
    <mergeCell ref="C3:C7"/>
    <mergeCell ref="D3:D7"/>
    <mergeCell ref="E3:E7"/>
    <mergeCell ref="A8:D8"/>
    <mergeCell ref="A10:B10"/>
    <mergeCell ref="H1:M1"/>
    <mergeCell ref="J3:J7"/>
    <mergeCell ref="K3:K7"/>
    <mergeCell ref="L3:L7"/>
    <mergeCell ref="H8:K8"/>
  </mergeCells>
  <pageMargins left="0.70866141732283472" right="0.70866141732283472" top="0.74803149606299213" bottom="0.74803149606299213" header="0.31496062992125984" footer="0.31496062992125984"/>
  <pageSetup orientation="portrait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zoomScaleNormal="100" workbookViewId="0">
      <selection activeCell="M18" sqref="M18"/>
    </sheetView>
  </sheetViews>
  <sheetFormatPr defaultRowHeight="15" x14ac:dyDescent="0.25"/>
  <cols>
    <col min="1" max="1" width="6.28515625" customWidth="1"/>
    <col min="2" max="2" width="10.85546875" bestFit="1" customWidth="1"/>
    <col min="3" max="3" width="11.85546875" bestFit="1" customWidth="1"/>
    <col min="4" max="4" width="12.7109375" bestFit="1" customWidth="1"/>
    <col min="5" max="5" width="15.5703125" bestFit="1" customWidth="1"/>
    <col min="6" max="6" width="33.7109375" bestFit="1" customWidth="1"/>
    <col min="9" max="9" width="10.85546875" customWidth="1"/>
    <col min="10" max="10" width="10.42578125" bestFit="1" customWidth="1"/>
    <col min="11" max="11" width="12.7109375" bestFit="1" customWidth="1"/>
    <col min="12" max="12" width="15.5703125" bestFit="1" customWidth="1"/>
    <col min="13" max="13" width="33.7109375" bestFit="1" customWidth="1"/>
    <col min="14" max="14" width="0.28515625" customWidth="1"/>
  </cols>
  <sheetData>
    <row r="1" spans="1:13" ht="21" x14ac:dyDescent="0.35">
      <c r="A1" s="288" t="s">
        <v>449</v>
      </c>
      <c r="B1" s="288"/>
      <c r="C1" s="288"/>
      <c r="D1" s="288"/>
      <c r="E1" s="288"/>
      <c r="F1" s="288"/>
      <c r="H1" s="288" t="s">
        <v>449</v>
      </c>
      <c r="I1" s="288"/>
      <c r="J1" s="288"/>
      <c r="K1" s="288"/>
      <c r="L1" s="288"/>
      <c r="M1" s="288"/>
    </row>
    <row r="2" spans="1:13" ht="16.5" thickBot="1" x14ac:dyDescent="0.3">
      <c r="A2" s="90" t="s">
        <v>0</v>
      </c>
      <c r="B2" s="90" t="s">
        <v>3</v>
      </c>
      <c r="C2" s="90" t="s">
        <v>24</v>
      </c>
      <c r="D2" s="109" t="s">
        <v>8</v>
      </c>
      <c r="E2" s="90" t="s">
        <v>106</v>
      </c>
      <c r="F2" s="90" t="s">
        <v>455</v>
      </c>
      <c r="H2" s="90" t="s">
        <v>0</v>
      </c>
      <c r="I2" s="90" t="s">
        <v>3</v>
      </c>
      <c r="J2" s="90" t="s">
        <v>24</v>
      </c>
      <c r="K2" s="109" t="s">
        <v>8</v>
      </c>
      <c r="L2" s="90" t="s">
        <v>106</v>
      </c>
      <c r="M2" s="90" t="s">
        <v>455</v>
      </c>
    </row>
    <row r="3" spans="1:13" x14ac:dyDescent="0.25">
      <c r="A3" s="1">
        <v>1</v>
      </c>
      <c r="B3" s="66">
        <v>46034</v>
      </c>
      <c r="C3" s="308" t="s">
        <v>693</v>
      </c>
      <c r="D3" s="333" t="s">
        <v>662</v>
      </c>
      <c r="E3" s="1"/>
      <c r="F3" s="1"/>
      <c r="H3" s="1">
        <v>1</v>
      </c>
      <c r="I3" s="66">
        <v>46034</v>
      </c>
      <c r="J3" s="308" t="s">
        <v>694</v>
      </c>
      <c r="K3" s="333" t="s">
        <v>696</v>
      </c>
      <c r="L3" s="1"/>
      <c r="M3" s="1"/>
    </row>
    <row r="4" spans="1:13" x14ac:dyDescent="0.25">
      <c r="A4" s="1">
        <v>2</v>
      </c>
      <c r="B4" s="66">
        <v>46034</v>
      </c>
      <c r="C4" s="309"/>
      <c r="D4" s="334"/>
      <c r="E4" s="1"/>
      <c r="F4" s="1"/>
      <c r="H4" s="1">
        <v>2</v>
      </c>
      <c r="I4" s="66">
        <v>46034</v>
      </c>
      <c r="J4" s="309"/>
      <c r="K4" s="334"/>
      <c r="L4" s="1"/>
      <c r="M4" s="1"/>
    </row>
    <row r="5" spans="1:13" x14ac:dyDescent="0.25">
      <c r="A5" s="1">
        <v>3</v>
      </c>
      <c r="B5" s="66">
        <v>46034</v>
      </c>
      <c r="C5" s="309"/>
      <c r="D5" s="334"/>
      <c r="E5" s="1"/>
      <c r="F5" s="1"/>
      <c r="H5" s="1">
        <v>3</v>
      </c>
      <c r="I5" s="66">
        <v>46034</v>
      </c>
      <c r="J5" s="309"/>
      <c r="K5" s="334"/>
      <c r="L5" s="1"/>
      <c r="M5" s="1"/>
    </row>
    <row r="6" spans="1:13" x14ac:dyDescent="0.25">
      <c r="A6" s="7">
        <v>4</v>
      </c>
      <c r="B6" s="111">
        <v>46034</v>
      </c>
      <c r="C6" s="309"/>
      <c r="D6" s="334"/>
      <c r="E6" s="1"/>
      <c r="F6" s="1"/>
      <c r="H6" s="7">
        <v>4</v>
      </c>
      <c r="I6" s="111">
        <v>46034</v>
      </c>
      <c r="J6" s="309"/>
      <c r="K6" s="334"/>
      <c r="L6" s="1"/>
      <c r="M6" s="1"/>
    </row>
    <row r="7" spans="1:13" ht="21.75" thickBot="1" x14ac:dyDescent="0.4">
      <c r="A7" s="314" t="s">
        <v>456</v>
      </c>
      <c r="B7" s="314"/>
      <c r="C7" s="314"/>
      <c r="D7" s="112">
        <f>220+45</f>
        <v>265</v>
      </c>
      <c r="H7" s="314" t="s">
        <v>456</v>
      </c>
      <c r="I7" s="314"/>
      <c r="J7" s="314"/>
      <c r="K7" s="112">
        <f>220+30</f>
        <v>250</v>
      </c>
    </row>
    <row r="8" spans="1:13" ht="15.75" thickBot="1" x14ac:dyDescent="0.3">
      <c r="A8" s="125" t="s">
        <v>630</v>
      </c>
      <c r="B8" s="126"/>
      <c r="F8" s="14" t="s">
        <v>631</v>
      </c>
      <c r="H8" s="125" t="s">
        <v>630</v>
      </c>
      <c r="I8" s="126"/>
      <c r="M8" s="14" t="s">
        <v>631</v>
      </c>
    </row>
  </sheetData>
  <mergeCells count="8">
    <mergeCell ref="A1:F1"/>
    <mergeCell ref="C3:C6"/>
    <mergeCell ref="D3:D6"/>
    <mergeCell ref="A7:C7"/>
    <mergeCell ref="H1:M1"/>
    <mergeCell ref="J3:J6"/>
    <mergeCell ref="K3:K6"/>
    <mergeCell ref="H7:J7"/>
  </mergeCells>
  <pageMargins left="0.70866141732283472" right="0.70866141732283472" top="0.74803149606299213" bottom="0.74803149606299213" header="0.31496062992125984" footer="0.31496062992125984"/>
  <pageSetup scale="90" orientation="portrait" horizontalDpi="4294967295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topLeftCell="A7" zoomScaleNormal="100" workbookViewId="0">
      <selection activeCell="A78" sqref="A78:F78"/>
    </sheetView>
  </sheetViews>
  <sheetFormatPr defaultRowHeight="15" x14ac:dyDescent="0.25"/>
  <cols>
    <col min="1" max="1" width="5.42578125" bestFit="1" customWidth="1"/>
    <col min="2" max="2" width="11.5703125" bestFit="1" customWidth="1"/>
    <col min="3" max="3" width="17.28515625" customWidth="1"/>
    <col min="4" max="4" width="6.42578125" bestFit="1" customWidth="1"/>
    <col min="5" max="5" width="9.85546875" bestFit="1" customWidth="1"/>
    <col min="6" max="6" width="20.85546875" bestFit="1" customWidth="1"/>
    <col min="9" max="9" width="10.7109375" bestFit="1" customWidth="1"/>
    <col min="10" max="10" width="14" bestFit="1" customWidth="1"/>
    <col min="12" max="12" width="7" bestFit="1" customWidth="1"/>
    <col min="13" max="13" width="15.28515625" bestFit="1" customWidth="1"/>
  </cols>
  <sheetData>
    <row r="1" spans="1:13" ht="19.5" thickBot="1" x14ac:dyDescent="0.35">
      <c r="A1" s="10" t="s">
        <v>0</v>
      </c>
      <c r="B1" s="11" t="s">
        <v>3</v>
      </c>
      <c r="C1" s="11" t="s">
        <v>1</v>
      </c>
      <c r="D1" s="11" t="s">
        <v>26</v>
      </c>
      <c r="E1" s="11" t="s">
        <v>23</v>
      </c>
      <c r="F1" s="12" t="s">
        <v>27</v>
      </c>
      <c r="H1" s="10" t="s">
        <v>0</v>
      </c>
      <c r="I1" s="11" t="s">
        <v>3</v>
      </c>
      <c r="J1" s="11" t="s">
        <v>1</v>
      </c>
      <c r="K1" s="11" t="s">
        <v>26</v>
      </c>
      <c r="L1" s="11" t="s">
        <v>23</v>
      </c>
      <c r="M1" s="12" t="s">
        <v>27</v>
      </c>
    </row>
    <row r="2" spans="1:13" x14ac:dyDescent="0.25">
      <c r="A2" s="3">
        <v>1</v>
      </c>
      <c r="B2" s="3" t="s">
        <v>52</v>
      </c>
      <c r="C2" s="3" t="s">
        <v>19</v>
      </c>
      <c r="D2" s="3">
        <v>14</v>
      </c>
      <c r="E2" s="4">
        <v>210</v>
      </c>
      <c r="F2" s="3" t="s">
        <v>85</v>
      </c>
      <c r="H2" s="3">
        <v>1</v>
      </c>
      <c r="I2" s="3" t="s">
        <v>5</v>
      </c>
      <c r="J2" s="3" t="s">
        <v>47</v>
      </c>
      <c r="K2" s="3">
        <v>1</v>
      </c>
      <c r="L2" s="4">
        <v>80</v>
      </c>
      <c r="M2" s="3" t="s">
        <v>51</v>
      </c>
    </row>
    <row r="3" spans="1:13" x14ac:dyDescent="0.25">
      <c r="A3" s="3">
        <v>2</v>
      </c>
      <c r="B3" s="3" t="s">
        <v>52</v>
      </c>
      <c r="C3" s="1" t="s">
        <v>55</v>
      </c>
      <c r="D3" s="1">
        <v>4</v>
      </c>
      <c r="E3" s="5">
        <v>800</v>
      </c>
      <c r="F3" s="3" t="s">
        <v>85</v>
      </c>
      <c r="H3" s="3">
        <v>2</v>
      </c>
      <c r="I3" s="1" t="s">
        <v>5</v>
      </c>
      <c r="J3" s="1" t="s">
        <v>28</v>
      </c>
      <c r="K3" s="1">
        <v>1</v>
      </c>
      <c r="L3" s="5">
        <v>200</v>
      </c>
      <c r="M3" s="3" t="s">
        <v>51</v>
      </c>
    </row>
    <row r="4" spans="1:13" ht="15.75" thickBot="1" x14ac:dyDescent="0.3">
      <c r="A4" s="3">
        <v>4</v>
      </c>
      <c r="B4" s="3" t="s">
        <v>52</v>
      </c>
      <c r="C4" s="1" t="s">
        <v>50</v>
      </c>
      <c r="D4" s="1">
        <v>1</v>
      </c>
      <c r="E4" s="5">
        <v>180</v>
      </c>
      <c r="F4" s="3" t="s">
        <v>85</v>
      </c>
      <c r="H4" s="3">
        <v>4</v>
      </c>
      <c r="I4" s="1" t="s">
        <v>5</v>
      </c>
      <c r="J4" s="1" t="s">
        <v>19</v>
      </c>
      <c r="K4" s="1">
        <v>7</v>
      </c>
      <c r="L4" s="5">
        <v>105</v>
      </c>
      <c r="M4" s="3" t="s">
        <v>51</v>
      </c>
    </row>
    <row r="5" spans="1:13" ht="15.75" thickBot="1" x14ac:dyDescent="0.3">
      <c r="A5" s="292" t="s">
        <v>41</v>
      </c>
      <c r="B5" s="297"/>
      <c r="C5" s="297"/>
      <c r="D5" s="293"/>
      <c r="E5" s="15">
        <f>SUM(E2:E4)</f>
        <v>1190</v>
      </c>
      <c r="H5" s="3">
        <v>5</v>
      </c>
      <c r="I5" s="1" t="s">
        <v>5</v>
      </c>
      <c r="J5" s="1" t="s">
        <v>43</v>
      </c>
      <c r="K5" s="1">
        <v>1</v>
      </c>
      <c r="L5" s="5">
        <v>20</v>
      </c>
      <c r="M5" s="3" t="s">
        <v>51</v>
      </c>
    </row>
    <row r="6" spans="1:13" ht="15.75" thickBot="1" x14ac:dyDescent="0.3">
      <c r="H6" s="292" t="s">
        <v>41</v>
      </c>
      <c r="I6" s="297"/>
      <c r="J6" s="297"/>
      <c r="K6" s="293"/>
      <c r="L6" s="15">
        <f>SUM(L2:L5)</f>
        <v>405</v>
      </c>
    </row>
    <row r="7" spans="1:13" ht="15.75" thickBot="1" x14ac:dyDescent="0.3">
      <c r="A7" s="292" t="s">
        <v>39</v>
      </c>
      <c r="B7" s="293"/>
      <c r="F7" s="14" t="s">
        <v>40</v>
      </c>
    </row>
    <row r="8" spans="1:13" ht="15.75" thickBot="1" x14ac:dyDescent="0.3">
      <c r="H8" s="292" t="s">
        <v>39</v>
      </c>
      <c r="I8" s="293"/>
      <c r="M8" s="14" t="s">
        <v>40</v>
      </c>
    </row>
    <row r="9" spans="1:13" ht="19.5" thickBot="1" x14ac:dyDescent="0.35">
      <c r="A9" s="10" t="s">
        <v>0</v>
      </c>
      <c r="B9" s="11" t="s">
        <v>3</v>
      </c>
      <c r="C9" s="11" t="s">
        <v>1</v>
      </c>
      <c r="D9" s="11" t="s">
        <v>26</v>
      </c>
      <c r="E9" s="11" t="s">
        <v>23</v>
      </c>
      <c r="F9" s="12" t="s">
        <v>27</v>
      </c>
    </row>
    <row r="10" spans="1:13" x14ac:dyDescent="0.25">
      <c r="A10" s="3">
        <v>1</v>
      </c>
      <c r="B10" s="3" t="s">
        <v>119</v>
      </c>
      <c r="C10" s="3" t="s">
        <v>32</v>
      </c>
      <c r="D10" s="3">
        <v>8</v>
      </c>
      <c r="E10" s="4">
        <v>1440</v>
      </c>
      <c r="F10" s="3" t="s">
        <v>85</v>
      </c>
    </row>
    <row r="11" spans="1:13" x14ac:dyDescent="0.25">
      <c r="A11" s="3">
        <v>2</v>
      </c>
      <c r="B11" s="3" t="s">
        <v>119</v>
      </c>
      <c r="C11" s="1" t="s">
        <v>33</v>
      </c>
      <c r="D11" s="1">
        <v>2</v>
      </c>
      <c r="E11" s="5">
        <v>40</v>
      </c>
      <c r="F11" s="3" t="s">
        <v>85</v>
      </c>
    </row>
    <row r="12" spans="1:13" ht="15.75" thickBot="1" x14ac:dyDescent="0.3">
      <c r="A12" s="3"/>
      <c r="B12" s="3"/>
      <c r="C12" s="1"/>
      <c r="D12" s="1"/>
      <c r="E12" s="5"/>
      <c r="F12" s="3" t="s">
        <v>85</v>
      </c>
    </row>
    <row r="13" spans="1:13" ht="15.75" thickBot="1" x14ac:dyDescent="0.3">
      <c r="A13" s="292" t="s">
        <v>41</v>
      </c>
      <c r="B13" s="297"/>
      <c r="C13" s="297"/>
      <c r="D13" s="293"/>
      <c r="E13" s="15">
        <f>SUM(E10:E12)</f>
        <v>1480</v>
      </c>
    </row>
    <row r="14" spans="1:13" ht="15.75" thickBot="1" x14ac:dyDescent="0.3"/>
    <row r="15" spans="1:13" ht="15.75" thickBot="1" x14ac:dyDescent="0.3">
      <c r="A15" s="292" t="s">
        <v>39</v>
      </c>
      <c r="B15" s="293"/>
      <c r="F15" s="14" t="s">
        <v>40</v>
      </c>
    </row>
    <row r="17" spans="1:6" ht="15.75" thickBot="1" x14ac:dyDescent="0.3"/>
    <row r="18" spans="1:6" ht="19.5" thickBot="1" x14ac:dyDescent="0.35">
      <c r="A18" s="10" t="s">
        <v>0</v>
      </c>
      <c r="B18" s="11" t="s">
        <v>3</v>
      </c>
      <c r="C18" s="11" t="s">
        <v>1</v>
      </c>
      <c r="D18" s="11" t="s">
        <v>26</v>
      </c>
      <c r="E18" s="11" t="s">
        <v>23</v>
      </c>
      <c r="F18" s="12" t="s">
        <v>27</v>
      </c>
    </row>
    <row r="19" spans="1:6" x14ac:dyDescent="0.25">
      <c r="A19" s="3">
        <v>1</v>
      </c>
      <c r="B19" s="3" t="s">
        <v>233</v>
      </c>
      <c r="C19" s="3" t="s">
        <v>254</v>
      </c>
      <c r="D19" s="3">
        <v>4</v>
      </c>
      <c r="E19" s="4">
        <v>800</v>
      </c>
      <c r="F19" s="3" t="s">
        <v>85</v>
      </c>
    </row>
    <row r="20" spans="1:6" x14ac:dyDescent="0.25">
      <c r="A20" s="3">
        <v>2</v>
      </c>
      <c r="B20" s="3" t="s">
        <v>233</v>
      </c>
      <c r="C20" s="1" t="s">
        <v>19</v>
      </c>
      <c r="D20" s="1">
        <v>15</v>
      </c>
      <c r="E20" s="5">
        <v>225</v>
      </c>
      <c r="F20" s="3" t="s">
        <v>85</v>
      </c>
    </row>
    <row r="21" spans="1:6" ht="15.75" thickBot="1" x14ac:dyDescent="0.3">
      <c r="A21" s="3">
        <v>3</v>
      </c>
      <c r="B21" s="3" t="s">
        <v>233</v>
      </c>
      <c r="C21" s="1" t="s">
        <v>33</v>
      </c>
      <c r="D21" s="1">
        <v>1</v>
      </c>
      <c r="E21" s="5">
        <v>20</v>
      </c>
      <c r="F21" s="3" t="s">
        <v>85</v>
      </c>
    </row>
    <row r="22" spans="1:6" ht="15.75" thickBot="1" x14ac:dyDescent="0.3">
      <c r="A22" s="292" t="s">
        <v>41</v>
      </c>
      <c r="B22" s="297"/>
      <c r="C22" s="297"/>
      <c r="D22" s="293"/>
      <c r="E22" s="15">
        <f>SUM(E19:E21)</f>
        <v>1045</v>
      </c>
    </row>
    <row r="23" spans="1:6" ht="15.75" thickBot="1" x14ac:dyDescent="0.3"/>
    <row r="24" spans="1:6" ht="15.75" thickBot="1" x14ac:dyDescent="0.3">
      <c r="A24" s="292" t="s">
        <v>39</v>
      </c>
      <c r="B24" s="293"/>
      <c r="F24" s="14" t="s">
        <v>40</v>
      </c>
    </row>
    <row r="25" spans="1:6" ht="15.75" thickBot="1" x14ac:dyDescent="0.3"/>
    <row r="26" spans="1:6" ht="19.5" thickBot="1" x14ac:dyDescent="0.35">
      <c r="A26" s="10" t="s">
        <v>0</v>
      </c>
      <c r="B26" s="11" t="s">
        <v>3</v>
      </c>
      <c r="C26" s="11" t="s">
        <v>1</v>
      </c>
      <c r="D26" s="11" t="s">
        <v>26</v>
      </c>
      <c r="E26" s="11" t="s">
        <v>23</v>
      </c>
      <c r="F26" s="12" t="s">
        <v>27</v>
      </c>
    </row>
    <row r="27" spans="1:6" ht="15.75" thickBot="1" x14ac:dyDescent="0.3">
      <c r="A27" s="3">
        <v>1</v>
      </c>
      <c r="B27" s="67">
        <v>45658</v>
      </c>
      <c r="C27" s="3" t="s">
        <v>19</v>
      </c>
      <c r="D27" s="3">
        <v>14</v>
      </c>
      <c r="E27" s="4">
        <f>D27*15</f>
        <v>210</v>
      </c>
      <c r="F27" s="3" t="s">
        <v>85</v>
      </c>
    </row>
    <row r="28" spans="1:6" ht="15.75" thickBot="1" x14ac:dyDescent="0.3">
      <c r="A28" s="292" t="s">
        <v>41</v>
      </c>
      <c r="B28" s="297"/>
      <c r="C28" s="297"/>
      <c r="D28" s="293"/>
      <c r="E28" s="15">
        <f>SUM(E27:E27)</f>
        <v>210</v>
      </c>
    </row>
    <row r="29" spans="1:6" ht="15.75" thickBot="1" x14ac:dyDescent="0.3"/>
    <row r="30" spans="1:6" ht="15.75" thickBot="1" x14ac:dyDescent="0.3">
      <c r="A30" s="292" t="s">
        <v>39</v>
      </c>
      <c r="B30" s="293"/>
      <c r="F30" s="14" t="s">
        <v>40</v>
      </c>
    </row>
    <row r="31" spans="1:6" ht="15.75" thickBot="1" x14ac:dyDescent="0.3"/>
    <row r="32" spans="1:6" ht="19.5" thickBot="1" x14ac:dyDescent="0.35">
      <c r="A32" s="10" t="s">
        <v>0</v>
      </c>
      <c r="B32" s="11" t="s">
        <v>3</v>
      </c>
      <c r="C32" s="11" t="s">
        <v>1</v>
      </c>
      <c r="D32" s="11" t="s">
        <v>26</v>
      </c>
      <c r="E32" s="11" t="s">
        <v>23</v>
      </c>
      <c r="F32" s="12" t="s">
        <v>27</v>
      </c>
    </row>
    <row r="33" spans="1:6" x14ac:dyDescent="0.25">
      <c r="A33" s="3">
        <v>1</v>
      </c>
      <c r="B33" s="67">
        <v>46028</v>
      </c>
      <c r="C33" s="3" t="s">
        <v>109</v>
      </c>
      <c r="D33" s="3">
        <v>2</v>
      </c>
      <c r="E33" s="4">
        <f>D33*180</f>
        <v>360</v>
      </c>
      <c r="F33" s="3" t="s">
        <v>85</v>
      </c>
    </row>
    <row r="34" spans="1:6" x14ac:dyDescent="0.25">
      <c r="A34" s="3">
        <v>2</v>
      </c>
      <c r="B34" s="67">
        <v>46028</v>
      </c>
      <c r="C34" s="1" t="s">
        <v>19</v>
      </c>
      <c r="D34" s="1">
        <v>7</v>
      </c>
      <c r="E34" s="5">
        <f>D34*15</f>
        <v>105</v>
      </c>
      <c r="F34" s="3" t="s">
        <v>85</v>
      </c>
    </row>
    <row r="35" spans="1:6" x14ac:dyDescent="0.25">
      <c r="A35" s="3">
        <v>3</v>
      </c>
      <c r="B35" s="67">
        <v>46028</v>
      </c>
      <c r="C35" s="1" t="s">
        <v>14</v>
      </c>
      <c r="D35" s="1">
        <v>3</v>
      </c>
      <c r="E35" s="5">
        <f>D35*80</f>
        <v>240</v>
      </c>
      <c r="F35" s="3" t="s">
        <v>85</v>
      </c>
    </row>
    <row r="36" spans="1:6" x14ac:dyDescent="0.25">
      <c r="A36" s="3">
        <v>4</v>
      </c>
      <c r="B36" s="67">
        <v>46028</v>
      </c>
      <c r="C36" s="1" t="s">
        <v>33</v>
      </c>
      <c r="D36" s="1">
        <v>2</v>
      </c>
      <c r="E36" s="5">
        <f>D36*30</f>
        <v>60</v>
      </c>
      <c r="F36" s="3" t="s">
        <v>85</v>
      </c>
    </row>
    <row r="37" spans="1:6" ht="15.75" thickBot="1" x14ac:dyDescent="0.3">
      <c r="A37" s="289" t="s">
        <v>41</v>
      </c>
      <c r="B37" s="290"/>
      <c r="C37" s="290"/>
      <c r="D37" s="291"/>
      <c r="E37" s="25">
        <f>SUM(E33:E36)</f>
        <v>765</v>
      </c>
    </row>
    <row r="38" spans="1:6" ht="15.75" thickBot="1" x14ac:dyDescent="0.3"/>
    <row r="39" spans="1:6" ht="15.75" thickBot="1" x14ac:dyDescent="0.3">
      <c r="A39" s="292" t="s">
        <v>39</v>
      </c>
      <c r="B39" s="293"/>
      <c r="F39" s="14" t="s">
        <v>40</v>
      </c>
    </row>
    <row r="40" spans="1:6" ht="15.75" thickBot="1" x14ac:dyDescent="0.3"/>
    <row r="41" spans="1:6" ht="19.5" thickBot="1" x14ac:dyDescent="0.35">
      <c r="A41" s="10" t="s">
        <v>0</v>
      </c>
      <c r="B41" s="11" t="s">
        <v>3</v>
      </c>
      <c r="C41" s="11" t="s">
        <v>1</v>
      </c>
      <c r="D41" s="11" t="s">
        <v>26</v>
      </c>
      <c r="E41" s="11" t="s">
        <v>23</v>
      </c>
      <c r="F41" s="12" t="s">
        <v>27</v>
      </c>
    </row>
    <row r="42" spans="1:6" x14ac:dyDescent="0.25">
      <c r="A42" s="3">
        <v>1</v>
      </c>
      <c r="B42" s="67">
        <v>46035</v>
      </c>
      <c r="C42" s="3" t="s">
        <v>439</v>
      </c>
      <c r="D42" s="3">
        <v>1</v>
      </c>
      <c r="E42" s="4">
        <f>D42*180</f>
        <v>180</v>
      </c>
      <c r="F42" s="3" t="s">
        <v>85</v>
      </c>
    </row>
    <row r="43" spans="1:6" x14ac:dyDescent="0.25">
      <c r="A43" s="3">
        <v>2</v>
      </c>
      <c r="B43" s="67">
        <v>46035</v>
      </c>
      <c r="C43" s="1" t="s">
        <v>19</v>
      </c>
      <c r="D43" s="1">
        <v>4</v>
      </c>
      <c r="E43" s="5">
        <f>D43*15</f>
        <v>60</v>
      </c>
      <c r="F43" s="3" t="s">
        <v>85</v>
      </c>
    </row>
    <row r="44" spans="1:6" x14ac:dyDescent="0.25">
      <c r="A44" s="3">
        <v>3</v>
      </c>
      <c r="B44" s="67">
        <v>46035</v>
      </c>
      <c r="C44" s="1" t="s">
        <v>724</v>
      </c>
      <c r="D44" s="1">
        <v>1</v>
      </c>
      <c r="E44" s="5">
        <f>D44*250</f>
        <v>250</v>
      </c>
      <c r="F44" s="3" t="s">
        <v>85</v>
      </c>
    </row>
    <row r="45" spans="1:6" x14ac:dyDescent="0.25">
      <c r="A45" s="3">
        <v>4</v>
      </c>
      <c r="B45" s="67">
        <v>46035</v>
      </c>
      <c r="C45" s="1" t="s">
        <v>33</v>
      </c>
      <c r="D45" s="1">
        <v>1</v>
      </c>
      <c r="E45" s="5">
        <f>D45*30</f>
        <v>30</v>
      </c>
      <c r="F45" s="3" t="s">
        <v>85</v>
      </c>
    </row>
    <row r="46" spans="1:6" ht="15.75" thickBot="1" x14ac:dyDescent="0.3">
      <c r="A46" s="289" t="s">
        <v>41</v>
      </c>
      <c r="B46" s="290"/>
      <c r="C46" s="290"/>
      <c r="D46" s="291"/>
      <c r="E46" s="25">
        <f>SUM(E42:E45)</f>
        <v>520</v>
      </c>
    </row>
    <row r="47" spans="1:6" ht="15.75" thickBot="1" x14ac:dyDescent="0.3"/>
    <row r="48" spans="1:6" ht="15.75" thickBot="1" x14ac:dyDescent="0.3">
      <c r="A48" s="292" t="s">
        <v>39</v>
      </c>
      <c r="B48" s="293"/>
      <c r="F48" s="14" t="s">
        <v>40</v>
      </c>
    </row>
    <row r="49" spans="1:6" ht="15.75" thickBot="1" x14ac:dyDescent="0.3"/>
    <row r="50" spans="1:6" ht="19.5" thickBot="1" x14ac:dyDescent="0.35">
      <c r="A50" s="10" t="s">
        <v>0</v>
      </c>
      <c r="B50" s="11" t="s">
        <v>3</v>
      </c>
      <c r="C50" s="11" t="s">
        <v>1</v>
      </c>
      <c r="D50" s="11" t="s">
        <v>26</v>
      </c>
      <c r="E50" s="11" t="s">
        <v>23</v>
      </c>
      <c r="F50" s="12" t="s">
        <v>27</v>
      </c>
    </row>
    <row r="51" spans="1:6" x14ac:dyDescent="0.25">
      <c r="A51" s="3">
        <v>1</v>
      </c>
      <c r="B51" s="67">
        <v>46035</v>
      </c>
      <c r="C51" s="3" t="s">
        <v>724</v>
      </c>
      <c r="D51" s="3">
        <v>5</v>
      </c>
      <c r="E51" s="4">
        <f>D51*250</f>
        <v>1250</v>
      </c>
      <c r="F51" s="3" t="s">
        <v>85</v>
      </c>
    </row>
    <row r="52" spans="1:6" x14ac:dyDescent="0.25">
      <c r="A52" s="3">
        <v>2</v>
      </c>
      <c r="B52" s="67">
        <v>46035</v>
      </c>
      <c r="C52" s="1" t="s">
        <v>33</v>
      </c>
      <c r="D52" s="1">
        <v>1</v>
      </c>
      <c r="E52" s="5">
        <f>D52*30</f>
        <v>30</v>
      </c>
      <c r="F52" s="3" t="s">
        <v>85</v>
      </c>
    </row>
    <row r="53" spans="1:6" ht="15.75" thickBot="1" x14ac:dyDescent="0.3">
      <c r="A53" s="289" t="s">
        <v>41</v>
      </c>
      <c r="B53" s="290"/>
      <c r="C53" s="290"/>
      <c r="D53" s="291"/>
      <c r="E53" s="25">
        <f>SUM(E51:E52)</f>
        <v>1280</v>
      </c>
    </row>
    <row r="54" spans="1:6" ht="15.75" thickBot="1" x14ac:dyDescent="0.3"/>
    <row r="55" spans="1:6" ht="15.75" thickBot="1" x14ac:dyDescent="0.3">
      <c r="A55" s="292" t="s">
        <v>39</v>
      </c>
      <c r="B55" s="293"/>
      <c r="F55" s="14" t="s">
        <v>40</v>
      </c>
    </row>
    <row r="56" spans="1:6" ht="15.75" thickBot="1" x14ac:dyDescent="0.3"/>
    <row r="57" spans="1:6" ht="19.5" thickBot="1" x14ac:dyDescent="0.35">
      <c r="A57" s="10" t="s">
        <v>0</v>
      </c>
      <c r="B57" s="11" t="s">
        <v>3</v>
      </c>
      <c r="C57" s="11" t="s">
        <v>1</v>
      </c>
      <c r="D57" s="11" t="s">
        <v>26</v>
      </c>
      <c r="E57" s="11" t="s">
        <v>23</v>
      </c>
      <c r="F57" s="12" t="s">
        <v>27</v>
      </c>
    </row>
    <row r="58" spans="1:6" x14ac:dyDescent="0.25">
      <c r="A58" s="3">
        <v>1</v>
      </c>
      <c r="B58" s="67">
        <v>46036</v>
      </c>
      <c r="C58" s="3" t="s">
        <v>740</v>
      </c>
      <c r="D58" s="3">
        <v>1</v>
      </c>
      <c r="E58" s="4">
        <f>D58*320</f>
        <v>320</v>
      </c>
      <c r="F58" s="3" t="s">
        <v>85</v>
      </c>
    </row>
    <row r="59" spans="1:6" x14ac:dyDescent="0.25">
      <c r="A59" s="3">
        <v>2</v>
      </c>
      <c r="B59" s="67">
        <v>46036</v>
      </c>
      <c r="C59" s="1" t="s">
        <v>178</v>
      </c>
      <c r="D59" s="1">
        <v>1</v>
      </c>
      <c r="E59" s="5">
        <v>50</v>
      </c>
      <c r="F59" s="3" t="s">
        <v>85</v>
      </c>
    </row>
    <row r="60" spans="1:6" x14ac:dyDescent="0.25">
      <c r="A60" s="3">
        <v>3</v>
      </c>
      <c r="B60" s="67">
        <v>46036</v>
      </c>
      <c r="C60" s="1" t="s">
        <v>33</v>
      </c>
      <c r="D60" s="1">
        <v>1</v>
      </c>
      <c r="E60" s="5">
        <v>30</v>
      </c>
      <c r="F60" s="3" t="s">
        <v>85</v>
      </c>
    </row>
    <row r="61" spans="1:6" ht="15.75" thickBot="1" x14ac:dyDescent="0.3">
      <c r="A61" s="289" t="s">
        <v>41</v>
      </c>
      <c r="B61" s="290"/>
      <c r="C61" s="290"/>
      <c r="D61" s="291"/>
      <c r="E61" s="25">
        <f>SUM(E58:E60)</f>
        <v>400</v>
      </c>
    </row>
    <row r="62" spans="1:6" ht="15.75" thickBot="1" x14ac:dyDescent="0.3"/>
    <row r="63" spans="1:6" ht="15.75" thickBot="1" x14ac:dyDescent="0.3">
      <c r="A63" s="292" t="s">
        <v>39</v>
      </c>
      <c r="B63" s="293"/>
      <c r="F63" s="14" t="s">
        <v>40</v>
      </c>
    </row>
    <row r="64" spans="1:6" ht="15.75" thickBot="1" x14ac:dyDescent="0.3"/>
    <row r="65" spans="1:6" ht="19.5" thickBot="1" x14ac:dyDescent="0.35">
      <c r="A65" s="10" t="s">
        <v>0</v>
      </c>
      <c r="B65" s="11" t="s">
        <v>3</v>
      </c>
      <c r="C65" s="11" t="s">
        <v>1</v>
      </c>
      <c r="D65" s="11" t="s">
        <v>26</v>
      </c>
      <c r="E65" s="11" t="s">
        <v>23</v>
      </c>
      <c r="F65" s="12" t="s">
        <v>27</v>
      </c>
    </row>
    <row r="66" spans="1:6" x14ac:dyDescent="0.25">
      <c r="A66" s="3">
        <v>1</v>
      </c>
      <c r="B66" s="67">
        <v>46036</v>
      </c>
      <c r="C66" s="3" t="s">
        <v>291</v>
      </c>
      <c r="D66" s="3">
        <v>2</v>
      </c>
      <c r="E66" s="4">
        <f>D66*180</f>
        <v>360</v>
      </c>
      <c r="F66" s="3" t="s">
        <v>85</v>
      </c>
    </row>
    <row r="67" spans="1:6" x14ac:dyDescent="0.25">
      <c r="A67" s="3">
        <v>2</v>
      </c>
      <c r="B67" s="67">
        <v>46036</v>
      </c>
      <c r="C67" s="1" t="s">
        <v>19</v>
      </c>
      <c r="D67" s="1">
        <v>9</v>
      </c>
      <c r="E67" s="5">
        <f>D67*15</f>
        <v>135</v>
      </c>
      <c r="F67" s="3" t="s">
        <v>85</v>
      </c>
    </row>
    <row r="68" spans="1:6" ht="15.75" thickBot="1" x14ac:dyDescent="0.3">
      <c r="A68" s="289" t="s">
        <v>41</v>
      </c>
      <c r="B68" s="290"/>
      <c r="C68" s="290"/>
      <c r="D68" s="291"/>
      <c r="E68" s="25">
        <f>SUM(E66:E67)</f>
        <v>495</v>
      </c>
    </row>
    <row r="69" spans="1:6" ht="15.75" thickBot="1" x14ac:dyDescent="0.3"/>
    <row r="70" spans="1:6" ht="15.75" thickBot="1" x14ac:dyDescent="0.3">
      <c r="A70" s="292" t="s">
        <v>39</v>
      </c>
      <c r="B70" s="293"/>
      <c r="F70" s="14" t="s">
        <v>40</v>
      </c>
    </row>
    <row r="71" spans="1:6" ht="15.75" thickBot="1" x14ac:dyDescent="0.3"/>
    <row r="72" spans="1:6" ht="19.5" thickBot="1" x14ac:dyDescent="0.35">
      <c r="A72" s="10" t="s">
        <v>0</v>
      </c>
      <c r="B72" s="11" t="s">
        <v>3</v>
      </c>
      <c r="C72" s="11" t="s">
        <v>1</v>
      </c>
      <c r="D72" s="11" t="s">
        <v>26</v>
      </c>
      <c r="E72" s="11" t="s">
        <v>23</v>
      </c>
      <c r="F72" s="12" t="s">
        <v>27</v>
      </c>
    </row>
    <row r="73" spans="1:6" x14ac:dyDescent="0.25">
      <c r="A73" s="3">
        <v>1</v>
      </c>
      <c r="B73" s="67">
        <v>46037</v>
      </c>
      <c r="C73" s="3" t="s">
        <v>778</v>
      </c>
      <c r="D73" s="3">
        <v>1</v>
      </c>
      <c r="E73" s="4">
        <f>D73*180</f>
        <v>180</v>
      </c>
      <c r="F73" s="3" t="s">
        <v>85</v>
      </c>
    </row>
    <row r="74" spans="1:6" x14ac:dyDescent="0.25">
      <c r="A74" s="3">
        <v>2</v>
      </c>
      <c r="B74" s="67">
        <v>46037</v>
      </c>
      <c r="C74" s="1" t="s">
        <v>19</v>
      </c>
      <c r="D74" s="1">
        <v>3</v>
      </c>
      <c r="E74" s="5">
        <f>D74*15</f>
        <v>45</v>
      </c>
      <c r="F74" s="3" t="s">
        <v>85</v>
      </c>
    </row>
    <row r="75" spans="1:6" x14ac:dyDescent="0.25">
      <c r="A75" s="3">
        <v>3</v>
      </c>
      <c r="B75" s="67">
        <v>46037</v>
      </c>
      <c r="C75" s="1" t="s">
        <v>33</v>
      </c>
      <c r="D75" s="1">
        <v>1</v>
      </c>
      <c r="E75" s="5">
        <v>30</v>
      </c>
      <c r="F75" s="3" t="s">
        <v>85</v>
      </c>
    </row>
    <row r="76" spans="1:6" ht="15.75" thickBot="1" x14ac:dyDescent="0.3">
      <c r="A76" s="289" t="s">
        <v>41</v>
      </c>
      <c r="B76" s="290"/>
      <c r="C76" s="290"/>
      <c r="D76" s="291"/>
      <c r="E76" s="25">
        <f>SUM(E73:E75)</f>
        <v>255</v>
      </c>
    </row>
    <row r="77" spans="1:6" ht="15.75" thickBot="1" x14ac:dyDescent="0.3"/>
    <row r="78" spans="1:6" ht="15.75" thickBot="1" x14ac:dyDescent="0.3">
      <c r="A78" s="292" t="s">
        <v>39</v>
      </c>
      <c r="B78" s="293"/>
      <c r="F78" s="14" t="s">
        <v>40</v>
      </c>
    </row>
  </sheetData>
  <mergeCells count="22">
    <mergeCell ref="A55:B55"/>
    <mergeCell ref="A5:D5"/>
    <mergeCell ref="A7:B7"/>
    <mergeCell ref="A13:D13"/>
    <mergeCell ref="A15:B15"/>
    <mergeCell ref="A22:D22"/>
    <mergeCell ref="A76:D76"/>
    <mergeCell ref="A78:B78"/>
    <mergeCell ref="A37:D37"/>
    <mergeCell ref="A39:B39"/>
    <mergeCell ref="H6:K6"/>
    <mergeCell ref="H8:I8"/>
    <mergeCell ref="A28:D28"/>
    <mergeCell ref="A30:B30"/>
    <mergeCell ref="A24:B24"/>
    <mergeCell ref="A61:D61"/>
    <mergeCell ref="A63:B63"/>
    <mergeCell ref="A68:D68"/>
    <mergeCell ref="A70:B70"/>
    <mergeCell ref="A46:D46"/>
    <mergeCell ref="A48:B48"/>
    <mergeCell ref="A53:D53"/>
  </mergeCells>
  <pageMargins left="0.70866141732283472" right="0.70866141732283472" top="0.74803149606299213" bottom="0.74803149606299213" header="0.31496062992125984" footer="0.31496062992125984"/>
  <pageSetup scale="126" orientation="portrait" horizontalDpi="4294967295" verticalDpi="4294967295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zoomScale="184" zoomScaleNormal="184" workbookViewId="0">
      <selection activeCell="D14" sqref="D14"/>
    </sheetView>
  </sheetViews>
  <sheetFormatPr defaultRowHeight="15" x14ac:dyDescent="0.25"/>
  <cols>
    <col min="1" max="1" width="4.140625" bestFit="1" customWidth="1"/>
    <col min="2" max="2" width="11.85546875" bestFit="1" customWidth="1"/>
    <col min="3" max="3" width="12.42578125" bestFit="1" customWidth="1"/>
    <col min="4" max="4" width="13" bestFit="1" customWidth="1"/>
    <col min="5" max="5" width="20.85546875" bestFit="1" customWidth="1"/>
  </cols>
  <sheetData>
    <row r="1" spans="1:5" ht="18.75" x14ac:dyDescent="0.3">
      <c r="A1" s="321" t="s">
        <v>578</v>
      </c>
      <c r="B1" s="321"/>
      <c r="C1" s="321"/>
      <c r="D1" s="321"/>
      <c r="E1" s="321"/>
    </row>
    <row r="2" spans="1:5" x14ac:dyDescent="0.25">
      <c r="A2" s="2" t="s">
        <v>0</v>
      </c>
      <c r="B2" s="2" t="s">
        <v>3</v>
      </c>
      <c r="C2" s="2" t="s">
        <v>24</v>
      </c>
      <c r="D2" s="2" t="s">
        <v>8</v>
      </c>
      <c r="E2" s="2" t="s">
        <v>540</v>
      </c>
    </row>
    <row r="3" spans="1:5" x14ac:dyDescent="0.25">
      <c r="A3" s="1">
        <v>1</v>
      </c>
      <c r="B3" s="66">
        <v>46023</v>
      </c>
      <c r="C3" s="66" t="s">
        <v>591</v>
      </c>
      <c r="D3" s="5">
        <v>210</v>
      </c>
      <c r="E3" s="1" t="s">
        <v>85</v>
      </c>
    </row>
    <row r="4" spans="1:5" x14ac:dyDescent="0.25">
      <c r="A4" s="1">
        <v>2</v>
      </c>
      <c r="B4" s="66">
        <v>46028</v>
      </c>
      <c r="C4" s="66" t="s">
        <v>591</v>
      </c>
      <c r="D4" s="5">
        <v>765</v>
      </c>
      <c r="E4" s="1" t="s">
        <v>85</v>
      </c>
    </row>
    <row r="5" spans="1:5" x14ac:dyDescent="0.25">
      <c r="A5" s="1">
        <v>3</v>
      </c>
      <c r="B5" s="66">
        <v>46035</v>
      </c>
      <c r="C5" s="66" t="s">
        <v>591</v>
      </c>
      <c r="D5" s="5">
        <v>1280</v>
      </c>
      <c r="E5" s="1" t="s">
        <v>85</v>
      </c>
    </row>
    <row r="6" spans="1:5" x14ac:dyDescent="0.25">
      <c r="A6" s="1">
        <v>4</v>
      </c>
      <c r="B6" s="66">
        <v>46035</v>
      </c>
      <c r="C6" s="66" t="s">
        <v>591</v>
      </c>
      <c r="D6" s="5">
        <v>520</v>
      </c>
      <c r="E6" s="1" t="s">
        <v>85</v>
      </c>
    </row>
    <row r="7" spans="1:5" x14ac:dyDescent="0.25">
      <c r="A7" s="1">
        <v>5</v>
      </c>
      <c r="B7" s="66">
        <v>46036</v>
      </c>
      <c r="C7" s="66" t="s">
        <v>591</v>
      </c>
      <c r="D7" s="5">
        <v>495</v>
      </c>
      <c r="E7" s="1" t="s">
        <v>85</v>
      </c>
    </row>
    <row r="8" spans="1:5" x14ac:dyDescent="0.25">
      <c r="A8" s="1">
        <v>6</v>
      </c>
      <c r="B8" s="66">
        <v>46036</v>
      </c>
      <c r="C8" s="66" t="s">
        <v>591</v>
      </c>
      <c r="D8" s="5">
        <v>400</v>
      </c>
      <c r="E8" s="1" t="s">
        <v>85</v>
      </c>
    </row>
    <row r="9" spans="1:5" x14ac:dyDescent="0.25">
      <c r="A9" s="1">
        <v>7</v>
      </c>
      <c r="B9" s="66">
        <v>46037</v>
      </c>
      <c r="C9" s="66" t="s">
        <v>591</v>
      </c>
      <c r="D9" s="5">
        <v>255</v>
      </c>
      <c r="E9" s="1" t="s">
        <v>85</v>
      </c>
    </row>
    <row r="10" spans="1:5" ht="19.5" thickBot="1" x14ac:dyDescent="0.35">
      <c r="A10" s="322" t="s">
        <v>41</v>
      </c>
      <c r="B10" s="323"/>
      <c r="C10" s="324"/>
      <c r="D10" s="115">
        <f>SUM(D3:D9)</f>
        <v>3925</v>
      </c>
      <c r="E10" s="1"/>
    </row>
    <row r="11" spans="1:5" ht="15.75" thickBot="1" x14ac:dyDescent="0.3">
      <c r="A11" s="292" t="s">
        <v>39</v>
      </c>
      <c r="B11" s="293"/>
      <c r="E11" s="14" t="s">
        <v>40</v>
      </c>
    </row>
    <row r="14" spans="1:5" ht="15.75" thickBot="1" x14ac:dyDescent="0.3"/>
    <row r="15" spans="1:5" ht="15.75" thickBot="1" x14ac:dyDescent="0.3">
      <c r="A15" s="292" t="s">
        <v>958</v>
      </c>
      <c r="B15" s="293"/>
    </row>
  </sheetData>
  <mergeCells count="4">
    <mergeCell ref="A1:E1"/>
    <mergeCell ref="A10:C10"/>
    <mergeCell ref="A11:B11"/>
    <mergeCell ref="A15:B15"/>
  </mergeCells>
  <pageMargins left="0.70866141732283472" right="0.70866141732283472" top="0.74803149606299213" bottom="0.74803149606299213" header="0.31496062992125984" footer="0.31496062992125984"/>
  <pageSetup scale="126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7"/>
  <sheetViews>
    <sheetView topLeftCell="A156" zoomScaleNormal="100" workbookViewId="0">
      <selection activeCell="A156" sqref="A156:F156"/>
    </sheetView>
  </sheetViews>
  <sheetFormatPr defaultRowHeight="15" x14ac:dyDescent="0.25"/>
  <cols>
    <col min="1" max="1" width="5.42578125" bestFit="1" customWidth="1"/>
    <col min="2" max="2" width="11.5703125" bestFit="1" customWidth="1"/>
    <col min="3" max="3" width="14.5703125" bestFit="1" customWidth="1"/>
    <col min="6" max="6" width="29.140625" bestFit="1" customWidth="1"/>
  </cols>
  <sheetData>
    <row r="1" spans="1:6" ht="19.5" thickBot="1" x14ac:dyDescent="0.35">
      <c r="A1" s="10" t="s">
        <v>0</v>
      </c>
      <c r="B1" s="11" t="s">
        <v>3</v>
      </c>
      <c r="C1" s="11" t="s">
        <v>1</v>
      </c>
      <c r="D1" s="11" t="s">
        <v>26</v>
      </c>
      <c r="E1" s="11" t="s">
        <v>23</v>
      </c>
      <c r="F1" s="12" t="s">
        <v>27</v>
      </c>
    </row>
    <row r="2" spans="1:6" x14ac:dyDescent="0.25">
      <c r="A2" s="3">
        <v>1</v>
      </c>
      <c r="B2" s="3" t="s">
        <v>5</v>
      </c>
      <c r="C2" s="3" t="s">
        <v>144</v>
      </c>
      <c r="D2" s="3">
        <v>1</v>
      </c>
      <c r="E2" s="4">
        <v>50</v>
      </c>
      <c r="F2" s="3" t="s">
        <v>142</v>
      </c>
    </row>
    <row r="3" spans="1:6" x14ac:dyDescent="0.25">
      <c r="A3" s="3">
        <v>2</v>
      </c>
      <c r="B3" s="3" t="s">
        <v>5</v>
      </c>
      <c r="C3" s="1" t="s">
        <v>82</v>
      </c>
      <c r="D3" s="1">
        <v>1</v>
      </c>
      <c r="E3" s="5">
        <v>120</v>
      </c>
      <c r="F3" s="3" t="s">
        <v>142</v>
      </c>
    </row>
    <row r="4" spans="1:6" ht="15.75" thickBot="1" x14ac:dyDescent="0.3">
      <c r="A4" s="3">
        <v>4</v>
      </c>
      <c r="B4" s="3" t="s">
        <v>5</v>
      </c>
      <c r="C4" s="1" t="s">
        <v>83</v>
      </c>
      <c r="D4" s="1">
        <v>1</v>
      </c>
      <c r="E4" s="5">
        <v>30</v>
      </c>
      <c r="F4" s="3" t="s">
        <v>142</v>
      </c>
    </row>
    <row r="5" spans="1:6" ht="15.75" thickBot="1" x14ac:dyDescent="0.3">
      <c r="A5" s="292" t="s">
        <v>41</v>
      </c>
      <c r="B5" s="297"/>
      <c r="C5" s="297"/>
      <c r="D5" s="293"/>
      <c r="E5" s="15">
        <f>SUM(E2:E4)</f>
        <v>200</v>
      </c>
    </row>
    <row r="6" spans="1:6" ht="15.75" thickBot="1" x14ac:dyDescent="0.3"/>
    <row r="7" spans="1:6" ht="15.75" thickBot="1" x14ac:dyDescent="0.3">
      <c r="A7" s="292" t="s">
        <v>39</v>
      </c>
      <c r="B7" s="293"/>
      <c r="F7" s="14" t="s">
        <v>40</v>
      </c>
    </row>
    <row r="9" spans="1:6" ht="15.75" thickBot="1" x14ac:dyDescent="0.3"/>
    <row r="10" spans="1:6" ht="19.5" thickBot="1" x14ac:dyDescent="0.35">
      <c r="A10" s="10" t="s">
        <v>0</v>
      </c>
      <c r="B10" s="11" t="s">
        <v>3</v>
      </c>
      <c r="C10" s="11" t="s">
        <v>1</v>
      </c>
      <c r="D10" s="11" t="s">
        <v>26</v>
      </c>
      <c r="E10" s="11" t="s">
        <v>23</v>
      </c>
      <c r="F10" s="12" t="s">
        <v>27</v>
      </c>
    </row>
    <row r="11" spans="1:6" x14ac:dyDescent="0.25">
      <c r="A11" s="3">
        <v>1</v>
      </c>
      <c r="B11" s="3" t="s">
        <v>108</v>
      </c>
      <c r="C11" s="3" t="s">
        <v>82</v>
      </c>
      <c r="D11" s="3"/>
      <c r="E11" s="4">
        <v>120</v>
      </c>
      <c r="F11" s="3" t="s">
        <v>142</v>
      </c>
    </row>
    <row r="12" spans="1:6" x14ac:dyDescent="0.25">
      <c r="A12" s="3">
        <v>2</v>
      </c>
      <c r="B12" s="3" t="s">
        <v>108</v>
      </c>
      <c r="C12" s="1" t="s">
        <v>143</v>
      </c>
      <c r="D12" s="1">
        <v>1</v>
      </c>
      <c r="E12" s="5">
        <v>80</v>
      </c>
      <c r="F12" s="3" t="s">
        <v>142</v>
      </c>
    </row>
    <row r="13" spans="1:6" ht="15.75" thickBot="1" x14ac:dyDescent="0.3">
      <c r="A13" s="3">
        <v>4</v>
      </c>
      <c r="B13" s="3" t="s">
        <v>108</v>
      </c>
      <c r="C13" s="1" t="s">
        <v>144</v>
      </c>
      <c r="D13" s="1">
        <v>1</v>
      </c>
      <c r="E13" s="5">
        <v>50</v>
      </c>
      <c r="F13" s="3" t="s">
        <v>142</v>
      </c>
    </row>
    <row r="14" spans="1:6" ht="15.75" thickBot="1" x14ac:dyDescent="0.3">
      <c r="A14" s="292" t="s">
        <v>41</v>
      </c>
      <c r="B14" s="297"/>
      <c r="C14" s="297"/>
      <c r="D14" s="293"/>
      <c r="E14" s="15">
        <f>SUM(E11:E13)</f>
        <v>250</v>
      </c>
    </row>
    <row r="15" spans="1:6" ht="15.75" thickBot="1" x14ac:dyDescent="0.3"/>
    <row r="16" spans="1:6" ht="15.75" thickBot="1" x14ac:dyDescent="0.3">
      <c r="A16" s="292" t="s">
        <v>39</v>
      </c>
      <c r="B16" s="293"/>
      <c r="F16" s="14" t="s">
        <v>40</v>
      </c>
    </row>
    <row r="18" spans="1:6" ht="15.75" thickBot="1" x14ac:dyDescent="0.3"/>
    <row r="19" spans="1:6" ht="19.5" thickBot="1" x14ac:dyDescent="0.35">
      <c r="A19" s="10" t="s">
        <v>0</v>
      </c>
      <c r="B19" s="11" t="s">
        <v>3</v>
      </c>
      <c r="C19" s="11" t="s">
        <v>1</v>
      </c>
      <c r="D19" s="11" t="s">
        <v>26</v>
      </c>
      <c r="E19" s="11" t="s">
        <v>23</v>
      </c>
      <c r="F19" s="12" t="s">
        <v>27</v>
      </c>
    </row>
    <row r="20" spans="1:6" x14ac:dyDescent="0.25">
      <c r="A20" s="3">
        <v>1</v>
      </c>
      <c r="B20" s="3" t="s">
        <v>283</v>
      </c>
      <c r="C20" s="3" t="s">
        <v>196</v>
      </c>
      <c r="D20" s="3">
        <v>1</v>
      </c>
      <c r="E20" s="4">
        <v>50</v>
      </c>
      <c r="F20" s="3" t="s">
        <v>142</v>
      </c>
    </row>
    <row r="21" spans="1:6" x14ac:dyDescent="0.25">
      <c r="A21" s="3">
        <v>2</v>
      </c>
      <c r="B21" s="3" t="s">
        <v>283</v>
      </c>
      <c r="C21" s="1" t="s">
        <v>294</v>
      </c>
      <c r="D21" s="1">
        <v>1</v>
      </c>
      <c r="E21" s="5">
        <v>120</v>
      </c>
      <c r="F21" s="3" t="s">
        <v>142</v>
      </c>
    </row>
    <row r="22" spans="1:6" ht="15.75" thickBot="1" x14ac:dyDescent="0.3">
      <c r="A22" s="3">
        <v>3</v>
      </c>
      <c r="B22" s="3" t="s">
        <v>283</v>
      </c>
      <c r="C22" s="1" t="s">
        <v>83</v>
      </c>
      <c r="D22" s="1">
        <v>1</v>
      </c>
      <c r="E22" s="5">
        <v>80</v>
      </c>
      <c r="F22" s="3" t="s">
        <v>142</v>
      </c>
    </row>
    <row r="23" spans="1:6" ht="15.75" thickBot="1" x14ac:dyDescent="0.3">
      <c r="A23" s="292" t="s">
        <v>41</v>
      </c>
      <c r="B23" s="297"/>
      <c r="C23" s="297"/>
      <c r="D23" s="293"/>
      <c r="E23" s="15">
        <f>SUM(E20:E22)</f>
        <v>250</v>
      </c>
    </row>
    <row r="24" spans="1:6" ht="15.75" thickBot="1" x14ac:dyDescent="0.3"/>
    <row r="25" spans="1:6" ht="15.75" thickBot="1" x14ac:dyDescent="0.3">
      <c r="A25" s="292" t="s">
        <v>39</v>
      </c>
      <c r="B25" s="293"/>
      <c r="F25" s="14" t="s">
        <v>40</v>
      </c>
    </row>
    <row r="26" spans="1:6" ht="15.75" thickBot="1" x14ac:dyDescent="0.3"/>
    <row r="27" spans="1:6" ht="19.5" thickBot="1" x14ac:dyDescent="0.35">
      <c r="A27" s="10" t="s">
        <v>0</v>
      </c>
      <c r="B27" s="11" t="s">
        <v>3</v>
      </c>
      <c r="C27" s="11" t="s">
        <v>1</v>
      </c>
      <c r="D27" s="11" t="s">
        <v>26</v>
      </c>
      <c r="E27" s="11" t="s">
        <v>23</v>
      </c>
      <c r="F27" s="12" t="s">
        <v>27</v>
      </c>
    </row>
    <row r="28" spans="1:6" x14ac:dyDescent="0.25">
      <c r="A28" s="3">
        <v>1</v>
      </c>
      <c r="B28" s="3" t="s">
        <v>309</v>
      </c>
      <c r="C28" s="3" t="s">
        <v>332</v>
      </c>
      <c r="D28" s="3">
        <v>1</v>
      </c>
      <c r="E28" s="4">
        <v>50</v>
      </c>
      <c r="F28" s="3" t="s">
        <v>142</v>
      </c>
    </row>
    <row r="29" spans="1:6" x14ac:dyDescent="0.25">
      <c r="A29" s="3">
        <v>2</v>
      </c>
      <c r="B29" s="3" t="s">
        <v>309</v>
      </c>
      <c r="C29" s="1" t="s">
        <v>294</v>
      </c>
      <c r="D29" s="1">
        <v>1</v>
      </c>
      <c r="E29" s="5">
        <v>120</v>
      </c>
      <c r="F29" s="3" t="s">
        <v>142</v>
      </c>
    </row>
    <row r="30" spans="1:6" x14ac:dyDescent="0.25">
      <c r="A30" s="3">
        <v>3</v>
      </c>
      <c r="B30" s="3" t="s">
        <v>309</v>
      </c>
      <c r="C30" s="1" t="s">
        <v>333</v>
      </c>
      <c r="D30" s="1">
        <v>1</v>
      </c>
      <c r="E30" s="5">
        <v>80</v>
      </c>
      <c r="F30" s="3" t="s">
        <v>142</v>
      </c>
    </row>
    <row r="31" spans="1:6" x14ac:dyDescent="0.25">
      <c r="A31" s="3">
        <v>4</v>
      </c>
      <c r="B31" s="3" t="s">
        <v>309</v>
      </c>
      <c r="C31" s="1" t="s">
        <v>110</v>
      </c>
      <c r="D31" s="1">
        <v>1</v>
      </c>
      <c r="E31" s="5">
        <v>120</v>
      </c>
      <c r="F31" s="3" t="s">
        <v>142</v>
      </c>
    </row>
    <row r="32" spans="1:6" ht="15.75" thickBot="1" x14ac:dyDescent="0.3">
      <c r="A32" s="3">
        <v>5</v>
      </c>
      <c r="B32" s="3" t="s">
        <v>309</v>
      </c>
      <c r="C32" s="1" t="s">
        <v>102</v>
      </c>
      <c r="D32" s="1">
        <v>1</v>
      </c>
      <c r="E32" s="5">
        <v>120</v>
      </c>
      <c r="F32" s="3" t="s">
        <v>142</v>
      </c>
    </row>
    <row r="33" spans="1:6" ht="15.75" thickBot="1" x14ac:dyDescent="0.3">
      <c r="A33" s="292" t="s">
        <v>41</v>
      </c>
      <c r="B33" s="297"/>
      <c r="C33" s="297"/>
      <c r="D33" s="293"/>
      <c r="E33" s="15">
        <f>SUM(E28:E32)</f>
        <v>490</v>
      </c>
    </row>
    <row r="34" spans="1:6" ht="15.75" thickBot="1" x14ac:dyDescent="0.3"/>
    <row r="35" spans="1:6" ht="15.75" thickBot="1" x14ac:dyDescent="0.3">
      <c r="A35" s="292" t="s">
        <v>39</v>
      </c>
      <c r="B35" s="293"/>
      <c r="F35" s="14" t="s">
        <v>40</v>
      </c>
    </row>
    <row r="36" spans="1:6" ht="15.75" thickBot="1" x14ac:dyDescent="0.3"/>
    <row r="37" spans="1:6" ht="19.5" thickBot="1" x14ac:dyDescent="0.35">
      <c r="A37" s="10" t="s">
        <v>0</v>
      </c>
      <c r="B37" s="11" t="s">
        <v>3</v>
      </c>
      <c r="C37" s="11" t="s">
        <v>1</v>
      </c>
      <c r="D37" s="11" t="s">
        <v>26</v>
      </c>
      <c r="E37" s="11" t="s">
        <v>23</v>
      </c>
      <c r="F37" s="12" t="s">
        <v>27</v>
      </c>
    </row>
    <row r="38" spans="1:6" x14ac:dyDescent="0.25">
      <c r="A38" s="3">
        <v>1</v>
      </c>
      <c r="B38" s="3" t="s">
        <v>339</v>
      </c>
      <c r="C38" s="3" t="s">
        <v>332</v>
      </c>
      <c r="D38" s="3">
        <v>1</v>
      </c>
      <c r="E38" s="4">
        <v>50</v>
      </c>
      <c r="F38" s="3" t="s">
        <v>142</v>
      </c>
    </row>
    <row r="39" spans="1:6" x14ac:dyDescent="0.25">
      <c r="A39" s="3">
        <v>2</v>
      </c>
      <c r="B39" s="3" t="s">
        <v>339</v>
      </c>
      <c r="C39" s="1" t="s">
        <v>197</v>
      </c>
      <c r="D39" s="1">
        <v>1</v>
      </c>
      <c r="E39" s="5">
        <v>220</v>
      </c>
      <c r="F39" s="3" t="s">
        <v>142</v>
      </c>
    </row>
    <row r="40" spans="1:6" x14ac:dyDescent="0.25">
      <c r="A40" s="3">
        <v>3</v>
      </c>
      <c r="B40" s="3" t="s">
        <v>339</v>
      </c>
      <c r="C40" s="1" t="s">
        <v>294</v>
      </c>
      <c r="D40" s="1">
        <v>1</v>
      </c>
      <c r="E40" s="5">
        <v>120</v>
      </c>
      <c r="F40" s="3" t="s">
        <v>142</v>
      </c>
    </row>
    <row r="41" spans="1:6" ht="15.75" thickBot="1" x14ac:dyDescent="0.3">
      <c r="A41" s="3">
        <v>4</v>
      </c>
      <c r="B41" s="3" t="s">
        <v>339</v>
      </c>
      <c r="C41" s="1" t="s">
        <v>102</v>
      </c>
      <c r="D41" s="1">
        <v>1</v>
      </c>
      <c r="E41" s="5">
        <v>120</v>
      </c>
      <c r="F41" s="3" t="s">
        <v>142</v>
      </c>
    </row>
    <row r="42" spans="1:6" ht="15.75" thickBot="1" x14ac:dyDescent="0.3">
      <c r="A42" s="292" t="s">
        <v>41</v>
      </c>
      <c r="B42" s="297"/>
      <c r="C42" s="297"/>
      <c r="D42" s="293"/>
      <c r="E42" s="15">
        <f>SUM(E38:E41)</f>
        <v>510</v>
      </c>
    </row>
    <row r="43" spans="1:6" ht="15.75" thickBot="1" x14ac:dyDescent="0.3"/>
    <row r="44" spans="1:6" ht="15.75" thickBot="1" x14ac:dyDescent="0.3">
      <c r="A44" s="292" t="s">
        <v>39</v>
      </c>
      <c r="B44" s="293"/>
      <c r="F44" s="14" t="s">
        <v>40</v>
      </c>
    </row>
    <row r="45" spans="1:6" ht="15.75" thickBot="1" x14ac:dyDescent="0.3"/>
    <row r="46" spans="1:6" ht="19.5" thickBot="1" x14ac:dyDescent="0.35">
      <c r="A46" s="10" t="s">
        <v>0</v>
      </c>
      <c r="B46" s="11" t="s">
        <v>3</v>
      </c>
      <c r="C46" s="11" t="s">
        <v>1</v>
      </c>
      <c r="D46" s="11" t="s">
        <v>26</v>
      </c>
      <c r="E46" s="11" t="s">
        <v>23</v>
      </c>
      <c r="F46" s="12" t="s">
        <v>27</v>
      </c>
    </row>
    <row r="47" spans="1:6" x14ac:dyDescent="0.25">
      <c r="A47" s="3">
        <v>1</v>
      </c>
      <c r="B47" s="3" t="s">
        <v>357</v>
      </c>
      <c r="C47" s="3" t="s">
        <v>332</v>
      </c>
      <c r="D47" s="3">
        <v>1</v>
      </c>
      <c r="E47" s="4">
        <v>50</v>
      </c>
      <c r="F47" s="3" t="s">
        <v>142</v>
      </c>
    </row>
    <row r="48" spans="1:6" x14ac:dyDescent="0.25">
      <c r="A48" s="3">
        <v>2</v>
      </c>
      <c r="B48" s="3" t="s">
        <v>357</v>
      </c>
      <c r="C48" s="1" t="s">
        <v>368</v>
      </c>
      <c r="D48" s="1">
        <v>1</v>
      </c>
      <c r="E48" s="5">
        <f>D48*80</f>
        <v>80</v>
      </c>
      <c r="F48" s="3" t="s">
        <v>142</v>
      </c>
    </row>
    <row r="49" spans="1:6" ht="15.75" thickBot="1" x14ac:dyDescent="0.3">
      <c r="A49" s="3">
        <v>3</v>
      </c>
      <c r="B49" s="3" t="s">
        <v>357</v>
      </c>
      <c r="C49" s="1" t="s">
        <v>294</v>
      </c>
      <c r="D49" s="1">
        <v>1</v>
      </c>
      <c r="E49" s="5">
        <v>120</v>
      </c>
      <c r="F49" s="3" t="s">
        <v>142</v>
      </c>
    </row>
    <row r="50" spans="1:6" ht="15.75" thickBot="1" x14ac:dyDescent="0.3">
      <c r="A50" s="292" t="s">
        <v>41</v>
      </c>
      <c r="B50" s="297"/>
      <c r="C50" s="297"/>
      <c r="D50" s="293"/>
      <c r="E50" s="15">
        <f>SUM(E47:E49)</f>
        <v>250</v>
      </c>
    </row>
    <row r="51" spans="1:6" ht="15.75" thickBot="1" x14ac:dyDescent="0.3"/>
    <row r="52" spans="1:6" ht="15.75" thickBot="1" x14ac:dyDescent="0.3">
      <c r="A52" s="292" t="s">
        <v>39</v>
      </c>
      <c r="B52" s="293"/>
      <c r="F52" s="14" t="s">
        <v>40</v>
      </c>
    </row>
    <row r="53" spans="1:6" ht="15.75" thickBot="1" x14ac:dyDescent="0.3"/>
    <row r="54" spans="1:6" ht="19.5" thickBot="1" x14ac:dyDescent="0.35">
      <c r="A54" s="10" t="s">
        <v>0</v>
      </c>
      <c r="B54" s="11" t="s">
        <v>3</v>
      </c>
      <c r="C54" s="11" t="s">
        <v>1</v>
      </c>
      <c r="D54" s="11" t="s">
        <v>26</v>
      </c>
      <c r="E54" s="11" t="s">
        <v>23</v>
      </c>
      <c r="F54" s="12" t="s">
        <v>27</v>
      </c>
    </row>
    <row r="55" spans="1:6" x14ac:dyDescent="0.25">
      <c r="A55" s="3">
        <v>1</v>
      </c>
      <c r="B55" s="3" t="s">
        <v>377</v>
      </c>
      <c r="C55" s="3" t="s">
        <v>383</v>
      </c>
      <c r="D55" s="3">
        <v>1</v>
      </c>
      <c r="E55" s="4">
        <v>220</v>
      </c>
      <c r="F55" s="3" t="s">
        <v>142</v>
      </c>
    </row>
    <row r="56" spans="1:6" x14ac:dyDescent="0.25">
      <c r="A56" s="3">
        <v>2</v>
      </c>
      <c r="B56" s="3" t="s">
        <v>377</v>
      </c>
      <c r="C56" s="1" t="s">
        <v>332</v>
      </c>
      <c r="D56" s="1">
        <v>1</v>
      </c>
      <c r="E56" s="5">
        <v>50</v>
      </c>
      <c r="F56" s="3" t="s">
        <v>142</v>
      </c>
    </row>
    <row r="57" spans="1:6" ht="15.75" thickBot="1" x14ac:dyDescent="0.3">
      <c r="A57" s="3">
        <v>3</v>
      </c>
      <c r="B57" s="3" t="s">
        <v>377</v>
      </c>
      <c r="C57" s="1" t="s">
        <v>294</v>
      </c>
      <c r="D57" s="1">
        <v>1</v>
      </c>
      <c r="E57" s="5">
        <v>120</v>
      </c>
      <c r="F57" s="3" t="s">
        <v>142</v>
      </c>
    </row>
    <row r="58" spans="1:6" ht="15.75" thickBot="1" x14ac:dyDescent="0.3">
      <c r="A58" s="292" t="s">
        <v>41</v>
      </c>
      <c r="B58" s="297"/>
      <c r="C58" s="297"/>
      <c r="D58" s="293"/>
      <c r="E58" s="15">
        <f>SUM(E55:E57)</f>
        <v>390</v>
      </c>
    </row>
    <row r="59" spans="1:6" ht="15.75" thickBot="1" x14ac:dyDescent="0.3"/>
    <row r="60" spans="1:6" ht="15.75" thickBot="1" x14ac:dyDescent="0.3">
      <c r="A60" s="292" t="s">
        <v>39</v>
      </c>
      <c r="B60" s="293"/>
      <c r="F60" s="14" t="s">
        <v>40</v>
      </c>
    </row>
    <row r="61" spans="1:6" ht="15.75" thickBot="1" x14ac:dyDescent="0.3"/>
    <row r="62" spans="1:6" ht="19.5" thickBot="1" x14ac:dyDescent="0.35">
      <c r="A62" s="10" t="s">
        <v>0</v>
      </c>
      <c r="B62" s="11" t="s">
        <v>3</v>
      </c>
      <c r="C62" s="11" t="s">
        <v>1</v>
      </c>
      <c r="D62" s="11" t="s">
        <v>26</v>
      </c>
      <c r="E62" s="11" t="s">
        <v>23</v>
      </c>
      <c r="F62" s="12" t="s">
        <v>27</v>
      </c>
    </row>
    <row r="63" spans="1:6" x14ac:dyDescent="0.25">
      <c r="A63" s="3">
        <v>1</v>
      </c>
      <c r="B63" s="3" t="s">
        <v>387</v>
      </c>
      <c r="C63" s="3" t="s">
        <v>143</v>
      </c>
      <c r="D63" s="3">
        <v>1</v>
      </c>
      <c r="E63" s="4">
        <v>80</v>
      </c>
      <c r="F63" s="3" t="s">
        <v>142</v>
      </c>
    </row>
    <row r="64" spans="1:6" x14ac:dyDescent="0.25">
      <c r="A64" s="3">
        <v>2</v>
      </c>
      <c r="B64" s="3" t="s">
        <v>387</v>
      </c>
      <c r="C64" s="1" t="s">
        <v>332</v>
      </c>
      <c r="D64" s="1">
        <v>1</v>
      </c>
      <c r="E64" s="5">
        <v>50</v>
      </c>
      <c r="F64" s="3" t="s">
        <v>142</v>
      </c>
    </row>
    <row r="65" spans="1:6" ht="15.75" thickBot="1" x14ac:dyDescent="0.3">
      <c r="A65" s="3">
        <v>3</v>
      </c>
      <c r="B65" s="3" t="s">
        <v>387</v>
      </c>
      <c r="C65" s="1" t="s">
        <v>294</v>
      </c>
      <c r="D65" s="1">
        <v>1</v>
      </c>
      <c r="E65" s="5">
        <v>120</v>
      </c>
      <c r="F65" s="3" t="s">
        <v>142</v>
      </c>
    </row>
    <row r="66" spans="1:6" ht="15.75" thickBot="1" x14ac:dyDescent="0.3">
      <c r="A66" s="292" t="s">
        <v>41</v>
      </c>
      <c r="B66" s="297"/>
      <c r="C66" s="297"/>
      <c r="D66" s="293"/>
      <c r="E66" s="15">
        <f>SUM(E63:E65)</f>
        <v>250</v>
      </c>
    </row>
    <row r="67" spans="1:6" ht="15.75" thickBot="1" x14ac:dyDescent="0.3"/>
    <row r="68" spans="1:6" ht="15.75" thickBot="1" x14ac:dyDescent="0.3">
      <c r="A68" s="292" t="s">
        <v>39</v>
      </c>
      <c r="B68" s="293"/>
      <c r="F68" s="14" t="s">
        <v>40</v>
      </c>
    </row>
    <row r="69" spans="1:6" ht="15.75" thickBot="1" x14ac:dyDescent="0.3"/>
    <row r="70" spans="1:6" ht="19.5" thickBot="1" x14ac:dyDescent="0.35">
      <c r="A70" s="10" t="s">
        <v>0</v>
      </c>
      <c r="B70" s="11" t="s">
        <v>3</v>
      </c>
      <c r="C70" s="11" t="s">
        <v>1</v>
      </c>
      <c r="D70" s="11" t="s">
        <v>26</v>
      </c>
      <c r="E70" s="11" t="s">
        <v>23</v>
      </c>
      <c r="F70" s="12" t="s">
        <v>27</v>
      </c>
    </row>
    <row r="71" spans="1:6" x14ac:dyDescent="0.25">
      <c r="A71" s="3">
        <v>1</v>
      </c>
      <c r="B71" s="3" t="s">
        <v>398</v>
      </c>
      <c r="C71" s="3" t="s">
        <v>143</v>
      </c>
      <c r="D71" s="3">
        <v>1</v>
      </c>
      <c r="E71" s="4">
        <v>80</v>
      </c>
      <c r="F71" s="3" t="s">
        <v>142</v>
      </c>
    </row>
    <row r="72" spans="1:6" x14ac:dyDescent="0.25">
      <c r="A72" s="3">
        <v>2</v>
      </c>
      <c r="B72" s="3" t="s">
        <v>398</v>
      </c>
      <c r="C72" s="1" t="s">
        <v>332</v>
      </c>
      <c r="D72" s="1">
        <v>1</v>
      </c>
      <c r="E72" s="5">
        <v>50</v>
      </c>
      <c r="F72" s="3" t="s">
        <v>142</v>
      </c>
    </row>
    <row r="73" spans="1:6" ht="15.75" thickBot="1" x14ac:dyDescent="0.3">
      <c r="A73" s="3">
        <v>3</v>
      </c>
      <c r="B73" s="3" t="s">
        <v>398</v>
      </c>
      <c r="C73" s="1" t="s">
        <v>294</v>
      </c>
      <c r="D73" s="1">
        <v>1</v>
      </c>
      <c r="E73" s="5">
        <v>120</v>
      </c>
      <c r="F73" s="3" t="s">
        <v>142</v>
      </c>
    </row>
    <row r="74" spans="1:6" ht="15.75" thickBot="1" x14ac:dyDescent="0.3">
      <c r="A74" s="292" t="s">
        <v>41</v>
      </c>
      <c r="B74" s="297"/>
      <c r="C74" s="297"/>
      <c r="D74" s="293"/>
      <c r="E74" s="15">
        <f>SUM(E71:E73)</f>
        <v>250</v>
      </c>
    </row>
    <row r="75" spans="1:6" ht="15.75" thickBot="1" x14ac:dyDescent="0.3"/>
    <row r="76" spans="1:6" ht="15.75" thickBot="1" x14ac:dyDescent="0.3">
      <c r="A76" s="292" t="s">
        <v>39</v>
      </c>
      <c r="B76" s="293"/>
      <c r="F76" s="14" t="s">
        <v>40</v>
      </c>
    </row>
    <row r="77" spans="1:6" ht="15.75" thickBot="1" x14ac:dyDescent="0.3"/>
    <row r="78" spans="1:6" ht="18.75" x14ac:dyDescent="0.3">
      <c r="A78" s="26" t="s">
        <v>0</v>
      </c>
      <c r="B78" s="27" t="s">
        <v>3</v>
      </c>
      <c r="C78" s="27" t="s">
        <v>1</v>
      </c>
      <c r="D78" s="27" t="s">
        <v>26</v>
      </c>
      <c r="E78" s="27" t="s">
        <v>23</v>
      </c>
      <c r="F78" s="28" t="s">
        <v>27</v>
      </c>
    </row>
    <row r="79" spans="1:6" x14ac:dyDescent="0.25">
      <c r="A79" s="1">
        <v>1</v>
      </c>
      <c r="B79" s="1" t="s">
        <v>423</v>
      </c>
      <c r="C79" s="1" t="s">
        <v>332</v>
      </c>
      <c r="D79" s="1">
        <v>1</v>
      </c>
      <c r="E79" s="5">
        <f>D79*50</f>
        <v>50</v>
      </c>
      <c r="F79" s="1" t="s">
        <v>142</v>
      </c>
    </row>
    <row r="80" spans="1:6" x14ac:dyDescent="0.25">
      <c r="A80" s="1">
        <v>2</v>
      </c>
      <c r="B80" s="1" t="s">
        <v>423</v>
      </c>
      <c r="C80" s="1" t="s">
        <v>294</v>
      </c>
      <c r="D80" s="1">
        <v>1</v>
      </c>
      <c r="E80" s="5">
        <f>D80*120</f>
        <v>120</v>
      </c>
      <c r="F80" s="1" t="s">
        <v>142</v>
      </c>
    </row>
    <row r="81" spans="1:6" x14ac:dyDescent="0.25">
      <c r="A81" s="1">
        <v>3</v>
      </c>
      <c r="B81" s="1" t="s">
        <v>423</v>
      </c>
      <c r="C81" s="1" t="s">
        <v>368</v>
      </c>
      <c r="D81" s="1">
        <v>1</v>
      </c>
      <c r="E81" s="5">
        <f>D81*80</f>
        <v>80</v>
      </c>
      <c r="F81" s="1" t="s">
        <v>142</v>
      </c>
    </row>
    <row r="82" spans="1:6" ht="15.75" thickBot="1" x14ac:dyDescent="0.3">
      <c r="A82" s="289" t="s">
        <v>41</v>
      </c>
      <c r="B82" s="290"/>
      <c r="C82" s="290"/>
      <c r="D82" s="291"/>
      <c r="E82" s="25">
        <f>SUM(E79:E81)</f>
        <v>250</v>
      </c>
    </row>
    <row r="83" spans="1:6" ht="15.75" thickBot="1" x14ac:dyDescent="0.3"/>
    <row r="84" spans="1:6" ht="15.75" thickBot="1" x14ac:dyDescent="0.3">
      <c r="A84" s="292" t="s">
        <v>39</v>
      </c>
      <c r="B84" s="293"/>
      <c r="F84" s="14" t="s">
        <v>40</v>
      </c>
    </row>
    <row r="85" spans="1:6" ht="15.75" thickBot="1" x14ac:dyDescent="0.3"/>
    <row r="86" spans="1:6" ht="18.75" x14ac:dyDescent="0.3">
      <c r="A86" s="26" t="s">
        <v>0</v>
      </c>
      <c r="B86" s="27" t="s">
        <v>3</v>
      </c>
      <c r="C86" s="27" t="s">
        <v>1</v>
      </c>
      <c r="D86" s="27" t="s">
        <v>26</v>
      </c>
      <c r="E86" s="27" t="s">
        <v>23</v>
      </c>
      <c r="F86" s="28" t="s">
        <v>27</v>
      </c>
    </row>
    <row r="87" spans="1:6" x14ac:dyDescent="0.25">
      <c r="A87" s="1">
        <v>1</v>
      </c>
      <c r="B87" s="66">
        <v>46023</v>
      </c>
      <c r="C87" s="1" t="s">
        <v>144</v>
      </c>
      <c r="D87" s="1">
        <v>1</v>
      </c>
      <c r="E87" s="5">
        <v>50</v>
      </c>
      <c r="F87" s="1" t="s">
        <v>142</v>
      </c>
    </row>
    <row r="88" spans="1:6" x14ac:dyDescent="0.25">
      <c r="A88" s="1">
        <v>2</v>
      </c>
      <c r="B88" s="66">
        <v>46023</v>
      </c>
      <c r="C88" s="1" t="s">
        <v>383</v>
      </c>
      <c r="D88" s="1">
        <v>1</v>
      </c>
      <c r="E88" s="5">
        <v>220</v>
      </c>
      <c r="F88" s="1" t="s">
        <v>142</v>
      </c>
    </row>
    <row r="89" spans="1:6" x14ac:dyDescent="0.25">
      <c r="A89" s="1">
        <v>3</v>
      </c>
      <c r="B89" s="66">
        <v>46023</v>
      </c>
      <c r="C89" s="1" t="s">
        <v>294</v>
      </c>
      <c r="D89" s="1">
        <v>1</v>
      </c>
      <c r="E89" s="5">
        <v>120</v>
      </c>
      <c r="F89" s="1" t="s">
        <v>142</v>
      </c>
    </row>
    <row r="90" spans="1:6" x14ac:dyDescent="0.25">
      <c r="A90" s="1">
        <v>4</v>
      </c>
      <c r="B90" s="66">
        <v>46023</v>
      </c>
      <c r="C90" s="1" t="s">
        <v>19</v>
      </c>
      <c r="D90" s="1">
        <v>6</v>
      </c>
      <c r="E90" s="5">
        <f>D90*15</f>
        <v>90</v>
      </c>
      <c r="F90" s="1" t="s">
        <v>142</v>
      </c>
    </row>
    <row r="91" spans="1:6" x14ac:dyDescent="0.25">
      <c r="A91" s="1">
        <v>5</v>
      </c>
      <c r="B91" s="66">
        <v>46023</v>
      </c>
      <c r="C91" s="1" t="s">
        <v>463</v>
      </c>
      <c r="D91" s="1">
        <v>2</v>
      </c>
      <c r="E91" s="5">
        <f>D91*180</f>
        <v>360</v>
      </c>
      <c r="F91" s="1" t="s">
        <v>142</v>
      </c>
    </row>
    <row r="92" spans="1:6" x14ac:dyDescent="0.25">
      <c r="A92" s="1">
        <v>6</v>
      </c>
      <c r="B92" s="66">
        <v>46023</v>
      </c>
      <c r="C92" s="1" t="s">
        <v>43</v>
      </c>
      <c r="D92" s="1">
        <v>1</v>
      </c>
      <c r="E92" s="5">
        <v>30</v>
      </c>
      <c r="F92" s="1" t="s">
        <v>142</v>
      </c>
    </row>
    <row r="93" spans="1:6" ht="15.75" thickBot="1" x14ac:dyDescent="0.3">
      <c r="A93" s="289" t="s">
        <v>41</v>
      </c>
      <c r="B93" s="290"/>
      <c r="C93" s="290"/>
      <c r="D93" s="291"/>
      <c r="E93" s="25">
        <f>SUM(E87:E92)</f>
        <v>870</v>
      </c>
    </row>
    <row r="94" spans="1:6" ht="15.75" thickBot="1" x14ac:dyDescent="0.3"/>
    <row r="95" spans="1:6" ht="15.75" thickBot="1" x14ac:dyDescent="0.3">
      <c r="A95" s="292" t="s">
        <v>39</v>
      </c>
      <c r="B95" s="293"/>
      <c r="F95" s="14" t="s">
        <v>40</v>
      </c>
    </row>
    <row r="96" spans="1:6" ht="15.75" thickBot="1" x14ac:dyDescent="0.3"/>
    <row r="97" spans="1:6" ht="18.75" x14ac:dyDescent="0.3">
      <c r="A97" s="26" t="s">
        <v>0</v>
      </c>
      <c r="B97" s="27" t="s">
        <v>3</v>
      </c>
      <c r="C97" s="27" t="s">
        <v>1</v>
      </c>
      <c r="D97" s="27" t="s">
        <v>26</v>
      </c>
      <c r="E97" s="27" t="s">
        <v>23</v>
      </c>
      <c r="F97" s="28" t="s">
        <v>27</v>
      </c>
    </row>
    <row r="98" spans="1:6" x14ac:dyDescent="0.25">
      <c r="A98" s="1">
        <v>1</v>
      </c>
      <c r="B98" s="66">
        <v>46029</v>
      </c>
      <c r="C98" s="1" t="s">
        <v>383</v>
      </c>
      <c r="D98" s="1">
        <v>1</v>
      </c>
      <c r="E98" s="5">
        <v>220</v>
      </c>
      <c r="F98" s="1" t="s">
        <v>142</v>
      </c>
    </row>
    <row r="99" spans="1:6" x14ac:dyDescent="0.25">
      <c r="A99" s="1">
        <v>2</v>
      </c>
      <c r="B99" s="66">
        <v>46029</v>
      </c>
      <c r="C99" s="1" t="s">
        <v>294</v>
      </c>
      <c r="D99" s="1">
        <v>1</v>
      </c>
      <c r="E99" s="5">
        <v>120</v>
      </c>
      <c r="F99" s="1" t="s">
        <v>142</v>
      </c>
    </row>
    <row r="100" spans="1:6" x14ac:dyDescent="0.25">
      <c r="A100" s="1">
        <v>3</v>
      </c>
      <c r="B100" s="66">
        <v>46029</v>
      </c>
      <c r="C100" s="1" t="s">
        <v>176</v>
      </c>
      <c r="D100" s="1" t="s">
        <v>592</v>
      </c>
      <c r="E100" s="5">
        <f>2*100</f>
        <v>200</v>
      </c>
      <c r="F100" s="1" t="s">
        <v>142</v>
      </c>
    </row>
    <row r="101" spans="1:6" ht="15.75" thickBot="1" x14ac:dyDescent="0.3">
      <c r="A101" s="289" t="s">
        <v>41</v>
      </c>
      <c r="B101" s="290"/>
      <c r="C101" s="290"/>
      <c r="D101" s="291"/>
      <c r="E101" s="25">
        <f>SUM(E98:E100)</f>
        <v>540</v>
      </c>
    </row>
    <row r="102" spans="1:6" ht="15.75" thickBot="1" x14ac:dyDescent="0.3"/>
    <row r="103" spans="1:6" ht="15.75" thickBot="1" x14ac:dyDescent="0.3">
      <c r="A103" s="292" t="s">
        <v>39</v>
      </c>
      <c r="B103" s="293"/>
      <c r="F103" s="14" t="s">
        <v>40</v>
      </c>
    </row>
    <row r="104" spans="1:6" ht="15.75" thickBot="1" x14ac:dyDescent="0.3"/>
    <row r="105" spans="1:6" ht="19.5" thickBot="1" x14ac:dyDescent="0.35">
      <c r="A105" s="10" t="s">
        <v>0</v>
      </c>
      <c r="B105" s="11" t="s">
        <v>3</v>
      </c>
      <c r="C105" s="11" t="s">
        <v>1</v>
      </c>
      <c r="D105" s="11" t="s">
        <v>26</v>
      </c>
      <c r="E105" s="11" t="s">
        <v>23</v>
      </c>
      <c r="F105" s="12" t="s">
        <v>27</v>
      </c>
    </row>
    <row r="106" spans="1:6" x14ac:dyDescent="0.25">
      <c r="A106" s="3">
        <v>1</v>
      </c>
      <c r="B106" s="67">
        <v>46030</v>
      </c>
      <c r="C106" s="3" t="s">
        <v>196</v>
      </c>
      <c r="D106" s="3">
        <v>2</v>
      </c>
      <c r="E106" s="4">
        <f>D106*50</f>
        <v>100</v>
      </c>
      <c r="F106" s="1" t="s">
        <v>625</v>
      </c>
    </row>
    <row r="107" spans="1:6" x14ac:dyDescent="0.25">
      <c r="A107" s="3">
        <v>2</v>
      </c>
      <c r="B107" s="67">
        <v>46030</v>
      </c>
      <c r="C107" s="1" t="s">
        <v>623</v>
      </c>
      <c r="D107" s="1">
        <v>4</v>
      </c>
      <c r="E107" s="5">
        <f>D107*35</f>
        <v>140</v>
      </c>
      <c r="F107" s="1" t="s">
        <v>625</v>
      </c>
    </row>
    <row r="108" spans="1:6" x14ac:dyDescent="0.25">
      <c r="A108" s="3">
        <v>3</v>
      </c>
      <c r="B108" s="67">
        <v>46030</v>
      </c>
      <c r="C108" s="1" t="s">
        <v>624</v>
      </c>
      <c r="D108" s="1">
        <v>1</v>
      </c>
      <c r="E108" s="5">
        <v>120</v>
      </c>
      <c r="F108" s="1" t="s">
        <v>625</v>
      </c>
    </row>
    <row r="109" spans="1:6" x14ac:dyDescent="0.25">
      <c r="A109" s="3">
        <v>4</v>
      </c>
      <c r="B109" s="67">
        <v>46030</v>
      </c>
      <c r="C109" s="1" t="s">
        <v>368</v>
      </c>
      <c r="D109" s="1">
        <v>1</v>
      </c>
      <c r="E109" s="5">
        <v>80</v>
      </c>
      <c r="F109" s="1" t="s">
        <v>625</v>
      </c>
    </row>
    <row r="110" spans="1:6" ht="15.75" thickBot="1" x14ac:dyDescent="0.3">
      <c r="A110" s="289" t="s">
        <v>41</v>
      </c>
      <c r="B110" s="290"/>
      <c r="C110" s="290"/>
      <c r="D110" s="291"/>
      <c r="E110" s="54">
        <f>SUM(E106:E109)</f>
        <v>440</v>
      </c>
    </row>
    <row r="111" spans="1:6" ht="15.75" thickBot="1" x14ac:dyDescent="0.3"/>
    <row r="112" spans="1:6" ht="15.75" thickBot="1" x14ac:dyDescent="0.3">
      <c r="A112" s="292" t="s">
        <v>39</v>
      </c>
      <c r="B112" s="293"/>
      <c r="F112" s="14" t="s">
        <v>40</v>
      </c>
    </row>
    <row r="113" spans="1:6" ht="15.75" thickBot="1" x14ac:dyDescent="0.3">
      <c r="A113" s="23"/>
      <c r="B113" s="23"/>
      <c r="F113" s="88"/>
    </row>
    <row r="114" spans="1:6" ht="18.75" x14ac:dyDescent="0.3">
      <c r="A114" s="26" t="s">
        <v>0</v>
      </c>
      <c r="B114" s="27" t="s">
        <v>3</v>
      </c>
      <c r="C114" s="27" t="s">
        <v>1</v>
      </c>
      <c r="D114" s="27" t="s">
        <v>26</v>
      </c>
      <c r="E114" s="27" t="s">
        <v>23</v>
      </c>
      <c r="F114" s="28" t="s">
        <v>27</v>
      </c>
    </row>
    <row r="115" spans="1:6" x14ac:dyDescent="0.25">
      <c r="A115" s="1">
        <v>1</v>
      </c>
      <c r="B115" s="66">
        <v>46031</v>
      </c>
      <c r="C115" s="1" t="s">
        <v>196</v>
      </c>
      <c r="D115" s="1">
        <v>1</v>
      </c>
      <c r="E115" s="5">
        <f>D115*50</f>
        <v>50</v>
      </c>
      <c r="F115" s="1" t="s">
        <v>31</v>
      </c>
    </row>
    <row r="116" spans="1:6" x14ac:dyDescent="0.25">
      <c r="A116" s="1">
        <v>2</v>
      </c>
      <c r="B116" s="66">
        <v>46031</v>
      </c>
      <c r="C116" s="1" t="s">
        <v>294</v>
      </c>
      <c r="D116" s="1">
        <v>2</v>
      </c>
      <c r="E116" s="5">
        <f>D116*60</f>
        <v>120</v>
      </c>
      <c r="F116" s="1" t="s">
        <v>31</v>
      </c>
    </row>
    <row r="117" spans="1:6" x14ac:dyDescent="0.25">
      <c r="A117" s="1">
        <v>3</v>
      </c>
      <c r="B117" s="66">
        <v>46031</v>
      </c>
      <c r="C117" s="1" t="s">
        <v>383</v>
      </c>
      <c r="D117" s="1">
        <v>2</v>
      </c>
      <c r="E117" s="5">
        <f>D117*110</f>
        <v>220</v>
      </c>
      <c r="F117" s="1" t="s">
        <v>31</v>
      </c>
    </row>
    <row r="118" spans="1:6" x14ac:dyDescent="0.25">
      <c r="A118" s="1">
        <v>4</v>
      </c>
      <c r="B118" s="66">
        <v>46031</v>
      </c>
      <c r="C118" s="24" t="s">
        <v>560</v>
      </c>
      <c r="D118" s="24">
        <v>4</v>
      </c>
      <c r="E118" s="5">
        <f>D118*320</f>
        <v>1280</v>
      </c>
      <c r="F118" s="1" t="s">
        <v>31</v>
      </c>
    </row>
    <row r="119" spans="1:6" x14ac:dyDescent="0.25">
      <c r="A119" s="1">
        <v>5</v>
      </c>
      <c r="B119" s="66">
        <v>46031</v>
      </c>
      <c r="C119" s="24" t="s">
        <v>33</v>
      </c>
      <c r="D119" s="24">
        <v>1</v>
      </c>
      <c r="E119" s="5">
        <v>30</v>
      </c>
      <c r="F119" s="1" t="s">
        <v>31</v>
      </c>
    </row>
    <row r="120" spans="1:6" x14ac:dyDescent="0.25">
      <c r="A120" s="1">
        <v>6</v>
      </c>
      <c r="B120" s="66">
        <v>46031</v>
      </c>
      <c r="C120" s="24" t="s">
        <v>178</v>
      </c>
      <c r="D120" s="24">
        <v>0.5</v>
      </c>
      <c r="E120" s="5">
        <f>D120*400</f>
        <v>200</v>
      </c>
      <c r="F120" s="1" t="s">
        <v>31</v>
      </c>
    </row>
    <row r="121" spans="1:6" x14ac:dyDescent="0.25">
      <c r="A121" s="1">
        <v>7</v>
      </c>
      <c r="B121" s="66">
        <v>46031</v>
      </c>
      <c r="C121" s="24" t="s">
        <v>50</v>
      </c>
      <c r="D121" s="24">
        <v>1</v>
      </c>
      <c r="E121" s="5">
        <f>D121*70</f>
        <v>70</v>
      </c>
      <c r="F121" s="1" t="s">
        <v>31</v>
      </c>
    </row>
    <row r="122" spans="1:6" ht="15.75" thickBot="1" x14ac:dyDescent="0.3">
      <c r="A122" s="289" t="s">
        <v>41</v>
      </c>
      <c r="B122" s="290"/>
      <c r="C122" s="290"/>
      <c r="D122" s="291"/>
      <c r="E122" s="54">
        <f>SUM(E115:E121)</f>
        <v>1970</v>
      </c>
    </row>
    <row r="123" spans="1:6" ht="15.75" thickBot="1" x14ac:dyDescent="0.3"/>
    <row r="124" spans="1:6" ht="15.75" thickBot="1" x14ac:dyDescent="0.3">
      <c r="A124" s="292" t="s">
        <v>39</v>
      </c>
      <c r="B124" s="293"/>
      <c r="F124" s="14" t="s">
        <v>40</v>
      </c>
    </row>
    <row r="125" spans="1:6" ht="15.75" thickBot="1" x14ac:dyDescent="0.3">
      <c r="A125" s="190"/>
      <c r="B125" s="191"/>
      <c r="F125" s="120"/>
    </row>
    <row r="126" spans="1:6" ht="19.5" thickBot="1" x14ac:dyDescent="0.35">
      <c r="A126" s="10" t="s">
        <v>0</v>
      </c>
      <c r="B126" s="11" t="s">
        <v>3</v>
      </c>
      <c r="C126" s="11" t="s">
        <v>1</v>
      </c>
      <c r="D126" s="11" t="s">
        <v>26</v>
      </c>
      <c r="E126" s="11" t="s">
        <v>23</v>
      </c>
      <c r="F126" s="12" t="s">
        <v>27</v>
      </c>
    </row>
    <row r="127" spans="1:6" x14ac:dyDescent="0.25">
      <c r="A127" s="3">
        <v>1</v>
      </c>
      <c r="B127" s="67">
        <v>46032</v>
      </c>
      <c r="C127" s="3" t="s">
        <v>196</v>
      </c>
      <c r="D127" s="3">
        <v>1</v>
      </c>
      <c r="E127" s="4">
        <f>D127*50</f>
        <v>50</v>
      </c>
      <c r="F127" s="1" t="s">
        <v>625</v>
      </c>
    </row>
    <row r="128" spans="1:6" x14ac:dyDescent="0.25">
      <c r="A128" s="3">
        <v>2</v>
      </c>
      <c r="B128" s="67">
        <v>46032</v>
      </c>
      <c r="C128" s="1" t="s">
        <v>82</v>
      </c>
      <c r="D128" s="1"/>
      <c r="E128" s="5">
        <v>120</v>
      </c>
      <c r="F128" s="1" t="s">
        <v>625</v>
      </c>
    </row>
    <row r="129" spans="1:6" x14ac:dyDescent="0.25">
      <c r="A129" s="3">
        <v>3</v>
      </c>
      <c r="B129" s="67">
        <v>46032</v>
      </c>
      <c r="C129" s="1" t="s">
        <v>624</v>
      </c>
      <c r="D129" s="1">
        <v>1</v>
      </c>
      <c r="E129" s="5">
        <v>80</v>
      </c>
      <c r="F129" s="1" t="s">
        <v>625</v>
      </c>
    </row>
    <row r="130" spans="1:6" ht="15.75" thickBot="1" x14ac:dyDescent="0.3">
      <c r="A130" s="289" t="s">
        <v>41</v>
      </c>
      <c r="B130" s="290"/>
      <c r="C130" s="290"/>
      <c r="D130" s="291"/>
      <c r="E130" s="54">
        <f>SUM(E127:E129)</f>
        <v>250</v>
      </c>
    </row>
    <row r="131" spans="1:6" ht="15.75" thickBot="1" x14ac:dyDescent="0.3"/>
    <row r="132" spans="1:6" ht="15.75" thickBot="1" x14ac:dyDescent="0.3">
      <c r="A132" s="292" t="s">
        <v>39</v>
      </c>
      <c r="B132" s="293"/>
      <c r="F132" s="14" t="s">
        <v>40</v>
      </c>
    </row>
    <row r="133" spans="1:6" ht="15.75" thickBot="1" x14ac:dyDescent="0.3"/>
    <row r="134" spans="1:6" ht="19.5" thickBot="1" x14ac:dyDescent="0.35">
      <c r="A134" s="10" t="s">
        <v>0</v>
      </c>
      <c r="B134" s="11" t="s">
        <v>3</v>
      </c>
      <c r="C134" s="11" t="s">
        <v>1</v>
      </c>
      <c r="D134" s="11" t="s">
        <v>26</v>
      </c>
      <c r="E134" s="11" t="s">
        <v>23</v>
      </c>
      <c r="F134" s="12" t="s">
        <v>27</v>
      </c>
    </row>
    <row r="135" spans="1:6" x14ac:dyDescent="0.25">
      <c r="A135" s="3">
        <v>1</v>
      </c>
      <c r="B135" s="67">
        <v>46033</v>
      </c>
      <c r="C135" s="3" t="s">
        <v>144</v>
      </c>
      <c r="D135" s="3">
        <v>1</v>
      </c>
      <c r="E135" s="4">
        <f>D135*50</f>
        <v>50</v>
      </c>
      <c r="F135" s="1" t="s">
        <v>625</v>
      </c>
    </row>
    <row r="136" spans="1:6" x14ac:dyDescent="0.25">
      <c r="A136" s="3">
        <v>2</v>
      </c>
      <c r="B136" s="67">
        <v>46033</v>
      </c>
      <c r="C136" s="1" t="s">
        <v>82</v>
      </c>
      <c r="D136" s="1"/>
      <c r="E136" s="5">
        <v>120</v>
      </c>
      <c r="F136" s="1" t="s">
        <v>625</v>
      </c>
    </row>
    <row r="137" spans="1:6" x14ac:dyDescent="0.25">
      <c r="A137" s="3">
        <v>3</v>
      </c>
      <c r="B137" s="67">
        <v>46033</v>
      </c>
      <c r="C137" s="1" t="s">
        <v>383</v>
      </c>
      <c r="D137" s="1">
        <v>1</v>
      </c>
      <c r="E137" s="5">
        <v>220</v>
      </c>
      <c r="F137" s="1" t="s">
        <v>625</v>
      </c>
    </row>
    <row r="138" spans="1:6" ht="15.75" thickBot="1" x14ac:dyDescent="0.3">
      <c r="A138" s="289" t="s">
        <v>41</v>
      </c>
      <c r="B138" s="290"/>
      <c r="C138" s="290"/>
      <c r="D138" s="291"/>
      <c r="E138" s="54">
        <f>SUM(E135:E137)</f>
        <v>390</v>
      </c>
    </row>
    <row r="139" spans="1:6" ht="15.75" thickBot="1" x14ac:dyDescent="0.3"/>
    <row r="140" spans="1:6" ht="15.75" thickBot="1" x14ac:dyDescent="0.3">
      <c r="A140" s="292" t="s">
        <v>39</v>
      </c>
      <c r="B140" s="293"/>
      <c r="F140" s="14" t="s">
        <v>40</v>
      </c>
    </row>
    <row r="141" spans="1:6" ht="15.75" thickBot="1" x14ac:dyDescent="0.3"/>
    <row r="142" spans="1:6" ht="19.5" thickBot="1" x14ac:dyDescent="0.35">
      <c r="A142" s="10" t="s">
        <v>0</v>
      </c>
      <c r="B142" s="11" t="s">
        <v>3</v>
      </c>
      <c r="C142" s="11" t="s">
        <v>1</v>
      </c>
      <c r="D142" s="11" t="s">
        <v>26</v>
      </c>
      <c r="E142" s="11" t="s">
        <v>23</v>
      </c>
      <c r="F142" s="12" t="s">
        <v>27</v>
      </c>
    </row>
    <row r="143" spans="1:6" x14ac:dyDescent="0.25">
      <c r="A143" s="3">
        <v>1</v>
      </c>
      <c r="B143" s="67">
        <v>46034</v>
      </c>
      <c r="C143" s="3" t="s">
        <v>144</v>
      </c>
      <c r="D143" s="3">
        <v>1</v>
      </c>
      <c r="E143" s="4">
        <f>D143*50</f>
        <v>50</v>
      </c>
      <c r="F143" s="1" t="s">
        <v>625</v>
      </c>
    </row>
    <row r="144" spans="1:6" x14ac:dyDescent="0.25">
      <c r="A144" s="3">
        <v>2</v>
      </c>
      <c r="B144" s="67">
        <v>46034</v>
      </c>
      <c r="C144" s="1" t="s">
        <v>82</v>
      </c>
      <c r="D144" s="1"/>
      <c r="E144" s="5">
        <v>120</v>
      </c>
      <c r="F144" s="1" t="s">
        <v>625</v>
      </c>
    </row>
    <row r="145" spans="1:6" x14ac:dyDescent="0.25">
      <c r="A145" s="3">
        <v>3</v>
      </c>
      <c r="B145" s="67">
        <v>46034</v>
      </c>
      <c r="C145" s="1" t="s">
        <v>383</v>
      </c>
      <c r="D145" s="1">
        <v>1</v>
      </c>
      <c r="E145" s="5">
        <v>220</v>
      </c>
      <c r="F145" s="1" t="s">
        <v>625</v>
      </c>
    </row>
    <row r="146" spans="1:6" ht="15.75" thickBot="1" x14ac:dyDescent="0.3">
      <c r="A146" s="289" t="s">
        <v>41</v>
      </c>
      <c r="B146" s="290"/>
      <c r="C146" s="290"/>
      <c r="D146" s="291"/>
      <c r="E146" s="54">
        <f>SUM(E143:E145)</f>
        <v>390</v>
      </c>
    </row>
    <row r="147" spans="1:6" ht="15.75" thickBot="1" x14ac:dyDescent="0.3"/>
    <row r="148" spans="1:6" ht="15.75" thickBot="1" x14ac:dyDescent="0.3">
      <c r="A148" s="292" t="s">
        <v>39</v>
      </c>
      <c r="B148" s="293"/>
      <c r="F148" s="14" t="s">
        <v>40</v>
      </c>
    </row>
    <row r="149" spans="1:6" ht="15.75" thickBot="1" x14ac:dyDescent="0.3"/>
    <row r="150" spans="1:6" ht="19.5" thickBot="1" x14ac:dyDescent="0.35">
      <c r="A150" s="10" t="s">
        <v>0</v>
      </c>
      <c r="B150" s="11" t="s">
        <v>3</v>
      </c>
      <c r="C150" s="11" t="s">
        <v>1</v>
      </c>
      <c r="D150" s="11" t="s">
        <v>26</v>
      </c>
      <c r="E150" s="11" t="s">
        <v>23</v>
      </c>
      <c r="F150" s="12" t="s">
        <v>27</v>
      </c>
    </row>
    <row r="151" spans="1:6" x14ac:dyDescent="0.25">
      <c r="A151" s="3">
        <v>1</v>
      </c>
      <c r="B151" s="67">
        <v>46035</v>
      </c>
      <c r="C151" s="3" t="s">
        <v>144</v>
      </c>
      <c r="D151" s="3">
        <v>1</v>
      </c>
      <c r="E151" s="4">
        <f>D151*50</f>
        <v>50</v>
      </c>
      <c r="F151" s="1" t="s">
        <v>625</v>
      </c>
    </row>
    <row r="152" spans="1:6" x14ac:dyDescent="0.25">
      <c r="A152" s="3">
        <v>2</v>
      </c>
      <c r="B152" s="67">
        <v>46035</v>
      </c>
      <c r="C152" s="1" t="s">
        <v>82</v>
      </c>
      <c r="D152" s="1"/>
      <c r="E152" s="5">
        <v>120</v>
      </c>
      <c r="F152" s="1" t="s">
        <v>625</v>
      </c>
    </row>
    <row r="153" spans="1:6" x14ac:dyDescent="0.25">
      <c r="A153" s="3">
        <v>3</v>
      </c>
      <c r="B153" s="67">
        <v>46035</v>
      </c>
      <c r="C153" s="1" t="s">
        <v>383</v>
      </c>
      <c r="D153" s="1">
        <v>1</v>
      </c>
      <c r="E153" s="5">
        <v>220</v>
      </c>
      <c r="F153" s="1" t="s">
        <v>625</v>
      </c>
    </row>
    <row r="154" spans="1:6" ht="15.75" thickBot="1" x14ac:dyDescent="0.3">
      <c r="A154" s="289" t="s">
        <v>41</v>
      </c>
      <c r="B154" s="290"/>
      <c r="C154" s="290"/>
      <c r="D154" s="291"/>
      <c r="E154" s="54">
        <f>SUM(E151:E153)</f>
        <v>390</v>
      </c>
    </row>
    <row r="155" spans="1:6" ht="15.75" thickBot="1" x14ac:dyDescent="0.3"/>
    <row r="156" spans="1:6" ht="15.75" thickBot="1" x14ac:dyDescent="0.3">
      <c r="A156" s="292" t="s">
        <v>39</v>
      </c>
      <c r="B156" s="293"/>
      <c r="F156" s="14" t="s">
        <v>40</v>
      </c>
    </row>
    <row r="157" spans="1:6" ht="15.75" thickBot="1" x14ac:dyDescent="0.3"/>
    <row r="158" spans="1:6" ht="19.5" thickBot="1" x14ac:dyDescent="0.35">
      <c r="A158" s="10" t="s">
        <v>0</v>
      </c>
      <c r="B158" s="11" t="s">
        <v>3</v>
      </c>
      <c r="C158" s="11" t="s">
        <v>1</v>
      </c>
      <c r="D158" s="11" t="s">
        <v>26</v>
      </c>
      <c r="E158" s="11" t="s">
        <v>23</v>
      </c>
      <c r="F158" s="12" t="s">
        <v>27</v>
      </c>
    </row>
    <row r="159" spans="1:6" x14ac:dyDescent="0.25">
      <c r="A159" s="3">
        <v>1</v>
      </c>
      <c r="B159" s="67">
        <v>46036</v>
      </c>
      <c r="C159" s="3" t="s">
        <v>144</v>
      </c>
      <c r="D159" s="3">
        <v>1</v>
      </c>
      <c r="E159" s="4">
        <f>D159*50</f>
        <v>50</v>
      </c>
      <c r="F159" s="1" t="s">
        <v>625</v>
      </c>
    </row>
    <row r="160" spans="1:6" x14ac:dyDescent="0.25">
      <c r="A160" s="3">
        <v>2</v>
      </c>
      <c r="B160" s="67">
        <v>46036</v>
      </c>
      <c r="C160" s="1" t="s">
        <v>82</v>
      </c>
      <c r="D160" s="1"/>
      <c r="E160" s="5">
        <v>120</v>
      </c>
      <c r="F160" s="1" t="s">
        <v>625</v>
      </c>
    </row>
    <row r="161" spans="1:6" x14ac:dyDescent="0.25">
      <c r="A161" s="3">
        <v>3</v>
      </c>
      <c r="B161" s="67">
        <v>46036</v>
      </c>
      <c r="C161" s="1" t="s">
        <v>383</v>
      </c>
      <c r="D161" s="1">
        <v>1</v>
      </c>
      <c r="E161" s="5">
        <v>220</v>
      </c>
      <c r="F161" s="1" t="s">
        <v>625</v>
      </c>
    </row>
    <row r="162" spans="1:6" ht="15.75" thickBot="1" x14ac:dyDescent="0.3">
      <c r="A162" s="289" t="s">
        <v>41</v>
      </c>
      <c r="B162" s="290"/>
      <c r="C162" s="290"/>
      <c r="D162" s="291"/>
      <c r="E162" s="54">
        <f>SUM(E159:E161)</f>
        <v>390</v>
      </c>
    </row>
    <row r="163" spans="1:6" ht="15.75" thickBot="1" x14ac:dyDescent="0.3"/>
    <row r="164" spans="1:6" ht="15.75" thickBot="1" x14ac:dyDescent="0.3">
      <c r="A164" s="292" t="s">
        <v>39</v>
      </c>
      <c r="B164" s="293"/>
      <c r="F164" s="14" t="s">
        <v>40</v>
      </c>
    </row>
    <row r="165" spans="1:6" ht="15.75" thickBot="1" x14ac:dyDescent="0.3"/>
    <row r="166" spans="1:6" ht="19.5" thickBot="1" x14ac:dyDescent="0.35">
      <c r="A166" s="10" t="s">
        <v>0</v>
      </c>
      <c r="B166" s="11" t="s">
        <v>3</v>
      </c>
      <c r="C166" s="11" t="s">
        <v>1</v>
      </c>
      <c r="D166" s="11" t="s">
        <v>26</v>
      </c>
      <c r="E166" s="11" t="s">
        <v>23</v>
      </c>
      <c r="F166" s="12" t="s">
        <v>27</v>
      </c>
    </row>
    <row r="167" spans="1:6" x14ac:dyDescent="0.25">
      <c r="A167" s="3">
        <v>1</v>
      </c>
      <c r="B167" s="67">
        <v>46037</v>
      </c>
      <c r="C167" s="3" t="s">
        <v>144</v>
      </c>
      <c r="D167" s="3">
        <v>1</v>
      </c>
      <c r="E167" s="4">
        <f>D167*50</f>
        <v>50</v>
      </c>
      <c r="F167" s="1" t="s">
        <v>625</v>
      </c>
    </row>
    <row r="168" spans="1:6" x14ac:dyDescent="0.25">
      <c r="A168" s="3">
        <v>2</v>
      </c>
      <c r="B168" s="67">
        <v>46037</v>
      </c>
      <c r="C168" s="1" t="s">
        <v>82</v>
      </c>
      <c r="D168" s="1"/>
      <c r="E168" s="5">
        <v>120</v>
      </c>
      <c r="F168" s="1" t="s">
        <v>625</v>
      </c>
    </row>
    <row r="169" spans="1:6" x14ac:dyDescent="0.25">
      <c r="A169" s="3">
        <v>3</v>
      </c>
      <c r="B169" s="67">
        <v>46037</v>
      </c>
      <c r="C169" s="1" t="s">
        <v>368</v>
      </c>
      <c r="D169" s="1">
        <v>1</v>
      </c>
      <c r="E169" s="5">
        <v>80</v>
      </c>
      <c r="F169" s="1" t="s">
        <v>625</v>
      </c>
    </row>
    <row r="170" spans="1:6" ht="15.75" thickBot="1" x14ac:dyDescent="0.3">
      <c r="A170" s="289" t="s">
        <v>41</v>
      </c>
      <c r="B170" s="290"/>
      <c r="C170" s="290"/>
      <c r="D170" s="291"/>
      <c r="E170" s="54">
        <f>SUM(E167:E169)</f>
        <v>250</v>
      </c>
    </row>
    <row r="171" spans="1:6" ht="15.75" thickBot="1" x14ac:dyDescent="0.3"/>
    <row r="172" spans="1:6" ht="15.75" thickBot="1" x14ac:dyDescent="0.3">
      <c r="A172" s="292" t="s">
        <v>39</v>
      </c>
      <c r="B172" s="293"/>
      <c r="F172" s="14" t="s">
        <v>40</v>
      </c>
    </row>
    <row r="173" spans="1:6" ht="15.75" thickBot="1" x14ac:dyDescent="0.3"/>
    <row r="174" spans="1:6" ht="19.5" thickBot="1" x14ac:dyDescent="0.35">
      <c r="A174" s="10" t="s">
        <v>0</v>
      </c>
      <c r="B174" s="11" t="s">
        <v>3</v>
      </c>
      <c r="C174" s="11" t="s">
        <v>1</v>
      </c>
      <c r="D174" s="11" t="s">
        <v>26</v>
      </c>
      <c r="E174" s="11" t="s">
        <v>23</v>
      </c>
      <c r="F174" s="12" t="s">
        <v>27</v>
      </c>
    </row>
    <row r="175" spans="1:6" x14ac:dyDescent="0.25">
      <c r="A175" s="3">
        <v>1</v>
      </c>
      <c r="B175" s="67">
        <v>46038</v>
      </c>
      <c r="C175" s="3" t="s">
        <v>144</v>
      </c>
      <c r="D175" s="3">
        <v>3</v>
      </c>
      <c r="E175" s="4">
        <f>D175*50</f>
        <v>150</v>
      </c>
      <c r="F175" s="1" t="s">
        <v>625</v>
      </c>
    </row>
    <row r="176" spans="1:6" x14ac:dyDescent="0.25">
      <c r="A176" s="3">
        <v>2</v>
      </c>
      <c r="B176" s="67">
        <v>46038</v>
      </c>
      <c r="C176" s="1" t="s">
        <v>9</v>
      </c>
      <c r="D176" s="1">
        <v>2</v>
      </c>
      <c r="E176" s="5">
        <f>D176*35</f>
        <v>70</v>
      </c>
      <c r="F176" s="1" t="s">
        <v>625</v>
      </c>
    </row>
    <row r="177" spans="1:6" x14ac:dyDescent="0.25">
      <c r="A177" s="3">
        <v>3</v>
      </c>
      <c r="B177" s="67">
        <v>46038</v>
      </c>
      <c r="C177" s="1" t="s">
        <v>235</v>
      </c>
      <c r="D177" s="1">
        <v>1</v>
      </c>
      <c r="E177" s="5">
        <f>D177*50</f>
        <v>50</v>
      </c>
      <c r="F177" s="1" t="s">
        <v>625</v>
      </c>
    </row>
    <row r="178" spans="1:6" x14ac:dyDescent="0.25">
      <c r="A178" s="3">
        <v>4</v>
      </c>
      <c r="B178" s="67">
        <v>46038</v>
      </c>
      <c r="C178" s="24" t="s">
        <v>294</v>
      </c>
      <c r="D178" s="1"/>
      <c r="E178" s="5">
        <v>120</v>
      </c>
      <c r="F178" s="1" t="s">
        <v>625</v>
      </c>
    </row>
    <row r="179" spans="1:6" ht="15.75" thickBot="1" x14ac:dyDescent="0.3">
      <c r="A179" s="289" t="s">
        <v>41</v>
      </c>
      <c r="B179" s="290"/>
      <c r="C179" s="290"/>
      <c r="D179" s="291"/>
      <c r="E179" s="54">
        <f>SUM(E175:E178)</f>
        <v>390</v>
      </c>
    </row>
    <row r="180" spans="1:6" ht="15.75" thickBot="1" x14ac:dyDescent="0.3"/>
    <row r="181" spans="1:6" ht="15.75" thickBot="1" x14ac:dyDescent="0.3">
      <c r="A181" s="292" t="s">
        <v>39</v>
      </c>
      <c r="B181" s="293"/>
      <c r="F181" s="14" t="s">
        <v>40</v>
      </c>
    </row>
    <row r="182" spans="1:6" ht="15.75" thickBot="1" x14ac:dyDescent="0.3"/>
    <row r="183" spans="1:6" ht="19.5" thickBot="1" x14ac:dyDescent="0.35">
      <c r="A183" s="10" t="s">
        <v>0</v>
      </c>
      <c r="B183" s="11" t="s">
        <v>3</v>
      </c>
      <c r="C183" s="11" t="s">
        <v>1</v>
      </c>
      <c r="D183" s="11" t="s">
        <v>26</v>
      </c>
      <c r="E183" s="11" t="s">
        <v>23</v>
      </c>
      <c r="F183" s="12" t="s">
        <v>27</v>
      </c>
    </row>
    <row r="184" spans="1:6" x14ac:dyDescent="0.25">
      <c r="A184" s="3">
        <v>1</v>
      </c>
      <c r="B184" s="67">
        <v>46039</v>
      </c>
      <c r="C184" s="3" t="s">
        <v>144</v>
      </c>
      <c r="D184" s="3">
        <v>1</v>
      </c>
      <c r="E184" s="4">
        <f>D184*50</f>
        <v>50</v>
      </c>
      <c r="F184" s="1" t="s">
        <v>625</v>
      </c>
    </row>
    <row r="185" spans="1:6" x14ac:dyDescent="0.25">
      <c r="A185" s="3">
        <v>2</v>
      </c>
      <c r="B185" s="67">
        <v>46039</v>
      </c>
      <c r="C185" s="1" t="s">
        <v>383</v>
      </c>
      <c r="D185" s="1"/>
      <c r="E185" s="5">
        <v>220</v>
      </c>
      <c r="F185" s="1" t="s">
        <v>625</v>
      </c>
    </row>
    <row r="186" spans="1:6" x14ac:dyDescent="0.25">
      <c r="A186" s="3">
        <v>3</v>
      </c>
      <c r="B186" s="67">
        <v>46039</v>
      </c>
      <c r="C186" s="24" t="s">
        <v>294</v>
      </c>
      <c r="D186" s="1"/>
      <c r="E186" s="5">
        <v>120</v>
      </c>
      <c r="F186" s="1" t="s">
        <v>625</v>
      </c>
    </row>
    <row r="187" spans="1:6" ht="15.75" thickBot="1" x14ac:dyDescent="0.3">
      <c r="A187" s="289" t="s">
        <v>41</v>
      </c>
      <c r="B187" s="290"/>
      <c r="C187" s="290"/>
      <c r="D187" s="291"/>
      <c r="E187" s="54">
        <f>SUM(E184:E186)</f>
        <v>390</v>
      </c>
    </row>
    <row r="188" spans="1:6" ht="15.75" thickBot="1" x14ac:dyDescent="0.3"/>
    <row r="189" spans="1:6" ht="15.75" thickBot="1" x14ac:dyDescent="0.3">
      <c r="A189" s="292" t="s">
        <v>39</v>
      </c>
      <c r="B189" s="293"/>
      <c r="F189" s="14" t="s">
        <v>40</v>
      </c>
    </row>
    <row r="190" spans="1:6" ht="15.75" thickBot="1" x14ac:dyDescent="0.3"/>
    <row r="191" spans="1:6" ht="19.5" thickBot="1" x14ac:dyDescent="0.35">
      <c r="A191" s="10" t="s">
        <v>0</v>
      </c>
      <c r="B191" s="11" t="s">
        <v>3</v>
      </c>
      <c r="C191" s="11" t="s">
        <v>1</v>
      </c>
      <c r="D191" s="11" t="s">
        <v>26</v>
      </c>
      <c r="E191" s="11" t="s">
        <v>23</v>
      </c>
      <c r="F191" s="12" t="s">
        <v>27</v>
      </c>
    </row>
    <row r="192" spans="1:6" x14ac:dyDescent="0.25">
      <c r="A192" s="3">
        <v>1</v>
      </c>
      <c r="B192" s="67">
        <v>46040</v>
      </c>
      <c r="C192" s="3" t="s">
        <v>144</v>
      </c>
      <c r="D192" s="3">
        <v>1</v>
      </c>
      <c r="E192" s="4">
        <f>D192*50</f>
        <v>50</v>
      </c>
      <c r="F192" s="1" t="s">
        <v>625</v>
      </c>
    </row>
    <row r="193" spans="1:6" x14ac:dyDescent="0.25">
      <c r="A193" s="3">
        <v>2</v>
      </c>
      <c r="B193" s="67">
        <v>46040</v>
      </c>
      <c r="C193" s="1" t="s">
        <v>383</v>
      </c>
      <c r="D193" s="1"/>
      <c r="E193" s="5">
        <v>220</v>
      </c>
      <c r="F193" s="1" t="s">
        <v>625</v>
      </c>
    </row>
    <row r="194" spans="1:6" x14ac:dyDescent="0.25">
      <c r="A194" s="3">
        <v>3</v>
      </c>
      <c r="B194" s="67">
        <v>46040</v>
      </c>
      <c r="C194" s="24" t="s">
        <v>294</v>
      </c>
      <c r="D194" s="1"/>
      <c r="E194" s="5">
        <v>120</v>
      </c>
      <c r="F194" s="1" t="s">
        <v>625</v>
      </c>
    </row>
    <row r="195" spans="1:6" ht="15.75" thickBot="1" x14ac:dyDescent="0.3">
      <c r="A195" s="289" t="s">
        <v>41</v>
      </c>
      <c r="B195" s="290"/>
      <c r="C195" s="290"/>
      <c r="D195" s="291"/>
      <c r="E195" s="54">
        <f>SUM(E192:E194)</f>
        <v>390</v>
      </c>
    </row>
    <row r="196" spans="1:6" ht="15.75" thickBot="1" x14ac:dyDescent="0.3"/>
    <row r="197" spans="1:6" ht="15.75" thickBot="1" x14ac:dyDescent="0.3">
      <c r="A197" s="292" t="s">
        <v>39</v>
      </c>
      <c r="B197" s="293"/>
      <c r="F197" s="14" t="s">
        <v>40</v>
      </c>
    </row>
  </sheetData>
  <mergeCells count="46">
    <mergeCell ref="A5:D5"/>
    <mergeCell ref="A7:B7"/>
    <mergeCell ref="A23:D23"/>
    <mergeCell ref="A93:D93"/>
    <mergeCell ref="A95:B95"/>
    <mergeCell ref="A25:B25"/>
    <mergeCell ref="A50:D50"/>
    <mergeCell ref="A52:B52"/>
    <mergeCell ref="A42:D42"/>
    <mergeCell ref="A44:B44"/>
    <mergeCell ref="A33:D33"/>
    <mergeCell ref="A35:B35"/>
    <mergeCell ref="A74:D74"/>
    <mergeCell ref="A82:D82"/>
    <mergeCell ref="A60:B60"/>
    <mergeCell ref="A84:B84"/>
    <mergeCell ref="A76:B76"/>
    <mergeCell ref="A14:D14"/>
    <mergeCell ref="A16:B16"/>
    <mergeCell ref="A66:D66"/>
    <mergeCell ref="A68:B68"/>
    <mergeCell ref="A58:D58"/>
    <mergeCell ref="A154:D154"/>
    <mergeCell ref="A156:B156"/>
    <mergeCell ref="A110:D110"/>
    <mergeCell ref="A101:D101"/>
    <mergeCell ref="A103:B103"/>
    <mergeCell ref="A130:D130"/>
    <mergeCell ref="A132:B132"/>
    <mergeCell ref="A112:B112"/>
    <mergeCell ref="A197:B197"/>
    <mergeCell ref="A122:D122"/>
    <mergeCell ref="A124:B124"/>
    <mergeCell ref="A187:D187"/>
    <mergeCell ref="A189:B189"/>
    <mergeCell ref="A195:D195"/>
    <mergeCell ref="A179:D179"/>
    <mergeCell ref="A181:B181"/>
    <mergeCell ref="A138:D138"/>
    <mergeCell ref="A140:B140"/>
    <mergeCell ref="A146:D146"/>
    <mergeCell ref="A148:B148"/>
    <mergeCell ref="A170:D170"/>
    <mergeCell ref="A172:B172"/>
    <mergeCell ref="A162:D162"/>
    <mergeCell ref="A164:B164"/>
  </mergeCells>
  <pageMargins left="0.70866141732283472" right="0.70866141732283472" top="0.74803149606299213" bottom="0.74803149606299213" header="0.31496062992125984" footer="0.31496062992125984"/>
  <pageSetup scale="114" orientation="portrait" horizontalDpi="4294967295" verticalDpi="4294967295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13" zoomScale="190" zoomScaleNormal="190" workbookViewId="0">
      <selection activeCell="A33" sqref="A33:B33"/>
    </sheetView>
  </sheetViews>
  <sheetFormatPr defaultRowHeight="15" x14ac:dyDescent="0.25"/>
  <cols>
    <col min="1" max="1" width="7.28515625" bestFit="1" customWidth="1"/>
    <col min="2" max="2" width="11.85546875" bestFit="1" customWidth="1"/>
    <col min="3" max="3" width="12.5703125" bestFit="1" customWidth="1"/>
    <col min="4" max="4" width="13" bestFit="1" customWidth="1"/>
    <col min="5" max="5" width="20.85546875" bestFit="1" customWidth="1"/>
  </cols>
  <sheetData>
    <row r="1" spans="1:5" ht="18.75" x14ac:dyDescent="0.3">
      <c r="A1" s="321" t="s">
        <v>579</v>
      </c>
      <c r="B1" s="321"/>
      <c r="C1" s="321"/>
      <c r="D1" s="321"/>
      <c r="E1" s="321"/>
    </row>
    <row r="2" spans="1:5" x14ac:dyDescent="0.25">
      <c r="A2" s="2" t="s">
        <v>0</v>
      </c>
      <c r="B2" s="2" t="s">
        <v>3</v>
      </c>
      <c r="C2" s="2" t="s">
        <v>24</v>
      </c>
      <c r="D2" s="2" t="s">
        <v>8</v>
      </c>
      <c r="E2" s="2" t="s">
        <v>540</v>
      </c>
    </row>
    <row r="3" spans="1:5" x14ac:dyDescent="0.25">
      <c r="A3" s="1">
        <v>1</v>
      </c>
      <c r="B3" s="66">
        <v>46007</v>
      </c>
      <c r="C3" s="66" t="s">
        <v>580</v>
      </c>
      <c r="D3" s="1">
        <v>200</v>
      </c>
      <c r="E3" s="1" t="s">
        <v>169</v>
      </c>
    </row>
    <row r="4" spans="1:5" x14ac:dyDescent="0.25">
      <c r="A4" s="1">
        <v>2</v>
      </c>
      <c r="B4" s="66">
        <v>46008</v>
      </c>
      <c r="C4" s="66" t="s">
        <v>580</v>
      </c>
      <c r="D4" s="1">
        <v>530</v>
      </c>
      <c r="E4" s="1" t="s">
        <v>169</v>
      </c>
    </row>
    <row r="5" spans="1:5" x14ac:dyDescent="0.25">
      <c r="A5" s="1">
        <v>3</v>
      </c>
      <c r="B5" s="66">
        <v>46009</v>
      </c>
      <c r="C5" s="66" t="s">
        <v>580</v>
      </c>
      <c r="D5" s="1">
        <v>250</v>
      </c>
      <c r="E5" s="1" t="s">
        <v>169</v>
      </c>
    </row>
    <row r="6" spans="1:5" x14ac:dyDescent="0.25">
      <c r="A6" s="1">
        <v>4</v>
      </c>
      <c r="B6" s="66">
        <v>46015</v>
      </c>
      <c r="C6" s="66" t="s">
        <v>580</v>
      </c>
      <c r="D6" s="1">
        <v>250</v>
      </c>
      <c r="E6" s="1" t="s">
        <v>169</v>
      </c>
    </row>
    <row r="7" spans="1:5" x14ac:dyDescent="0.25">
      <c r="A7" s="1">
        <v>5</v>
      </c>
      <c r="B7" s="66">
        <v>46016</v>
      </c>
      <c r="C7" s="66" t="s">
        <v>580</v>
      </c>
      <c r="D7" s="1">
        <v>490</v>
      </c>
      <c r="E7" s="1" t="s">
        <v>169</v>
      </c>
    </row>
    <row r="8" spans="1:5" x14ac:dyDescent="0.25">
      <c r="A8" s="1">
        <v>6</v>
      </c>
      <c r="B8" s="66">
        <v>46017</v>
      </c>
      <c r="C8" s="66" t="s">
        <v>580</v>
      </c>
      <c r="D8" s="1">
        <v>510</v>
      </c>
      <c r="E8" s="1" t="s">
        <v>169</v>
      </c>
    </row>
    <row r="9" spans="1:5" x14ac:dyDescent="0.25">
      <c r="A9" s="1">
        <v>7</v>
      </c>
      <c r="B9" s="66">
        <v>46018</v>
      </c>
      <c r="C9" s="66" t="s">
        <v>580</v>
      </c>
      <c r="D9" s="1">
        <v>250</v>
      </c>
      <c r="E9" s="1" t="s">
        <v>169</v>
      </c>
    </row>
    <row r="10" spans="1:5" x14ac:dyDescent="0.25">
      <c r="A10" s="1">
        <v>8</v>
      </c>
      <c r="B10" s="66">
        <v>46019</v>
      </c>
      <c r="C10" s="66" t="s">
        <v>580</v>
      </c>
      <c r="D10" s="1">
        <v>390</v>
      </c>
      <c r="E10" s="1" t="s">
        <v>169</v>
      </c>
    </row>
    <row r="11" spans="1:5" x14ac:dyDescent="0.25">
      <c r="A11" s="1">
        <v>9</v>
      </c>
      <c r="B11" s="66">
        <v>46020</v>
      </c>
      <c r="C11" s="66" t="s">
        <v>580</v>
      </c>
      <c r="D11" s="1">
        <v>250</v>
      </c>
      <c r="E11" s="1" t="s">
        <v>169</v>
      </c>
    </row>
    <row r="12" spans="1:5" x14ac:dyDescent="0.25">
      <c r="A12" s="1">
        <v>10</v>
      </c>
      <c r="B12" s="66">
        <v>46021</v>
      </c>
      <c r="C12" s="66" t="s">
        <v>580</v>
      </c>
      <c r="D12" s="1">
        <v>250</v>
      </c>
      <c r="E12" s="1" t="s">
        <v>169</v>
      </c>
    </row>
    <row r="13" spans="1:5" x14ac:dyDescent="0.25">
      <c r="A13" s="1">
        <v>11</v>
      </c>
      <c r="B13" s="66">
        <v>46022</v>
      </c>
      <c r="C13" s="66" t="s">
        <v>580</v>
      </c>
      <c r="D13" s="1">
        <v>250</v>
      </c>
      <c r="E13" s="1" t="s">
        <v>169</v>
      </c>
    </row>
    <row r="14" spans="1:5" ht="18.75" x14ac:dyDescent="0.3">
      <c r="A14" s="325" t="s">
        <v>41</v>
      </c>
      <c r="B14" s="325"/>
      <c r="C14" s="325"/>
      <c r="D14" s="107">
        <f>SUM(D3:D13)</f>
        <v>3620</v>
      </c>
      <c r="E14" s="1"/>
    </row>
    <row r="16" spans="1:5" ht="18.75" x14ac:dyDescent="0.3">
      <c r="A16" s="321" t="s">
        <v>579</v>
      </c>
      <c r="B16" s="321"/>
      <c r="C16" s="321"/>
      <c r="D16" s="321"/>
      <c r="E16" s="321"/>
    </row>
    <row r="17" spans="1:5" x14ac:dyDescent="0.25">
      <c r="A17" s="2" t="s">
        <v>0</v>
      </c>
      <c r="B17" s="2" t="s">
        <v>3</v>
      </c>
      <c r="C17" s="2" t="s">
        <v>24</v>
      </c>
      <c r="D17" s="2" t="s">
        <v>8</v>
      </c>
      <c r="E17" s="2" t="s">
        <v>540</v>
      </c>
    </row>
    <row r="18" spans="1:5" x14ac:dyDescent="0.25">
      <c r="A18" s="1">
        <v>1</v>
      </c>
      <c r="B18" s="66">
        <v>46023</v>
      </c>
      <c r="C18" s="66" t="s">
        <v>580</v>
      </c>
      <c r="D18" s="5">
        <f>'Guest House'!E93</f>
        <v>870</v>
      </c>
      <c r="E18" s="1" t="s">
        <v>169</v>
      </c>
    </row>
    <row r="19" spans="1:5" x14ac:dyDescent="0.25">
      <c r="A19" s="1">
        <v>2</v>
      </c>
      <c r="B19" s="66">
        <v>46029</v>
      </c>
      <c r="C19" s="66" t="s">
        <v>580</v>
      </c>
      <c r="D19" s="5">
        <f>'Guest House'!E101</f>
        <v>540</v>
      </c>
      <c r="E19" s="1" t="s">
        <v>169</v>
      </c>
    </row>
    <row r="20" spans="1:5" x14ac:dyDescent="0.25">
      <c r="A20" s="1">
        <v>3</v>
      </c>
      <c r="B20" s="66">
        <v>46030</v>
      </c>
      <c r="C20" s="66" t="s">
        <v>580</v>
      </c>
      <c r="D20" s="5">
        <f>'Guest House'!E110</f>
        <v>440</v>
      </c>
      <c r="E20" s="1" t="s">
        <v>169</v>
      </c>
    </row>
    <row r="21" spans="1:5" x14ac:dyDescent="0.25">
      <c r="A21" s="1">
        <v>4</v>
      </c>
      <c r="B21" s="66">
        <v>46031</v>
      </c>
      <c r="C21" s="66" t="s">
        <v>580</v>
      </c>
      <c r="D21" s="5">
        <f>'Guest House'!E122</f>
        <v>1970</v>
      </c>
      <c r="E21" s="1" t="s">
        <v>169</v>
      </c>
    </row>
    <row r="22" spans="1:5" x14ac:dyDescent="0.25">
      <c r="A22" s="1">
        <v>5</v>
      </c>
      <c r="B22" s="66">
        <v>46032</v>
      </c>
      <c r="C22" s="66" t="s">
        <v>580</v>
      </c>
      <c r="D22" s="5">
        <f>'Guest House'!E130</f>
        <v>250</v>
      </c>
      <c r="E22" s="1" t="s">
        <v>169</v>
      </c>
    </row>
    <row r="23" spans="1:5" x14ac:dyDescent="0.25">
      <c r="A23" s="1">
        <v>6</v>
      </c>
      <c r="B23" s="66">
        <v>46033</v>
      </c>
      <c r="C23" s="66" t="s">
        <v>580</v>
      </c>
      <c r="D23" s="5">
        <f>'Guest House'!E138</f>
        <v>390</v>
      </c>
      <c r="E23" s="1" t="s">
        <v>169</v>
      </c>
    </row>
    <row r="24" spans="1:5" x14ac:dyDescent="0.25">
      <c r="A24" s="1">
        <v>7</v>
      </c>
      <c r="B24" s="66">
        <v>46034</v>
      </c>
      <c r="C24" s="66" t="s">
        <v>580</v>
      </c>
      <c r="D24" s="5">
        <f>'Guest House'!E146</f>
        <v>390</v>
      </c>
      <c r="E24" s="1" t="s">
        <v>169</v>
      </c>
    </row>
    <row r="25" spans="1:5" x14ac:dyDescent="0.25">
      <c r="A25" s="1">
        <v>8</v>
      </c>
      <c r="B25" s="66">
        <v>46035</v>
      </c>
      <c r="C25" s="66" t="s">
        <v>580</v>
      </c>
      <c r="D25" s="5">
        <f>'Guest House'!E154</f>
        <v>390</v>
      </c>
      <c r="E25" s="1" t="s">
        <v>169</v>
      </c>
    </row>
    <row r="26" spans="1:5" x14ac:dyDescent="0.25">
      <c r="A26" s="1">
        <v>9</v>
      </c>
      <c r="B26" s="66">
        <v>46036</v>
      </c>
      <c r="C26" s="66" t="s">
        <v>580</v>
      </c>
      <c r="D26" s="5">
        <f>'Guest House'!E162</f>
        <v>390</v>
      </c>
      <c r="E26" s="1" t="s">
        <v>169</v>
      </c>
    </row>
    <row r="27" spans="1:5" x14ac:dyDescent="0.25">
      <c r="A27" s="1">
        <v>10</v>
      </c>
      <c r="B27" s="66">
        <v>46037</v>
      </c>
      <c r="C27" s="66" t="s">
        <v>580</v>
      </c>
      <c r="D27" s="5">
        <f>'Guest House'!E170</f>
        <v>250</v>
      </c>
      <c r="E27" s="1" t="s">
        <v>169</v>
      </c>
    </row>
    <row r="28" spans="1:5" ht="19.5" thickBot="1" x14ac:dyDescent="0.35">
      <c r="A28" s="325" t="s">
        <v>41</v>
      </c>
      <c r="B28" s="325"/>
      <c r="C28" s="325"/>
      <c r="D28" s="115">
        <f>SUM(D18:D27)</f>
        <v>5880</v>
      </c>
      <c r="E28" s="1"/>
    </row>
    <row r="29" spans="1:5" ht="15.75" thickBot="1" x14ac:dyDescent="0.3">
      <c r="A29" s="292" t="s">
        <v>39</v>
      </c>
      <c r="B29" s="293"/>
      <c r="E29" s="14" t="s">
        <v>40</v>
      </c>
    </row>
    <row r="32" spans="1:5" ht="15.75" thickBot="1" x14ac:dyDescent="0.3"/>
    <row r="33" spans="1:2" ht="15.75" thickBot="1" x14ac:dyDescent="0.3">
      <c r="A33" s="292" t="s">
        <v>957</v>
      </c>
      <c r="B33" s="293"/>
    </row>
  </sheetData>
  <mergeCells count="6">
    <mergeCell ref="A33:B33"/>
    <mergeCell ref="A1:E1"/>
    <mergeCell ref="A14:C14"/>
    <mergeCell ref="A16:E16"/>
    <mergeCell ref="A28:C28"/>
    <mergeCell ref="A29:B29"/>
  </mergeCells>
  <pageMargins left="0.70866141732283472" right="0.70866141732283472" top="0.74803149606299213" bottom="0.74803149606299213" header="0.31496062992125984" footer="0.31496062992125984"/>
  <pageSetup scale="137" orientation="portrait" horizontalDpi="4294967295" verticalDpi="4294967295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opLeftCell="A23" zoomScaleNormal="100" workbookViewId="0">
      <selection activeCell="N41" sqref="N41"/>
    </sheetView>
  </sheetViews>
  <sheetFormatPr defaultRowHeight="15" x14ac:dyDescent="0.25"/>
  <cols>
    <col min="1" max="1" width="4.140625" bestFit="1" customWidth="1"/>
    <col min="2" max="2" width="11.85546875" bestFit="1" customWidth="1"/>
    <col min="3" max="3" width="14.85546875" customWidth="1"/>
    <col min="4" max="4" width="12.7109375" customWidth="1"/>
    <col min="8" max="8" width="18" bestFit="1" customWidth="1"/>
    <col min="9" max="9" width="15.5703125" bestFit="1" customWidth="1"/>
    <col min="10" max="12" width="9.5703125" customWidth="1"/>
  </cols>
  <sheetData>
    <row r="1" spans="1:13" ht="15.75" thickBot="1" x14ac:dyDescent="0.3">
      <c r="A1" s="72" t="s">
        <v>0</v>
      </c>
      <c r="B1" s="73" t="s">
        <v>107</v>
      </c>
      <c r="C1" s="73" t="s">
        <v>1</v>
      </c>
      <c r="D1" s="73" t="s">
        <v>111</v>
      </c>
      <c r="E1" s="73" t="s">
        <v>26</v>
      </c>
      <c r="F1" s="73" t="s">
        <v>173</v>
      </c>
      <c r="G1" s="73" t="s">
        <v>171</v>
      </c>
      <c r="H1" s="73" t="s">
        <v>8</v>
      </c>
      <c r="I1" s="73" t="s">
        <v>717</v>
      </c>
      <c r="J1" s="83" t="s">
        <v>173</v>
      </c>
      <c r="K1" s="139" t="s">
        <v>23</v>
      </c>
      <c r="L1" s="139" t="s">
        <v>8</v>
      </c>
      <c r="M1" s="84" t="s">
        <v>243</v>
      </c>
    </row>
    <row r="2" spans="1:13" x14ac:dyDescent="0.25">
      <c r="A2" s="3">
        <v>1</v>
      </c>
      <c r="B2" s="3" t="s">
        <v>5</v>
      </c>
      <c r="C2" s="3" t="s">
        <v>172</v>
      </c>
      <c r="D2" s="3" t="s">
        <v>361</v>
      </c>
      <c r="E2" s="3">
        <v>20</v>
      </c>
      <c r="F2" s="3" t="s">
        <v>342</v>
      </c>
      <c r="G2" s="3">
        <v>220</v>
      </c>
      <c r="H2" s="4">
        <f>G2*E2</f>
        <v>4400</v>
      </c>
      <c r="I2" s="3"/>
      <c r="J2" s="61"/>
      <c r="K2" s="61"/>
      <c r="L2" s="61"/>
      <c r="M2" s="85" t="s">
        <v>430</v>
      </c>
    </row>
    <row r="3" spans="1:13" x14ac:dyDescent="0.25">
      <c r="A3" s="3">
        <v>2</v>
      </c>
      <c r="B3" s="1" t="s">
        <v>52</v>
      </c>
      <c r="C3" s="1" t="s">
        <v>172</v>
      </c>
      <c r="D3" s="3" t="s">
        <v>114</v>
      </c>
      <c r="E3" s="1">
        <v>10</v>
      </c>
      <c r="F3" s="3" t="s">
        <v>342</v>
      </c>
      <c r="G3" s="1">
        <v>220</v>
      </c>
      <c r="H3" s="5">
        <f t="shared" ref="H3:H15" si="0">G3*E3</f>
        <v>2200</v>
      </c>
      <c r="I3" s="1">
        <v>35</v>
      </c>
      <c r="J3" s="60" t="s">
        <v>218</v>
      </c>
      <c r="K3" s="60">
        <v>30</v>
      </c>
      <c r="L3" s="60">
        <f>K3*I3</f>
        <v>1050</v>
      </c>
      <c r="M3" s="56" t="s">
        <v>430</v>
      </c>
    </row>
    <row r="4" spans="1:13" x14ac:dyDescent="0.25">
      <c r="A4" s="3">
        <v>3</v>
      </c>
      <c r="B4" s="1" t="s">
        <v>108</v>
      </c>
      <c r="C4" s="1" t="s">
        <v>172</v>
      </c>
      <c r="D4" s="3" t="s">
        <v>115</v>
      </c>
      <c r="E4" s="1">
        <v>10</v>
      </c>
      <c r="F4" s="3" t="s">
        <v>342</v>
      </c>
      <c r="G4" s="1">
        <v>220</v>
      </c>
      <c r="H4" s="5">
        <f t="shared" si="0"/>
        <v>2200</v>
      </c>
      <c r="I4" s="1"/>
      <c r="J4" s="60"/>
      <c r="K4" s="60"/>
      <c r="L4" s="60">
        <f t="shared" ref="L4:L23" si="1">K4*I4</f>
        <v>0</v>
      </c>
      <c r="M4" s="56" t="s">
        <v>430</v>
      </c>
    </row>
    <row r="5" spans="1:13" x14ac:dyDescent="0.25">
      <c r="A5" s="3">
        <v>4</v>
      </c>
      <c r="B5" s="1" t="s">
        <v>119</v>
      </c>
      <c r="C5" s="1" t="s">
        <v>175</v>
      </c>
      <c r="D5" s="3" t="s">
        <v>116</v>
      </c>
      <c r="E5" s="1">
        <v>8</v>
      </c>
      <c r="F5" s="1" t="s">
        <v>174</v>
      </c>
      <c r="G5" s="1">
        <v>320</v>
      </c>
      <c r="H5" s="5">
        <f t="shared" si="0"/>
        <v>2560</v>
      </c>
      <c r="I5" s="1">
        <v>40</v>
      </c>
      <c r="J5" s="60" t="s">
        <v>218</v>
      </c>
      <c r="K5" s="60">
        <v>30</v>
      </c>
      <c r="L5" s="60">
        <f t="shared" si="1"/>
        <v>1200</v>
      </c>
      <c r="M5" s="56" t="s">
        <v>430</v>
      </c>
    </row>
    <row r="6" spans="1:13" x14ac:dyDescent="0.25">
      <c r="A6" s="3">
        <v>5</v>
      </c>
      <c r="B6" s="1" t="s">
        <v>119</v>
      </c>
      <c r="C6" s="1" t="s">
        <v>176</v>
      </c>
      <c r="D6" s="3" t="s">
        <v>116</v>
      </c>
      <c r="E6" s="1">
        <v>15</v>
      </c>
      <c r="F6" s="1" t="s">
        <v>342</v>
      </c>
      <c r="G6" s="1">
        <v>220</v>
      </c>
      <c r="H6" s="5">
        <f t="shared" si="0"/>
        <v>3300</v>
      </c>
      <c r="I6" s="1"/>
      <c r="J6" s="60"/>
      <c r="K6" s="60"/>
      <c r="L6" s="60">
        <f t="shared" si="1"/>
        <v>0</v>
      </c>
      <c r="M6" s="56" t="s">
        <v>430</v>
      </c>
    </row>
    <row r="7" spans="1:13" x14ac:dyDescent="0.25">
      <c r="A7" s="3">
        <v>6</v>
      </c>
      <c r="B7" s="66">
        <v>46013</v>
      </c>
      <c r="C7" s="1" t="s">
        <v>172</v>
      </c>
      <c r="D7" s="1" t="s">
        <v>112</v>
      </c>
      <c r="E7" s="1">
        <v>10</v>
      </c>
      <c r="F7" s="1" t="s">
        <v>342</v>
      </c>
      <c r="G7" s="1">
        <v>220</v>
      </c>
      <c r="H7" s="5">
        <f t="shared" si="0"/>
        <v>2200</v>
      </c>
      <c r="I7" s="1">
        <v>50</v>
      </c>
      <c r="J7" s="60" t="s">
        <v>218</v>
      </c>
      <c r="K7" s="60">
        <v>30</v>
      </c>
      <c r="L7" s="60">
        <f t="shared" si="1"/>
        <v>1500</v>
      </c>
      <c r="M7" s="56" t="s">
        <v>430</v>
      </c>
    </row>
    <row r="8" spans="1:13" x14ac:dyDescent="0.25">
      <c r="A8" s="3">
        <v>7</v>
      </c>
      <c r="B8" s="66">
        <v>46014</v>
      </c>
      <c r="C8" s="1" t="s">
        <v>172</v>
      </c>
      <c r="D8" s="1" t="s">
        <v>113</v>
      </c>
      <c r="E8" s="1">
        <v>10</v>
      </c>
      <c r="F8" s="1" t="s">
        <v>342</v>
      </c>
      <c r="G8" s="1">
        <v>220</v>
      </c>
      <c r="H8" s="5">
        <f t="shared" si="0"/>
        <v>2200</v>
      </c>
      <c r="I8" s="1"/>
      <c r="J8" s="60"/>
      <c r="K8" s="60"/>
      <c r="L8" s="60">
        <f t="shared" si="1"/>
        <v>0</v>
      </c>
      <c r="M8" s="56" t="s">
        <v>430</v>
      </c>
    </row>
    <row r="9" spans="1:13" x14ac:dyDescent="0.25">
      <c r="A9" s="3">
        <v>8</v>
      </c>
      <c r="B9" s="66">
        <v>46015</v>
      </c>
      <c r="C9" s="1" t="s">
        <v>172</v>
      </c>
      <c r="D9" s="1" t="s">
        <v>114</v>
      </c>
      <c r="E9" s="1">
        <v>10</v>
      </c>
      <c r="F9" s="1" t="s">
        <v>342</v>
      </c>
      <c r="G9" s="1">
        <v>220</v>
      </c>
      <c r="H9" s="5">
        <f t="shared" si="0"/>
        <v>2200</v>
      </c>
      <c r="I9" s="1">
        <v>45</v>
      </c>
      <c r="J9" s="60" t="s">
        <v>218</v>
      </c>
      <c r="K9" s="60">
        <v>30</v>
      </c>
      <c r="L9" s="60">
        <f t="shared" si="1"/>
        <v>1350</v>
      </c>
      <c r="M9" s="56" t="s">
        <v>430</v>
      </c>
    </row>
    <row r="10" spans="1:13" x14ac:dyDescent="0.25">
      <c r="A10" s="3">
        <v>9</v>
      </c>
      <c r="B10" s="66">
        <v>46016</v>
      </c>
      <c r="C10" s="1" t="s">
        <v>172</v>
      </c>
      <c r="D10" s="1" t="s">
        <v>115</v>
      </c>
      <c r="E10" s="1">
        <v>20</v>
      </c>
      <c r="F10" s="1" t="s">
        <v>342</v>
      </c>
      <c r="G10" s="1">
        <v>220</v>
      </c>
      <c r="H10" s="5">
        <f t="shared" si="0"/>
        <v>4400</v>
      </c>
      <c r="I10" s="1"/>
      <c r="J10" s="60"/>
      <c r="K10" s="60"/>
      <c r="L10" s="60">
        <f t="shared" si="1"/>
        <v>0</v>
      </c>
      <c r="M10" s="56" t="s">
        <v>430</v>
      </c>
    </row>
    <row r="11" spans="1:13" x14ac:dyDescent="0.25">
      <c r="A11" s="3">
        <v>10</v>
      </c>
      <c r="B11" s="66">
        <v>46017</v>
      </c>
      <c r="C11" s="1" t="s">
        <v>172</v>
      </c>
      <c r="D11" s="1" t="s">
        <v>116</v>
      </c>
      <c r="E11" s="1">
        <v>10</v>
      </c>
      <c r="F11" s="1" t="s">
        <v>342</v>
      </c>
      <c r="G11" s="1">
        <v>220</v>
      </c>
      <c r="H11" s="5">
        <f t="shared" si="0"/>
        <v>2200</v>
      </c>
      <c r="I11" s="1">
        <v>20</v>
      </c>
      <c r="J11" s="60" t="s">
        <v>218</v>
      </c>
      <c r="K11" s="60">
        <v>30</v>
      </c>
      <c r="L11" s="60">
        <f t="shared" si="1"/>
        <v>600</v>
      </c>
      <c r="M11" s="56" t="s">
        <v>430</v>
      </c>
    </row>
    <row r="12" spans="1:13" x14ac:dyDescent="0.25">
      <c r="A12" s="3">
        <v>11</v>
      </c>
      <c r="B12" s="66">
        <v>46018</v>
      </c>
      <c r="C12" s="1" t="s">
        <v>172</v>
      </c>
      <c r="D12" s="1" t="s">
        <v>117</v>
      </c>
      <c r="E12" s="1">
        <v>10</v>
      </c>
      <c r="F12" s="1" t="s">
        <v>342</v>
      </c>
      <c r="G12" s="1">
        <v>220</v>
      </c>
      <c r="H12" s="5">
        <f t="shared" si="0"/>
        <v>2200</v>
      </c>
      <c r="I12" s="1"/>
      <c r="J12" s="60"/>
      <c r="K12" s="60"/>
      <c r="L12" s="60">
        <f t="shared" si="1"/>
        <v>0</v>
      </c>
      <c r="M12" s="56" t="s">
        <v>430</v>
      </c>
    </row>
    <row r="13" spans="1:13" x14ac:dyDescent="0.25">
      <c r="A13" s="3">
        <v>12</v>
      </c>
      <c r="B13" s="66">
        <v>46019</v>
      </c>
      <c r="C13" s="1" t="s">
        <v>172</v>
      </c>
      <c r="D13" s="1" t="s">
        <v>118</v>
      </c>
      <c r="E13" s="1">
        <v>10</v>
      </c>
      <c r="F13" s="1" t="s">
        <v>342</v>
      </c>
      <c r="G13" s="1">
        <v>220</v>
      </c>
      <c r="H13" s="5">
        <f t="shared" si="0"/>
        <v>2200</v>
      </c>
      <c r="I13" s="1"/>
      <c r="J13" s="60"/>
      <c r="K13" s="60"/>
      <c r="L13" s="60">
        <f t="shared" si="1"/>
        <v>0</v>
      </c>
      <c r="M13" s="56" t="s">
        <v>430</v>
      </c>
    </row>
    <row r="14" spans="1:13" x14ac:dyDescent="0.25">
      <c r="A14" s="3">
        <v>13</v>
      </c>
      <c r="B14" s="66">
        <v>46020</v>
      </c>
      <c r="C14" s="1" t="s">
        <v>172</v>
      </c>
      <c r="D14" s="1" t="s">
        <v>429</v>
      </c>
      <c r="E14" s="1">
        <v>10</v>
      </c>
      <c r="F14" s="1" t="s">
        <v>342</v>
      </c>
      <c r="G14" s="1">
        <v>220</v>
      </c>
      <c r="H14" s="5">
        <f t="shared" si="0"/>
        <v>2200</v>
      </c>
      <c r="I14" s="1"/>
      <c r="J14" s="60"/>
      <c r="K14" s="60"/>
      <c r="L14" s="60">
        <f t="shared" si="1"/>
        <v>0</v>
      </c>
      <c r="M14" s="56" t="s">
        <v>430</v>
      </c>
    </row>
    <row r="15" spans="1:13" x14ac:dyDescent="0.25">
      <c r="A15" s="3">
        <v>14</v>
      </c>
      <c r="B15" s="66">
        <v>46021</v>
      </c>
      <c r="C15" s="1" t="s">
        <v>172</v>
      </c>
      <c r="D15" s="1" t="s">
        <v>113</v>
      </c>
      <c r="E15" s="1">
        <v>12</v>
      </c>
      <c r="F15" s="1" t="s">
        <v>342</v>
      </c>
      <c r="G15" s="1">
        <v>220</v>
      </c>
      <c r="H15" s="5">
        <f t="shared" si="0"/>
        <v>2640</v>
      </c>
      <c r="I15" s="1"/>
      <c r="J15" s="60"/>
      <c r="K15" s="60"/>
      <c r="L15" s="60">
        <f t="shared" si="1"/>
        <v>0</v>
      </c>
      <c r="M15" s="56" t="s">
        <v>430</v>
      </c>
    </row>
    <row r="16" spans="1:13" x14ac:dyDescent="0.25">
      <c r="A16" s="3">
        <v>15</v>
      </c>
      <c r="B16" s="66">
        <v>46022</v>
      </c>
      <c r="C16" s="1" t="s">
        <v>172</v>
      </c>
      <c r="D16" s="1" t="s">
        <v>114</v>
      </c>
      <c r="E16" s="1">
        <v>11</v>
      </c>
      <c r="F16" s="1" t="s">
        <v>342</v>
      </c>
      <c r="G16" s="1">
        <v>220</v>
      </c>
      <c r="H16" s="5">
        <f t="shared" ref="H16:H21" si="2">G16*E16</f>
        <v>2420</v>
      </c>
      <c r="I16" s="1"/>
      <c r="J16" s="60"/>
      <c r="K16" s="60"/>
      <c r="L16" s="60">
        <f t="shared" si="1"/>
        <v>0</v>
      </c>
      <c r="M16" s="56" t="s">
        <v>430</v>
      </c>
    </row>
    <row r="17" spans="1:13" x14ac:dyDescent="0.25">
      <c r="A17" s="3">
        <v>16</v>
      </c>
      <c r="B17" s="66">
        <v>46023</v>
      </c>
      <c r="C17" s="1" t="s">
        <v>172</v>
      </c>
      <c r="D17" s="1" t="s">
        <v>115</v>
      </c>
      <c r="E17" s="1">
        <v>10</v>
      </c>
      <c r="F17" s="1" t="s">
        <v>342</v>
      </c>
      <c r="G17" s="1">
        <v>220</v>
      </c>
      <c r="H17" s="5">
        <f t="shared" si="2"/>
        <v>2200</v>
      </c>
      <c r="I17" s="1"/>
      <c r="J17" s="60"/>
      <c r="K17" s="60"/>
      <c r="L17" s="60">
        <f t="shared" si="1"/>
        <v>0</v>
      </c>
      <c r="M17" s="56" t="s">
        <v>430</v>
      </c>
    </row>
    <row r="18" spans="1:13" x14ac:dyDescent="0.25">
      <c r="A18" s="3">
        <v>17</v>
      </c>
      <c r="B18" s="66">
        <v>46024</v>
      </c>
      <c r="C18" s="1" t="s">
        <v>172</v>
      </c>
      <c r="D18" s="1" t="s">
        <v>116</v>
      </c>
      <c r="E18" s="1">
        <v>16</v>
      </c>
      <c r="F18" s="1" t="s">
        <v>342</v>
      </c>
      <c r="G18" s="1">
        <v>220</v>
      </c>
      <c r="H18" s="5">
        <f t="shared" si="2"/>
        <v>3520</v>
      </c>
      <c r="I18" s="1"/>
      <c r="J18" s="60"/>
      <c r="K18" s="60"/>
      <c r="L18" s="60">
        <f t="shared" si="1"/>
        <v>0</v>
      </c>
      <c r="M18" s="56" t="s">
        <v>430</v>
      </c>
    </row>
    <row r="19" spans="1:13" x14ac:dyDescent="0.25">
      <c r="A19" s="3">
        <v>18</v>
      </c>
      <c r="B19" s="66">
        <v>46025</v>
      </c>
      <c r="C19" s="1" t="s">
        <v>172</v>
      </c>
      <c r="D19" s="1" t="s">
        <v>117</v>
      </c>
      <c r="E19" s="1">
        <v>14</v>
      </c>
      <c r="F19" s="1" t="s">
        <v>342</v>
      </c>
      <c r="G19" s="1">
        <v>220</v>
      </c>
      <c r="H19" s="5">
        <f t="shared" si="2"/>
        <v>3080</v>
      </c>
      <c r="I19" s="1"/>
      <c r="J19" s="60"/>
      <c r="K19" s="60"/>
      <c r="L19" s="60">
        <f t="shared" si="1"/>
        <v>0</v>
      </c>
      <c r="M19" s="56" t="s">
        <v>430</v>
      </c>
    </row>
    <row r="20" spans="1:13" x14ac:dyDescent="0.25">
      <c r="A20" s="3">
        <v>19</v>
      </c>
      <c r="B20" s="66">
        <v>46026</v>
      </c>
      <c r="C20" s="1" t="s">
        <v>172</v>
      </c>
      <c r="D20" s="1" t="s">
        <v>118</v>
      </c>
      <c r="E20" s="1">
        <v>10</v>
      </c>
      <c r="F20" s="1" t="s">
        <v>342</v>
      </c>
      <c r="G20" s="1">
        <v>220</v>
      </c>
      <c r="H20" s="5">
        <f t="shared" si="2"/>
        <v>2200</v>
      </c>
      <c r="I20" s="1"/>
      <c r="J20" s="60"/>
      <c r="K20" s="60"/>
      <c r="L20" s="60">
        <f t="shared" si="1"/>
        <v>0</v>
      </c>
      <c r="M20" s="56" t="s">
        <v>430</v>
      </c>
    </row>
    <row r="21" spans="1:13" x14ac:dyDescent="0.25">
      <c r="A21" s="3">
        <v>20</v>
      </c>
      <c r="B21" s="66">
        <v>46027</v>
      </c>
      <c r="C21" s="1" t="s">
        <v>172</v>
      </c>
      <c r="D21" s="1" t="s">
        <v>429</v>
      </c>
      <c r="E21" s="1">
        <v>10</v>
      </c>
      <c r="F21" s="1" t="s">
        <v>342</v>
      </c>
      <c r="G21" s="1">
        <v>220</v>
      </c>
      <c r="H21" s="5">
        <f t="shared" si="2"/>
        <v>2200</v>
      </c>
      <c r="I21" s="1">
        <v>15</v>
      </c>
      <c r="J21" s="60" t="s">
        <v>218</v>
      </c>
      <c r="K21" s="60">
        <v>30</v>
      </c>
      <c r="L21" s="60">
        <f t="shared" si="1"/>
        <v>450</v>
      </c>
      <c r="M21" s="56" t="s">
        <v>430</v>
      </c>
    </row>
    <row r="22" spans="1:13" x14ac:dyDescent="0.25">
      <c r="A22" s="3">
        <v>21</v>
      </c>
      <c r="B22" s="66">
        <v>46028</v>
      </c>
      <c r="C22" s="1" t="s">
        <v>172</v>
      </c>
      <c r="D22" s="1" t="s">
        <v>113</v>
      </c>
      <c r="E22" s="1">
        <v>10</v>
      </c>
      <c r="F22" s="1" t="s">
        <v>342</v>
      </c>
      <c r="G22" s="1">
        <v>220</v>
      </c>
      <c r="H22" s="5">
        <f t="shared" ref="H22:H27" si="3">G22*E22</f>
        <v>2200</v>
      </c>
      <c r="I22" s="1"/>
      <c r="J22" s="60"/>
      <c r="K22" s="60"/>
      <c r="L22" s="60">
        <f t="shared" si="1"/>
        <v>0</v>
      </c>
      <c r="M22" s="56" t="s">
        <v>430</v>
      </c>
    </row>
    <row r="23" spans="1:13" x14ac:dyDescent="0.25">
      <c r="A23" s="3">
        <v>22</v>
      </c>
      <c r="B23" s="66">
        <v>46029</v>
      </c>
      <c r="C23" s="1" t="s">
        <v>172</v>
      </c>
      <c r="D23" s="1" t="s">
        <v>114</v>
      </c>
      <c r="E23" s="1">
        <v>11</v>
      </c>
      <c r="F23" s="1" t="s">
        <v>342</v>
      </c>
      <c r="G23" s="1">
        <v>220</v>
      </c>
      <c r="H23" s="5">
        <f t="shared" si="3"/>
        <v>2420</v>
      </c>
      <c r="I23" s="1">
        <v>31</v>
      </c>
      <c r="J23" s="60" t="s">
        <v>218</v>
      </c>
      <c r="K23" s="60">
        <v>30</v>
      </c>
      <c r="L23" s="60">
        <f t="shared" si="1"/>
        <v>930</v>
      </c>
      <c r="M23" s="56" t="s">
        <v>430</v>
      </c>
    </row>
    <row r="24" spans="1:13" x14ac:dyDescent="0.25">
      <c r="A24" s="3">
        <v>23</v>
      </c>
      <c r="B24" s="66">
        <v>46030</v>
      </c>
      <c r="C24" s="1" t="s">
        <v>172</v>
      </c>
      <c r="D24" s="1" t="s">
        <v>115</v>
      </c>
      <c r="E24" s="1">
        <v>10</v>
      </c>
      <c r="F24" s="1" t="s">
        <v>342</v>
      </c>
      <c r="G24" s="1">
        <v>220</v>
      </c>
      <c r="H24" s="5">
        <f t="shared" si="3"/>
        <v>2200</v>
      </c>
      <c r="I24" s="1"/>
      <c r="J24" s="60"/>
      <c r="K24" s="60"/>
      <c r="L24" s="60"/>
      <c r="M24" s="56" t="s">
        <v>430</v>
      </c>
    </row>
    <row r="25" spans="1:13" x14ac:dyDescent="0.25">
      <c r="A25" s="3">
        <v>24</v>
      </c>
      <c r="B25" s="66">
        <v>46031</v>
      </c>
      <c r="C25" s="1" t="s">
        <v>172</v>
      </c>
      <c r="D25" s="1" t="s">
        <v>116</v>
      </c>
      <c r="E25" s="1">
        <v>10</v>
      </c>
      <c r="F25" s="1" t="s">
        <v>342</v>
      </c>
      <c r="G25" s="1">
        <v>220</v>
      </c>
      <c r="H25" s="5">
        <f t="shared" si="3"/>
        <v>2200</v>
      </c>
      <c r="I25" s="1"/>
      <c r="J25" s="60"/>
      <c r="K25" s="60"/>
      <c r="L25" s="60"/>
      <c r="M25" s="56" t="s">
        <v>430</v>
      </c>
    </row>
    <row r="26" spans="1:13" x14ac:dyDescent="0.25">
      <c r="A26" s="3">
        <v>25</v>
      </c>
      <c r="B26" s="66">
        <v>46032</v>
      </c>
      <c r="C26" s="1" t="s">
        <v>172</v>
      </c>
      <c r="D26" s="1" t="s">
        <v>117</v>
      </c>
      <c r="E26" s="1">
        <v>10</v>
      </c>
      <c r="F26" s="1" t="s">
        <v>342</v>
      </c>
      <c r="G26" s="1">
        <v>220</v>
      </c>
      <c r="H26" s="5">
        <f t="shared" si="3"/>
        <v>2200</v>
      </c>
      <c r="I26" s="1"/>
      <c r="J26" s="60"/>
      <c r="K26" s="60"/>
      <c r="L26" s="60"/>
      <c r="M26" s="56" t="s">
        <v>430</v>
      </c>
    </row>
    <row r="27" spans="1:13" x14ac:dyDescent="0.25">
      <c r="A27" s="3">
        <v>26</v>
      </c>
      <c r="B27" s="66">
        <v>46034</v>
      </c>
      <c r="C27" s="1" t="s">
        <v>176</v>
      </c>
      <c r="D27" s="1" t="s">
        <v>429</v>
      </c>
      <c r="E27" s="1">
        <v>10</v>
      </c>
      <c r="F27" s="1" t="s">
        <v>342</v>
      </c>
      <c r="G27" s="1">
        <v>220</v>
      </c>
      <c r="H27" s="5">
        <f t="shared" si="3"/>
        <v>2200</v>
      </c>
      <c r="I27" s="1"/>
      <c r="J27" s="60"/>
      <c r="K27" s="60"/>
      <c r="L27" s="60"/>
      <c r="M27" s="56" t="s">
        <v>430</v>
      </c>
    </row>
    <row r="28" spans="1:13" x14ac:dyDescent="0.25">
      <c r="A28" s="3">
        <v>27</v>
      </c>
      <c r="B28" s="66">
        <v>46035</v>
      </c>
      <c r="C28" s="1" t="s">
        <v>176</v>
      </c>
      <c r="D28" s="1" t="s">
        <v>113</v>
      </c>
      <c r="E28" s="1">
        <v>10</v>
      </c>
      <c r="F28" s="1" t="s">
        <v>342</v>
      </c>
      <c r="G28" s="1">
        <v>220</v>
      </c>
      <c r="H28" s="5">
        <f>G28*E28</f>
        <v>2200</v>
      </c>
      <c r="I28" s="1"/>
      <c r="J28" s="60"/>
      <c r="K28" s="60"/>
      <c r="L28" s="60"/>
      <c r="M28" s="56" t="s">
        <v>430</v>
      </c>
    </row>
    <row r="29" spans="1:13" x14ac:dyDescent="0.25">
      <c r="A29" s="3">
        <v>28</v>
      </c>
      <c r="B29" s="66">
        <v>46036</v>
      </c>
      <c r="C29" s="1" t="s">
        <v>176</v>
      </c>
      <c r="D29" s="1" t="s">
        <v>114</v>
      </c>
      <c r="E29" s="1">
        <v>11</v>
      </c>
      <c r="F29" s="1" t="s">
        <v>342</v>
      </c>
      <c r="G29" s="1">
        <v>220</v>
      </c>
      <c r="H29" s="5">
        <f t="shared" ref="H29:H34" si="4">G29*E29</f>
        <v>2420</v>
      </c>
      <c r="I29" s="1"/>
      <c r="J29" s="60"/>
      <c r="K29" s="60"/>
      <c r="L29" s="60"/>
      <c r="M29" s="56" t="s">
        <v>430</v>
      </c>
    </row>
    <row r="30" spans="1:13" x14ac:dyDescent="0.25">
      <c r="A30" s="3">
        <v>29</v>
      </c>
      <c r="B30" s="66">
        <v>46037</v>
      </c>
      <c r="C30" s="1" t="s">
        <v>176</v>
      </c>
      <c r="D30" s="1" t="s">
        <v>115</v>
      </c>
      <c r="E30" s="1">
        <v>11</v>
      </c>
      <c r="F30" s="1" t="s">
        <v>342</v>
      </c>
      <c r="G30" s="1">
        <v>220</v>
      </c>
      <c r="H30" s="5">
        <f t="shared" si="4"/>
        <v>2420</v>
      </c>
      <c r="I30" s="1"/>
      <c r="J30" s="60"/>
      <c r="K30" s="60"/>
      <c r="L30" s="60"/>
      <c r="M30" s="56" t="s">
        <v>430</v>
      </c>
    </row>
    <row r="31" spans="1:13" x14ac:dyDescent="0.25">
      <c r="A31" s="3">
        <v>30</v>
      </c>
      <c r="B31" s="66">
        <v>46038</v>
      </c>
      <c r="C31" s="1" t="s">
        <v>176</v>
      </c>
      <c r="D31" s="1" t="s">
        <v>116</v>
      </c>
      <c r="E31" s="1">
        <v>12</v>
      </c>
      <c r="F31" s="1" t="s">
        <v>342</v>
      </c>
      <c r="G31" s="1">
        <v>220</v>
      </c>
      <c r="H31" s="5">
        <f t="shared" si="4"/>
        <v>2640</v>
      </c>
      <c r="I31" s="1"/>
      <c r="J31" s="60"/>
      <c r="K31" s="60"/>
      <c r="L31" s="60"/>
      <c r="M31" s="56" t="s">
        <v>430</v>
      </c>
    </row>
    <row r="32" spans="1:13" x14ac:dyDescent="0.25">
      <c r="A32" s="3">
        <v>31</v>
      </c>
      <c r="B32" s="66">
        <v>46039</v>
      </c>
      <c r="C32" s="1" t="s">
        <v>176</v>
      </c>
      <c r="D32" s="1" t="s">
        <v>117</v>
      </c>
      <c r="E32" s="1">
        <v>12</v>
      </c>
      <c r="F32" s="1" t="s">
        <v>342</v>
      </c>
      <c r="G32" s="1">
        <v>220</v>
      </c>
      <c r="H32" s="5">
        <f t="shared" si="4"/>
        <v>2640</v>
      </c>
      <c r="I32" s="1"/>
      <c r="J32" s="60"/>
      <c r="K32" s="60"/>
      <c r="L32" s="60"/>
      <c r="M32" s="56" t="s">
        <v>430</v>
      </c>
    </row>
    <row r="33" spans="1:13" x14ac:dyDescent="0.25">
      <c r="A33" s="3">
        <v>32</v>
      </c>
      <c r="B33" s="66">
        <v>46041</v>
      </c>
      <c r="C33" s="1" t="s">
        <v>176</v>
      </c>
      <c r="D33" s="1" t="s">
        <v>429</v>
      </c>
      <c r="E33" s="1">
        <v>14</v>
      </c>
      <c r="F33" s="1" t="s">
        <v>342</v>
      </c>
      <c r="G33" s="1">
        <v>220</v>
      </c>
      <c r="H33" s="5">
        <f>G33*E33</f>
        <v>3080</v>
      </c>
      <c r="I33" s="1"/>
      <c r="J33" s="1"/>
      <c r="K33" s="1"/>
      <c r="L33" s="1"/>
      <c r="M33" s="56" t="s">
        <v>430</v>
      </c>
    </row>
    <row r="34" spans="1:13" x14ac:dyDescent="0.25">
      <c r="A34" s="3">
        <v>33</v>
      </c>
      <c r="B34" s="66">
        <v>46042</v>
      </c>
      <c r="C34" s="1" t="s">
        <v>176</v>
      </c>
      <c r="D34" s="1" t="s">
        <v>113</v>
      </c>
      <c r="E34" s="1">
        <v>12</v>
      </c>
      <c r="F34" s="1" t="s">
        <v>342</v>
      </c>
      <c r="G34" s="1">
        <v>220</v>
      </c>
      <c r="H34" s="5">
        <f t="shared" si="4"/>
        <v>2640</v>
      </c>
      <c r="I34" s="1"/>
      <c r="J34" s="60"/>
      <c r="K34" s="60"/>
      <c r="L34" s="60"/>
      <c r="M34" s="56"/>
    </row>
    <row r="35" spans="1:13" x14ac:dyDescent="0.25">
      <c r="A35" s="3"/>
      <c r="B35" s="66"/>
      <c r="C35" s="1"/>
      <c r="D35" s="1"/>
      <c r="E35" s="1"/>
      <c r="F35" s="1"/>
      <c r="G35" s="1"/>
      <c r="H35" s="5"/>
      <c r="I35" s="1"/>
      <c r="J35" s="60"/>
      <c r="K35" s="60"/>
      <c r="L35" s="60"/>
      <c r="M35" s="56"/>
    </row>
    <row r="36" spans="1:13" x14ac:dyDescent="0.25">
      <c r="A36" s="3"/>
      <c r="B36" s="66"/>
      <c r="C36" s="1"/>
      <c r="D36" s="1"/>
      <c r="E36" s="1"/>
      <c r="F36" s="1"/>
      <c r="G36" s="1"/>
      <c r="H36" s="5"/>
      <c r="I36" s="1"/>
      <c r="J36" s="60"/>
      <c r="K36" s="60"/>
      <c r="L36" s="60"/>
      <c r="M36" s="56"/>
    </row>
    <row r="37" spans="1:13" x14ac:dyDescent="0.25">
      <c r="A37" s="3"/>
      <c r="B37" s="1"/>
      <c r="C37" s="1"/>
      <c r="D37" s="1"/>
      <c r="E37" s="1"/>
      <c r="F37" s="1"/>
      <c r="G37" s="1"/>
      <c r="H37" s="5"/>
      <c r="I37" s="74">
        <f>SUM(I2:I25)</f>
        <v>236</v>
      </c>
      <c r="J37" s="60"/>
      <c r="K37" s="60"/>
      <c r="L37" s="60">
        <f>SUM(L3:L25)</f>
        <v>7080</v>
      </c>
      <c r="M37" s="1"/>
    </row>
    <row r="38" spans="1:13" ht="15.75" thickBot="1" x14ac:dyDescent="0.3">
      <c r="A38" s="140"/>
      <c r="B38" s="6"/>
      <c r="C38" s="6"/>
      <c r="D38" s="7"/>
      <c r="E38" s="6"/>
      <c r="F38" s="6"/>
      <c r="G38" s="6"/>
      <c r="H38" s="8"/>
      <c r="I38" s="38"/>
      <c r="J38" s="38"/>
      <c r="K38" s="38"/>
      <c r="L38" s="38"/>
      <c r="M38" s="38"/>
    </row>
    <row r="39" spans="1:13" ht="19.5" thickBot="1" x14ac:dyDescent="0.35">
      <c r="A39" s="318" t="s">
        <v>41</v>
      </c>
      <c r="B39" s="319"/>
      <c r="C39" s="319"/>
      <c r="D39" s="319"/>
      <c r="E39" s="319"/>
      <c r="F39" s="319"/>
      <c r="G39" s="319"/>
      <c r="H39" s="216">
        <f>SUM(H2:H38)</f>
        <v>84180</v>
      </c>
    </row>
    <row r="40" spans="1:13" ht="15.75" thickBot="1" x14ac:dyDescent="0.3">
      <c r="H40" s="53"/>
    </row>
    <row r="41" spans="1:13" ht="16.5" thickBot="1" x14ac:dyDescent="0.3">
      <c r="A41" s="245" t="s">
        <v>442</v>
      </c>
      <c r="B41" s="246"/>
      <c r="C41" s="246"/>
      <c r="D41" s="246"/>
      <c r="E41" s="246"/>
      <c r="F41" s="246"/>
      <c r="G41" s="246"/>
      <c r="H41" s="247"/>
    </row>
    <row r="42" spans="1:13" ht="15.75" thickBot="1" x14ac:dyDescent="0.3">
      <c r="A42" s="72" t="s">
        <v>0</v>
      </c>
      <c r="B42" s="73" t="s">
        <v>107</v>
      </c>
      <c r="C42" s="73" t="s">
        <v>1</v>
      </c>
      <c r="D42" s="73" t="s">
        <v>111</v>
      </c>
      <c r="E42" s="73" t="s">
        <v>26</v>
      </c>
      <c r="F42" s="73" t="s">
        <v>173</v>
      </c>
      <c r="G42" s="73" t="s">
        <v>171</v>
      </c>
      <c r="H42" s="73" t="s">
        <v>8</v>
      </c>
    </row>
    <row r="43" spans="1:13" x14ac:dyDescent="0.25">
      <c r="A43" s="3">
        <v>1</v>
      </c>
      <c r="B43" s="66">
        <v>46032</v>
      </c>
      <c r="C43" s="1" t="s">
        <v>172</v>
      </c>
      <c r="D43" s="1" t="s">
        <v>117</v>
      </c>
      <c r="E43" s="1">
        <v>10</v>
      </c>
      <c r="F43" s="1" t="s">
        <v>342</v>
      </c>
      <c r="G43" s="1">
        <v>220</v>
      </c>
      <c r="H43" s="5">
        <f t="shared" ref="H43:H49" si="5">G43*E43</f>
        <v>2200</v>
      </c>
    </row>
    <row r="44" spans="1:13" x14ac:dyDescent="0.25">
      <c r="A44" s="3">
        <v>2</v>
      </c>
      <c r="B44" s="66">
        <v>46034</v>
      </c>
      <c r="C44" s="1" t="s">
        <v>176</v>
      </c>
      <c r="D44" s="1" t="s">
        <v>429</v>
      </c>
      <c r="E44" s="1">
        <v>10</v>
      </c>
      <c r="F44" s="1" t="s">
        <v>342</v>
      </c>
      <c r="G44" s="1">
        <v>220</v>
      </c>
      <c r="H44" s="5">
        <f t="shared" si="5"/>
        <v>2200</v>
      </c>
    </row>
    <row r="45" spans="1:13" x14ac:dyDescent="0.25">
      <c r="A45" s="3">
        <v>3</v>
      </c>
      <c r="B45" s="66">
        <v>46035</v>
      </c>
      <c r="C45" s="1" t="s">
        <v>176</v>
      </c>
      <c r="D45" s="1" t="s">
        <v>113</v>
      </c>
      <c r="E45" s="1">
        <v>10</v>
      </c>
      <c r="F45" s="1" t="s">
        <v>342</v>
      </c>
      <c r="G45" s="1">
        <v>220</v>
      </c>
      <c r="H45" s="5">
        <f t="shared" si="5"/>
        <v>2200</v>
      </c>
    </row>
    <row r="46" spans="1:13" x14ac:dyDescent="0.25">
      <c r="A46" s="3">
        <v>4</v>
      </c>
      <c r="B46" s="66">
        <v>46036</v>
      </c>
      <c r="C46" s="1" t="s">
        <v>176</v>
      </c>
      <c r="D46" s="1" t="s">
        <v>114</v>
      </c>
      <c r="E46" s="1">
        <v>10</v>
      </c>
      <c r="F46" s="1" t="s">
        <v>342</v>
      </c>
      <c r="G46" s="1">
        <v>220</v>
      </c>
      <c r="H46" s="5">
        <f t="shared" si="5"/>
        <v>2200</v>
      </c>
    </row>
    <row r="47" spans="1:13" x14ac:dyDescent="0.25">
      <c r="A47" s="3">
        <v>5</v>
      </c>
      <c r="B47" s="66">
        <v>46037</v>
      </c>
      <c r="C47" s="1" t="s">
        <v>176</v>
      </c>
      <c r="D47" s="1" t="s">
        <v>115</v>
      </c>
      <c r="E47" s="1">
        <v>16</v>
      </c>
      <c r="F47" s="1" t="s">
        <v>342</v>
      </c>
      <c r="G47" s="1">
        <v>220</v>
      </c>
      <c r="H47" s="5">
        <f t="shared" si="5"/>
        <v>3520</v>
      </c>
    </row>
    <row r="48" spans="1:13" x14ac:dyDescent="0.25">
      <c r="A48" s="3">
        <v>6</v>
      </c>
      <c r="B48" s="66">
        <v>46038</v>
      </c>
      <c r="C48" s="1" t="s">
        <v>176</v>
      </c>
      <c r="D48" s="1" t="s">
        <v>116</v>
      </c>
      <c r="E48" s="1">
        <v>13</v>
      </c>
      <c r="F48" s="1" t="s">
        <v>342</v>
      </c>
      <c r="G48" s="1">
        <v>220</v>
      </c>
      <c r="H48" s="5">
        <f t="shared" si="5"/>
        <v>2860</v>
      </c>
    </row>
    <row r="49" spans="1:8" x14ac:dyDescent="0.25">
      <c r="A49" s="3">
        <v>7</v>
      </c>
      <c r="B49" s="66">
        <v>46039</v>
      </c>
      <c r="C49" s="1" t="s">
        <v>176</v>
      </c>
      <c r="D49" s="1" t="s">
        <v>117</v>
      </c>
      <c r="E49" s="1">
        <v>12</v>
      </c>
      <c r="F49" s="1" t="s">
        <v>342</v>
      </c>
      <c r="G49" s="1">
        <v>220</v>
      </c>
      <c r="H49" s="5">
        <f t="shared" si="5"/>
        <v>2640</v>
      </c>
    </row>
    <row r="50" spans="1:8" x14ac:dyDescent="0.25">
      <c r="A50" s="3">
        <v>8</v>
      </c>
      <c r="B50" s="66">
        <v>46041</v>
      </c>
      <c r="C50" s="1" t="s">
        <v>176</v>
      </c>
      <c r="D50" s="1" t="s">
        <v>429</v>
      </c>
      <c r="E50" s="1">
        <v>14</v>
      </c>
      <c r="F50" s="1" t="s">
        <v>342</v>
      </c>
      <c r="G50" s="1">
        <v>220</v>
      </c>
      <c r="H50" s="5">
        <f>G50*E50</f>
        <v>3080</v>
      </c>
    </row>
    <row r="51" spans="1:8" ht="19.5" thickBot="1" x14ac:dyDescent="0.35">
      <c r="A51" s="364" t="s">
        <v>41</v>
      </c>
      <c r="B51" s="365"/>
      <c r="C51" s="365"/>
      <c r="D51" s="365"/>
      <c r="E51" s="365"/>
      <c r="F51" s="365"/>
      <c r="G51" s="365"/>
      <c r="H51" s="71">
        <f>SUM(H43:H50)</f>
        <v>20900</v>
      </c>
    </row>
    <row r="52" spans="1:8" ht="15.75" thickBot="1" x14ac:dyDescent="0.3"/>
    <row r="53" spans="1:8" ht="15.75" thickBot="1" x14ac:dyDescent="0.3">
      <c r="A53" s="292" t="s">
        <v>39</v>
      </c>
      <c r="B53" s="293"/>
      <c r="H53" s="14" t="s">
        <v>437</v>
      </c>
    </row>
  </sheetData>
  <mergeCells count="4">
    <mergeCell ref="A39:G39"/>
    <mergeCell ref="A51:G51"/>
    <mergeCell ref="A53:B53"/>
    <mergeCell ref="A41:H41"/>
  </mergeCells>
  <pageMargins left="0.70866141732283472" right="0.70866141732283472" top="0.74803149606299213" bottom="0.74803149606299213" header="0.31496062992125984" footer="0.31496062992125984"/>
  <pageSetup scale="125" orientation="landscape" horizontalDpi="4294967295" verticalDpi="4294967295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view="pageBreakPreview" zoomScale="60" zoomScaleNormal="100" workbookViewId="0">
      <selection activeCell="L33" sqref="L33"/>
    </sheetView>
  </sheetViews>
  <sheetFormatPr defaultRowHeight="15" x14ac:dyDescent="0.25"/>
  <cols>
    <col min="1" max="1" width="5.42578125" bestFit="1" customWidth="1"/>
    <col min="2" max="2" width="11.28515625" bestFit="1" customWidth="1"/>
    <col min="3" max="3" width="14" bestFit="1" customWidth="1"/>
    <col min="4" max="4" width="10.85546875" bestFit="1" customWidth="1"/>
    <col min="5" max="6" width="20.85546875" bestFit="1" customWidth="1"/>
  </cols>
  <sheetData>
    <row r="1" spans="1:6" ht="19.5" thickBot="1" x14ac:dyDescent="0.35">
      <c r="A1" s="10" t="s">
        <v>0</v>
      </c>
      <c r="B1" s="11" t="s">
        <v>3</v>
      </c>
      <c r="C1" s="11" t="s">
        <v>1</v>
      </c>
      <c r="D1" s="11" t="s">
        <v>26</v>
      </c>
      <c r="E1" s="11" t="s">
        <v>23</v>
      </c>
      <c r="F1" s="12" t="s">
        <v>27</v>
      </c>
    </row>
    <row r="2" spans="1:6" x14ac:dyDescent="0.25">
      <c r="A2" s="3">
        <v>1</v>
      </c>
      <c r="B2" s="67">
        <v>46024</v>
      </c>
      <c r="C2" s="3" t="s">
        <v>340</v>
      </c>
      <c r="D2" s="3">
        <v>2</v>
      </c>
      <c r="E2" s="4">
        <f>D2*320</f>
        <v>640</v>
      </c>
      <c r="F2" s="3" t="s">
        <v>492</v>
      </c>
    </row>
    <row r="3" spans="1:6" x14ac:dyDescent="0.25">
      <c r="A3" s="3">
        <v>2</v>
      </c>
      <c r="B3" s="67">
        <v>46024</v>
      </c>
      <c r="C3" s="1" t="s">
        <v>50</v>
      </c>
      <c r="D3" s="1">
        <v>2</v>
      </c>
      <c r="E3" s="5">
        <f>D3*70</f>
        <v>140</v>
      </c>
      <c r="F3" s="3" t="s">
        <v>492</v>
      </c>
    </row>
    <row r="4" spans="1:6" x14ac:dyDescent="0.25">
      <c r="A4" s="3">
        <v>3</v>
      </c>
      <c r="B4" s="67">
        <v>46024</v>
      </c>
      <c r="C4" s="1" t="s">
        <v>33</v>
      </c>
      <c r="D4" s="1">
        <v>2</v>
      </c>
      <c r="E4" s="5">
        <f>D4*30</f>
        <v>60</v>
      </c>
      <c r="F4" s="3" t="s">
        <v>492</v>
      </c>
    </row>
    <row r="5" spans="1:6" ht="15.75" thickBot="1" x14ac:dyDescent="0.3">
      <c r="A5" s="289" t="s">
        <v>41</v>
      </c>
      <c r="B5" s="290"/>
      <c r="C5" s="290"/>
      <c r="D5" s="291"/>
      <c r="E5" s="25">
        <f>SUM(E2:E4)</f>
        <v>840</v>
      </c>
    </row>
    <row r="6" spans="1:6" ht="15.75" thickBot="1" x14ac:dyDescent="0.3"/>
    <row r="7" spans="1:6" ht="15.75" thickBot="1" x14ac:dyDescent="0.3">
      <c r="A7" s="292" t="s">
        <v>39</v>
      </c>
      <c r="B7" s="293"/>
      <c r="F7" s="14" t="s">
        <v>40</v>
      </c>
    </row>
    <row r="9" spans="1:6" ht="18.75" x14ac:dyDescent="0.3">
      <c r="A9" s="321" t="s">
        <v>955</v>
      </c>
      <c r="B9" s="321"/>
      <c r="C9" s="321"/>
      <c r="D9" s="321"/>
      <c r="E9" s="321"/>
    </row>
    <row r="10" spans="1:6" x14ac:dyDescent="0.25">
      <c r="A10" s="2" t="s">
        <v>0</v>
      </c>
      <c r="B10" s="2" t="s">
        <v>3</v>
      </c>
      <c r="C10" s="2" t="s">
        <v>24</v>
      </c>
      <c r="D10" s="2" t="s">
        <v>8</v>
      </c>
      <c r="E10" s="2" t="s">
        <v>540</v>
      </c>
    </row>
    <row r="11" spans="1:6" x14ac:dyDescent="0.25">
      <c r="A11" s="1">
        <v>1</v>
      </c>
      <c r="B11" s="66">
        <v>46024</v>
      </c>
      <c r="C11" s="66" t="s">
        <v>956</v>
      </c>
      <c r="D11" s="5">
        <v>840</v>
      </c>
      <c r="E11" s="1" t="s">
        <v>954</v>
      </c>
    </row>
    <row r="12" spans="1:6" ht="19.5" thickBot="1" x14ac:dyDescent="0.35">
      <c r="A12" s="322" t="s">
        <v>41</v>
      </c>
      <c r="B12" s="323"/>
      <c r="C12" s="324"/>
      <c r="D12" s="115">
        <f>SUM(D11:D11)</f>
        <v>840</v>
      </c>
      <c r="E12" s="1"/>
    </row>
    <row r="13" spans="1:6" ht="15.75" thickBot="1" x14ac:dyDescent="0.3">
      <c r="A13" s="292" t="s">
        <v>39</v>
      </c>
      <c r="B13" s="293"/>
      <c r="E13" s="14" t="s">
        <v>40</v>
      </c>
    </row>
    <row r="16" spans="1:6" ht="15.75" thickBot="1" x14ac:dyDescent="0.3"/>
    <row r="17" spans="1:2" ht="15.75" thickBot="1" x14ac:dyDescent="0.3">
      <c r="A17" s="292" t="s">
        <v>957</v>
      </c>
      <c r="B17" s="293"/>
    </row>
  </sheetData>
  <mergeCells count="6">
    <mergeCell ref="A17:B17"/>
    <mergeCell ref="A5:D5"/>
    <mergeCell ref="A7:B7"/>
    <mergeCell ref="A9:E9"/>
    <mergeCell ref="A12:C12"/>
    <mergeCell ref="A13:B13"/>
  </mergeCells>
  <pageMargins left="0.70866141732283472" right="0.70866141732283472" top="0.74803149606299213" bottom="0.74803149606299213" header="0.31496062992125984" footer="0.31496062992125984"/>
  <pageSetup scale="14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26</vt:i4>
      </vt:variant>
    </vt:vector>
  </HeadingPairs>
  <TitlesOfParts>
    <vt:vector size="58" baseType="lpstr">
      <vt:lpstr>Daily Sale </vt:lpstr>
      <vt:lpstr>Cash Out From Sale</vt:lpstr>
      <vt:lpstr>Daily material use, price sheet</vt:lpstr>
      <vt:lpstr>Voucher</vt:lpstr>
      <vt:lpstr>Menu For Executive</vt:lpstr>
      <vt:lpstr>Labor Menu </vt:lpstr>
      <vt:lpstr>Steaching Dep</vt:lpstr>
      <vt:lpstr>Steaching Deprt Summary </vt:lpstr>
      <vt:lpstr>Steaching Thakydar overtime</vt:lpstr>
      <vt:lpstr>Summary Amanat Sb </vt:lpstr>
      <vt:lpstr>Dying</vt:lpstr>
      <vt:lpstr>Summary Of Dying Depart </vt:lpstr>
      <vt:lpstr>Admin</vt:lpstr>
      <vt:lpstr>Summary of Admin </vt:lpstr>
      <vt:lpstr>Printing</vt:lpstr>
      <vt:lpstr>Sample</vt:lpstr>
      <vt:lpstr>Summary of Sample Depart</vt:lpstr>
      <vt:lpstr>Maintences </vt:lpstr>
      <vt:lpstr>Summary Of Farhan Sb Maintenc</vt:lpstr>
      <vt:lpstr>Senior Mess </vt:lpstr>
      <vt:lpstr>Aqib,waqas,jhandad,rqfeeq Data</vt:lpstr>
      <vt:lpstr>Aqib,Waqas,Jhandad,Rafeeq Sumry</vt:lpstr>
      <vt:lpstr>Daniyal Meal Data </vt:lpstr>
      <vt:lpstr>Daniyal Summary Daying Dept</vt:lpstr>
      <vt:lpstr>Mueez, Nasir Dying Dept</vt:lpstr>
      <vt:lpstr>Mueez, Nasir Summry </vt:lpstr>
      <vt:lpstr>HR</vt:lpstr>
      <vt:lpstr>Summary of HR Depart </vt:lpstr>
      <vt:lpstr>Guest House</vt:lpstr>
      <vt:lpstr>Guest House Summary </vt:lpstr>
      <vt:lpstr>Milk Purchase </vt:lpstr>
      <vt:lpstr>Fabric W.House</vt:lpstr>
      <vt:lpstr>Admin!Print_Area</vt:lpstr>
      <vt:lpstr>'Aqib,Waqas,Jhandad,Rafeeq Sumry'!Print_Area</vt:lpstr>
      <vt:lpstr>'Aqib,waqas,jhandad,rqfeeq Data'!Print_Area</vt:lpstr>
      <vt:lpstr>'Daniyal Meal Data '!Print_Area</vt:lpstr>
      <vt:lpstr>'Daniyal Summary Daying Dept'!Print_Area</vt:lpstr>
      <vt:lpstr>Dying!Print_Area</vt:lpstr>
      <vt:lpstr>'Fabric W.House'!Print_Area</vt:lpstr>
      <vt:lpstr>'Guest House'!Print_Area</vt:lpstr>
      <vt:lpstr>'Guest House Summary '!Print_Area</vt:lpstr>
      <vt:lpstr>HR!Print_Area</vt:lpstr>
      <vt:lpstr>'Maintences '!Print_Area</vt:lpstr>
      <vt:lpstr>'Milk Purchase '!Print_Area</vt:lpstr>
      <vt:lpstr>'Mueez, Nasir Dying Dept'!Print_Area</vt:lpstr>
      <vt:lpstr>'Mueez, Nasir Summry '!Print_Area</vt:lpstr>
      <vt:lpstr>Printing!Print_Area</vt:lpstr>
      <vt:lpstr>Sample!Print_Area</vt:lpstr>
      <vt:lpstr>'Senior Mess '!Print_Area</vt:lpstr>
      <vt:lpstr>'Steaching Dep'!Print_Area</vt:lpstr>
      <vt:lpstr>'Steaching Deprt Summary '!Print_Area</vt:lpstr>
      <vt:lpstr>'Steaching Thakydar overtime'!Print_Area</vt:lpstr>
      <vt:lpstr>'Summary Amanat Sb '!Print_Area</vt:lpstr>
      <vt:lpstr>'Summary of Admin '!Print_Area</vt:lpstr>
      <vt:lpstr>'Summary Of Dying Depart '!Print_Area</vt:lpstr>
      <vt:lpstr>'Summary Of Farhan Sb Maintenc'!Print_Area</vt:lpstr>
      <vt:lpstr>'Summary of Sample Depart'!Print_Area</vt:lpstr>
      <vt:lpstr>Voucher!Print_Area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Sohail Zafar</dc:creator>
  <cp:lastModifiedBy>Sohail Zafar</cp:lastModifiedBy>
  <cp:lastPrinted>2026-01-20T14:02:17Z</cp:lastPrinted>
  <dcterms:created xsi:type="dcterms:W3CDTF">2025-12-16T13:28:50Z</dcterms:created>
  <dcterms:modified xsi:type="dcterms:W3CDTF">2026-01-20T14:37:47Z</dcterms:modified>
</cp:coreProperties>
</file>